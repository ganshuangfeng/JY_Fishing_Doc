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2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71" i="7" l="1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L181" i="14" l="1"/>
  <c r="K181" i="14"/>
  <c r="I181" i="14"/>
  <c r="H181" i="14"/>
  <c r="E181" i="14"/>
  <c r="F181" i="14" s="1"/>
  <c r="K180" i="14"/>
  <c r="I180" i="14"/>
  <c r="L180" i="14" s="1"/>
  <c r="H180" i="14"/>
  <c r="E180" i="14"/>
  <c r="F180" i="14" s="1"/>
  <c r="K179" i="14"/>
  <c r="I179" i="14"/>
  <c r="L179" i="14" s="1"/>
  <c r="H179" i="14"/>
  <c r="E179" i="14"/>
  <c r="F179" i="14" s="1"/>
  <c r="K178" i="14"/>
  <c r="I178" i="14"/>
  <c r="L178" i="14" s="1"/>
  <c r="H178" i="14"/>
  <c r="E178" i="14"/>
  <c r="F178" i="14" s="1"/>
  <c r="L177" i="14"/>
  <c r="K177" i="14"/>
  <c r="I177" i="14"/>
  <c r="H177" i="14"/>
  <c r="E177" i="14"/>
  <c r="F177" i="14" s="1"/>
  <c r="K176" i="14"/>
  <c r="I176" i="14"/>
  <c r="L176" i="14" s="1"/>
  <c r="H176" i="14"/>
  <c r="E176" i="14"/>
  <c r="F176" i="14" s="1"/>
  <c r="L175" i="14"/>
  <c r="K175" i="14"/>
  <c r="I175" i="14"/>
  <c r="H175" i="14"/>
  <c r="E175" i="14"/>
  <c r="F175" i="14" s="1"/>
  <c r="K174" i="14"/>
  <c r="I174" i="14"/>
  <c r="L174" i="14" s="1"/>
  <c r="H174" i="14"/>
  <c r="E174" i="14"/>
  <c r="F174" i="14" s="1"/>
  <c r="K173" i="14"/>
  <c r="I173" i="14"/>
  <c r="L173" i="14" s="1"/>
  <c r="H173" i="14"/>
  <c r="E173" i="14"/>
  <c r="F173" i="14" s="1"/>
  <c r="K172" i="14"/>
  <c r="I172" i="14"/>
  <c r="L172" i="14" s="1"/>
  <c r="H172" i="14"/>
  <c r="E172" i="14"/>
  <c r="F172" i="14" s="1"/>
  <c r="K171" i="14"/>
  <c r="I171" i="14"/>
  <c r="L171" i="14" s="1"/>
  <c r="H171" i="14"/>
  <c r="E171" i="14"/>
  <c r="F171" i="14" s="1"/>
  <c r="K170" i="14"/>
  <c r="I170" i="14"/>
  <c r="L170" i="14" s="1"/>
  <c r="H170" i="14"/>
  <c r="E170" i="14"/>
  <c r="F170" i="14" s="1"/>
  <c r="K169" i="14"/>
  <c r="I169" i="14"/>
  <c r="L169" i="14" s="1"/>
  <c r="H169" i="14"/>
  <c r="E169" i="14"/>
  <c r="F169" i="14" s="1"/>
  <c r="K168" i="14"/>
  <c r="I168" i="14"/>
  <c r="L168" i="14" s="1"/>
  <c r="H168" i="14"/>
  <c r="E168" i="14"/>
  <c r="F168" i="14" s="1"/>
  <c r="K167" i="14"/>
  <c r="I167" i="14"/>
  <c r="L167" i="14" s="1"/>
  <c r="H167" i="14"/>
  <c r="E167" i="14"/>
  <c r="F167" i="14" s="1"/>
  <c r="L166" i="14"/>
  <c r="K166" i="14"/>
  <c r="I166" i="14"/>
  <c r="H166" i="14"/>
  <c r="E166" i="14"/>
  <c r="F166" i="14" s="1"/>
  <c r="K165" i="14"/>
  <c r="I165" i="14"/>
  <c r="L165" i="14" s="1"/>
  <c r="H165" i="14"/>
  <c r="E165" i="14"/>
  <c r="F165" i="14" s="1"/>
  <c r="L164" i="14"/>
  <c r="K164" i="14"/>
  <c r="I164" i="14"/>
  <c r="H164" i="14"/>
  <c r="E164" i="14"/>
  <c r="F164" i="14" s="1"/>
  <c r="K163" i="14"/>
  <c r="I163" i="14"/>
  <c r="L163" i="14" s="1"/>
  <c r="H163" i="14"/>
  <c r="E163" i="14"/>
  <c r="F163" i="14" s="1"/>
  <c r="K162" i="14"/>
  <c r="I162" i="14"/>
  <c r="L162" i="14" s="1"/>
  <c r="H162" i="14"/>
  <c r="E162" i="14"/>
  <c r="F162" i="14" s="1"/>
  <c r="K161" i="14"/>
  <c r="I161" i="14"/>
  <c r="L161" i="14" s="1"/>
  <c r="H161" i="14"/>
  <c r="E161" i="14"/>
  <c r="F161" i="14" s="1"/>
  <c r="K160" i="14"/>
  <c r="I160" i="14"/>
  <c r="L160" i="14" s="1"/>
  <c r="H160" i="14"/>
  <c r="E160" i="14"/>
  <c r="F160" i="14" s="1"/>
  <c r="K159" i="14"/>
  <c r="I159" i="14"/>
  <c r="L159" i="14" s="1"/>
  <c r="H159" i="14"/>
  <c r="E159" i="14"/>
  <c r="F159" i="14" s="1"/>
  <c r="K158" i="14"/>
  <c r="I158" i="14"/>
  <c r="L158" i="14" s="1"/>
  <c r="H158" i="14"/>
  <c r="E158" i="14"/>
  <c r="F158" i="14" s="1"/>
  <c r="K157" i="14"/>
  <c r="I157" i="14"/>
  <c r="L157" i="14" s="1"/>
  <c r="H157" i="14"/>
  <c r="E157" i="14"/>
  <c r="F157" i="14" s="1"/>
  <c r="K156" i="14"/>
  <c r="I156" i="14"/>
  <c r="L156" i="14" s="1"/>
  <c r="H156" i="14"/>
  <c r="E156" i="14"/>
  <c r="F156" i="14" s="1"/>
  <c r="K155" i="14"/>
  <c r="I155" i="14"/>
  <c r="L155" i="14" s="1"/>
  <c r="H155" i="14"/>
  <c r="E155" i="14"/>
  <c r="F155" i="14" s="1"/>
  <c r="E154" i="14" l="1"/>
  <c r="E153" i="14"/>
  <c r="H169" i="7" s="1"/>
  <c r="E152" i="14"/>
  <c r="F152" i="14" s="1"/>
  <c r="E151" i="14"/>
  <c r="F151" i="14" s="1"/>
  <c r="E150" i="14"/>
  <c r="H166" i="7" s="1"/>
  <c r="E149" i="14"/>
  <c r="H165" i="7" s="1"/>
  <c r="E148" i="14"/>
  <c r="F148" i="14" s="1"/>
  <c r="E147" i="14"/>
  <c r="F147" i="14" s="1"/>
  <c r="E146" i="14"/>
  <c r="H162" i="7" s="1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K146" i="14"/>
  <c r="J162" i="7" s="1"/>
  <c r="K147" i="14"/>
  <c r="J163" i="7" s="1"/>
  <c r="K148" i="14"/>
  <c r="J164" i="7" s="1"/>
  <c r="K149" i="14"/>
  <c r="J165" i="7" s="1"/>
  <c r="K150" i="14"/>
  <c r="J166" i="7" s="1"/>
  <c r="K151" i="14"/>
  <c r="J167" i="7" s="1"/>
  <c r="K152" i="14"/>
  <c r="J168" i="7" s="1"/>
  <c r="K153" i="14"/>
  <c r="J169" i="7" s="1"/>
  <c r="K154" i="14"/>
  <c r="I152" i="14"/>
  <c r="I168" i="7" s="1"/>
  <c r="I153" i="14"/>
  <c r="I169" i="7" s="1"/>
  <c r="I154" i="14"/>
  <c r="H146" i="14"/>
  <c r="H147" i="14"/>
  <c r="H148" i="14"/>
  <c r="H149" i="14"/>
  <c r="H150" i="14"/>
  <c r="H151" i="14"/>
  <c r="H152" i="14"/>
  <c r="H153" i="14"/>
  <c r="H154" i="14"/>
  <c r="F153" i="14" l="1"/>
  <c r="H170" i="7"/>
  <c r="L154" i="14"/>
  <c r="J170" i="7"/>
  <c r="F154" i="14"/>
  <c r="F150" i="14"/>
  <c r="F146" i="14"/>
  <c r="H167" i="7"/>
  <c r="F149" i="14"/>
  <c r="I170" i="7"/>
  <c r="L153" i="14"/>
  <c r="H163" i="7"/>
  <c r="L152" i="14"/>
  <c r="H164" i="7"/>
  <c r="H168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L145" i="14" l="1"/>
  <c r="K145" i="14"/>
  <c r="J161" i="7" s="1"/>
  <c r="H145" i="14"/>
  <c r="F145" i="14"/>
  <c r="L144" i="14"/>
  <c r="K144" i="14"/>
  <c r="J160" i="7" s="1"/>
  <c r="H144" i="14"/>
  <c r="F144" i="14"/>
  <c r="L143" i="14"/>
  <c r="K143" i="14"/>
  <c r="J159" i="7" s="1"/>
  <c r="H143" i="14"/>
  <c r="F143" i="14"/>
  <c r="L142" i="14"/>
  <c r="K142" i="14"/>
  <c r="J158" i="7" s="1"/>
  <c r="H142" i="14"/>
  <c r="F142" i="14"/>
  <c r="L141" i="14"/>
  <c r="K141" i="14"/>
  <c r="J157" i="7" s="1"/>
  <c r="H141" i="14"/>
  <c r="F141" i="14"/>
  <c r="L140" i="14"/>
  <c r="K140" i="14"/>
  <c r="J156" i="7" s="1"/>
  <c r="H140" i="14"/>
  <c r="F140" i="14"/>
  <c r="L139" i="14"/>
  <c r="K139" i="14"/>
  <c r="J155" i="7" s="1"/>
  <c r="H139" i="14"/>
  <c r="F139" i="14"/>
  <c r="L138" i="14"/>
  <c r="K138" i="14"/>
  <c r="J154" i="7" s="1"/>
  <c r="H138" i="14"/>
  <c r="F138" i="14"/>
  <c r="L137" i="14"/>
  <c r="K137" i="14"/>
  <c r="J153" i="7" s="1"/>
  <c r="H137" i="14"/>
  <c r="F137" i="14"/>
  <c r="L136" i="14"/>
  <c r="K136" i="14"/>
  <c r="J152" i="7" s="1"/>
  <c r="H136" i="14"/>
  <c r="F136" i="14"/>
  <c r="L135" i="14"/>
  <c r="K135" i="14"/>
  <c r="J151" i="7" s="1"/>
  <c r="H135" i="14"/>
  <c r="F135" i="14"/>
  <c r="L134" i="14"/>
  <c r="K134" i="14"/>
  <c r="J150" i="7" s="1"/>
  <c r="H134" i="14"/>
  <c r="F134" i="14"/>
  <c r="L133" i="14"/>
  <c r="K133" i="14"/>
  <c r="J149" i="7" s="1"/>
  <c r="H133" i="14"/>
  <c r="F133" i="14"/>
  <c r="L132" i="14"/>
  <c r="K132" i="14"/>
  <c r="J148" i="7" s="1"/>
  <c r="H132" i="14"/>
  <c r="F132" i="14"/>
  <c r="L131" i="14"/>
  <c r="K131" i="14"/>
  <c r="J147" i="7" s="1"/>
  <c r="H131" i="14"/>
  <c r="F131" i="14"/>
  <c r="L130" i="14"/>
  <c r="K130" i="14"/>
  <c r="J146" i="7" s="1"/>
  <c r="H130" i="14"/>
  <c r="F130" i="14"/>
  <c r="L129" i="14"/>
  <c r="K129" i="14"/>
  <c r="J145" i="7" s="1"/>
  <c r="H129" i="14"/>
  <c r="F129" i="14"/>
  <c r="L128" i="14"/>
  <c r="K128" i="14"/>
  <c r="J144" i="7" s="1"/>
  <c r="H128" i="14"/>
  <c r="F128" i="14"/>
  <c r="F125" i="14"/>
  <c r="F126" i="14"/>
  <c r="F127" i="14"/>
  <c r="F122" i="14"/>
  <c r="K127" i="14"/>
  <c r="J143" i="7" s="1"/>
  <c r="L127" i="14"/>
  <c r="H127" i="14"/>
  <c r="K126" i="14"/>
  <c r="J142" i="7" s="1"/>
  <c r="L126" i="14"/>
  <c r="H126" i="14"/>
  <c r="K125" i="14"/>
  <c r="J141" i="7" s="1"/>
  <c r="L125" i="14"/>
  <c r="H125" i="14"/>
  <c r="K124" i="14"/>
  <c r="J140" i="7" s="1"/>
  <c r="L124" i="14"/>
  <c r="H124" i="14"/>
  <c r="F124" i="14"/>
  <c r="K123" i="14"/>
  <c r="J139" i="7" s="1"/>
  <c r="L123" i="14"/>
  <c r="H123" i="14"/>
  <c r="F123" i="14"/>
  <c r="K122" i="14"/>
  <c r="J138" i="7" s="1"/>
  <c r="L122" i="14"/>
  <c r="H122" i="14"/>
  <c r="J134" i="7" l="1"/>
  <c r="J135" i="7"/>
  <c r="J136" i="7"/>
  <c r="J137" i="7"/>
  <c r="J129" i="7" l="1"/>
  <c r="J130" i="7"/>
  <c r="J131" i="7"/>
  <c r="J132" i="7"/>
  <c r="J133" i="7"/>
  <c r="I119" i="14"/>
  <c r="I135" i="7" s="1"/>
  <c r="I120" i="14"/>
  <c r="I121" i="14"/>
  <c r="I137" i="7" s="1"/>
  <c r="H113" i="14"/>
  <c r="H114" i="14"/>
  <c r="H115" i="14"/>
  <c r="H116" i="14"/>
  <c r="H117" i="14"/>
  <c r="H118" i="14"/>
  <c r="H119" i="14"/>
  <c r="H120" i="14"/>
  <c r="H121" i="14"/>
  <c r="E111" i="14"/>
  <c r="E113" i="14"/>
  <c r="H129" i="7" s="1"/>
  <c r="E114" i="14"/>
  <c r="H130" i="7" s="1"/>
  <c r="E115" i="14"/>
  <c r="H131" i="7" s="1"/>
  <c r="E116" i="14"/>
  <c r="H132" i="7" s="1"/>
  <c r="E117" i="14"/>
  <c r="F117" i="14" s="1"/>
  <c r="E118" i="14"/>
  <c r="H134" i="7" s="1"/>
  <c r="E119" i="14"/>
  <c r="E120" i="14"/>
  <c r="H136" i="7" s="1"/>
  <c r="E121" i="14"/>
  <c r="H133" i="7" l="1"/>
  <c r="F113" i="14"/>
  <c r="F116" i="14"/>
  <c r="F120" i="14"/>
  <c r="F115" i="14"/>
  <c r="F121" i="14"/>
  <c r="H137" i="7"/>
  <c r="F118" i="14"/>
  <c r="F114" i="14"/>
  <c r="L120" i="14"/>
  <c r="I136" i="7"/>
  <c r="F119" i="14"/>
  <c r="H135" i="7"/>
  <c r="L121" i="14"/>
  <c r="L119" i="14"/>
  <c r="J127" i="7"/>
  <c r="J128" i="7"/>
  <c r="I111" i="14"/>
  <c r="I127" i="7" s="1"/>
  <c r="I112" i="14"/>
  <c r="I128" i="7" s="1"/>
  <c r="H111" i="14"/>
  <c r="H112" i="14"/>
  <c r="H127" i="7"/>
  <c r="H128" i="7"/>
  <c r="E110" i="14"/>
  <c r="F111" i="14" l="1"/>
  <c r="L112" i="14"/>
  <c r="L111" i="14"/>
  <c r="J126" i="7"/>
  <c r="J118" i="7" l="1"/>
  <c r="J119" i="7"/>
  <c r="J120" i="7"/>
  <c r="J121" i="7"/>
  <c r="J122" i="7"/>
  <c r="J123" i="7"/>
  <c r="J124" i="7"/>
  <c r="J125" i="7"/>
  <c r="I108" i="14"/>
  <c r="I124" i="7" s="1"/>
  <c r="I109" i="14"/>
  <c r="I125" i="7" s="1"/>
  <c r="I110" i="14"/>
  <c r="I126" i="7" s="1"/>
  <c r="H102" i="14"/>
  <c r="H103" i="14"/>
  <c r="H104" i="14"/>
  <c r="H105" i="14"/>
  <c r="H106" i="14"/>
  <c r="H107" i="14"/>
  <c r="H108" i="14"/>
  <c r="H109" i="14"/>
  <c r="H110" i="14"/>
  <c r="E102" i="14"/>
  <c r="H118" i="7" s="1"/>
  <c r="E103" i="14"/>
  <c r="F103" i="14" s="1"/>
  <c r="E104" i="14"/>
  <c r="F104" i="14" s="1"/>
  <c r="E105" i="14"/>
  <c r="F105" i="14" s="1"/>
  <c r="E106" i="14"/>
  <c r="H122" i="7" s="1"/>
  <c r="E107" i="14"/>
  <c r="F107" i="14" s="1"/>
  <c r="E108" i="14"/>
  <c r="F108" i="14" s="1"/>
  <c r="E109" i="14"/>
  <c r="F109" i="14" s="1"/>
  <c r="H126" i="7"/>
  <c r="F106" i="14" l="1"/>
  <c r="F102" i="14"/>
  <c r="L109" i="14"/>
  <c r="F110" i="14"/>
  <c r="H125" i="7"/>
  <c r="H121" i="7"/>
  <c r="L108" i="14"/>
  <c r="H124" i="7"/>
  <c r="H120" i="7"/>
  <c r="H123" i="7"/>
  <c r="H119" i="7"/>
  <c r="L110" i="14"/>
  <c r="E95" i="14"/>
  <c r="H111" i="7" s="1"/>
  <c r="E96" i="14"/>
  <c r="H112" i="7" s="1"/>
  <c r="E97" i="14"/>
  <c r="F97" i="14" s="1"/>
  <c r="E98" i="14"/>
  <c r="H114" i="7" s="1"/>
  <c r="E99" i="14"/>
  <c r="F99" i="14" s="1"/>
  <c r="E100" i="14"/>
  <c r="F100" i="14" s="1"/>
  <c r="E101" i="14"/>
  <c r="F101" i="14" s="1"/>
  <c r="J108" i="7"/>
  <c r="J109" i="7"/>
  <c r="J110" i="7"/>
  <c r="J111" i="7"/>
  <c r="J112" i="7"/>
  <c r="J113" i="7"/>
  <c r="J114" i="7"/>
  <c r="J115" i="7"/>
  <c r="J116" i="7"/>
  <c r="J117" i="7"/>
  <c r="I96" i="14"/>
  <c r="I112" i="7" s="1"/>
  <c r="I100" i="14"/>
  <c r="I116" i="7" s="1"/>
  <c r="H95" i="14"/>
  <c r="H96" i="14"/>
  <c r="H97" i="14"/>
  <c r="H98" i="14"/>
  <c r="H99" i="14"/>
  <c r="H100" i="14"/>
  <c r="H101" i="14"/>
  <c r="I94" i="14"/>
  <c r="I110" i="7" s="1"/>
  <c r="H94" i="14"/>
  <c r="E94" i="14"/>
  <c r="H110" i="7" s="1"/>
  <c r="I93" i="14"/>
  <c r="I109" i="7" s="1"/>
  <c r="H93" i="14"/>
  <c r="E93" i="14"/>
  <c r="H109" i="7" s="1"/>
  <c r="I92" i="14"/>
  <c r="L92" i="14" s="1"/>
  <c r="H92" i="14"/>
  <c r="E92" i="14"/>
  <c r="H108" i="7" s="1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5" i="14"/>
  <c r="L85" i="14" s="1"/>
  <c r="I86" i="14"/>
  <c r="L86" i="14" s="1"/>
  <c r="I87" i="14"/>
  <c r="I103" i="7" s="1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E72" i="14"/>
  <c r="F72" i="14" s="1"/>
  <c r="E73" i="14"/>
  <c r="F73" i="14" s="1"/>
  <c r="E81" i="14"/>
  <c r="F81" i="14" s="1"/>
  <c r="E82" i="14"/>
  <c r="F82" i="14" s="1"/>
  <c r="E83" i="14"/>
  <c r="H99" i="7" s="1"/>
  <c r="E84" i="14"/>
  <c r="H100" i="7" s="1"/>
  <c r="H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D52" i="1"/>
  <c r="J97" i="7"/>
  <c r="J98" i="7"/>
  <c r="J99" i="7"/>
  <c r="J100" i="7"/>
  <c r="H84" i="14"/>
  <c r="H83" i="14"/>
  <c r="I80" i="14"/>
  <c r="L80" i="14" s="1"/>
  <c r="I82" i="14"/>
  <c r="L82" i="14" s="1"/>
  <c r="H82" i="14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K77" i="14"/>
  <c r="J93" i="7" s="1"/>
  <c r="H77" i="14"/>
  <c r="F77" i="14"/>
  <c r="K76" i="14"/>
  <c r="J92" i="7" s="1"/>
  <c r="H76" i="14"/>
  <c r="F76" i="14"/>
  <c r="K75" i="14"/>
  <c r="J91" i="7" s="1"/>
  <c r="H75" i="14"/>
  <c r="F75" i="14"/>
  <c r="K74" i="14"/>
  <c r="J90" i="7" s="1"/>
  <c r="H74" i="14"/>
  <c r="F74" i="14"/>
  <c r="K73" i="14"/>
  <c r="J89" i="7" s="1"/>
  <c r="H73" i="14"/>
  <c r="K72" i="14"/>
  <c r="J88" i="7" s="1"/>
  <c r="H72" i="14"/>
  <c r="N71" i="14"/>
  <c r="K71" i="14"/>
  <c r="J87" i="7" s="1"/>
  <c r="H71" i="14"/>
  <c r="E71" i="14"/>
  <c r="F71" i="14" s="1"/>
  <c r="N70" i="14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K68" i="14"/>
  <c r="J84" i="7" s="1"/>
  <c r="H68" i="14"/>
  <c r="E68" i="14"/>
  <c r="H84" i="7" s="1"/>
  <c r="N67" i="14"/>
  <c r="K67" i="14"/>
  <c r="J83" i="7" s="1"/>
  <c r="H67" i="14"/>
  <c r="E67" i="14"/>
  <c r="F67" i="14" s="1"/>
  <c r="N66" i="14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K63" i="14"/>
  <c r="J79" i="7" s="1"/>
  <c r="H63" i="14"/>
  <c r="F63" i="14"/>
  <c r="K62" i="14"/>
  <c r="J78" i="7" s="1"/>
  <c r="H62" i="14"/>
  <c r="F62" i="14"/>
  <c r="K61" i="14"/>
  <c r="J77" i="7" s="1"/>
  <c r="H61" i="14"/>
  <c r="F61" i="14"/>
  <c r="K60" i="14"/>
  <c r="J76" i="7" s="1"/>
  <c r="H60" i="14"/>
  <c r="F60" i="14"/>
  <c r="K59" i="14"/>
  <c r="J75" i="7" s="1"/>
  <c r="H59" i="14"/>
  <c r="E59" i="14"/>
  <c r="H75" i="7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K56" i="14"/>
  <c r="J72" i="7" s="1"/>
  <c r="H56" i="14"/>
  <c r="E56" i="14"/>
  <c r="H72" i="7" s="1"/>
  <c r="N55" i="14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K52" i="14"/>
  <c r="J68" i="7" s="1"/>
  <c r="H52" i="14"/>
  <c r="E52" i="14"/>
  <c r="H68" i="7" s="1"/>
  <c r="G31" i="5"/>
  <c r="H36" i="14" s="1"/>
  <c r="G32" i="5"/>
  <c r="H31" i="14"/>
  <c r="G33" i="5"/>
  <c r="H33" i="14" s="1"/>
  <c r="F42" i="1"/>
  <c r="F39" i="1"/>
  <c r="H40" i="7"/>
  <c r="F26" i="1"/>
  <c r="I26" i="14" s="1"/>
  <c r="I40" i="7" s="1"/>
  <c r="D26" i="1"/>
  <c r="F26" i="14"/>
  <c r="G36" i="5"/>
  <c r="H50" i="14" s="1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I41" i="14" s="1"/>
  <c r="L41" i="14" s="1"/>
  <c r="F43" i="1"/>
  <c r="F44" i="1"/>
  <c r="F45" i="1"/>
  <c r="F46" i="1"/>
  <c r="I46" i="14" s="1"/>
  <c r="I60" i="7" s="1"/>
  <c r="F47" i="1"/>
  <c r="F48" i="1"/>
  <c r="F49" i="1"/>
  <c r="I49" i="14" s="1"/>
  <c r="I63" i="7" s="1"/>
  <c r="F50" i="1"/>
  <c r="F28" i="1"/>
  <c r="F29" i="1"/>
  <c r="F30" i="1"/>
  <c r="F24" i="1"/>
  <c r="I24" i="14" s="1"/>
  <c r="L24" i="14" s="1"/>
  <c r="D24" i="1"/>
  <c r="F9" i="1"/>
  <c r="I9" i="14"/>
  <c r="I9" i="7" s="1"/>
  <c r="F10" i="1"/>
  <c r="I10" i="14" s="1"/>
  <c r="L10" i="14" s="1"/>
  <c r="D9" i="1"/>
  <c r="D10" i="1"/>
  <c r="H42" i="7"/>
  <c r="H37" i="7"/>
  <c r="H41" i="7"/>
  <c r="H36" i="7"/>
  <c r="H35" i="7"/>
  <c r="F24" i="14"/>
  <c r="H38" i="7"/>
  <c r="F38" i="1"/>
  <c r="I38" i="14" s="1"/>
  <c r="I52" i="7" s="1"/>
  <c r="D38" i="1"/>
  <c r="E8" i="14"/>
  <c r="H67" i="7" s="1"/>
  <c r="F32" i="1"/>
  <c r="I32" i="14" s="1"/>
  <c r="L32" i="14" s="1"/>
  <c r="F33" i="1"/>
  <c r="F34" i="1"/>
  <c r="F36" i="1"/>
  <c r="F37" i="1"/>
  <c r="I37" i="14" s="1"/>
  <c r="I51" i="7" s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J61" i="7" s="1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J55" i="7" s="1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J50" i="7" s="1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I23" i="14" s="1"/>
  <c r="I37" i="7" s="1"/>
  <c r="D22" i="1"/>
  <c r="F22" i="1"/>
  <c r="D21" i="1"/>
  <c r="F21" i="1"/>
  <c r="I74" i="14" s="1"/>
  <c r="L74" i="14" s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I2" i="14" s="1"/>
  <c r="I6" i="7" s="1"/>
  <c r="F3" i="1"/>
  <c r="F4" i="1"/>
  <c r="I4" i="14"/>
  <c r="L4" i="14" s="1"/>
  <c r="F5" i="1"/>
  <c r="I5" i="14" s="1"/>
  <c r="L5" i="14" s="1"/>
  <c r="F6" i="1"/>
  <c r="F11" i="1"/>
  <c r="I11" i="14"/>
  <c r="L11" i="14" s="1"/>
  <c r="F12" i="1"/>
  <c r="I52" i="14" s="1"/>
  <c r="I68" i="7" s="1"/>
  <c r="F13" i="1"/>
  <c r="I67" i="14" s="1"/>
  <c r="I13" i="14"/>
  <c r="I27" i="7" s="1"/>
  <c r="F16" i="1"/>
  <c r="F15" i="1"/>
  <c r="I15" i="14"/>
  <c r="L15" i="14" s="1"/>
  <c r="I16" i="14"/>
  <c r="I30" i="7" s="1"/>
  <c r="F17" i="1"/>
  <c r="I71" i="14" s="1"/>
  <c r="L71" i="14" s="1"/>
  <c r="I17" i="14"/>
  <c r="I31" i="7" s="1"/>
  <c r="F18" i="1"/>
  <c r="F19" i="1"/>
  <c r="I81" i="14" s="1"/>
  <c r="L81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84" i="14" s="1"/>
  <c r="L84" i="14" s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 s="1"/>
  <c r="G13" i="5"/>
  <c r="H35" i="14"/>
  <c r="G15" i="5"/>
  <c r="H41" i="14"/>
  <c r="G5" i="5"/>
  <c r="G7" i="5"/>
  <c r="H20" i="14" s="1"/>
  <c r="H19" i="14"/>
  <c r="G14" i="5"/>
  <c r="G12" i="5"/>
  <c r="G2" i="5"/>
  <c r="G9" i="5"/>
  <c r="H22" i="14" s="1"/>
  <c r="G10" i="5"/>
  <c r="I45" i="14"/>
  <c r="I59" i="7" s="1"/>
  <c r="I43" i="14"/>
  <c r="L43" i="14" s="1"/>
  <c r="I39" i="14"/>
  <c r="L39" i="14" s="1"/>
  <c r="I20" i="14"/>
  <c r="L20" i="14" s="1"/>
  <c r="I8" i="14"/>
  <c r="I8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I36" i="14"/>
  <c r="L36" i="14" s="1"/>
  <c r="I14" i="14"/>
  <c r="L14" i="14" s="1"/>
  <c r="F27" i="14"/>
  <c r="I50" i="14"/>
  <c r="I64" i="7" s="1"/>
  <c r="I44" i="14"/>
  <c r="L44" i="14" s="1"/>
  <c r="I48" i="14"/>
  <c r="I62" i="7" s="1"/>
  <c r="I42" i="14"/>
  <c r="L42" i="14" s="1"/>
  <c r="I34" i="14"/>
  <c r="L34" i="14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J67" i="7" l="1"/>
  <c r="J16" i="7"/>
  <c r="J5" i="7"/>
  <c r="L67" i="14"/>
  <c r="I83" i="7"/>
  <c r="I148" i="14"/>
  <c r="I115" i="14"/>
  <c r="I104" i="14"/>
  <c r="J19" i="7"/>
  <c r="I150" i="14"/>
  <c r="I117" i="14"/>
  <c r="I106" i="14"/>
  <c r="I58" i="14"/>
  <c r="L58" i="14" s="1"/>
  <c r="I59" i="14"/>
  <c r="I75" i="7" s="1"/>
  <c r="I60" i="14"/>
  <c r="I76" i="7" s="1"/>
  <c r="I61" i="14"/>
  <c r="I77" i="7" s="1"/>
  <c r="I62" i="14"/>
  <c r="L62" i="14" s="1"/>
  <c r="I63" i="14"/>
  <c r="I79" i="7" s="1"/>
  <c r="I66" i="14"/>
  <c r="I82" i="7" s="1"/>
  <c r="I70" i="14"/>
  <c r="L70" i="14" s="1"/>
  <c r="I73" i="14"/>
  <c r="I89" i="7" s="1"/>
  <c r="I75" i="14"/>
  <c r="L75" i="14" s="1"/>
  <c r="I76" i="14"/>
  <c r="L76" i="14" s="1"/>
  <c r="I77" i="14"/>
  <c r="I93" i="7" s="1"/>
  <c r="I99" i="14"/>
  <c r="I115" i="7" s="1"/>
  <c r="I18" i="14"/>
  <c r="L18" i="14" s="1"/>
  <c r="I147" i="14"/>
  <c r="I114" i="14"/>
  <c r="I103" i="14"/>
  <c r="I55" i="14"/>
  <c r="I71" i="7" s="1"/>
  <c r="I72" i="14"/>
  <c r="I95" i="14"/>
  <c r="I111" i="7" s="1"/>
  <c r="I98" i="14"/>
  <c r="I114" i="7" s="1"/>
  <c r="I151" i="14"/>
  <c r="I118" i="14"/>
  <c r="I107" i="14"/>
  <c r="I146" i="14"/>
  <c r="I113" i="14"/>
  <c r="I102" i="14"/>
  <c r="I19" i="14"/>
  <c r="L19" i="14" s="1"/>
  <c r="I149" i="14"/>
  <c r="I116" i="14"/>
  <c r="I105" i="14"/>
  <c r="I12" i="14"/>
  <c r="L12" i="14" s="1"/>
  <c r="I56" i="14"/>
  <c r="I68" i="14"/>
  <c r="I84" i="7" s="1"/>
  <c r="I83" i="14"/>
  <c r="I101" i="14"/>
  <c r="I117" i="7" s="1"/>
  <c r="I97" i="14"/>
  <c r="I113" i="7" s="1"/>
  <c r="L30" i="14"/>
  <c r="L17" i="14"/>
  <c r="H53" i="7"/>
  <c r="F52" i="14"/>
  <c r="F56" i="14"/>
  <c r="F16" i="14"/>
  <c r="J21" i="7"/>
  <c r="I85" i="7"/>
  <c r="F31" i="14"/>
  <c r="I32" i="7"/>
  <c r="F40" i="14"/>
  <c r="I46" i="7"/>
  <c r="L57" i="14"/>
  <c r="L46" i="14"/>
  <c r="H73" i="7"/>
  <c r="I11" i="7"/>
  <c r="F13" i="14"/>
  <c r="L91" i="14"/>
  <c r="J4" i="7"/>
  <c r="J26" i="7"/>
  <c r="J14" i="7"/>
  <c r="J22" i="7"/>
  <c r="J7" i="7"/>
  <c r="J2" i="7"/>
  <c r="J18" i="7"/>
  <c r="J3" i="7"/>
  <c r="L16" i="14"/>
  <c r="L9" i="14"/>
  <c r="I97" i="7"/>
  <c r="L59" i="14"/>
  <c r="L55" i="14"/>
  <c r="L31" i="14"/>
  <c r="H115" i="7"/>
  <c r="F41" i="14"/>
  <c r="I34" i="7"/>
  <c r="H66" i="7"/>
  <c r="I56" i="7"/>
  <c r="I29" i="7"/>
  <c r="L13" i="14"/>
  <c r="I12" i="7"/>
  <c r="J12" i="7"/>
  <c r="L94" i="14"/>
  <c r="I35" i="7"/>
  <c r="L22" i="14"/>
  <c r="I98" i="7"/>
  <c r="I87" i="7"/>
  <c r="H97" i="7"/>
  <c r="I54" i="7"/>
  <c r="L48" i="14"/>
  <c r="H65" i="7"/>
  <c r="L52" i="14"/>
  <c r="I96" i="7"/>
  <c r="I55" i="7"/>
  <c r="F2" i="14"/>
  <c r="I38" i="7"/>
  <c r="F37" i="14"/>
  <c r="H11" i="7"/>
  <c r="L100" i="14"/>
  <c r="H26" i="7"/>
  <c r="F11" i="14"/>
  <c r="I5" i="7"/>
  <c r="I7" i="7"/>
  <c r="I42" i="7"/>
  <c r="H69" i="7"/>
  <c r="H23" i="7"/>
  <c r="L26" i="14"/>
  <c r="K35" i="7" a="1"/>
  <c r="K35" i="7" s="1"/>
  <c r="H74" i="7"/>
  <c r="L68" i="14"/>
  <c r="L63" i="14"/>
  <c r="I91" i="7"/>
  <c r="L79" i="14"/>
  <c r="I94" i="7"/>
  <c r="L89" i="14"/>
  <c r="F96" i="14"/>
  <c r="F83" i="14"/>
  <c r="H8" i="7"/>
  <c r="H14" i="7"/>
  <c r="F8" i="14"/>
  <c r="H18" i="7"/>
  <c r="I66" i="7"/>
  <c r="F55" i="14"/>
  <c r="L65" i="14"/>
  <c r="I100" i="7"/>
  <c r="L96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H117" i="7"/>
  <c r="K45" i="7" a="1"/>
  <c r="K45" i="7" s="1"/>
  <c r="K33" i="7" a="1"/>
  <c r="K33" i="7" s="1"/>
  <c r="H21" i="7"/>
  <c r="I61" i="7"/>
  <c r="I57" i="7"/>
  <c r="H61" i="7"/>
  <c r="J25" i="7"/>
  <c r="J24" i="7"/>
  <c r="L45" i="14"/>
  <c r="I4" i="7"/>
  <c r="I17" i="7"/>
  <c r="L88" i="14"/>
  <c r="L98" i="14"/>
  <c r="L93" i="14"/>
  <c r="I25" i="7"/>
  <c r="I58" i="7"/>
  <c r="L16" i="7" a="1"/>
  <c r="L16" i="7" s="1"/>
  <c r="H44" i="7"/>
  <c r="H116" i="7"/>
  <c r="F84" i="14"/>
  <c r="F17" i="14"/>
  <c r="H47" i="7"/>
  <c r="H3" i="7"/>
  <c r="H19" i="7"/>
  <c r="H5" i="7"/>
  <c r="H87" i="7"/>
  <c r="H9" i="7"/>
  <c r="H25" i="7"/>
  <c r="F18" i="14"/>
  <c r="H88" i="7"/>
  <c r="F95" i="14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H34" i="7"/>
  <c r="H62" i="7"/>
  <c r="J15" i="7"/>
  <c r="I23" i="7"/>
  <c r="H83" i="7"/>
  <c r="J13" i="7"/>
  <c r="L77" i="14"/>
  <c r="I101" i="7"/>
  <c r="L90" i="14"/>
  <c r="H113" i="7"/>
  <c r="K37" i="7" a="1"/>
  <c r="K37" i="7" s="1"/>
  <c r="J17" i="7"/>
  <c r="L50" i="14"/>
  <c r="I74" i="7"/>
  <c r="I86" i="7"/>
  <c r="H13" i="7"/>
  <c r="H89" i="7"/>
  <c r="L23" i="14"/>
  <c r="H104" i="7"/>
  <c r="F93" i="14"/>
  <c r="I108" i="7"/>
  <c r="I2" i="7"/>
  <c r="F35" i="14"/>
  <c r="I53" i="7"/>
  <c r="I3" i="7"/>
  <c r="H16" i="7"/>
  <c r="F36" i="14"/>
  <c r="J20" i="7"/>
  <c r="J23" i="7"/>
  <c r="I70" i="7"/>
  <c r="H70" i="7"/>
  <c r="H63" i="7"/>
  <c r="I47" i="7"/>
  <c r="F89" i="14"/>
  <c r="L87" i="14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19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  <c r="I26" i="7" l="1"/>
  <c r="L61" i="14"/>
  <c r="L66" i="14"/>
  <c r="I20" i="7"/>
  <c r="I72" i="7"/>
  <c r="L56" i="14"/>
  <c r="I165" i="7"/>
  <c r="L149" i="14"/>
  <c r="L113" i="14"/>
  <c r="I129" i="7"/>
  <c r="I134" i="7"/>
  <c r="L118" i="14"/>
  <c r="I130" i="7"/>
  <c r="L114" i="14"/>
  <c r="I164" i="7"/>
  <c r="L148" i="14"/>
  <c r="L95" i="14"/>
  <c r="L73" i="14"/>
  <c r="L146" i="14"/>
  <c r="I162" i="7"/>
  <c r="I167" i="7"/>
  <c r="L151" i="14"/>
  <c r="I88" i="7"/>
  <c r="L72" i="14"/>
  <c r="I163" i="7"/>
  <c r="L147" i="14"/>
  <c r="I122" i="7"/>
  <c r="L106" i="14"/>
  <c r="I99" i="7"/>
  <c r="L83" i="14"/>
  <c r="I121" i="7"/>
  <c r="L105" i="14"/>
  <c r="I133" i="7"/>
  <c r="L117" i="14"/>
  <c r="I120" i="7"/>
  <c r="L104" i="14"/>
  <c r="L97" i="14"/>
  <c r="I132" i="7"/>
  <c r="L116" i="14"/>
  <c r="I118" i="7"/>
  <c r="L102" i="14"/>
  <c r="I123" i="7"/>
  <c r="L107" i="14"/>
  <c r="I119" i="7"/>
  <c r="L103" i="14"/>
  <c r="L150" i="14"/>
  <c r="I166" i="7"/>
  <c r="L115" i="14"/>
  <c r="I131" i="7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<sst xmlns="http://schemas.openxmlformats.org/spreadsheetml/2006/main" count="812" uniqueCount="515">
  <si>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</si>
  <si>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</si>
  <si>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</si>
  <si>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</si>
  <si>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</si>
  <si>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</si>
  <si>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</si>
  <si>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</si>
  <si>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</si>
  <si>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</si>
  <si>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</si>
  <si>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</si>
  <si>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</si>
  <si>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</si>
  <si>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</si>
  <si>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</si>
  <si>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</si>
  <si>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</si>
  <si>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</si>
  <si>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</si>
  <si>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</si>
  <si>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</si>
  <si>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</si>
  <si>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</si>
  <si>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</si>
  <si>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</si>
  <si>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</si>
  <si>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</si>
  <si>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</si>
  <si>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</si>
  <si>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</si>
  <si>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</si>
  <si>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</si>
  <si>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</si>
  <si>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</si>
  <si>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</si>
  <si>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</si>
  <si>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</si>
  <si>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</si>
  <si>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</si>
  <si>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</si>
  <si>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</si>
  <si>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</si>
  <si>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</si>
  <si>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</si>
  <si>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</si>
  <si>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</si>
  <si>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</si>
  <si>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</si>
  <si>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</si>
  <si>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</si>
  <si>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</si>
  <si>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</si>
  <si>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</si>
  <si>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</si>
  <si>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</si>
  <si>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</si>
  <si>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</si>
  <si>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</si>
  <si>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</si>
  <si>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</si>
  <si>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</si>
  <si>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</si>
  <si>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</si>
  <si>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</si>
  <si>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</si>
  <si>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</si>
  <si>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</si>
  <si>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</si>
  <si>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</si>
  <si>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</si>
  <si>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</si>
  <si>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</si>
  <si>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</si>
  <si>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</si>
  <si>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</si>
  <si>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</si>
  <si>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</si>
  <si>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</si>
  <si>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</si>
  <si>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</si>
  <si>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</si>
  <si>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</si>
  <si>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</si>
  <si>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</si>
  <si>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</si>
  <si>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</si>
  <si>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</si>
  <si>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</si>
  <si>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</si>
  <si>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</si>
  <si>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</si>
  <si>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</si>
  <si>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</si>
  <si>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</si>
  <si>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</si>
  <si>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</si>
  <si>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</si>
  <si>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</si>
  <si>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</si>
  <si>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</si>
  <si>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</si>
  <si>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</si>
  <si>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</si>
  <si>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</si>
  <si>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</si>
  <si>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</si>
  <si>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</si>
  <si>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</si>
  <si>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</si>
  <si>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</si>
  <si>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</si>
  <si>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</si>
  <si>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</si>
  <si>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</si>
  <si>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</si>
  <si>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</si>
  <si>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</si>
  <si>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</si>
  <si>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</si>
  <si>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</si>
  <si>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</si>
  <si>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</si>
  <si>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</si>
  <si>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</si>
  <si>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</si>
  <si>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</si>
  <si>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</si>
  <si>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</si>
  <si>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</si>
  <si>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</si>
  <si>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</si>
  <si>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</si>
  <si>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</si>
  <si>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</si>
  <si>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</si>
  <si>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</si>
  <si>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</si>
  <si>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</si>
  <si>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</si>
  <si>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</si>
  <si>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</si>
  <si>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</si>
  <si>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</si>
  <si>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</si>
  <si>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</si>
  <si>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</si>
  <si>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</si>
  <si>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</si>
  <si>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</si>
  <si>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</si>
  <si>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</si>
  <si>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</si>
  <si>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</si>
  <si>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</si>
  <si>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</si>
  <si>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</si>
  <si>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</si>
  <si>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</si>
  <si>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</si>
  <si>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</si>
  <si>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</si>
  <si>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</si>
  <si>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</si>
  <si>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</si>
  <si>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</si>
  <si>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</si>
  <si>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</si>
  <si>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</si>
  <si>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</si>
  <si>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</si>
  <si>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</si>
  <si>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</si>
  <si>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</si>
  <si>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</si>
  <si>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</si>
  <si>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</si>
  <si>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</si>
  <si>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</si>
  <si>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</si>
  <si>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</si>
  <si>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</si>
  <si>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</si>
  <si>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</si>
  <si>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</si>
  <si>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</si>
  <si>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</si>
  <si>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</si>
  <si>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</si>
  <si>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</si>
  <si>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</si>
  <si>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</si>
  <si>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</si>
  <si>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</si>
  <si>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</si>
  <si>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</si>
  <si>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</si>
  <si>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</si>
  <si>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</si>
  <si>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</si>
  <si>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</si>
  <si>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</si>
  <si>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</si>
  <si>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</si>
  <si>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</si>
  <si>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</si>
  <si>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</si>
  <si>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</si>
  <si>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</si>
  <si>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</si>
  <si>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</si>
  <si>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</si>
  <si>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</si>
  <si>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</si>
  <si>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</si>
  <si>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</si>
  <si>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</si>
  <si>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</si>
  <si>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</si>
  <si>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</si>
  <si>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</si>
  <si>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</si>
  <si>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</si>
  <si>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</si>
  <si>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</si>
  <si>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</si>
  <si>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</si>
  <si>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</si>
  <si>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</si>
  <si>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</si>
  <si>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</si>
  <si>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</si>
  <si>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</si>
  <si>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</si>
  <si>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</si>
  <si>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</si>
  <si>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</si>
  <si>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</si>
  <si>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</si>
  <si>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</si>
  <si>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</si>
  <si>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</si>
  <si>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</si>
  <si>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</si>
  <si>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</si>
  <si>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</si>
  <si>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</si>
  <si>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</si>
  <si>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</si>
  <si>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</si>
  <si>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</si>
  <si>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</si>
  <si>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</si>
  <si>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</si>
  <si>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</si>
  <si>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</si>
  <si>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</si>
  <si>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</si>
  <si>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</si>
  <si>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</si>
  <si>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</si>
  <si>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</si>
  <si>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</si>
  <si>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</si>
  <si>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</si>
  <si>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</si>
  <si>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</si>
  <si>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</si>
  <si>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</si>
  <si>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</si>
  <si>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</si>
  <si>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</si>
  <si>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</si>
  <si>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</si>
  <si>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</si>
  <si>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</si>
  <si>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</si>
  <si>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</si>
  <si>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</si>
  <si>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</si>
  <si>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</si>
  <si>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</si>
  <si>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</si>
  <si>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</si>
  <si>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</si>
  <si>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</si>
  <si>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</si>
  <si>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</si>
  <si>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</si>
  <si>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</si>
  <si>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</si>
  <si>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</si>
  <si>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</si>
  <si>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</si>
  <si>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</si>
  <si>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</si>
  <si>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</si>
  <si>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</si>
  <si>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</si>
  <si>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</si>
  <si>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</si>
  <si>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</si>
  <si>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</si>
  <si>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</si>
  <si>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</si>
  <si>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</si>
  <si>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</si>
  <si>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</si>
  <si>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</si>
  <si>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</si>
  <si>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</si>
  <si>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</si>
  <si>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</si>
  <si>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</si>
  <si>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</si>
  <si>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</si>
  <si>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</si>
  <si>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</si>
  <si>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</si>
  <si>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</si>
  <si>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</si>
  <si>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</si>
  <si>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</si>
  <si>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</si>
  <si>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</si>
  <si>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</si>
  <si>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</si>
  <si>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</si>
  <si>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</si>
  <si>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</si>
  <si>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</si>
  <si>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</si>
  <si>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</si>
  <si>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</si>
  <si>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</si>
  <si>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</si>
  <si>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</si>
  <si>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</si>
  <si>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</si>
  <si>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</si>
  <si>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</si>
  <si>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</si>
  <si>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</si>
  <si>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</si>
  <si>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</si>
  <si>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</si>
  <si>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</si>
  <si>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</si>
  <si>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</si>
  <si>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</si>
  <si>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</si>
  <si>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</si>
  <si>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</si>
  <si>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</si>
  <si>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</si>
  <si>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</si>
  <si>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</si>
  <si>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</si>
  <si>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</si>
  <si>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</si>
  <si>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</si>
  <si>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</si>
  <si>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</si>
  <si>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</si>
  <si>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</si>
  <si>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</si>
  <si>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</si>
  <si>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</si>
  <si>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</si>
  <si>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</si>
  <si>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</si>
  <si>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</si>
  <si>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</si>
  <si>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</si>
  <si>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</si>
  <si>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</si>
  <si>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</si>
  <si>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</si>
  <si>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</si>
  <si>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</si>
  <si>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</si>
  <si>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</si>
  <si>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</si>
  <si>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</si>
  <si>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</si>
  <si>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</si>
  <si>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</si>
  <si>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</si>
  <si>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</si>
  <si>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</si>
  <si>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</si>
  <si>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</si>
  <si>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</si>
  <si>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</si>
  <si>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</si>
  <si>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</si>
  <si>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</si>
  <si>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</si>
  <si>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</si>
  <si>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</si>
  <si>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</si>
  <si>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</si>
  <si>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</si>
  <si>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</si>
  <si>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</si>
  <si>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</si>
  <si>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</si>
  <si>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</si>
  <si>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</si>
  <si>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</si>
  <si>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</si>
  <si>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</si>
  <si>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</si>
  <si>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</si>
  <si>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</si>
  <si>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</si>
  <si>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</si>
  <si>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</si>
  <si>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</si>
  <si>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110,</t>
  </si>
  <si>
    <t>111,</t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</si>
  <si>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</si>
  <si>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</si>
  <si>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</si>
  <si>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</si>
  <si>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</si>
  <si>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</si>
  <si>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</si>
  <si>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</si>
  <si>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</si>
  <si>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</si>
  <si>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</si>
  <si>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</si>
  <si>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</si>
  <si>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</si>
  <si>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</si>
  <si>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</si>
  <si>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</si>
  <si>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</si>
  <si>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</si>
  <si>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</si>
  <si>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</si>
  <si>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</si>
  <si>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</si>
  <si>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</si>
  <si>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130,</t>
  </si>
  <si>
    <t>131,</t>
  </si>
  <si>
    <t>132,</t>
  </si>
  <si>
    <t>133,</t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</si>
  <si>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</si>
  <si>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</si>
  <si>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</si>
  <si>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</si>
  <si>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</si>
  <si>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</si>
  <si>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</si>
  <si>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</si>
  <si>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</si>
  <si>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</si>
  <si>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</si>
  <si>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50,100</t>
    <phoneticPr fontId="1" type="noConversion"/>
  </si>
  <si>
    <t>145,</t>
  </si>
  <si>
    <t>146,</t>
  </si>
  <si>
    <t>147,</t>
  </si>
  <si>
    <t>148,</t>
  </si>
  <si>
    <t>149,</t>
  </si>
  <si>
    <t>150,</t>
  </si>
  <si>
    <t>151,</t>
  </si>
  <si>
    <t>152,</t>
  </si>
  <si>
    <t>153,</t>
  </si>
  <si>
    <t>袜子boss</t>
    <phoneticPr fontId="1" type="noConversion"/>
  </si>
  <si>
    <t>0,0,0.3,0.4</t>
    <phoneticPr fontId="1" type="noConversion"/>
  </si>
  <si>
    <t>活动boss</t>
    <phoneticPr fontId="1" type="noConversion"/>
  </si>
  <si>
    <t>0,0,0.2,0.3</t>
    <phoneticPr fontId="1" type="noConversion"/>
  </si>
  <si>
    <t>0,0,0.4,0.5</t>
    <phoneticPr fontId="1" type="noConversion"/>
  </si>
  <si>
    <t>0,0,0.01,</t>
  </si>
  <si>
    <t>1,1,0.2,0.3</t>
    <phoneticPr fontId="1" type="noConversion"/>
  </si>
  <si>
    <t>1,1,0.3,0.4</t>
    <phoneticPr fontId="1" type="noConversion"/>
  </si>
  <si>
    <t>1,1,0.4,0.5</t>
    <phoneticPr fontId="1" type="noConversion"/>
  </si>
  <si>
    <t>1,1,0.01,</t>
    <phoneticPr fontId="1" type="noConversion"/>
  </si>
  <si>
    <t>2,2,0.2,0.3</t>
    <phoneticPr fontId="1" type="noConversion"/>
  </si>
  <si>
    <t>2,2,0.3,0.4</t>
    <phoneticPr fontId="1" type="noConversion"/>
  </si>
  <si>
    <t>2,2,0.4,0.5</t>
    <phoneticPr fontId="1" type="noConversion"/>
  </si>
  <si>
    <t>2,2,0.01,</t>
    <phoneticPr fontId="1" type="noConversion"/>
  </si>
  <si>
    <t>3,3,0.2,0.3</t>
    <phoneticPr fontId="1" type="noConversion"/>
  </si>
  <si>
    <t>3,3,0.3,0.4</t>
    <phoneticPr fontId="1" type="noConversion"/>
  </si>
  <si>
    <t>3,3,0.4,0.5</t>
    <phoneticPr fontId="1" type="noConversion"/>
  </si>
  <si>
    <t>3,3,0.01,</t>
    <phoneticPr fontId="1" type="noConversion"/>
  </si>
  <si>
    <t>154,</t>
  </si>
  <si>
    <t>155,</t>
  </si>
  <si>
    <t>156,</t>
  </si>
  <si>
    <t>157,</t>
  </si>
  <si>
    <t>158,</t>
  </si>
  <si>
    <t>159,</t>
  </si>
  <si>
    <t>160,</t>
  </si>
  <si>
    <t>161,</t>
  </si>
  <si>
    <t>162,</t>
  </si>
  <si>
    <t>163,</t>
  </si>
  <si>
    <t>164,</t>
  </si>
  <si>
    <t>165,</t>
  </si>
  <si>
    <t>166,</t>
  </si>
  <si>
    <t>167,</t>
  </si>
  <si>
    <t>168,</t>
  </si>
  <si>
    <t>169,</t>
  </si>
  <si>
    <t>170,</t>
  </si>
  <si>
    <t>171,</t>
  </si>
  <si>
    <t>172,</t>
  </si>
  <si>
    <t>173,</t>
  </si>
  <si>
    <t>174,</t>
  </si>
  <si>
    <t>175,</t>
  </si>
  <si>
    <t>176,</t>
  </si>
  <si>
    <t>177,</t>
  </si>
  <si>
    <t>178,</t>
  </si>
  <si>
    <t>179,</t>
  </si>
  <si>
    <t>180,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</si>
</sst>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86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8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  <xf numFmtId="0" fontId="0" fillId="19" borderId="0" xfId="0" applyFill="1"/>
    <xf numFmtId="0" fontId="0" fillId="19" borderId="0" xfId="0" applyFill="1" applyBorder="1" applyAlignment="1">
      <alignment horizontal="center" vertical="center"/>
    </xf>
    <xf numFmtId="0" fontId="0" fillId="19" borderId="0" xfId="0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4" fillId="19" borderId="0" xfId="0" applyFont="1" applyFill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97"/>
  <sheetViews>
    <sheetView workbookViewId="0">
      <pane ySplit="1" topLeftCell="A152" activePane="bottomLeft" state="frozen"/>
      <selection pane="bottomLeft" activeCell="D192" sqref="D192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1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29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29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29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29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59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59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59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59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59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59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59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59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59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59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62" t="s">
        <v>404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62" t="s">
        <v>405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62" t="s">
        <v>406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62" t="s">
        <v>407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62" t="s">
        <v>408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62" t="s">
        <v>409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62" t="s">
        <v>410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62" t="s">
        <v>411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62" t="s">
        <v>412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  <row r="127" spans="1:17" s="65" customFormat="1" x14ac:dyDescent="0.2">
      <c r="A127" s="65">
        <v>126</v>
      </c>
      <c r="B127" s="65">
        <v>1</v>
      </c>
      <c r="C127" s="65" t="s">
        <v>419</v>
      </c>
      <c r="H127" s="65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65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66">
        <v>110</v>
      </c>
    </row>
    <row r="128" spans="1:17" s="65" customFormat="1" x14ac:dyDescent="0.2">
      <c r="A128" s="65">
        <v>127</v>
      </c>
      <c r="B128" s="65">
        <v>1</v>
      </c>
      <c r="C128" s="65" t="s">
        <v>420</v>
      </c>
      <c r="H128" s="65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65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6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66">
        <v>111</v>
      </c>
    </row>
    <row r="129" spans="1:17" s="74" customFormat="1" x14ac:dyDescent="0.2">
      <c r="A129" s="74">
        <v>128</v>
      </c>
      <c r="B129" s="74">
        <v>1</v>
      </c>
      <c r="C129" s="74" t="s">
        <v>427</v>
      </c>
      <c r="H129" s="74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30</v>
      </c>
      <c r="I129" s="74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30</v>
      </c>
      <c r="J129" s="72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pans="1:17" s="74" customFormat="1" x14ac:dyDescent="0.2">
      <c r="A130" s="74">
        <v>129</v>
      </c>
      <c r="B130" s="74">
        <v>1</v>
      </c>
      <c r="C130" s="74" t="s">
        <v>428</v>
      </c>
      <c r="H130" s="74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</v>
      </c>
      <c r="I130" s="74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</v>
      </c>
      <c r="J130" s="72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pans="1:17" s="74" customFormat="1" x14ac:dyDescent="0.2">
      <c r="A131" s="74">
        <v>130</v>
      </c>
      <c r="B131" s="74">
        <v>1</v>
      </c>
      <c r="C131" s="74" t="s">
        <v>429</v>
      </c>
      <c r="H131" s="74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40</v>
      </c>
      <c r="I131" s="74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40</v>
      </c>
      <c r="J131" s="72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pans="1:17" s="74" customFormat="1" x14ac:dyDescent="0.2">
      <c r="A132" s="74">
        <v>131</v>
      </c>
      <c r="B132" s="74">
        <v>1</v>
      </c>
      <c r="C132" s="74" t="s">
        <v>430</v>
      </c>
      <c r="H132" s="74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45</v>
      </c>
      <c r="I132" s="74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45</v>
      </c>
      <c r="J132" s="72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pans="1:17" s="74" customFormat="1" x14ac:dyDescent="0.2">
      <c r="A133" s="74">
        <v>132</v>
      </c>
      <c r="B133" s="74">
        <v>1</v>
      </c>
      <c r="C133" s="74" t="s">
        <v>431</v>
      </c>
      <c r="H133" s="74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50</v>
      </c>
      <c r="I133" s="74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50</v>
      </c>
      <c r="J133" s="72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pans="1:17" s="74" customFormat="1" x14ac:dyDescent="0.2">
      <c r="A134" s="74">
        <v>133</v>
      </c>
      <c r="B134" s="74">
        <v>1</v>
      </c>
      <c r="C134" s="74" t="s">
        <v>432</v>
      </c>
      <c r="H134" s="74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70</v>
      </c>
      <c r="I134" s="74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70</v>
      </c>
      <c r="J134" s="72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pans="1:17" s="74" customFormat="1" x14ac:dyDescent="0.2">
      <c r="A135" s="74">
        <v>134</v>
      </c>
      <c r="B135" s="74">
        <v>1</v>
      </c>
      <c r="C135" s="74" t="s">
        <v>433</v>
      </c>
      <c r="H135" s="74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75</v>
      </c>
      <c r="I135" s="74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75</v>
      </c>
      <c r="J135" s="72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pans="1:17" s="74" customFormat="1" x14ac:dyDescent="0.2">
      <c r="A136" s="74">
        <v>135</v>
      </c>
      <c r="B136" s="74">
        <v>1</v>
      </c>
      <c r="C136" s="74" t="s">
        <v>434</v>
      </c>
      <c r="H136" s="74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150</v>
      </c>
      <c r="I136" s="74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150</v>
      </c>
      <c r="J136" s="72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pans="1:17" s="74" customFormat="1" x14ac:dyDescent="0.2">
      <c r="A137" s="74">
        <v>136</v>
      </c>
      <c r="B137" s="74">
        <v>1</v>
      </c>
      <c r="C137" s="74" t="s">
        <v>435</v>
      </c>
      <c r="H137" s="74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250</v>
      </c>
      <c r="I137" s="74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250</v>
      </c>
      <c r="J137" s="72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pans="1:17" s="78" customFormat="1" x14ac:dyDescent="0.2">
      <c r="A138" s="78">
        <v>137</v>
      </c>
      <c r="B138" s="78">
        <v>1</v>
      </c>
      <c r="C138" s="78" t="s">
        <v>436</v>
      </c>
      <c r="H138" s="78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65</v>
      </c>
      <c r="I138" s="78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60</v>
      </c>
      <c r="J138" s="76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0</v>
      </c>
      <c r="Q138" s="78">
        <v>121</v>
      </c>
    </row>
    <row r="139" spans="1:17" s="78" customFormat="1" x14ac:dyDescent="0.2">
      <c r="A139" s="78">
        <v>138</v>
      </c>
      <c r="B139" s="78">
        <v>1</v>
      </c>
      <c r="C139" s="78" t="s">
        <v>437</v>
      </c>
      <c r="H139" s="78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65</v>
      </c>
      <c r="I139" s="78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60</v>
      </c>
      <c r="J139" s="76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0</v>
      </c>
      <c r="Q139" s="78">
        <v>122</v>
      </c>
    </row>
    <row r="140" spans="1:17" s="78" customFormat="1" x14ac:dyDescent="0.2">
      <c r="A140" s="78">
        <v>139</v>
      </c>
      <c r="B140" s="78">
        <v>1</v>
      </c>
      <c r="C140" s="78" t="s">
        <v>438</v>
      </c>
      <c r="H140" s="78">
        <f>SUM(_xlfn.IFNA(LOOKUP(Q140,use_fish!A:A,use_fish!E:E),0),_xlfn.IFNA(LOOKUP(R140,use_fish!A:A,use_fish!E:E),0),_xlfn.IFNA(LOOKUP(S140,use_fish!A:A,use_fish!E:E),0),_xlfn.IFNA(LOOKUP(T140,use_fish!A:A,use_fish!E:E),0),_xlfn.IFNA(LOOKUP(U140,use_fish!A:A,use_fish!E:E),0),_xlfn.IFNA(LOOKUP(V140,use_fish!A:A,use_fish!E:E),0),_xlfn.IFNA(LOOKUP(W140,use_fish!A:A,use_fish!E:E),0),)</f>
        <v>65</v>
      </c>
      <c r="I140" s="78">
        <f>SUM(_xlfn.IFNA(LOOKUP(Q140,use_fish!A:A,use_fish!I:I),0),_xlfn.IFNA(LOOKUP(R140,use_fish!A:A,use_fish!I:I),0),_xlfn.IFNA(LOOKUP(S140,use_fish!A:A,use_fish!I:I),0),_xlfn.IFNA(LOOKUP(T140,use_fish!A:A,use_fish!I:I),0),_xlfn.IFNA(LOOKUP(U140,use_fish!A:A,use_fish!I:I),0),_xlfn.IFNA(LOOKUP(V140,use_fish!A:A,use_fish!I:I),0),_xlfn.IFNA(LOOKUP(W140,use_fish!A:A,use_fish!I:I),0),)</f>
        <v>60</v>
      </c>
      <c r="J140" s="76">
        <f>SUM(_xlfn.IFNA(LOOKUP(Q140,use_fish!A:A,use_fish!K:K),0),_xlfn.IFNA(LOOKUP(R140,use_fish!A:A,use_fish!K:K),0),_xlfn.IFNA(LOOKUP(S140,use_fish!A:A,use_fish!K:K),0),_xlfn.IFNA(LOOKUP(T140,use_fish!A:A,use_fish!K:K),0),_xlfn.IFNA(LOOKUP(U140,use_fish!A:A,use_fish!K:K),0),_xlfn.IFNA(LOOKUP(V140,use_fish!A:A,use_fish!K:K),0),_xlfn.IFNA(LOOKUP(W140,use_fish!A:A,use_fish!K:K),0),)</f>
        <v>0</v>
      </c>
      <c r="Q140" s="78">
        <v>123</v>
      </c>
    </row>
    <row r="141" spans="1:17" s="78" customFormat="1" x14ac:dyDescent="0.2">
      <c r="A141" s="78">
        <v>140</v>
      </c>
      <c r="B141" s="78">
        <v>1</v>
      </c>
      <c r="C141" s="78" t="s">
        <v>439</v>
      </c>
      <c r="H141" s="78">
        <f>SUM(_xlfn.IFNA(LOOKUP(Q141,use_fish!A:A,use_fish!E:E),0),_xlfn.IFNA(LOOKUP(R141,use_fish!A:A,use_fish!E:E),0),_xlfn.IFNA(LOOKUP(S141,use_fish!A:A,use_fish!E:E),0),_xlfn.IFNA(LOOKUP(T141,use_fish!A:A,use_fish!E:E),0),_xlfn.IFNA(LOOKUP(U141,use_fish!A:A,use_fish!E:E),0),_xlfn.IFNA(LOOKUP(V141,use_fish!A:A,use_fish!E:E),0),_xlfn.IFNA(LOOKUP(W141,use_fish!A:A,use_fish!E:E),0),)</f>
        <v>86</v>
      </c>
      <c r="I141" s="78">
        <f>SUM(_xlfn.IFNA(LOOKUP(Q141,use_fish!A:A,use_fish!I:I),0),_xlfn.IFNA(LOOKUP(R141,use_fish!A:A,use_fish!I:I),0),_xlfn.IFNA(LOOKUP(S141,use_fish!A:A,use_fish!I:I),0),_xlfn.IFNA(LOOKUP(T141,use_fish!A:A,use_fish!I:I),0),_xlfn.IFNA(LOOKUP(U141,use_fish!A:A,use_fish!I:I),0),_xlfn.IFNA(LOOKUP(V141,use_fish!A:A,use_fish!I:I),0),_xlfn.IFNA(LOOKUP(W141,use_fish!A:A,use_fish!I:I),0),)</f>
        <v>80</v>
      </c>
      <c r="J141" s="76">
        <f>SUM(_xlfn.IFNA(LOOKUP(Q141,use_fish!A:A,use_fish!K:K),0),_xlfn.IFNA(LOOKUP(R141,use_fish!A:A,use_fish!K:K),0),_xlfn.IFNA(LOOKUP(S141,use_fish!A:A,use_fish!K:K),0),_xlfn.IFNA(LOOKUP(T141,use_fish!A:A,use_fish!K:K),0),_xlfn.IFNA(LOOKUP(U141,use_fish!A:A,use_fish!K:K),0),_xlfn.IFNA(LOOKUP(V141,use_fish!A:A,use_fish!K:K),0),_xlfn.IFNA(LOOKUP(W141,use_fish!A:A,use_fish!K:K),0),)</f>
        <v>0</v>
      </c>
      <c r="Q141" s="78">
        <v>124</v>
      </c>
    </row>
    <row r="142" spans="1:17" s="78" customFormat="1" x14ac:dyDescent="0.2">
      <c r="A142" s="78">
        <v>141</v>
      </c>
      <c r="B142" s="78">
        <v>1</v>
      </c>
      <c r="C142" s="78" t="s">
        <v>440</v>
      </c>
      <c r="H142" s="78">
        <f>SUM(_xlfn.IFNA(LOOKUP(Q142,use_fish!A:A,use_fish!E:E),0),_xlfn.IFNA(LOOKUP(R142,use_fish!A:A,use_fish!E:E),0),_xlfn.IFNA(LOOKUP(S142,use_fish!A:A,use_fish!E:E),0),_xlfn.IFNA(LOOKUP(T142,use_fish!A:A,use_fish!E:E),0),_xlfn.IFNA(LOOKUP(U142,use_fish!A:A,use_fish!E:E),0),_xlfn.IFNA(LOOKUP(V142,use_fish!A:A,use_fish!E:E),0),_xlfn.IFNA(LOOKUP(W142,use_fish!A:A,use_fish!E:E),0),)</f>
        <v>107</v>
      </c>
      <c r="I142" s="78">
        <f>SUM(_xlfn.IFNA(LOOKUP(Q142,use_fish!A:A,use_fish!I:I),0),_xlfn.IFNA(LOOKUP(R142,use_fish!A:A,use_fish!I:I),0),_xlfn.IFNA(LOOKUP(S142,use_fish!A:A,use_fish!I:I),0),_xlfn.IFNA(LOOKUP(T142,use_fish!A:A,use_fish!I:I),0),_xlfn.IFNA(LOOKUP(U142,use_fish!A:A,use_fish!I:I),0),_xlfn.IFNA(LOOKUP(V142,use_fish!A:A,use_fish!I:I),0),_xlfn.IFNA(LOOKUP(W142,use_fish!A:A,use_fish!I:I),0),)</f>
        <v>100</v>
      </c>
      <c r="J142" s="76">
        <f>SUM(_xlfn.IFNA(LOOKUP(Q142,use_fish!A:A,use_fish!K:K),0),_xlfn.IFNA(LOOKUP(R142,use_fish!A:A,use_fish!K:K),0),_xlfn.IFNA(LOOKUP(S142,use_fish!A:A,use_fish!K:K),0),_xlfn.IFNA(LOOKUP(T142,use_fish!A:A,use_fish!K:K),0),_xlfn.IFNA(LOOKUP(U142,use_fish!A:A,use_fish!K:K),0),_xlfn.IFNA(LOOKUP(V142,use_fish!A:A,use_fish!K:K),0),_xlfn.IFNA(LOOKUP(W142,use_fish!A:A,use_fish!K:K),0),)</f>
        <v>0</v>
      </c>
      <c r="Q142" s="78">
        <v>125</v>
      </c>
    </row>
    <row r="143" spans="1:17" s="78" customFormat="1" x14ac:dyDescent="0.2">
      <c r="A143" s="78">
        <v>142</v>
      </c>
      <c r="B143" s="78">
        <v>1</v>
      </c>
      <c r="C143" s="78" t="s">
        <v>441</v>
      </c>
      <c r="H143" s="78">
        <f>SUM(_xlfn.IFNA(LOOKUP(Q143,use_fish!A:A,use_fish!E:E),0),_xlfn.IFNA(LOOKUP(R143,use_fish!A:A,use_fish!E:E),0),_xlfn.IFNA(LOOKUP(S143,use_fish!A:A,use_fish!E:E),0),_xlfn.IFNA(LOOKUP(T143,use_fish!A:A,use_fish!E:E),0),_xlfn.IFNA(LOOKUP(U143,use_fish!A:A,use_fish!E:E),0),_xlfn.IFNA(LOOKUP(V143,use_fish!A:A,use_fish!E:E),0),_xlfn.IFNA(LOOKUP(W143,use_fish!A:A,use_fish!E:E),0),)</f>
        <v>107</v>
      </c>
      <c r="I143" s="78">
        <f>SUM(_xlfn.IFNA(LOOKUP(Q143,use_fish!A:A,use_fish!I:I),0),_xlfn.IFNA(LOOKUP(R143,use_fish!A:A,use_fish!I:I),0),_xlfn.IFNA(LOOKUP(S143,use_fish!A:A,use_fish!I:I),0),_xlfn.IFNA(LOOKUP(T143,use_fish!A:A,use_fish!I:I),0),_xlfn.IFNA(LOOKUP(U143,use_fish!A:A,use_fish!I:I),0),_xlfn.IFNA(LOOKUP(V143,use_fish!A:A,use_fish!I:I),0),_xlfn.IFNA(LOOKUP(W143,use_fish!A:A,use_fish!I:I),0),)</f>
        <v>100</v>
      </c>
      <c r="J143" s="76">
        <f>SUM(_xlfn.IFNA(LOOKUP(Q143,use_fish!A:A,use_fish!K:K),0),_xlfn.IFNA(LOOKUP(R143,use_fish!A:A,use_fish!K:K),0),_xlfn.IFNA(LOOKUP(S143,use_fish!A:A,use_fish!K:K),0),_xlfn.IFNA(LOOKUP(T143,use_fish!A:A,use_fish!K:K),0),_xlfn.IFNA(LOOKUP(U143,use_fish!A:A,use_fish!K:K),0),_xlfn.IFNA(LOOKUP(V143,use_fish!A:A,use_fish!K:K),0),_xlfn.IFNA(LOOKUP(W143,use_fish!A:A,use_fish!K:K),0),)</f>
        <v>0</v>
      </c>
      <c r="Q143" s="78">
        <v>126</v>
      </c>
    </row>
    <row r="144" spans="1:17" s="19" customFormat="1" x14ac:dyDescent="0.2">
      <c r="A144" s="19">
        <v>143</v>
      </c>
      <c r="B144" s="19">
        <v>1</v>
      </c>
      <c r="C144" s="19" t="s">
        <v>442</v>
      </c>
      <c r="H144" s="19">
        <f>SUM(_xlfn.IFNA(LOOKUP(Q144,use_fish!A:A,use_fish!E:E),0),_xlfn.IFNA(LOOKUP(R144,use_fish!A:A,use_fish!E:E),0),_xlfn.IFNA(LOOKUP(S144,use_fish!A:A,use_fish!E:E),0),_xlfn.IFNA(LOOKUP(T144,use_fish!A:A,use_fish!E:E),0),_xlfn.IFNA(LOOKUP(U144,use_fish!A:A,use_fish!E:E),0),_xlfn.IFNA(LOOKUP(V144,use_fish!A:A,use_fish!E:E),0),_xlfn.IFNA(LOOKUP(W144,use_fish!A:A,use_fish!E:E),0),)</f>
        <v>69</v>
      </c>
      <c r="I144" s="19">
        <f>SUM(_xlfn.IFNA(LOOKUP(Q144,use_fish!A:A,use_fish!I:I),0),_xlfn.IFNA(LOOKUP(R144,use_fish!A:A,use_fish!I:I),0),_xlfn.IFNA(LOOKUP(S144,use_fish!A:A,use_fish!I:I),0),_xlfn.IFNA(LOOKUP(T144,use_fish!A:A,use_fish!I:I),0),_xlfn.IFNA(LOOKUP(U144,use_fish!A:A,use_fish!I:I),0),_xlfn.IFNA(LOOKUP(V144,use_fish!A:A,use_fish!I:I),0),_xlfn.IFNA(LOOKUP(W144,use_fish!A:A,use_fish!I:I),0),)</f>
        <v>60</v>
      </c>
      <c r="J144" s="17">
        <f>SUM(_xlfn.IFNA(LOOKUP(Q144,use_fish!A:A,use_fish!K:K),0),_xlfn.IFNA(LOOKUP(R144,use_fish!A:A,use_fish!K:K),0),_xlfn.IFNA(LOOKUP(S144,use_fish!A:A,use_fish!K:K),0),_xlfn.IFNA(LOOKUP(T144,use_fish!A:A,use_fish!K:K),0),_xlfn.IFNA(LOOKUP(U144,use_fish!A:A,use_fish!K:K),0),_xlfn.IFNA(LOOKUP(V144,use_fish!A:A,use_fish!K:K),0),_xlfn.IFNA(LOOKUP(W144,use_fish!A:A,use_fish!K:K),0),)</f>
        <v>0</v>
      </c>
      <c r="Q144" s="19">
        <v>127</v>
      </c>
    </row>
    <row r="145" spans="1:17" s="19" customFormat="1" x14ac:dyDescent="0.2">
      <c r="A145" s="19">
        <v>144</v>
      </c>
      <c r="B145" s="19">
        <v>1</v>
      </c>
      <c r="C145" s="19" t="s">
        <v>443</v>
      </c>
      <c r="H145" s="19">
        <f>SUM(_xlfn.IFNA(LOOKUP(Q145,use_fish!A:A,use_fish!E:E),0),_xlfn.IFNA(LOOKUP(R145,use_fish!A:A,use_fish!E:E),0),_xlfn.IFNA(LOOKUP(S145,use_fish!A:A,use_fish!E:E),0),_xlfn.IFNA(LOOKUP(T145,use_fish!A:A,use_fish!E:E),0),_xlfn.IFNA(LOOKUP(U145,use_fish!A:A,use_fish!E:E),0),_xlfn.IFNA(LOOKUP(V145,use_fish!A:A,use_fish!E:E),0),_xlfn.IFNA(LOOKUP(W145,use_fish!A:A,use_fish!E:E),0),)</f>
        <v>69</v>
      </c>
      <c r="I145" s="19">
        <f>SUM(_xlfn.IFNA(LOOKUP(Q145,use_fish!A:A,use_fish!I:I),0),_xlfn.IFNA(LOOKUP(R145,use_fish!A:A,use_fish!I:I),0),_xlfn.IFNA(LOOKUP(S145,use_fish!A:A,use_fish!I:I),0),_xlfn.IFNA(LOOKUP(T145,use_fish!A:A,use_fish!I:I),0),_xlfn.IFNA(LOOKUP(U145,use_fish!A:A,use_fish!I:I),0),_xlfn.IFNA(LOOKUP(V145,use_fish!A:A,use_fish!I:I),0),_xlfn.IFNA(LOOKUP(W145,use_fish!A:A,use_fish!I:I),0),)</f>
        <v>60</v>
      </c>
      <c r="J145" s="17">
        <f>SUM(_xlfn.IFNA(LOOKUP(Q145,use_fish!A:A,use_fish!K:K),0),_xlfn.IFNA(LOOKUP(R145,use_fish!A:A,use_fish!K:K),0),_xlfn.IFNA(LOOKUP(S145,use_fish!A:A,use_fish!K:K),0),_xlfn.IFNA(LOOKUP(T145,use_fish!A:A,use_fish!K:K),0),_xlfn.IFNA(LOOKUP(U145,use_fish!A:A,use_fish!K:K),0),_xlfn.IFNA(LOOKUP(V145,use_fish!A:A,use_fish!K:K),0),_xlfn.IFNA(LOOKUP(W145,use_fish!A:A,use_fish!K:K),0),)</f>
        <v>0</v>
      </c>
      <c r="Q145" s="19">
        <v>128</v>
      </c>
    </row>
    <row r="146" spans="1:17" s="19" customFormat="1" x14ac:dyDescent="0.2">
      <c r="A146" s="19">
        <v>145</v>
      </c>
      <c r="B146" s="19">
        <v>1</v>
      </c>
      <c r="C146" s="19" t="s">
        <v>444</v>
      </c>
      <c r="H146" s="19">
        <f>SUM(_xlfn.IFNA(LOOKUP(Q146,use_fish!A:A,use_fish!E:E),0),_xlfn.IFNA(LOOKUP(R146,use_fish!A:A,use_fish!E:E),0),_xlfn.IFNA(LOOKUP(S146,use_fish!A:A,use_fish!E:E),0),_xlfn.IFNA(LOOKUP(T146,use_fish!A:A,use_fish!E:E),0),_xlfn.IFNA(LOOKUP(U146,use_fish!A:A,use_fish!E:E),0),_xlfn.IFNA(LOOKUP(V146,use_fish!A:A,use_fish!E:E),0),_xlfn.IFNA(LOOKUP(W146,use_fish!A:A,use_fish!E:E),0),)</f>
        <v>69</v>
      </c>
      <c r="I146" s="19">
        <f>SUM(_xlfn.IFNA(LOOKUP(Q146,use_fish!A:A,use_fish!I:I),0),_xlfn.IFNA(LOOKUP(R146,use_fish!A:A,use_fish!I:I),0),_xlfn.IFNA(LOOKUP(S146,use_fish!A:A,use_fish!I:I),0),_xlfn.IFNA(LOOKUP(T146,use_fish!A:A,use_fish!I:I),0),_xlfn.IFNA(LOOKUP(U146,use_fish!A:A,use_fish!I:I),0),_xlfn.IFNA(LOOKUP(V146,use_fish!A:A,use_fish!I:I),0),_xlfn.IFNA(LOOKUP(W146,use_fish!A:A,use_fish!I:I),0),)</f>
        <v>60</v>
      </c>
      <c r="J146" s="17">
        <f>SUM(_xlfn.IFNA(LOOKUP(Q146,use_fish!A:A,use_fish!K:K),0),_xlfn.IFNA(LOOKUP(R146,use_fish!A:A,use_fish!K:K),0),_xlfn.IFNA(LOOKUP(S146,use_fish!A:A,use_fish!K:K),0),_xlfn.IFNA(LOOKUP(T146,use_fish!A:A,use_fish!K:K),0),_xlfn.IFNA(LOOKUP(U146,use_fish!A:A,use_fish!K:K),0),_xlfn.IFNA(LOOKUP(V146,use_fish!A:A,use_fish!K:K),0),_xlfn.IFNA(LOOKUP(W146,use_fish!A:A,use_fish!K:K),0),)</f>
        <v>0</v>
      </c>
      <c r="Q146" s="19">
        <v>129</v>
      </c>
    </row>
    <row r="147" spans="1:17" s="19" customFormat="1" x14ac:dyDescent="0.2">
      <c r="A147" s="19">
        <v>146</v>
      </c>
      <c r="B147" s="19">
        <v>1</v>
      </c>
      <c r="C147" s="19" t="s">
        <v>445</v>
      </c>
      <c r="H147" s="19">
        <f>SUM(_xlfn.IFNA(LOOKUP(Q147,use_fish!A:A,use_fish!E:E),0),_xlfn.IFNA(LOOKUP(R147,use_fish!A:A,use_fish!E:E),0),_xlfn.IFNA(LOOKUP(S147,use_fish!A:A,use_fish!E:E),0),_xlfn.IFNA(LOOKUP(T147,use_fish!A:A,use_fish!E:E),0),_xlfn.IFNA(LOOKUP(U147,use_fish!A:A,use_fish!E:E),0),_xlfn.IFNA(LOOKUP(V147,use_fish!A:A,use_fish!E:E),0),_xlfn.IFNA(LOOKUP(W147,use_fish!A:A,use_fish!E:E),0),)</f>
        <v>90</v>
      </c>
      <c r="I147" s="19">
        <f>SUM(_xlfn.IFNA(LOOKUP(Q147,use_fish!A:A,use_fish!I:I),0),_xlfn.IFNA(LOOKUP(R147,use_fish!A:A,use_fish!I:I),0),_xlfn.IFNA(LOOKUP(S147,use_fish!A:A,use_fish!I:I),0),_xlfn.IFNA(LOOKUP(T147,use_fish!A:A,use_fish!I:I),0),_xlfn.IFNA(LOOKUP(U147,use_fish!A:A,use_fish!I:I),0),_xlfn.IFNA(LOOKUP(V147,use_fish!A:A,use_fish!I:I),0),_xlfn.IFNA(LOOKUP(W147,use_fish!A:A,use_fish!I:I),0),)</f>
        <v>80</v>
      </c>
      <c r="J147" s="17">
        <f>SUM(_xlfn.IFNA(LOOKUP(Q147,use_fish!A:A,use_fish!K:K),0),_xlfn.IFNA(LOOKUP(R147,use_fish!A:A,use_fish!K:K),0),_xlfn.IFNA(LOOKUP(S147,use_fish!A:A,use_fish!K:K),0),_xlfn.IFNA(LOOKUP(T147,use_fish!A:A,use_fish!K:K),0),_xlfn.IFNA(LOOKUP(U147,use_fish!A:A,use_fish!K:K),0),_xlfn.IFNA(LOOKUP(V147,use_fish!A:A,use_fish!K:K),0),_xlfn.IFNA(LOOKUP(W147,use_fish!A:A,use_fish!K:K),0),)</f>
        <v>0</v>
      </c>
      <c r="Q147" s="19">
        <v>130</v>
      </c>
    </row>
    <row r="148" spans="1:17" s="19" customFormat="1" x14ac:dyDescent="0.2">
      <c r="A148" s="19">
        <v>147</v>
      </c>
      <c r="B148" s="19">
        <v>1</v>
      </c>
      <c r="C148" s="19" t="s">
        <v>446</v>
      </c>
      <c r="H148" s="19">
        <f>SUM(_xlfn.IFNA(LOOKUP(Q148,use_fish!A:A,use_fish!E:E),0),_xlfn.IFNA(LOOKUP(R148,use_fish!A:A,use_fish!E:E),0),_xlfn.IFNA(LOOKUP(S148,use_fish!A:A,use_fish!E:E),0),_xlfn.IFNA(LOOKUP(T148,use_fish!A:A,use_fish!E:E),0),_xlfn.IFNA(LOOKUP(U148,use_fish!A:A,use_fish!E:E),0),_xlfn.IFNA(LOOKUP(V148,use_fish!A:A,use_fish!E:E),0),_xlfn.IFNA(LOOKUP(W148,use_fish!A:A,use_fish!E:E),0),)</f>
        <v>111</v>
      </c>
      <c r="I148" s="19">
        <f>SUM(_xlfn.IFNA(LOOKUP(Q148,use_fish!A:A,use_fish!I:I),0),_xlfn.IFNA(LOOKUP(R148,use_fish!A:A,use_fish!I:I),0),_xlfn.IFNA(LOOKUP(S148,use_fish!A:A,use_fish!I:I),0),_xlfn.IFNA(LOOKUP(T148,use_fish!A:A,use_fish!I:I),0),_xlfn.IFNA(LOOKUP(U148,use_fish!A:A,use_fish!I:I),0),_xlfn.IFNA(LOOKUP(V148,use_fish!A:A,use_fish!I:I),0),_xlfn.IFNA(LOOKUP(W148,use_fish!A:A,use_fish!I:I),0),)</f>
        <v>100</v>
      </c>
      <c r="J148" s="17">
        <f>SUM(_xlfn.IFNA(LOOKUP(Q148,use_fish!A:A,use_fish!K:K),0),_xlfn.IFNA(LOOKUP(R148,use_fish!A:A,use_fish!K:K),0),_xlfn.IFNA(LOOKUP(S148,use_fish!A:A,use_fish!K:K),0),_xlfn.IFNA(LOOKUP(T148,use_fish!A:A,use_fish!K:K),0),_xlfn.IFNA(LOOKUP(U148,use_fish!A:A,use_fish!K:K),0),_xlfn.IFNA(LOOKUP(V148,use_fish!A:A,use_fish!K:K),0),_xlfn.IFNA(LOOKUP(W148,use_fish!A:A,use_fish!K:K),0),)</f>
        <v>0</v>
      </c>
      <c r="Q148" s="19">
        <v>131</v>
      </c>
    </row>
    <row r="149" spans="1:17" s="19" customFormat="1" x14ac:dyDescent="0.2">
      <c r="A149" s="19">
        <v>148</v>
      </c>
      <c r="B149" s="19">
        <v>1</v>
      </c>
      <c r="C149" s="19" t="s">
        <v>447</v>
      </c>
      <c r="H149" s="19">
        <f>SUM(_xlfn.IFNA(LOOKUP(Q149,use_fish!A:A,use_fish!E:E),0),_xlfn.IFNA(LOOKUP(R149,use_fish!A:A,use_fish!E:E),0),_xlfn.IFNA(LOOKUP(S149,use_fish!A:A,use_fish!E:E),0),_xlfn.IFNA(LOOKUP(T149,use_fish!A:A,use_fish!E:E),0),_xlfn.IFNA(LOOKUP(U149,use_fish!A:A,use_fish!E:E),0),_xlfn.IFNA(LOOKUP(V149,use_fish!A:A,use_fish!E:E),0),_xlfn.IFNA(LOOKUP(W149,use_fish!A:A,use_fish!E:E),0),)</f>
        <v>111</v>
      </c>
      <c r="I149" s="19">
        <f>SUM(_xlfn.IFNA(LOOKUP(Q149,use_fish!A:A,use_fish!I:I),0),_xlfn.IFNA(LOOKUP(R149,use_fish!A:A,use_fish!I:I),0),_xlfn.IFNA(LOOKUP(S149,use_fish!A:A,use_fish!I:I),0),_xlfn.IFNA(LOOKUP(T149,use_fish!A:A,use_fish!I:I),0),_xlfn.IFNA(LOOKUP(U149,use_fish!A:A,use_fish!I:I),0),_xlfn.IFNA(LOOKUP(V149,use_fish!A:A,use_fish!I:I),0),_xlfn.IFNA(LOOKUP(W149,use_fish!A:A,use_fish!I:I),0),)</f>
        <v>100</v>
      </c>
      <c r="J149" s="17">
        <f>SUM(_xlfn.IFNA(LOOKUP(Q149,use_fish!A:A,use_fish!K:K),0),_xlfn.IFNA(LOOKUP(R149,use_fish!A:A,use_fish!K:K),0),_xlfn.IFNA(LOOKUP(S149,use_fish!A:A,use_fish!K:K),0),_xlfn.IFNA(LOOKUP(T149,use_fish!A:A,use_fish!K:K),0),_xlfn.IFNA(LOOKUP(U149,use_fish!A:A,use_fish!K:K),0),_xlfn.IFNA(LOOKUP(V149,use_fish!A:A,use_fish!K:K),0),_xlfn.IFNA(LOOKUP(W149,use_fish!A:A,use_fish!K:K),0),)</f>
        <v>0</v>
      </c>
      <c r="Q149" s="19">
        <v>132</v>
      </c>
    </row>
    <row r="150" spans="1:17" s="78" customFormat="1" x14ac:dyDescent="0.2">
      <c r="A150" s="78">
        <v>149</v>
      </c>
      <c r="B150" s="78">
        <v>1</v>
      </c>
      <c r="C150" s="78" t="s">
        <v>448</v>
      </c>
      <c r="H150" s="78">
        <f>SUM(_xlfn.IFNA(LOOKUP(Q150,use_fish!A:A,use_fish!E:E),0),_xlfn.IFNA(LOOKUP(R150,use_fish!A:A,use_fish!E:E),0),_xlfn.IFNA(LOOKUP(S150,use_fish!A:A,use_fish!E:E),0),_xlfn.IFNA(LOOKUP(T150,use_fish!A:A,use_fish!E:E),0),_xlfn.IFNA(LOOKUP(U150,use_fish!A:A,use_fish!E:E),0),_xlfn.IFNA(LOOKUP(V150,use_fish!A:A,use_fish!E:E),0),_xlfn.IFNA(LOOKUP(W150,use_fish!A:A,use_fish!E:E),0),)</f>
        <v>65</v>
      </c>
      <c r="I150" s="78">
        <f>SUM(_xlfn.IFNA(LOOKUP(Q150,use_fish!A:A,use_fish!I:I),0),_xlfn.IFNA(LOOKUP(R150,use_fish!A:A,use_fish!I:I),0),_xlfn.IFNA(LOOKUP(S150,use_fish!A:A,use_fish!I:I),0),_xlfn.IFNA(LOOKUP(T150,use_fish!A:A,use_fish!I:I),0),_xlfn.IFNA(LOOKUP(U150,use_fish!A:A,use_fish!I:I),0),_xlfn.IFNA(LOOKUP(V150,use_fish!A:A,use_fish!I:I),0),_xlfn.IFNA(LOOKUP(W150,use_fish!A:A,use_fish!I:I),0),)</f>
        <v>60</v>
      </c>
      <c r="J150" s="76">
        <f>SUM(_xlfn.IFNA(LOOKUP(Q150,use_fish!A:A,use_fish!K:K),0),_xlfn.IFNA(LOOKUP(R150,use_fish!A:A,use_fish!K:K),0),_xlfn.IFNA(LOOKUP(S150,use_fish!A:A,use_fish!K:K),0),_xlfn.IFNA(LOOKUP(T150,use_fish!A:A,use_fish!K:K),0),_xlfn.IFNA(LOOKUP(U150,use_fish!A:A,use_fish!K:K),0),_xlfn.IFNA(LOOKUP(V150,use_fish!A:A,use_fish!K:K),0),_xlfn.IFNA(LOOKUP(W150,use_fish!A:A,use_fish!K:K),0),)</f>
        <v>0</v>
      </c>
      <c r="Q150" s="78">
        <v>133</v>
      </c>
    </row>
    <row r="151" spans="1:17" s="78" customFormat="1" x14ac:dyDescent="0.2">
      <c r="A151" s="78">
        <v>150</v>
      </c>
      <c r="B151" s="78">
        <v>1</v>
      </c>
      <c r="C151" s="78" t="s">
        <v>449</v>
      </c>
      <c r="H151" s="78">
        <f>SUM(_xlfn.IFNA(LOOKUP(Q151,use_fish!A:A,use_fish!E:E),0),_xlfn.IFNA(LOOKUP(R151,use_fish!A:A,use_fish!E:E),0),_xlfn.IFNA(LOOKUP(S151,use_fish!A:A,use_fish!E:E),0),_xlfn.IFNA(LOOKUP(T151,use_fish!A:A,use_fish!E:E),0),_xlfn.IFNA(LOOKUP(U151,use_fish!A:A,use_fish!E:E),0),_xlfn.IFNA(LOOKUP(V151,use_fish!A:A,use_fish!E:E),0),_xlfn.IFNA(LOOKUP(W151,use_fish!A:A,use_fish!E:E),0),)</f>
        <v>65</v>
      </c>
      <c r="I151" s="78">
        <f>SUM(_xlfn.IFNA(LOOKUP(Q151,use_fish!A:A,use_fish!I:I),0),_xlfn.IFNA(LOOKUP(R151,use_fish!A:A,use_fish!I:I),0),_xlfn.IFNA(LOOKUP(S151,use_fish!A:A,use_fish!I:I),0),_xlfn.IFNA(LOOKUP(T151,use_fish!A:A,use_fish!I:I),0),_xlfn.IFNA(LOOKUP(U151,use_fish!A:A,use_fish!I:I),0),_xlfn.IFNA(LOOKUP(V151,use_fish!A:A,use_fish!I:I),0),_xlfn.IFNA(LOOKUP(W151,use_fish!A:A,use_fish!I:I),0),)</f>
        <v>60</v>
      </c>
      <c r="J151" s="76">
        <f>SUM(_xlfn.IFNA(LOOKUP(Q151,use_fish!A:A,use_fish!K:K),0),_xlfn.IFNA(LOOKUP(R151,use_fish!A:A,use_fish!K:K),0),_xlfn.IFNA(LOOKUP(S151,use_fish!A:A,use_fish!K:K),0),_xlfn.IFNA(LOOKUP(T151,use_fish!A:A,use_fish!K:K),0),_xlfn.IFNA(LOOKUP(U151,use_fish!A:A,use_fish!K:K),0),_xlfn.IFNA(LOOKUP(V151,use_fish!A:A,use_fish!K:K),0),_xlfn.IFNA(LOOKUP(W151,use_fish!A:A,use_fish!K:K),0),)</f>
        <v>0</v>
      </c>
      <c r="Q151" s="78">
        <v>134</v>
      </c>
    </row>
    <row r="152" spans="1:17" s="78" customFormat="1" x14ac:dyDescent="0.2">
      <c r="A152" s="78">
        <v>151</v>
      </c>
      <c r="B152" s="78">
        <v>1</v>
      </c>
      <c r="C152" s="78" t="s">
        <v>450</v>
      </c>
      <c r="H152" s="78">
        <f>SUM(_xlfn.IFNA(LOOKUP(Q152,use_fish!A:A,use_fish!E:E),0),_xlfn.IFNA(LOOKUP(R152,use_fish!A:A,use_fish!E:E),0),_xlfn.IFNA(LOOKUP(S152,use_fish!A:A,use_fish!E:E),0),_xlfn.IFNA(LOOKUP(T152,use_fish!A:A,use_fish!E:E),0),_xlfn.IFNA(LOOKUP(U152,use_fish!A:A,use_fish!E:E),0),_xlfn.IFNA(LOOKUP(V152,use_fish!A:A,use_fish!E:E),0),_xlfn.IFNA(LOOKUP(W152,use_fish!A:A,use_fish!E:E),0),)</f>
        <v>65</v>
      </c>
      <c r="I152" s="78">
        <f>SUM(_xlfn.IFNA(LOOKUP(Q152,use_fish!A:A,use_fish!I:I),0),_xlfn.IFNA(LOOKUP(R152,use_fish!A:A,use_fish!I:I),0),_xlfn.IFNA(LOOKUP(S152,use_fish!A:A,use_fish!I:I),0),_xlfn.IFNA(LOOKUP(T152,use_fish!A:A,use_fish!I:I),0),_xlfn.IFNA(LOOKUP(U152,use_fish!A:A,use_fish!I:I),0),_xlfn.IFNA(LOOKUP(V152,use_fish!A:A,use_fish!I:I),0),_xlfn.IFNA(LOOKUP(W152,use_fish!A:A,use_fish!I:I),0),)</f>
        <v>60</v>
      </c>
      <c r="J152" s="76">
        <f>SUM(_xlfn.IFNA(LOOKUP(Q152,use_fish!A:A,use_fish!K:K),0),_xlfn.IFNA(LOOKUP(R152,use_fish!A:A,use_fish!K:K),0),_xlfn.IFNA(LOOKUP(S152,use_fish!A:A,use_fish!K:K),0),_xlfn.IFNA(LOOKUP(T152,use_fish!A:A,use_fish!K:K),0),_xlfn.IFNA(LOOKUP(U152,use_fish!A:A,use_fish!K:K),0),_xlfn.IFNA(LOOKUP(V152,use_fish!A:A,use_fish!K:K),0),_xlfn.IFNA(LOOKUP(W152,use_fish!A:A,use_fish!K:K),0),)</f>
        <v>0</v>
      </c>
      <c r="Q152" s="78">
        <v>135</v>
      </c>
    </row>
    <row r="153" spans="1:17" s="78" customFormat="1" x14ac:dyDescent="0.2">
      <c r="A153" s="78">
        <v>152</v>
      </c>
      <c r="B153" s="78">
        <v>1</v>
      </c>
      <c r="C153" s="78" t="s">
        <v>451</v>
      </c>
      <c r="H153" s="78">
        <f>SUM(_xlfn.IFNA(LOOKUP(Q153,use_fish!A:A,use_fish!E:E),0),_xlfn.IFNA(LOOKUP(R153,use_fish!A:A,use_fish!E:E),0),_xlfn.IFNA(LOOKUP(S153,use_fish!A:A,use_fish!E:E),0),_xlfn.IFNA(LOOKUP(T153,use_fish!A:A,use_fish!E:E),0),_xlfn.IFNA(LOOKUP(U153,use_fish!A:A,use_fish!E:E),0),_xlfn.IFNA(LOOKUP(V153,use_fish!A:A,use_fish!E:E),0),_xlfn.IFNA(LOOKUP(W153,use_fish!A:A,use_fish!E:E),0),)</f>
        <v>86</v>
      </c>
      <c r="I153" s="78">
        <f>SUM(_xlfn.IFNA(LOOKUP(Q153,use_fish!A:A,use_fish!I:I),0),_xlfn.IFNA(LOOKUP(R153,use_fish!A:A,use_fish!I:I),0),_xlfn.IFNA(LOOKUP(S153,use_fish!A:A,use_fish!I:I),0),_xlfn.IFNA(LOOKUP(T153,use_fish!A:A,use_fish!I:I),0),_xlfn.IFNA(LOOKUP(U153,use_fish!A:A,use_fish!I:I),0),_xlfn.IFNA(LOOKUP(V153,use_fish!A:A,use_fish!I:I),0),_xlfn.IFNA(LOOKUP(W153,use_fish!A:A,use_fish!I:I),0),)</f>
        <v>80</v>
      </c>
      <c r="J153" s="76">
        <f>SUM(_xlfn.IFNA(LOOKUP(Q153,use_fish!A:A,use_fish!K:K),0),_xlfn.IFNA(LOOKUP(R153,use_fish!A:A,use_fish!K:K),0),_xlfn.IFNA(LOOKUP(S153,use_fish!A:A,use_fish!K:K),0),_xlfn.IFNA(LOOKUP(T153,use_fish!A:A,use_fish!K:K),0),_xlfn.IFNA(LOOKUP(U153,use_fish!A:A,use_fish!K:K),0),_xlfn.IFNA(LOOKUP(V153,use_fish!A:A,use_fish!K:K),0),_xlfn.IFNA(LOOKUP(W153,use_fish!A:A,use_fish!K:K),0),)</f>
        <v>0</v>
      </c>
      <c r="Q153" s="78">
        <v>136</v>
      </c>
    </row>
    <row r="154" spans="1:17" s="78" customFormat="1" x14ac:dyDescent="0.2">
      <c r="A154" s="78">
        <v>153</v>
      </c>
      <c r="B154" s="78">
        <v>1</v>
      </c>
      <c r="C154" s="78" t="s">
        <v>452</v>
      </c>
      <c r="H154" s="78">
        <f>SUM(_xlfn.IFNA(LOOKUP(Q154,use_fish!A:A,use_fish!E:E),0),_xlfn.IFNA(LOOKUP(R154,use_fish!A:A,use_fish!E:E),0),_xlfn.IFNA(LOOKUP(S154,use_fish!A:A,use_fish!E:E),0),_xlfn.IFNA(LOOKUP(T154,use_fish!A:A,use_fish!E:E),0),_xlfn.IFNA(LOOKUP(U154,use_fish!A:A,use_fish!E:E),0),_xlfn.IFNA(LOOKUP(V154,use_fish!A:A,use_fish!E:E),0),_xlfn.IFNA(LOOKUP(W154,use_fish!A:A,use_fish!E:E),0),)</f>
        <v>107</v>
      </c>
      <c r="I154" s="78">
        <f>SUM(_xlfn.IFNA(LOOKUP(Q154,use_fish!A:A,use_fish!I:I),0),_xlfn.IFNA(LOOKUP(R154,use_fish!A:A,use_fish!I:I),0),_xlfn.IFNA(LOOKUP(S154,use_fish!A:A,use_fish!I:I),0),_xlfn.IFNA(LOOKUP(T154,use_fish!A:A,use_fish!I:I),0),_xlfn.IFNA(LOOKUP(U154,use_fish!A:A,use_fish!I:I),0),_xlfn.IFNA(LOOKUP(V154,use_fish!A:A,use_fish!I:I),0),_xlfn.IFNA(LOOKUP(W154,use_fish!A:A,use_fish!I:I),0),)</f>
        <v>100</v>
      </c>
      <c r="J154" s="76">
        <f>SUM(_xlfn.IFNA(LOOKUP(Q154,use_fish!A:A,use_fish!K:K),0),_xlfn.IFNA(LOOKUP(R154,use_fish!A:A,use_fish!K:K),0),_xlfn.IFNA(LOOKUP(S154,use_fish!A:A,use_fish!K:K),0),_xlfn.IFNA(LOOKUP(T154,use_fish!A:A,use_fish!K:K),0),_xlfn.IFNA(LOOKUP(U154,use_fish!A:A,use_fish!K:K),0),_xlfn.IFNA(LOOKUP(V154,use_fish!A:A,use_fish!K:K),0),_xlfn.IFNA(LOOKUP(W154,use_fish!A:A,use_fish!K:K),0),)</f>
        <v>0</v>
      </c>
      <c r="Q154" s="78">
        <v>137</v>
      </c>
    </row>
    <row r="155" spans="1:17" s="78" customFormat="1" x14ac:dyDescent="0.2">
      <c r="A155" s="78">
        <v>154</v>
      </c>
      <c r="B155" s="78">
        <v>1</v>
      </c>
      <c r="C155" s="78" t="s">
        <v>453</v>
      </c>
      <c r="H155" s="78">
        <f>SUM(_xlfn.IFNA(LOOKUP(Q155,use_fish!A:A,use_fish!E:E),0),_xlfn.IFNA(LOOKUP(R155,use_fish!A:A,use_fish!E:E),0),_xlfn.IFNA(LOOKUP(S155,use_fish!A:A,use_fish!E:E),0),_xlfn.IFNA(LOOKUP(T155,use_fish!A:A,use_fish!E:E),0),_xlfn.IFNA(LOOKUP(U155,use_fish!A:A,use_fish!E:E),0),_xlfn.IFNA(LOOKUP(V155,use_fish!A:A,use_fish!E:E),0),_xlfn.IFNA(LOOKUP(W155,use_fish!A:A,use_fish!E:E),0),)</f>
        <v>107</v>
      </c>
      <c r="I155" s="78">
        <f>SUM(_xlfn.IFNA(LOOKUP(Q155,use_fish!A:A,use_fish!I:I),0),_xlfn.IFNA(LOOKUP(R155,use_fish!A:A,use_fish!I:I),0),_xlfn.IFNA(LOOKUP(S155,use_fish!A:A,use_fish!I:I),0),_xlfn.IFNA(LOOKUP(T155,use_fish!A:A,use_fish!I:I),0),_xlfn.IFNA(LOOKUP(U155,use_fish!A:A,use_fish!I:I),0),_xlfn.IFNA(LOOKUP(V155,use_fish!A:A,use_fish!I:I),0),_xlfn.IFNA(LOOKUP(W155,use_fish!A:A,use_fish!I:I),0),)</f>
        <v>100</v>
      </c>
      <c r="J155" s="76">
        <f>SUM(_xlfn.IFNA(LOOKUP(Q155,use_fish!A:A,use_fish!K:K),0),_xlfn.IFNA(LOOKUP(R155,use_fish!A:A,use_fish!K:K),0),_xlfn.IFNA(LOOKUP(S155,use_fish!A:A,use_fish!K:K),0),_xlfn.IFNA(LOOKUP(T155,use_fish!A:A,use_fish!K:K),0),_xlfn.IFNA(LOOKUP(U155,use_fish!A:A,use_fish!K:K),0),_xlfn.IFNA(LOOKUP(V155,use_fish!A:A,use_fish!K:K),0),_xlfn.IFNA(LOOKUP(W155,use_fish!A:A,use_fish!K:K),0),)</f>
        <v>0</v>
      </c>
      <c r="Q155" s="78">
        <v>138</v>
      </c>
    </row>
    <row r="156" spans="1:17" s="19" customFormat="1" x14ac:dyDescent="0.2">
      <c r="A156" s="19">
        <v>155</v>
      </c>
      <c r="B156" s="19">
        <v>1</v>
      </c>
      <c r="C156" s="19" t="s">
        <v>454</v>
      </c>
      <c r="H156" s="19">
        <f>SUM(_xlfn.IFNA(LOOKUP(Q156,use_fish!A:A,use_fish!E:E),0),_xlfn.IFNA(LOOKUP(R156,use_fish!A:A,use_fish!E:E),0),_xlfn.IFNA(LOOKUP(S156,use_fish!A:A,use_fish!E:E),0),_xlfn.IFNA(LOOKUP(T156,use_fish!A:A,use_fish!E:E),0),_xlfn.IFNA(LOOKUP(U156,use_fish!A:A,use_fish!E:E),0),_xlfn.IFNA(LOOKUP(V156,use_fish!A:A,use_fish!E:E),0),_xlfn.IFNA(LOOKUP(W156,use_fish!A:A,use_fish!E:E),0),)</f>
        <v>65</v>
      </c>
      <c r="I156" s="19">
        <f>SUM(_xlfn.IFNA(LOOKUP(Q156,use_fish!A:A,use_fish!I:I),0),_xlfn.IFNA(LOOKUP(R156,use_fish!A:A,use_fish!I:I),0),_xlfn.IFNA(LOOKUP(S156,use_fish!A:A,use_fish!I:I),0),_xlfn.IFNA(LOOKUP(T156,use_fish!A:A,use_fish!I:I),0),_xlfn.IFNA(LOOKUP(U156,use_fish!A:A,use_fish!I:I),0),_xlfn.IFNA(LOOKUP(V156,use_fish!A:A,use_fish!I:I),0),_xlfn.IFNA(LOOKUP(W156,use_fish!A:A,use_fish!I:I),0),)</f>
        <v>60</v>
      </c>
      <c r="J156" s="17">
        <f>SUM(_xlfn.IFNA(LOOKUP(Q156,use_fish!A:A,use_fish!K:K),0),_xlfn.IFNA(LOOKUP(R156,use_fish!A:A,use_fish!K:K),0),_xlfn.IFNA(LOOKUP(S156,use_fish!A:A,use_fish!K:K),0),_xlfn.IFNA(LOOKUP(T156,use_fish!A:A,use_fish!K:K),0),_xlfn.IFNA(LOOKUP(U156,use_fish!A:A,use_fish!K:K),0),_xlfn.IFNA(LOOKUP(V156,use_fish!A:A,use_fish!K:K),0),_xlfn.IFNA(LOOKUP(W156,use_fish!A:A,use_fish!K:K),0),)</f>
        <v>0</v>
      </c>
      <c r="Q156" s="19">
        <v>139</v>
      </c>
    </row>
    <row r="157" spans="1:17" s="19" customFormat="1" x14ac:dyDescent="0.2">
      <c r="A157" s="19">
        <v>156</v>
      </c>
      <c r="B157" s="19">
        <v>1</v>
      </c>
      <c r="C157" s="19" t="s">
        <v>455</v>
      </c>
      <c r="H157" s="19">
        <f>SUM(_xlfn.IFNA(LOOKUP(Q157,use_fish!A:A,use_fish!E:E),0),_xlfn.IFNA(LOOKUP(R157,use_fish!A:A,use_fish!E:E),0),_xlfn.IFNA(LOOKUP(S157,use_fish!A:A,use_fish!E:E),0),_xlfn.IFNA(LOOKUP(T157,use_fish!A:A,use_fish!E:E),0),_xlfn.IFNA(LOOKUP(U157,use_fish!A:A,use_fish!E:E),0),_xlfn.IFNA(LOOKUP(V157,use_fish!A:A,use_fish!E:E),0),_xlfn.IFNA(LOOKUP(W157,use_fish!A:A,use_fish!E:E),0),)</f>
        <v>65</v>
      </c>
      <c r="I157" s="19">
        <f>SUM(_xlfn.IFNA(LOOKUP(Q157,use_fish!A:A,use_fish!I:I),0),_xlfn.IFNA(LOOKUP(R157,use_fish!A:A,use_fish!I:I),0),_xlfn.IFNA(LOOKUP(S157,use_fish!A:A,use_fish!I:I),0),_xlfn.IFNA(LOOKUP(T157,use_fish!A:A,use_fish!I:I),0),_xlfn.IFNA(LOOKUP(U157,use_fish!A:A,use_fish!I:I),0),_xlfn.IFNA(LOOKUP(V157,use_fish!A:A,use_fish!I:I),0),_xlfn.IFNA(LOOKUP(W157,use_fish!A:A,use_fish!I:I),0),)</f>
        <v>60</v>
      </c>
      <c r="J157" s="17">
        <f>SUM(_xlfn.IFNA(LOOKUP(Q157,use_fish!A:A,use_fish!K:K),0),_xlfn.IFNA(LOOKUP(R157,use_fish!A:A,use_fish!K:K),0),_xlfn.IFNA(LOOKUP(S157,use_fish!A:A,use_fish!K:K),0),_xlfn.IFNA(LOOKUP(T157,use_fish!A:A,use_fish!K:K),0),_xlfn.IFNA(LOOKUP(U157,use_fish!A:A,use_fish!K:K),0),_xlfn.IFNA(LOOKUP(V157,use_fish!A:A,use_fish!K:K),0),_xlfn.IFNA(LOOKUP(W157,use_fish!A:A,use_fish!K:K),0),)</f>
        <v>0</v>
      </c>
      <c r="Q157" s="19">
        <v>140</v>
      </c>
    </row>
    <row r="158" spans="1:17" s="19" customFormat="1" x14ac:dyDescent="0.2">
      <c r="A158" s="19">
        <v>157</v>
      </c>
      <c r="B158" s="19">
        <v>1</v>
      </c>
      <c r="C158" s="19" t="s">
        <v>456</v>
      </c>
      <c r="H158" s="19">
        <f>SUM(_xlfn.IFNA(LOOKUP(Q158,use_fish!A:A,use_fish!E:E),0),_xlfn.IFNA(LOOKUP(R158,use_fish!A:A,use_fish!E:E),0),_xlfn.IFNA(LOOKUP(S158,use_fish!A:A,use_fish!E:E),0),_xlfn.IFNA(LOOKUP(T158,use_fish!A:A,use_fish!E:E),0),_xlfn.IFNA(LOOKUP(U158,use_fish!A:A,use_fish!E:E),0),_xlfn.IFNA(LOOKUP(V158,use_fish!A:A,use_fish!E:E),0),_xlfn.IFNA(LOOKUP(W158,use_fish!A:A,use_fish!E:E),0),)</f>
        <v>65</v>
      </c>
      <c r="I158" s="19">
        <f>SUM(_xlfn.IFNA(LOOKUP(Q158,use_fish!A:A,use_fish!I:I),0),_xlfn.IFNA(LOOKUP(R158,use_fish!A:A,use_fish!I:I),0),_xlfn.IFNA(LOOKUP(S158,use_fish!A:A,use_fish!I:I),0),_xlfn.IFNA(LOOKUP(T158,use_fish!A:A,use_fish!I:I),0),_xlfn.IFNA(LOOKUP(U158,use_fish!A:A,use_fish!I:I),0),_xlfn.IFNA(LOOKUP(V158,use_fish!A:A,use_fish!I:I),0),_xlfn.IFNA(LOOKUP(W158,use_fish!A:A,use_fish!I:I),0),)</f>
        <v>60</v>
      </c>
      <c r="J158" s="17">
        <f>SUM(_xlfn.IFNA(LOOKUP(Q158,use_fish!A:A,use_fish!K:K),0),_xlfn.IFNA(LOOKUP(R158,use_fish!A:A,use_fish!K:K),0),_xlfn.IFNA(LOOKUP(S158,use_fish!A:A,use_fish!K:K),0),_xlfn.IFNA(LOOKUP(T158,use_fish!A:A,use_fish!K:K),0),_xlfn.IFNA(LOOKUP(U158,use_fish!A:A,use_fish!K:K),0),_xlfn.IFNA(LOOKUP(V158,use_fish!A:A,use_fish!K:K),0),_xlfn.IFNA(LOOKUP(W158,use_fish!A:A,use_fish!K:K),0),)</f>
        <v>0</v>
      </c>
      <c r="Q158" s="19">
        <v>141</v>
      </c>
    </row>
    <row r="159" spans="1:17" s="19" customFormat="1" x14ac:dyDescent="0.2">
      <c r="A159" s="19">
        <v>158</v>
      </c>
      <c r="B159" s="19">
        <v>1</v>
      </c>
      <c r="C159" s="19" t="s">
        <v>457</v>
      </c>
      <c r="H159" s="19">
        <f>SUM(_xlfn.IFNA(LOOKUP(Q159,use_fish!A:A,use_fish!E:E),0),_xlfn.IFNA(LOOKUP(R159,use_fish!A:A,use_fish!E:E),0),_xlfn.IFNA(LOOKUP(S159,use_fish!A:A,use_fish!E:E),0),_xlfn.IFNA(LOOKUP(T159,use_fish!A:A,use_fish!E:E),0),_xlfn.IFNA(LOOKUP(U159,use_fish!A:A,use_fish!E:E),0),_xlfn.IFNA(LOOKUP(V159,use_fish!A:A,use_fish!E:E),0),_xlfn.IFNA(LOOKUP(W159,use_fish!A:A,use_fish!E:E),0),)</f>
        <v>86</v>
      </c>
      <c r="I159" s="19">
        <f>SUM(_xlfn.IFNA(LOOKUP(Q159,use_fish!A:A,use_fish!I:I),0),_xlfn.IFNA(LOOKUP(R159,use_fish!A:A,use_fish!I:I),0),_xlfn.IFNA(LOOKUP(S159,use_fish!A:A,use_fish!I:I),0),_xlfn.IFNA(LOOKUP(T159,use_fish!A:A,use_fish!I:I),0),_xlfn.IFNA(LOOKUP(U159,use_fish!A:A,use_fish!I:I),0),_xlfn.IFNA(LOOKUP(V159,use_fish!A:A,use_fish!I:I),0),_xlfn.IFNA(LOOKUP(W159,use_fish!A:A,use_fish!I:I),0),)</f>
        <v>80</v>
      </c>
      <c r="J159" s="17">
        <f>SUM(_xlfn.IFNA(LOOKUP(Q159,use_fish!A:A,use_fish!K:K),0),_xlfn.IFNA(LOOKUP(R159,use_fish!A:A,use_fish!K:K),0),_xlfn.IFNA(LOOKUP(S159,use_fish!A:A,use_fish!K:K),0),_xlfn.IFNA(LOOKUP(T159,use_fish!A:A,use_fish!K:K),0),_xlfn.IFNA(LOOKUP(U159,use_fish!A:A,use_fish!K:K),0),_xlfn.IFNA(LOOKUP(V159,use_fish!A:A,use_fish!K:K),0),_xlfn.IFNA(LOOKUP(W159,use_fish!A:A,use_fish!K:K),0),)</f>
        <v>0</v>
      </c>
      <c r="Q159" s="19">
        <v>142</v>
      </c>
    </row>
    <row r="160" spans="1:17" s="19" customFormat="1" x14ac:dyDescent="0.2">
      <c r="A160" s="19">
        <v>159</v>
      </c>
      <c r="B160" s="19">
        <v>1</v>
      </c>
      <c r="C160" s="19" t="s">
        <v>458</v>
      </c>
      <c r="H160" s="19">
        <f>SUM(_xlfn.IFNA(LOOKUP(Q160,use_fish!A:A,use_fish!E:E),0),_xlfn.IFNA(LOOKUP(R160,use_fish!A:A,use_fish!E:E),0),_xlfn.IFNA(LOOKUP(S160,use_fish!A:A,use_fish!E:E),0),_xlfn.IFNA(LOOKUP(T160,use_fish!A:A,use_fish!E:E),0),_xlfn.IFNA(LOOKUP(U160,use_fish!A:A,use_fish!E:E),0),_xlfn.IFNA(LOOKUP(V160,use_fish!A:A,use_fish!E:E),0),_xlfn.IFNA(LOOKUP(W160,use_fish!A:A,use_fish!E:E),0),)</f>
        <v>107</v>
      </c>
      <c r="I160" s="19">
        <f>SUM(_xlfn.IFNA(LOOKUP(Q160,use_fish!A:A,use_fish!I:I),0),_xlfn.IFNA(LOOKUP(R160,use_fish!A:A,use_fish!I:I),0),_xlfn.IFNA(LOOKUP(S160,use_fish!A:A,use_fish!I:I),0),_xlfn.IFNA(LOOKUP(T160,use_fish!A:A,use_fish!I:I),0),_xlfn.IFNA(LOOKUP(U160,use_fish!A:A,use_fish!I:I),0),_xlfn.IFNA(LOOKUP(V160,use_fish!A:A,use_fish!I:I),0),_xlfn.IFNA(LOOKUP(W160,use_fish!A:A,use_fish!I:I),0),)</f>
        <v>100</v>
      </c>
      <c r="J160" s="17">
        <f>SUM(_xlfn.IFNA(LOOKUP(Q160,use_fish!A:A,use_fish!K:K),0),_xlfn.IFNA(LOOKUP(R160,use_fish!A:A,use_fish!K:K),0),_xlfn.IFNA(LOOKUP(S160,use_fish!A:A,use_fish!K:K),0),_xlfn.IFNA(LOOKUP(T160,use_fish!A:A,use_fish!K:K),0),_xlfn.IFNA(LOOKUP(U160,use_fish!A:A,use_fish!K:K),0),_xlfn.IFNA(LOOKUP(V160,use_fish!A:A,use_fish!K:K),0),_xlfn.IFNA(LOOKUP(W160,use_fish!A:A,use_fish!K:K),0),)</f>
        <v>0</v>
      </c>
      <c r="Q160" s="19">
        <v>143</v>
      </c>
    </row>
    <row r="161" spans="1:17" s="19" customFormat="1" x14ac:dyDescent="0.2">
      <c r="A161" s="19">
        <v>160</v>
      </c>
      <c r="B161" s="19">
        <v>1</v>
      </c>
      <c r="C161" s="19" t="s">
        <v>459</v>
      </c>
      <c r="H161" s="19">
        <f>SUM(_xlfn.IFNA(LOOKUP(Q161,use_fish!A:A,use_fish!E:E),0),_xlfn.IFNA(LOOKUP(R161,use_fish!A:A,use_fish!E:E),0),_xlfn.IFNA(LOOKUP(S161,use_fish!A:A,use_fish!E:E),0),_xlfn.IFNA(LOOKUP(T161,use_fish!A:A,use_fish!E:E),0),_xlfn.IFNA(LOOKUP(U161,use_fish!A:A,use_fish!E:E),0),_xlfn.IFNA(LOOKUP(V161,use_fish!A:A,use_fish!E:E),0),_xlfn.IFNA(LOOKUP(W161,use_fish!A:A,use_fish!E:E),0),)</f>
        <v>107</v>
      </c>
      <c r="I161" s="19">
        <f>SUM(_xlfn.IFNA(LOOKUP(Q161,use_fish!A:A,use_fish!I:I),0),_xlfn.IFNA(LOOKUP(R161,use_fish!A:A,use_fish!I:I),0),_xlfn.IFNA(LOOKUP(S161,use_fish!A:A,use_fish!I:I),0),_xlfn.IFNA(LOOKUP(T161,use_fish!A:A,use_fish!I:I),0),_xlfn.IFNA(LOOKUP(U161,use_fish!A:A,use_fish!I:I),0),_xlfn.IFNA(LOOKUP(V161,use_fish!A:A,use_fish!I:I),0),_xlfn.IFNA(LOOKUP(W161,use_fish!A:A,use_fish!I:I),0),)</f>
        <v>100</v>
      </c>
      <c r="J161" s="17">
        <f>SUM(_xlfn.IFNA(LOOKUP(Q161,use_fish!A:A,use_fish!K:K),0),_xlfn.IFNA(LOOKUP(R161,use_fish!A:A,use_fish!K:K),0),_xlfn.IFNA(LOOKUP(S161,use_fish!A:A,use_fish!K:K),0),_xlfn.IFNA(LOOKUP(T161,use_fish!A:A,use_fish!K:K),0),_xlfn.IFNA(LOOKUP(U161,use_fish!A:A,use_fish!K:K),0),_xlfn.IFNA(LOOKUP(V161,use_fish!A:A,use_fish!K:K),0),_xlfn.IFNA(LOOKUP(W161,use_fish!A:A,use_fish!K:K),0),)</f>
        <v>0</v>
      </c>
      <c r="Q161" s="19">
        <v>144</v>
      </c>
    </row>
    <row r="162" spans="1:17" x14ac:dyDescent="0.2">
      <c r="A162" s="29">
        <v>161</v>
      </c>
      <c r="B162" s="29">
        <v>1</v>
      </c>
      <c r="C162" s="29" t="s">
        <v>461</v>
      </c>
      <c r="D162" s="29"/>
      <c r="E162" s="29"/>
      <c r="F162" s="29"/>
      <c r="G162" s="29"/>
      <c r="H162" s="29">
        <f>SUM(_xlfn.IFNA(LOOKUP(Q162,use_fish!A:A,use_fish!E:E),0),_xlfn.IFNA(LOOKUP(R162,use_fish!A:A,use_fish!E:E),0),_xlfn.IFNA(LOOKUP(S162,use_fish!A:A,use_fish!E:E),0),_xlfn.IFNA(LOOKUP(T162,use_fish!A:A,use_fish!E:E),0),_xlfn.IFNA(LOOKUP(U162,use_fish!A:A,use_fish!E:E),0),_xlfn.IFNA(LOOKUP(V162,use_fish!A:A,use_fish!E:E),0),_xlfn.IFNA(LOOKUP(W162,use_fish!A:A,use_fish!E:E),0),)</f>
        <v>30</v>
      </c>
      <c r="I162" s="29">
        <f>SUM(_xlfn.IFNA(LOOKUP(Q162,use_fish!A:A,use_fish!I:I),0),_xlfn.IFNA(LOOKUP(R162,use_fish!A:A,use_fish!I:I),0),_xlfn.IFNA(LOOKUP(S162,use_fish!A:A,use_fish!I:I),0),_xlfn.IFNA(LOOKUP(T162,use_fish!A:A,use_fish!I:I),0),_xlfn.IFNA(LOOKUP(U162,use_fish!A:A,use_fish!I:I),0),_xlfn.IFNA(LOOKUP(V162,use_fish!A:A,use_fish!I:I),0),_xlfn.IFNA(LOOKUP(W162,use_fish!A:A,use_fish!I:I),0),)</f>
        <v>30</v>
      </c>
      <c r="J162" s="30">
        <f>SUM(_xlfn.IFNA(LOOKUP(Q162,use_fish!A:A,use_fish!K:K),0),_xlfn.IFNA(LOOKUP(R162,use_fish!A:A,use_fish!K:K),0),_xlfn.IFNA(LOOKUP(S162,use_fish!A:A,use_fish!K:K),0),_xlfn.IFNA(LOOKUP(T162,use_fish!A:A,use_fish!K:K),0),_xlfn.IFNA(LOOKUP(U162,use_fish!A:A,use_fish!K:K),0),_xlfn.IFNA(LOOKUP(V162,use_fish!A:A,use_fish!K:K),0),_xlfn.IFNA(LOOKUP(W162,use_fish!A:A,use_fish!K:K),0),)</f>
        <v>0</v>
      </c>
      <c r="K162" s="29"/>
      <c r="L162" s="29"/>
      <c r="M162" s="29"/>
      <c r="N162" s="29"/>
      <c r="O162" s="29"/>
      <c r="P162" s="29"/>
      <c r="Q162" s="29">
        <v>145</v>
      </c>
    </row>
    <row r="163" spans="1:17" x14ac:dyDescent="0.2">
      <c r="A163" s="29">
        <v>162</v>
      </c>
      <c r="B163" s="29">
        <v>1</v>
      </c>
      <c r="C163" s="29" t="s">
        <v>462</v>
      </c>
      <c r="D163" s="29"/>
      <c r="E163" s="29"/>
      <c r="F163" s="29"/>
      <c r="G163" s="29"/>
      <c r="H163" s="29">
        <f>SUM(_xlfn.IFNA(LOOKUP(Q163,use_fish!A:A,use_fish!E:E),0),_xlfn.IFNA(LOOKUP(R163,use_fish!A:A,use_fish!E:E),0),_xlfn.IFNA(LOOKUP(S163,use_fish!A:A,use_fish!E:E),0),_xlfn.IFNA(LOOKUP(T163,use_fish!A:A,use_fish!E:E),0),_xlfn.IFNA(LOOKUP(U163,use_fish!A:A,use_fish!E:E),0),_xlfn.IFNA(LOOKUP(V163,use_fish!A:A,use_fish!E:E),0),_xlfn.IFNA(LOOKUP(W163,use_fish!A:A,use_fish!E:E),0),)</f>
        <v>35</v>
      </c>
      <c r="I163" s="29">
        <f>SUM(_xlfn.IFNA(LOOKUP(Q163,use_fish!A:A,use_fish!I:I),0),_xlfn.IFNA(LOOKUP(R163,use_fish!A:A,use_fish!I:I),0),_xlfn.IFNA(LOOKUP(S163,use_fish!A:A,use_fish!I:I),0),_xlfn.IFNA(LOOKUP(T163,use_fish!A:A,use_fish!I:I),0),_xlfn.IFNA(LOOKUP(U163,use_fish!A:A,use_fish!I:I),0),_xlfn.IFNA(LOOKUP(V163,use_fish!A:A,use_fish!I:I),0),_xlfn.IFNA(LOOKUP(W163,use_fish!A:A,use_fish!I:I),0),)</f>
        <v>35</v>
      </c>
      <c r="J163" s="30">
        <f>SUM(_xlfn.IFNA(LOOKUP(Q163,use_fish!A:A,use_fish!K:K),0),_xlfn.IFNA(LOOKUP(R163,use_fish!A:A,use_fish!K:K),0),_xlfn.IFNA(LOOKUP(S163,use_fish!A:A,use_fish!K:K),0),_xlfn.IFNA(LOOKUP(T163,use_fish!A:A,use_fish!K:K),0),_xlfn.IFNA(LOOKUP(U163,use_fish!A:A,use_fish!K:K),0),_xlfn.IFNA(LOOKUP(V163,use_fish!A:A,use_fish!K:K),0),_xlfn.IFNA(LOOKUP(W163,use_fish!A:A,use_fish!K:K),0),)</f>
        <v>0</v>
      </c>
      <c r="K163" s="29"/>
      <c r="L163" s="29"/>
      <c r="M163" s="29"/>
      <c r="N163" s="29"/>
      <c r="O163" s="29"/>
      <c r="P163" s="29"/>
      <c r="Q163" s="29">
        <v>146</v>
      </c>
    </row>
    <row r="164" spans="1:17" x14ac:dyDescent="0.2">
      <c r="A164" s="29">
        <v>163</v>
      </c>
      <c r="B164" s="29">
        <v>1</v>
      </c>
      <c r="C164" s="29" t="s">
        <v>463</v>
      </c>
      <c r="D164" s="29"/>
      <c r="E164" s="29"/>
      <c r="F164" s="29"/>
      <c r="G164" s="29"/>
      <c r="H164" s="29">
        <f>SUM(_xlfn.IFNA(LOOKUP(Q164,use_fish!A:A,use_fish!E:E),0),_xlfn.IFNA(LOOKUP(R164,use_fish!A:A,use_fish!E:E),0),_xlfn.IFNA(LOOKUP(S164,use_fish!A:A,use_fish!E:E),0),_xlfn.IFNA(LOOKUP(T164,use_fish!A:A,use_fish!E:E),0),_xlfn.IFNA(LOOKUP(U164,use_fish!A:A,use_fish!E:E),0),_xlfn.IFNA(LOOKUP(V164,use_fish!A:A,use_fish!E:E),0),_xlfn.IFNA(LOOKUP(W164,use_fish!A:A,use_fish!E:E),0),)</f>
        <v>40</v>
      </c>
      <c r="I164" s="29">
        <f>SUM(_xlfn.IFNA(LOOKUP(Q164,use_fish!A:A,use_fish!I:I),0),_xlfn.IFNA(LOOKUP(R164,use_fish!A:A,use_fish!I:I),0),_xlfn.IFNA(LOOKUP(S164,use_fish!A:A,use_fish!I:I),0),_xlfn.IFNA(LOOKUP(T164,use_fish!A:A,use_fish!I:I),0),_xlfn.IFNA(LOOKUP(U164,use_fish!A:A,use_fish!I:I),0),_xlfn.IFNA(LOOKUP(V164,use_fish!A:A,use_fish!I:I),0),_xlfn.IFNA(LOOKUP(W164,use_fish!A:A,use_fish!I:I),0),)</f>
        <v>40</v>
      </c>
      <c r="J164" s="30">
        <f>SUM(_xlfn.IFNA(LOOKUP(Q164,use_fish!A:A,use_fish!K:K),0),_xlfn.IFNA(LOOKUP(R164,use_fish!A:A,use_fish!K:K),0),_xlfn.IFNA(LOOKUP(S164,use_fish!A:A,use_fish!K:K),0),_xlfn.IFNA(LOOKUP(T164,use_fish!A:A,use_fish!K:K),0),_xlfn.IFNA(LOOKUP(U164,use_fish!A:A,use_fish!K:K),0),_xlfn.IFNA(LOOKUP(V164,use_fish!A:A,use_fish!K:K),0),_xlfn.IFNA(LOOKUP(W164,use_fish!A:A,use_fish!K:K),0),)</f>
        <v>0</v>
      </c>
      <c r="K164" s="29"/>
      <c r="L164" s="29"/>
      <c r="M164" s="29"/>
      <c r="N164" s="29"/>
      <c r="O164" s="29"/>
      <c r="P164" s="29"/>
      <c r="Q164" s="29">
        <v>147</v>
      </c>
    </row>
    <row r="165" spans="1:17" x14ac:dyDescent="0.2">
      <c r="A165" s="29">
        <v>164</v>
      </c>
      <c r="B165" s="29">
        <v>1</v>
      </c>
      <c r="C165" s="29" t="s">
        <v>464</v>
      </c>
      <c r="D165" s="29"/>
      <c r="E165" s="29"/>
      <c r="F165" s="29"/>
      <c r="G165" s="29"/>
      <c r="H165" s="29">
        <f>SUM(_xlfn.IFNA(LOOKUP(Q165,use_fish!A:A,use_fish!E:E),0),_xlfn.IFNA(LOOKUP(R165,use_fish!A:A,use_fish!E:E),0),_xlfn.IFNA(LOOKUP(S165,use_fish!A:A,use_fish!E:E),0),_xlfn.IFNA(LOOKUP(T165,use_fish!A:A,use_fish!E:E),0),_xlfn.IFNA(LOOKUP(U165,use_fish!A:A,use_fish!E:E),0),_xlfn.IFNA(LOOKUP(V165,use_fish!A:A,use_fish!E:E),0),_xlfn.IFNA(LOOKUP(W165,use_fish!A:A,use_fish!E:E),0),)</f>
        <v>45</v>
      </c>
      <c r="I165" s="29">
        <f>SUM(_xlfn.IFNA(LOOKUP(Q165,use_fish!A:A,use_fish!I:I),0),_xlfn.IFNA(LOOKUP(R165,use_fish!A:A,use_fish!I:I),0),_xlfn.IFNA(LOOKUP(S165,use_fish!A:A,use_fish!I:I),0),_xlfn.IFNA(LOOKUP(T165,use_fish!A:A,use_fish!I:I),0),_xlfn.IFNA(LOOKUP(U165,use_fish!A:A,use_fish!I:I),0),_xlfn.IFNA(LOOKUP(V165,use_fish!A:A,use_fish!I:I),0),_xlfn.IFNA(LOOKUP(W165,use_fish!A:A,use_fish!I:I),0),)</f>
        <v>45</v>
      </c>
      <c r="J165" s="30">
        <f>SUM(_xlfn.IFNA(LOOKUP(Q165,use_fish!A:A,use_fish!K:K),0),_xlfn.IFNA(LOOKUP(R165,use_fish!A:A,use_fish!K:K),0),_xlfn.IFNA(LOOKUP(S165,use_fish!A:A,use_fish!K:K),0),_xlfn.IFNA(LOOKUP(T165,use_fish!A:A,use_fish!K:K),0),_xlfn.IFNA(LOOKUP(U165,use_fish!A:A,use_fish!K:K),0),_xlfn.IFNA(LOOKUP(V165,use_fish!A:A,use_fish!K:K),0),_xlfn.IFNA(LOOKUP(W165,use_fish!A:A,use_fish!K:K),0),)</f>
        <v>0</v>
      </c>
      <c r="K165" s="29"/>
      <c r="L165" s="29"/>
      <c r="M165" s="29"/>
      <c r="N165" s="29"/>
      <c r="O165" s="29"/>
      <c r="P165" s="29"/>
      <c r="Q165" s="29">
        <v>148</v>
      </c>
    </row>
    <row r="166" spans="1:17" x14ac:dyDescent="0.2">
      <c r="A166" s="29">
        <v>165</v>
      </c>
      <c r="B166" s="29">
        <v>1</v>
      </c>
      <c r="C166" s="29" t="s">
        <v>465</v>
      </c>
      <c r="D166" s="29"/>
      <c r="E166" s="29"/>
      <c r="F166" s="29"/>
      <c r="G166" s="29"/>
      <c r="H166" s="29">
        <f>SUM(_xlfn.IFNA(LOOKUP(Q166,use_fish!A:A,use_fish!E:E),0),_xlfn.IFNA(LOOKUP(R166,use_fish!A:A,use_fish!E:E),0),_xlfn.IFNA(LOOKUP(S166,use_fish!A:A,use_fish!E:E),0),_xlfn.IFNA(LOOKUP(T166,use_fish!A:A,use_fish!E:E),0),_xlfn.IFNA(LOOKUP(U166,use_fish!A:A,use_fish!E:E),0),_xlfn.IFNA(LOOKUP(V166,use_fish!A:A,use_fish!E:E),0),_xlfn.IFNA(LOOKUP(W166,use_fish!A:A,use_fish!E:E),0),)</f>
        <v>50</v>
      </c>
      <c r="I166" s="29">
        <f>SUM(_xlfn.IFNA(LOOKUP(Q166,use_fish!A:A,use_fish!I:I),0),_xlfn.IFNA(LOOKUP(R166,use_fish!A:A,use_fish!I:I),0),_xlfn.IFNA(LOOKUP(S166,use_fish!A:A,use_fish!I:I),0),_xlfn.IFNA(LOOKUP(T166,use_fish!A:A,use_fish!I:I),0),_xlfn.IFNA(LOOKUP(U166,use_fish!A:A,use_fish!I:I),0),_xlfn.IFNA(LOOKUP(V166,use_fish!A:A,use_fish!I:I),0),_xlfn.IFNA(LOOKUP(W166,use_fish!A:A,use_fish!I:I),0),)</f>
        <v>50</v>
      </c>
      <c r="J166" s="30">
        <f>SUM(_xlfn.IFNA(LOOKUP(Q166,use_fish!A:A,use_fish!K:K),0),_xlfn.IFNA(LOOKUP(R166,use_fish!A:A,use_fish!K:K),0),_xlfn.IFNA(LOOKUP(S166,use_fish!A:A,use_fish!K:K),0),_xlfn.IFNA(LOOKUP(T166,use_fish!A:A,use_fish!K:K),0),_xlfn.IFNA(LOOKUP(U166,use_fish!A:A,use_fish!K:K),0),_xlfn.IFNA(LOOKUP(V166,use_fish!A:A,use_fish!K:K),0),_xlfn.IFNA(LOOKUP(W166,use_fish!A:A,use_fish!K:K),0),)</f>
        <v>0</v>
      </c>
      <c r="K166" s="29"/>
      <c r="L166" s="29"/>
      <c r="M166" s="29"/>
      <c r="N166" s="29"/>
      <c r="O166" s="29"/>
      <c r="P166" s="29"/>
      <c r="Q166" s="29">
        <v>149</v>
      </c>
    </row>
    <row r="167" spans="1:17" x14ac:dyDescent="0.2">
      <c r="A167" s="29">
        <v>166</v>
      </c>
      <c r="B167" s="29">
        <v>1</v>
      </c>
      <c r="C167" s="29" t="s">
        <v>466</v>
      </c>
      <c r="D167" s="29"/>
      <c r="E167" s="29"/>
      <c r="F167" s="29"/>
      <c r="G167" s="29"/>
      <c r="H167" s="29">
        <f>SUM(_xlfn.IFNA(LOOKUP(Q167,use_fish!A:A,use_fish!E:E),0),_xlfn.IFNA(LOOKUP(R167,use_fish!A:A,use_fish!E:E),0),_xlfn.IFNA(LOOKUP(S167,use_fish!A:A,use_fish!E:E),0),_xlfn.IFNA(LOOKUP(T167,use_fish!A:A,use_fish!E:E),0),_xlfn.IFNA(LOOKUP(U167,use_fish!A:A,use_fish!E:E),0),_xlfn.IFNA(LOOKUP(V167,use_fish!A:A,use_fish!E:E),0),_xlfn.IFNA(LOOKUP(W167,use_fish!A:A,use_fish!E:E),0),)</f>
        <v>70</v>
      </c>
      <c r="I167" s="29">
        <f>SUM(_xlfn.IFNA(LOOKUP(Q167,use_fish!A:A,use_fish!I:I),0),_xlfn.IFNA(LOOKUP(R167,use_fish!A:A,use_fish!I:I),0),_xlfn.IFNA(LOOKUP(S167,use_fish!A:A,use_fish!I:I),0),_xlfn.IFNA(LOOKUP(T167,use_fish!A:A,use_fish!I:I),0),_xlfn.IFNA(LOOKUP(U167,use_fish!A:A,use_fish!I:I),0),_xlfn.IFNA(LOOKUP(V167,use_fish!A:A,use_fish!I:I),0),_xlfn.IFNA(LOOKUP(W167,use_fish!A:A,use_fish!I:I),0),)</f>
        <v>70</v>
      </c>
      <c r="J167" s="30">
        <f>SUM(_xlfn.IFNA(LOOKUP(Q167,use_fish!A:A,use_fish!K:K),0),_xlfn.IFNA(LOOKUP(R167,use_fish!A:A,use_fish!K:K),0),_xlfn.IFNA(LOOKUP(S167,use_fish!A:A,use_fish!K:K),0),_xlfn.IFNA(LOOKUP(T167,use_fish!A:A,use_fish!K:K),0),_xlfn.IFNA(LOOKUP(U167,use_fish!A:A,use_fish!K:K),0),_xlfn.IFNA(LOOKUP(V167,use_fish!A:A,use_fish!K:K),0),_xlfn.IFNA(LOOKUP(W167,use_fish!A:A,use_fish!K:K),0),)</f>
        <v>0</v>
      </c>
      <c r="K167" s="29"/>
      <c r="L167" s="29"/>
      <c r="M167" s="29"/>
      <c r="N167" s="29"/>
      <c r="O167" s="29"/>
      <c r="P167" s="29"/>
      <c r="Q167" s="29">
        <v>150</v>
      </c>
    </row>
    <row r="168" spans="1:17" x14ac:dyDescent="0.2">
      <c r="A168" s="29">
        <v>167</v>
      </c>
      <c r="B168" s="29">
        <v>1</v>
      </c>
      <c r="C168" s="29" t="s">
        <v>467</v>
      </c>
      <c r="D168" s="29"/>
      <c r="E168" s="29"/>
      <c r="F168" s="29"/>
      <c r="G168" s="29"/>
      <c r="H168" s="29">
        <f>SUM(_xlfn.IFNA(LOOKUP(Q168,use_fish!A:A,use_fish!E:E),0),_xlfn.IFNA(LOOKUP(R168,use_fish!A:A,use_fish!E:E),0),_xlfn.IFNA(LOOKUP(S168,use_fish!A:A,use_fish!E:E),0),_xlfn.IFNA(LOOKUP(T168,use_fish!A:A,use_fish!E:E),0),_xlfn.IFNA(LOOKUP(U168,use_fish!A:A,use_fish!E:E),0),_xlfn.IFNA(LOOKUP(V168,use_fish!A:A,use_fish!E:E),0),_xlfn.IFNA(LOOKUP(W168,use_fish!A:A,use_fish!E:E),0),)</f>
        <v>250</v>
      </c>
      <c r="I168" s="29">
        <f>SUM(_xlfn.IFNA(LOOKUP(Q168,use_fish!A:A,use_fish!I:I),0),_xlfn.IFNA(LOOKUP(R168,use_fish!A:A,use_fish!I:I),0),_xlfn.IFNA(LOOKUP(S168,use_fish!A:A,use_fish!I:I),0),_xlfn.IFNA(LOOKUP(T168,use_fish!A:A,use_fish!I:I),0),_xlfn.IFNA(LOOKUP(U168,use_fish!A:A,use_fish!I:I),0),_xlfn.IFNA(LOOKUP(V168,use_fish!A:A,use_fish!I:I),0),_xlfn.IFNA(LOOKUP(W168,use_fish!A:A,use_fish!I:I),0),)</f>
        <v>250</v>
      </c>
      <c r="J168" s="30">
        <f>SUM(_xlfn.IFNA(LOOKUP(Q168,use_fish!A:A,use_fish!K:K),0),_xlfn.IFNA(LOOKUP(R168,use_fish!A:A,use_fish!K:K),0),_xlfn.IFNA(LOOKUP(S168,use_fish!A:A,use_fish!K:K),0),_xlfn.IFNA(LOOKUP(T168,use_fish!A:A,use_fish!K:K),0),_xlfn.IFNA(LOOKUP(U168,use_fish!A:A,use_fish!K:K),0),_xlfn.IFNA(LOOKUP(V168,use_fish!A:A,use_fish!K:K),0),_xlfn.IFNA(LOOKUP(W168,use_fish!A:A,use_fish!K:K),0),)</f>
        <v>0</v>
      </c>
      <c r="K168" s="29"/>
      <c r="L168" s="29"/>
      <c r="M168" s="29"/>
      <c r="N168" s="29"/>
      <c r="O168" s="29"/>
      <c r="P168" s="29"/>
      <c r="Q168" s="29">
        <v>151</v>
      </c>
    </row>
    <row r="169" spans="1:17" x14ac:dyDescent="0.2">
      <c r="A169" s="29">
        <v>168</v>
      </c>
      <c r="B169" s="29">
        <v>1</v>
      </c>
      <c r="C169" s="29" t="s">
        <v>468</v>
      </c>
      <c r="D169" s="29"/>
      <c r="E169" s="29"/>
      <c r="F169" s="29"/>
      <c r="G169" s="29"/>
      <c r="H169" s="29">
        <f>SUM(_xlfn.IFNA(LOOKUP(Q169,use_fish!A:A,use_fish!E:E),0),_xlfn.IFNA(LOOKUP(R169,use_fish!A:A,use_fish!E:E),0),_xlfn.IFNA(LOOKUP(S169,use_fish!A:A,use_fish!E:E),0),_xlfn.IFNA(LOOKUP(T169,use_fish!A:A,use_fish!E:E),0),_xlfn.IFNA(LOOKUP(U169,use_fish!A:A,use_fish!E:E),0),_xlfn.IFNA(LOOKUP(V169,use_fish!A:A,use_fish!E:E),0),_xlfn.IFNA(LOOKUP(W169,use_fish!A:A,use_fish!E:E),0),)</f>
        <v>350</v>
      </c>
      <c r="I169" s="29">
        <f>SUM(_xlfn.IFNA(LOOKUP(Q169,use_fish!A:A,use_fish!I:I),0),_xlfn.IFNA(LOOKUP(R169,use_fish!A:A,use_fish!I:I),0),_xlfn.IFNA(LOOKUP(S169,use_fish!A:A,use_fish!I:I),0),_xlfn.IFNA(LOOKUP(T169,use_fish!A:A,use_fish!I:I),0),_xlfn.IFNA(LOOKUP(U169,use_fish!A:A,use_fish!I:I),0),_xlfn.IFNA(LOOKUP(V169,use_fish!A:A,use_fish!I:I),0),_xlfn.IFNA(LOOKUP(W169,use_fish!A:A,use_fish!I:I),0),)</f>
        <v>350</v>
      </c>
      <c r="J169" s="30">
        <f>SUM(_xlfn.IFNA(LOOKUP(Q169,use_fish!A:A,use_fish!K:K),0),_xlfn.IFNA(LOOKUP(R169,use_fish!A:A,use_fish!K:K),0),_xlfn.IFNA(LOOKUP(S169,use_fish!A:A,use_fish!K:K),0),_xlfn.IFNA(LOOKUP(T169,use_fish!A:A,use_fish!K:K),0),_xlfn.IFNA(LOOKUP(U169,use_fish!A:A,use_fish!K:K),0),_xlfn.IFNA(LOOKUP(V169,use_fish!A:A,use_fish!K:K),0),_xlfn.IFNA(LOOKUP(W169,use_fish!A:A,use_fish!K:K),0),)</f>
        <v>0</v>
      </c>
      <c r="K169" s="29"/>
      <c r="L169" s="29"/>
      <c r="M169" s="29"/>
      <c r="N169" s="29"/>
      <c r="O169" s="29"/>
      <c r="P169" s="29"/>
      <c r="Q169" s="29">
        <v>152</v>
      </c>
    </row>
    <row r="170" spans="1:17" x14ac:dyDescent="0.2">
      <c r="A170" s="29">
        <v>169</v>
      </c>
      <c r="B170" s="29">
        <v>1</v>
      </c>
      <c r="C170" s="29" t="s">
        <v>469</v>
      </c>
      <c r="D170" s="29"/>
      <c r="E170" s="29"/>
      <c r="F170" s="29"/>
      <c r="G170" s="29"/>
      <c r="H170" s="29">
        <f>SUM(_xlfn.IFNA(LOOKUP(Q170,use_fish!A:A,use_fish!E:E),0),_xlfn.IFNA(LOOKUP(R170,use_fish!A:A,use_fish!E:E),0),_xlfn.IFNA(LOOKUP(S170,use_fish!A:A,use_fish!E:E),0),_xlfn.IFNA(LOOKUP(T170,use_fish!A:A,use_fish!E:E),0),_xlfn.IFNA(LOOKUP(U170,use_fish!A:A,use_fish!E:E),0),_xlfn.IFNA(LOOKUP(V170,use_fish!A:A,use_fish!E:E),0),_xlfn.IFNA(LOOKUP(W170,use_fish!A:A,use_fish!E:E),0),)</f>
        <v>450</v>
      </c>
      <c r="I170" s="29">
        <f>SUM(_xlfn.IFNA(LOOKUP(Q170,use_fish!A:A,use_fish!I:I),0),_xlfn.IFNA(LOOKUP(R170,use_fish!A:A,use_fish!I:I),0),_xlfn.IFNA(LOOKUP(S170,use_fish!A:A,use_fish!I:I),0),_xlfn.IFNA(LOOKUP(T170,use_fish!A:A,use_fish!I:I),0),_xlfn.IFNA(LOOKUP(U170,use_fish!A:A,use_fish!I:I),0),_xlfn.IFNA(LOOKUP(V170,use_fish!A:A,use_fish!I:I),0),_xlfn.IFNA(LOOKUP(W170,use_fish!A:A,use_fish!I:I),0),)</f>
        <v>450</v>
      </c>
      <c r="J170" s="30">
        <f>SUM(_xlfn.IFNA(LOOKUP(Q170,use_fish!A:A,use_fish!K:K),0),_xlfn.IFNA(LOOKUP(R170,use_fish!A:A,use_fish!K:K),0),_xlfn.IFNA(LOOKUP(S170,use_fish!A:A,use_fish!K:K),0),_xlfn.IFNA(LOOKUP(T170,use_fish!A:A,use_fish!K:K),0),_xlfn.IFNA(LOOKUP(U170,use_fish!A:A,use_fish!K:K),0),_xlfn.IFNA(LOOKUP(V170,use_fish!A:A,use_fish!K:K),0),_xlfn.IFNA(LOOKUP(W170,use_fish!A:A,use_fish!K:K),0),)</f>
        <v>0</v>
      </c>
      <c r="K170" s="29"/>
      <c r="L170" s="29"/>
      <c r="M170" s="29"/>
      <c r="N170" s="29"/>
      <c r="O170" s="29"/>
      <c r="P170" s="29"/>
      <c r="Q170" s="29">
        <v>153</v>
      </c>
    </row>
    <row r="171" spans="1:17" s="55" customFormat="1" x14ac:dyDescent="0.2">
      <c r="A171" s="81">
        <v>170</v>
      </c>
      <c r="B171" s="81">
        <v>1</v>
      </c>
      <c r="C171" s="81" t="s">
        <v>488</v>
      </c>
      <c r="D171" s="81"/>
      <c r="E171" s="81"/>
      <c r="F171" s="81"/>
      <c r="G171" s="81"/>
      <c r="H171" s="81">
        <f>SUM(_xlfn.IFNA(LOOKUP(Q171,use_fish!A:A,use_fish!E:E),0),_xlfn.IFNA(LOOKUP(R171,use_fish!A:A,use_fish!E:E),0),_xlfn.IFNA(LOOKUP(S171,use_fish!A:A,use_fish!E:E),0),_xlfn.IFNA(LOOKUP(T171,use_fish!A:A,use_fish!E:E),0),_xlfn.IFNA(LOOKUP(U171,use_fish!A:A,use_fish!E:E),0),_xlfn.IFNA(LOOKUP(V171,use_fish!A:A,use_fish!E:E),0),_xlfn.IFNA(LOOKUP(W171,use_fish!A:A,use_fish!E:E),0),)</f>
        <v>30</v>
      </c>
      <c r="I171" s="81">
        <f>SUM(_xlfn.IFNA(LOOKUP(Q171,use_fish!A:A,use_fish!I:I),0),_xlfn.IFNA(LOOKUP(R171,use_fish!A:A,use_fish!I:I),0),_xlfn.IFNA(LOOKUP(S171,use_fish!A:A,use_fish!I:I),0),_xlfn.IFNA(LOOKUP(T171,use_fish!A:A,use_fish!I:I),0),_xlfn.IFNA(LOOKUP(U171,use_fish!A:A,use_fish!I:I),0),_xlfn.IFNA(LOOKUP(V171,use_fish!A:A,use_fish!I:I),0),_xlfn.IFNA(LOOKUP(W171,use_fish!A:A,use_fish!I:I),0),)</f>
        <v>30</v>
      </c>
      <c r="J171" s="84">
        <f>SUM(_xlfn.IFNA(LOOKUP(Q171,use_fish!A:A,use_fish!K:K),0),_xlfn.IFNA(LOOKUP(R171,use_fish!A:A,use_fish!K:K),0),_xlfn.IFNA(LOOKUP(S171,use_fish!A:A,use_fish!K:K),0),_xlfn.IFNA(LOOKUP(T171,use_fish!A:A,use_fish!K:K),0),_xlfn.IFNA(LOOKUP(U171,use_fish!A:A,use_fish!K:K),0),_xlfn.IFNA(LOOKUP(V171,use_fish!A:A,use_fish!K:K),0),_xlfn.IFNA(LOOKUP(W171,use_fish!A:A,use_fish!K:K),0),)</f>
        <v>0</v>
      </c>
      <c r="K171" s="81"/>
      <c r="L171" s="81"/>
      <c r="M171" s="81"/>
      <c r="N171" s="81"/>
      <c r="O171" s="81"/>
      <c r="P171" s="81"/>
      <c r="Q171" s="81">
        <v>154</v>
      </c>
    </row>
    <row r="172" spans="1:17" x14ac:dyDescent="0.2">
      <c r="A172" s="81">
        <v>171</v>
      </c>
      <c r="B172" s="81">
        <v>1</v>
      </c>
      <c r="C172" s="81" t="s">
        <v>489</v>
      </c>
      <c r="D172" s="81"/>
      <c r="E172" s="81"/>
      <c r="F172" s="81"/>
      <c r="G172" s="81"/>
      <c r="H172" s="81">
        <f>SUM(_xlfn.IFNA(LOOKUP(Q172,use_fish!A:A,use_fish!E:E),0),_xlfn.IFNA(LOOKUP(R172,use_fish!A:A,use_fish!E:E),0),_xlfn.IFNA(LOOKUP(S172,use_fish!A:A,use_fish!E:E),0),_xlfn.IFNA(LOOKUP(T172,use_fish!A:A,use_fish!E:E),0),_xlfn.IFNA(LOOKUP(U172,use_fish!A:A,use_fish!E:E),0),_xlfn.IFNA(LOOKUP(V172,use_fish!A:A,use_fish!E:E),0),_xlfn.IFNA(LOOKUP(W172,use_fish!A:A,use_fish!E:E),0),)</f>
        <v>35</v>
      </c>
      <c r="I172" s="81">
        <f>SUM(_xlfn.IFNA(LOOKUP(Q172,use_fish!A:A,use_fish!I:I),0),_xlfn.IFNA(LOOKUP(R172,use_fish!A:A,use_fish!I:I),0),_xlfn.IFNA(LOOKUP(S172,use_fish!A:A,use_fish!I:I),0),_xlfn.IFNA(LOOKUP(T172,use_fish!A:A,use_fish!I:I),0),_xlfn.IFNA(LOOKUP(U172,use_fish!A:A,use_fish!I:I),0),_xlfn.IFNA(LOOKUP(V172,use_fish!A:A,use_fish!I:I),0),_xlfn.IFNA(LOOKUP(W172,use_fish!A:A,use_fish!I:I),0),)</f>
        <v>35</v>
      </c>
      <c r="J172" s="84">
        <f>SUM(_xlfn.IFNA(LOOKUP(Q172,use_fish!A:A,use_fish!K:K),0),_xlfn.IFNA(LOOKUP(R172,use_fish!A:A,use_fish!K:K),0),_xlfn.IFNA(LOOKUP(S172,use_fish!A:A,use_fish!K:K),0),_xlfn.IFNA(LOOKUP(T172,use_fish!A:A,use_fish!K:K),0),_xlfn.IFNA(LOOKUP(U172,use_fish!A:A,use_fish!K:K),0),_xlfn.IFNA(LOOKUP(V172,use_fish!A:A,use_fish!K:K),0),_xlfn.IFNA(LOOKUP(W172,use_fish!A:A,use_fish!K:K),0),)</f>
        <v>0</v>
      </c>
      <c r="K172" s="81"/>
      <c r="L172" s="81"/>
      <c r="M172" s="81"/>
      <c r="N172" s="81"/>
      <c r="O172" s="81"/>
      <c r="P172" s="81"/>
      <c r="Q172" s="81">
        <v>155</v>
      </c>
    </row>
    <row r="173" spans="1:17" x14ac:dyDescent="0.2">
      <c r="A173" s="81">
        <v>172</v>
      </c>
      <c r="B173" s="81">
        <v>1</v>
      </c>
      <c r="C173" s="81" t="s">
        <v>490</v>
      </c>
      <c r="D173" s="81"/>
      <c r="E173" s="81"/>
      <c r="F173" s="81"/>
      <c r="G173" s="81"/>
      <c r="H173" s="81">
        <f>SUM(_xlfn.IFNA(LOOKUP(Q173,use_fish!A:A,use_fish!E:E),0),_xlfn.IFNA(LOOKUP(R173,use_fish!A:A,use_fish!E:E),0),_xlfn.IFNA(LOOKUP(S173,use_fish!A:A,use_fish!E:E),0),_xlfn.IFNA(LOOKUP(T173,use_fish!A:A,use_fish!E:E),0),_xlfn.IFNA(LOOKUP(U173,use_fish!A:A,use_fish!E:E),0),_xlfn.IFNA(LOOKUP(V173,use_fish!A:A,use_fish!E:E),0),_xlfn.IFNA(LOOKUP(W173,use_fish!A:A,use_fish!E:E),0),)</f>
        <v>40</v>
      </c>
      <c r="I173" s="81">
        <f>SUM(_xlfn.IFNA(LOOKUP(Q173,use_fish!A:A,use_fish!I:I),0),_xlfn.IFNA(LOOKUP(R173,use_fish!A:A,use_fish!I:I),0),_xlfn.IFNA(LOOKUP(S173,use_fish!A:A,use_fish!I:I),0),_xlfn.IFNA(LOOKUP(T173,use_fish!A:A,use_fish!I:I),0),_xlfn.IFNA(LOOKUP(U173,use_fish!A:A,use_fish!I:I),0),_xlfn.IFNA(LOOKUP(V173,use_fish!A:A,use_fish!I:I),0),_xlfn.IFNA(LOOKUP(W173,use_fish!A:A,use_fish!I:I),0),)</f>
        <v>40</v>
      </c>
      <c r="J173" s="84">
        <f>SUM(_xlfn.IFNA(LOOKUP(Q173,use_fish!A:A,use_fish!K:K),0),_xlfn.IFNA(LOOKUP(R173,use_fish!A:A,use_fish!K:K),0),_xlfn.IFNA(LOOKUP(S173,use_fish!A:A,use_fish!K:K),0),_xlfn.IFNA(LOOKUP(T173,use_fish!A:A,use_fish!K:K),0),_xlfn.IFNA(LOOKUP(U173,use_fish!A:A,use_fish!K:K),0),_xlfn.IFNA(LOOKUP(V173,use_fish!A:A,use_fish!K:K),0),_xlfn.IFNA(LOOKUP(W173,use_fish!A:A,use_fish!K:K),0),)</f>
        <v>0</v>
      </c>
      <c r="K173" s="81"/>
      <c r="L173" s="81"/>
      <c r="M173" s="81"/>
      <c r="N173" s="81"/>
      <c r="O173" s="81"/>
      <c r="P173" s="81"/>
      <c r="Q173" s="81">
        <v>156</v>
      </c>
    </row>
    <row r="174" spans="1:17" x14ac:dyDescent="0.2">
      <c r="A174" s="81">
        <v>173</v>
      </c>
      <c r="B174" s="81">
        <v>1</v>
      </c>
      <c r="C174" s="81" t="s">
        <v>491</v>
      </c>
      <c r="D174" s="81"/>
      <c r="E174" s="81"/>
      <c r="F174" s="81"/>
      <c r="G174" s="81"/>
      <c r="H174" s="81">
        <f>SUM(_xlfn.IFNA(LOOKUP(Q174,use_fish!A:A,use_fish!E:E),0),_xlfn.IFNA(LOOKUP(R174,use_fish!A:A,use_fish!E:E),0),_xlfn.IFNA(LOOKUP(S174,use_fish!A:A,use_fish!E:E),0),_xlfn.IFNA(LOOKUP(T174,use_fish!A:A,use_fish!E:E),0),_xlfn.IFNA(LOOKUP(U174,use_fish!A:A,use_fish!E:E),0),_xlfn.IFNA(LOOKUP(V174,use_fish!A:A,use_fish!E:E),0),_xlfn.IFNA(LOOKUP(W174,use_fish!A:A,use_fish!E:E),0),)</f>
        <v>45</v>
      </c>
      <c r="I174" s="81">
        <f>SUM(_xlfn.IFNA(LOOKUP(Q174,use_fish!A:A,use_fish!I:I),0),_xlfn.IFNA(LOOKUP(R174,use_fish!A:A,use_fish!I:I),0),_xlfn.IFNA(LOOKUP(S174,use_fish!A:A,use_fish!I:I),0),_xlfn.IFNA(LOOKUP(T174,use_fish!A:A,use_fish!I:I),0),_xlfn.IFNA(LOOKUP(U174,use_fish!A:A,use_fish!I:I),0),_xlfn.IFNA(LOOKUP(V174,use_fish!A:A,use_fish!I:I),0),_xlfn.IFNA(LOOKUP(W174,use_fish!A:A,use_fish!I:I),0),)</f>
        <v>45</v>
      </c>
      <c r="J174" s="84">
        <f>SUM(_xlfn.IFNA(LOOKUP(Q174,use_fish!A:A,use_fish!K:K),0),_xlfn.IFNA(LOOKUP(R174,use_fish!A:A,use_fish!K:K),0),_xlfn.IFNA(LOOKUP(S174,use_fish!A:A,use_fish!K:K),0),_xlfn.IFNA(LOOKUP(T174,use_fish!A:A,use_fish!K:K),0),_xlfn.IFNA(LOOKUP(U174,use_fish!A:A,use_fish!K:K),0),_xlfn.IFNA(LOOKUP(V174,use_fish!A:A,use_fish!K:K),0),_xlfn.IFNA(LOOKUP(W174,use_fish!A:A,use_fish!K:K),0),)</f>
        <v>0</v>
      </c>
      <c r="K174" s="81"/>
      <c r="L174" s="81"/>
      <c r="M174" s="81"/>
      <c r="N174" s="81"/>
      <c r="O174" s="81"/>
      <c r="P174" s="81"/>
      <c r="Q174" s="81">
        <v>157</v>
      </c>
    </row>
    <row r="175" spans="1:17" x14ac:dyDescent="0.2">
      <c r="A175" s="81">
        <v>174</v>
      </c>
      <c r="B175" s="81">
        <v>1</v>
      </c>
      <c r="C175" s="81" t="s">
        <v>492</v>
      </c>
      <c r="D175" s="81"/>
      <c r="E175" s="81"/>
      <c r="F175" s="81"/>
      <c r="G175" s="81"/>
      <c r="H175" s="81">
        <f>SUM(_xlfn.IFNA(LOOKUP(Q175,use_fish!A:A,use_fish!E:E),0),_xlfn.IFNA(LOOKUP(R175,use_fish!A:A,use_fish!E:E),0),_xlfn.IFNA(LOOKUP(S175,use_fish!A:A,use_fish!E:E),0),_xlfn.IFNA(LOOKUP(T175,use_fish!A:A,use_fish!E:E),0),_xlfn.IFNA(LOOKUP(U175,use_fish!A:A,use_fish!E:E),0),_xlfn.IFNA(LOOKUP(V175,use_fish!A:A,use_fish!E:E),0),_xlfn.IFNA(LOOKUP(W175,use_fish!A:A,use_fish!E:E),0),)</f>
        <v>50</v>
      </c>
      <c r="I175" s="81">
        <f>SUM(_xlfn.IFNA(LOOKUP(Q175,use_fish!A:A,use_fish!I:I),0),_xlfn.IFNA(LOOKUP(R175,use_fish!A:A,use_fish!I:I),0),_xlfn.IFNA(LOOKUP(S175,use_fish!A:A,use_fish!I:I),0),_xlfn.IFNA(LOOKUP(T175,use_fish!A:A,use_fish!I:I),0),_xlfn.IFNA(LOOKUP(U175,use_fish!A:A,use_fish!I:I),0),_xlfn.IFNA(LOOKUP(V175,use_fish!A:A,use_fish!I:I),0),_xlfn.IFNA(LOOKUP(W175,use_fish!A:A,use_fish!I:I),0),)</f>
        <v>50</v>
      </c>
      <c r="J175" s="84">
        <f>SUM(_xlfn.IFNA(LOOKUP(Q175,use_fish!A:A,use_fish!K:K),0),_xlfn.IFNA(LOOKUP(R175,use_fish!A:A,use_fish!K:K),0),_xlfn.IFNA(LOOKUP(S175,use_fish!A:A,use_fish!K:K),0),_xlfn.IFNA(LOOKUP(T175,use_fish!A:A,use_fish!K:K),0),_xlfn.IFNA(LOOKUP(U175,use_fish!A:A,use_fish!K:K),0),_xlfn.IFNA(LOOKUP(V175,use_fish!A:A,use_fish!K:K),0),_xlfn.IFNA(LOOKUP(W175,use_fish!A:A,use_fish!K:K),0),)</f>
        <v>0</v>
      </c>
      <c r="K175" s="81"/>
      <c r="L175" s="81"/>
      <c r="M175" s="81"/>
      <c r="N175" s="81"/>
      <c r="O175" s="81"/>
      <c r="P175" s="81"/>
      <c r="Q175" s="81">
        <v>158</v>
      </c>
    </row>
    <row r="176" spans="1:17" x14ac:dyDescent="0.2">
      <c r="A176" s="81">
        <v>175</v>
      </c>
      <c r="B176" s="81">
        <v>1</v>
      </c>
      <c r="C176" s="81" t="s">
        <v>493</v>
      </c>
      <c r="D176" s="81"/>
      <c r="E176" s="81"/>
      <c r="F176" s="81"/>
      <c r="G176" s="81"/>
      <c r="H176" s="81">
        <f>SUM(_xlfn.IFNA(LOOKUP(Q176,use_fish!A:A,use_fish!E:E),0),_xlfn.IFNA(LOOKUP(R176,use_fish!A:A,use_fish!E:E),0),_xlfn.IFNA(LOOKUP(S176,use_fish!A:A,use_fish!E:E),0),_xlfn.IFNA(LOOKUP(T176,use_fish!A:A,use_fish!E:E),0),_xlfn.IFNA(LOOKUP(U176,use_fish!A:A,use_fish!E:E),0),_xlfn.IFNA(LOOKUP(V176,use_fish!A:A,use_fish!E:E),0),_xlfn.IFNA(LOOKUP(W176,use_fish!A:A,use_fish!E:E),0),)</f>
        <v>70</v>
      </c>
      <c r="I176" s="81">
        <f>SUM(_xlfn.IFNA(LOOKUP(Q176,use_fish!A:A,use_fish!I:I),0),_xlfn.IFNA(LOOKUP(R176,use_fish!A:A,use_fish!I:I),0),_xlfn.IFNA(LOOKUP(S176,use_fish!A:A,use_fish!I:I),0),_xlfn.IFNA(LOOKUP(T176,use_fish!A:A,use_fish!I:I),0),_xlfn.IFNA(LOOKUP(U176,use_fish!A:A,use_fish!I:I),0),_xlfn.IFNA(LOOKUP(V176,use_fish!A:A,use_fish!I:I),0),_xlfn.IFNA(LOOKUP(W176,use_fish!A:A,use_fish!I:I),0),)</f>
        <v>70</v>
      </c>
      <c r="J176" s="84">
        <f>SUM(_xlfn.IFNA(LOOKUP(Q176,use_fish!A:A,use_fish!K:K),0),_xlfn.IFNA(LOOKUP(R176,use_fish!A:A,use_fish!K:K),0),_xlfn.IFNA(LOOKUP(S176,use_fish!A:A,use_fish!K:K),0),_xlfn.IFNA(LOOKUP(T176,use_fish!A:A,use_fish!K:K),0),_xlfn.IFNA(LOOKUP(U176,use_fish!A:A,use_fish!K:K),0),_xlfn.IFNA(LOOKUP(V176,use_fish!A:A,use_fish!K:K),0),_xlfn.IFNA(LOOKUP(W176,use_fish!A:A,use_fish!K:K),0),)</f>
        <v>0</v>
      </c>
      <c r="K176" s="81"/>
      <c r="L176" s="81"/>
      <c r="M176" s="81"/>
      <c r="N176" s="81"/>
      <c r="O176" s="81"/>
      <c r="P176" s="81"/>
      <c r="Q176" s="81">
        <v>159</v>
      </c>
    </row>
    <row r="177" spans="1:17" x14ac:dyDescent="0.2">
      <c r="A177" s="81">
        <v>176</v>
      </c>
      <c r="B177" s="81">
        <v>1</v>
      </c>
      <c r="C177" s="81" t="s">
        <v>494</v>
      </c>
      <c r="D177" s="81"/>
      <c r="E177" s="81"/>
      <c r="F177" s="81"/>
      <c r="G177" s="81"/>
      <c r="H177" s="81">
        <f>SUM(_xlfn.IFNA(LOOKUP(Q177,use_fish!A:A,use_fish!E:E),0),_xlfn.IFNA(LOOKUP(R177,use_fish!A:A,use_fish!E:E),0),_xlfn.IFNA(LOOKUP(S177,use_fish!A:A,use_fish!E:E),0),_xlfn.IFNA(LOOKUP(T177,use_fish!A:A,use_fish!E:E),0),_xlfn.IFNA(LOOKUP(U177,use_fish!A:A,use_fish!E:E),0),_xlfn.IFNA(LOOKUP(V177,use_fish!A:A,use_fish!E:E),0),_xlfn.IFNA(LOOKUP(W177,use_fish!A:A,use_fish!E:E),0),)</f>
        <v>250</v>
      </c>
      <c r="I177" s="81">
        <f>SUM(_xlfn.IFNA(LOOKUP(Q177,use_fish!A:A,use_fish!I:I),0),_xlfn.IFNA(LOOKUP(R177,use_fish!A:A,use_fish!I:I),0),_xlfn.IFNA(LOOKUP(S177,use_fish!A:A,use_fish!I:I),0),_xlfn.IFNA(LOOKUP(T177,use_fish!A:A,use_fish!I:I),0),_xlfn.IFNA(LOOKUP(U177,use_fish!A:A,use_fish!I:I),0),_xlfn.IFNA(LOOKUP(V177,use_fish!A:A,use_fish!I:I),0),_xlfn.IFNA(LOOKUP(W177,use_fish!A:A,use_fish!I:I),0),)</f>
        <v>250</v>
      </c>
      <c r="J177" s="84">
        <f>SUM(_xlfn.IFNA(LOOKUP(Q177,use_fish!A:A,use_fish!K:K),0),_xlfn.IFNA(LOOKUP(R177,use_fish!A:A,use_fish!K:K),0),_xlfn.IFNA(LOOKUP(S177,use_fish!A:A,use_fish!K:K),0),_xlfn.IFNA(LOOKUP(T177,use_fish!A:A,use_fish!K:K),0),_xlfn.IFNA(LOOKUP(U177,use_fish!A:A,use_fish!K:K),0),_xlfn.IFNA(LOOKUP(V177,use_fish!A:A,use_fish!K:K),0),_xlfn.IFNA(LOOKUP(W177,use_fish!A:A,use_fish!K:K),0),)</f>
        <v>0</v>
      </c>
      <c r="K177" s="81"/>
      <c r="L177" s="81"/>
      <c r="M177" s="81"/>
      <c r="N177" s="81"/>
      <c r="O177" s="81"/>
      <c r="P177" s="81"/>
      <c r="Q177" s="81">
        <v>160</v>
      </c>
    </row>
    <row r="178" spans="1:17" x14ac:dyDescent="0.2">
      <c r="A178" s="81">
        <v>177</v>
      </c>
      <c r="B178" s="81">
        <v>1</v>
      </c>
      <c r="C178" s="81" t="s">
        <v>495</v>
      </c>
      <c r="D178" s="81"/>
      <c r="E178" s="81"/>
      <c r="F178" s="81"/>
      <c r="G178" s="81"/>
      <c r="H178" s="81">
        <f>SUM(_xlfn.IFNA(LOOKUP(Q178,use_fish!A:A,use_fish!E:E),0),_xlfn.IFNA(LOOKUP(R178,use_fish!A:A,use_fish!E:E),0),_xlfn.IFNA(LOOKUP(S178,use_fish!A:A,use_fish!E:E),0),_xlfn.IFNA(LOOKUP(T178,use_fish!A:A,use_fish!E:E),0),_xlfn.IFNA(LOOKUP(U178,use_fish!A:A,use_fish!E:E),0),_xlfn.IFNA(LOOKUP(V178,use_fish!A:A,use_fish!E:E),0),_xlfn.IFNA(LOOKUP(W178,use_fish!A:A,use_fish!E:E),0),)</f>
        <v>350</v>
      </c>
      <c r="I178" s="81">
        <f>SUM(_xlfn.IFNA(LOOKUP(Q178,use_fish!A:A,use_fish!I:I),0),_xlfn.IFNA(LOOKUP(R178,use_fish!A:A,use_fish!I:I),0),_xlfn.IFNA(LOOKUP(S178,use_fish!A:A,use_fish!I:I),0),_xlfn.IFNA(LOOKUP(T178,use_fish!A:A,use_fish!I:I),0),_xlfn.IFNA(LOOKUP(U178,use_fish!A:A,use_fish!I:I),0),_xlfn.IFNA(LOOKUP(V178,use_fish!A:A,use_fish!I:I),0),_xlfn.IFNA(LOOKUP(W178,use_fish!A:A,use_fish!I:I),0),)</f>
        <v>350</v>
      </c>
      <c r="J178" s="84">
        <f>SUM(_xlfn.IFNA(LOOKUP(Q178,use_fish!A:A,use_fish!K:K),0),_xlfn.IFNA(LOOKUP(R178,use_fish!A:A,use_fish!K:K),0),_xlfn.IFNA(LOOKUP(S178,use_fish!A:A,use_fish!K:K),0),_xlfn.IFNA(LOOKUP(T178,use_fish!A:A,use_fish!K:K),0),_xlfn.IFNA(LOOKUP(U178,use_fish!A:A,use_fish!K:K),0),_xlfn.IFNA(LOOKUP(V178,use_fish!A:A,use_fish!K:K),0),_xlfn.IFNA(LOOKUP(W178,use_fish!A:A,use_fish!K:K),0),)</f>
        <v>0</v>
      </c>
      <c r="K178" s="81"/>
      <c r="L178" s="81"/>
      <c r="M178" s="81"/>
      <c r="N178" s="81"/>
      <c r="O178" s="81"/>
      <c r="P178" s="81"/>
      <c r="Q178" s="81">
        <v>161</v>
      </c>
    </row>
    <row r="179" spans="1:17" x14ac:dyDescent="0.2">
      <c r="A179" s="81">
        <v>178</v>
      </c>
      <c r="B179" s="81">
        <v>1</v>
      </c>
      <c r="C179" s="81" t="s">
        <v>496</v>
      </c>
      <c r="D179" s="81"/>
      <c r="E179" s="81"/>
      <c r="F179" s="81"/>
      <c r="G179" s="81"/>
      <c r="H179" s="81">
        <f>SUM(_xlfn.IFNA(LOOKUP(Q179,use_fish!A:A,use_fish!E:E),0),_xlfn.IFNA(LOOKUP(R179,use_fish!A:A,use_fish!E:E),0),_xlfn.IFNA(LOOKUP(S179,use_fish!A:A,use_fish!E:E),0),_xlfn.IFNA(LOOKUP(T179,use_fish!A:A,use_fish!E:E),0),_xlfn.IFNA(LOOKUP(U179,use_fish!A:A,use_fish!E:E),0),_xlfn.IFNA(LOOKUP(V179,use_fish!A:A,use_fish!E:E),0),_xlfn.IFNA(LOOKUP(W179,use_fish!A:A,use_fish!E:E),0),)</f>
        <v>450</v>
      </c>
      <c r="I179" s="81">
        <f>SUM(_xlfn.IFNA(LOOKUP(Q179,use_fish!A:A,use_fish!I:I),0),_xlfn.IFNA(LOOKUP(R179,use_fish!A:A,use_fish!I:I),0),_xlfn.IFNA(LOOKUP(S179,use_fish!A:A,use_fish!I:I),0),_xlfn.IFNA(LOOKUP(T179,use_fish!A:A,use_fish!I:I),0),_xlfn.IFNA(LOOKUP(U179,use_fish!A:A,use_fish!I:I),0),_xlfn.IFNA(LOOKUP(V179,use_fish!A:A,use_fish!I:I),0),_xlfn.IFNA(LOOKUP(W179,use_fish!A:A,use_fish!I:I),0),)</f>
        <v>450</v>
      </c>
      <c r="J179" s="84">
        <f>SUM(_xlfn.IFNA(LOOKUP(Q179,use_fish!A:A,use_fish!K:K),0),_xlfn.IFNA(LOOKUP(R179,use_fish!A:A,use_fish!K:K),0),_xlfn.IFNA(LOOKUP(S179,use_fish!A:A,use_fish!K:K),0),_xlfn.IFNA(LOOKUP(T179,use_fish!A:A,use_fish!K:K),0),_xlfn.IFNA(LOOKUP(U179,use_fish!A:A,use_fish!K:K),0),_xlfn.IFNA(LOOKUP(V179,use_fish!A:A,use_fish!K:K),0),_xlfn.IFNA(LOOKUP(W179,use_fish!A:A,use_fish!K:K),0),)</f>
        <v>0</v>
      </c>
      <c r="K179" s="81"/>
      <c r="L179" s="81"/>
      <c r="M179" s="81"/>
      <c r="N179" s="81"/>
      <c r="O179" s="81"/>
      <c r="P179" s="81"/>
      <c r="Q179" s="81">
        <v>162</v>
      </c>
    </row>
    <row r="180" spans="1:17" x14ac:dyDescent="0.2">
      <c r="A180" s="29">
        <v>179</v>
      </c>
      <c r="B180" s="29">
        <v>1</v>
      </c>
      <c r="C180" s="29" t="s">
        <v>497</v>
      </c>
      <c r="D180" s="29"/>
      <c r="E180" s="29"/>
      <c r="F180" s="29"/>
      <c r="G180" s="29"/>
      <c r="H180" s="29">
        <f>SUM(_xlfn.IFNA(LOOKUP(Q180,use_fish!A:A,use_fish!E:E),0),_xlfn.IFNA(LOOKUP(R180,use_fish!A:A,use_fish!E:E),0),_xlfn.IFNA(LOOKUP(S180,use_fish!A:A,use_fish!E:E),0),_xlfn.IFNA(LOOKUP(T180,use_fish!A:A,use_fish!E:E),0),_xlfn.IFNA(LOOKUP(U180,use_fish!A:A,use_fish!E:E),0),_xlfn.IFNA(LOOKUP(V180,use_fish!A:A,use_fish!E:E),0),_xlfn.IFNA(LOOKUP(W180,use_fish!A:A,use_fish!E:E),0),)</f>
        <v>30</v>
      </c>
      <c r="I180" s="29">
        <f>SUM(_xlfn.IFNA(LOOKUP(Q180,use_fish!A:A,use_fish!I:I),0),_xlfn.IFNA(LOOKUP(R180,use_fish!A:A,use_fish!I:I),0),_xlfn.IFNA(LOOKUP(S180,use_fish!A:A,use_fish!I:I),0),_xlfn.IFNA(LOOKUP(T180,use_fish!A:A,use_fish!I:I),0),_xlfn.IFNA(LOOKUP(U180,use_fish!A:A,use_fish!I:I),0),_xlfn.IFNA(LOOKUP(V180,use_fish!A:A,use_fish!I:I),0),_xlfn.IFNA(LOOKUP(W180,use_fish!A:A,use_fish!I:I),0),)</f>
        <v>30</v>
      </c>
      <c r="J180" s="30">
        <f>SUM(_xlfn.IFNA(LOOKUP(Q180,use_fish!A:A,use_fish!K:K),0),_xlfn.IFNA(LOOKUP(R180,use_fish!A:A,use_fish!K:K),0),_xlfn.IFNA(LOOKUP(S180,use_fish!A:A,use_fish!K:K),0),_xlfn.IFNA(LOOKUP(T180,use_fish!A:A,use_fish!K:K),0),_xlfn.IFNA(LOOKUP(U180,use_fish!A:A,use_fish!K:K),0),_xlfn.IFNA(LOOKUP(V180,use_fish!A:A,use_fish!K:K),0),_xlfn.IFNA(LOOKUP(W180,use_fish!A:A,use_fish!K:K),0),)</f>
        <v>0</v>
      </c>
      <c r="K180" s="29"/>
      <c r="L180" s="29"/>
      <c r="M180" s="29"/>
      <c r="N180" s="29"/>
      <c r="O180" s="29"/>
      <c r="P180" s="29"/>
      <c r="Q180" s="29">
        <v>163</v>
      </c>
    </row>
    <row r="181" spans="1:17" x14ac:dyDescent="0.2">
      <c r="A181" s="29">
        <v>180</v>
      </c>
      <c r="B181" s="29">
        <v>1</v>
      </c>
      <c r="C181" s="29" t="s">
        <v>498</v>
      </c>
      <c r="D181" s="29"/>
      <c r="E181" s="29"/>
      <c r="F181" s="29"/>
      <c r="G181" s="29"/>
      <c r="H181" s="29">
        <f>SUM(_xlfn.IFNA(LOOKUP(Q181,use_fish!A:A,use_fish!E:E),0),_xlfn.IFNA(LOOKUP(R181,use_fish!A:A,use_fish!E:E),0),_xlfn.IFNA(LOOKUP(S181,use_fish!A:A,use_fish!E:E),0),_xlfn.IFNA(LOOKUP(T181,use_fish!A:A,use_fish!E:E),0),_xlfn.IFNA(LOOKUP(U181,use_fish!A:A,use_fish!E:E),0),_xlfn.IFNA(LOOKUP(V181,use_fish!A:A,use_fish!E:E),0),_xlfn.IFNA(LOOKUP(W181,use_fish!A:A,use_fish!E:E),0),)</f>
        <v>35</v>
      </c>
      <c r="I181" s="29">
        <f>SUM(_xlfn.IFNA(LOOKUP(Q181,use_fish!A:A,use_fish!I:I),0),_xlfn.IFNA(LOOKUP(R181,use_fish!A:A,use_fish!I:I),0),_xlfn.IFNA(LOOKUP(S181,use_fish!A:A,use_fish!I:I),0),_xlfn.IFNA(LOOKUP(T181,use_fish!A:A,use_fish!I:I),0),_xlfn.IFNA(LOOKUP(U181,use_fish!A:A,use_fish!I:I),0),_xlfn.IFNA(LOOKUP(V181,use_fish!A:A,use_fish!I:I),0),_xlfn.IFNA(LOOKUP(W181,use_fish!A:A,use_fish!I:I),0),)</f>
        <v>35</v>
      </c>
      <c r="J181" s="30">
        <f>SUM(_xlfn.IFNA(LOOKUP(Q181,use_fish!A:A,use_fish!K:K),0),_xlfn.IFNA(LOOKUP(R181,use_fish!A:A,use_fish!K:K),0),_xlfn.IFNA(LOOKUP(S181,use_fish!A:A,use_fish!K:K),0),_xlfn.IFNA(LOOKUP(T181,use_fish!A:A,use_fish!K:K),0),_xlfn.IFNA(LOOKUP(U181,use_fish!A:A,use_fish!K:K),0),_xlfn.IFNA(LOOKUP(V181,use_fish!A:A,use_fish!K:K),0),_xlfn.IFNA(LOOKUP(W181,use_fish!A:A,use_fish!K:K),0),)</f>
        <v>0</v>
      </c>
      <c r="K181" s="29"/>
      <c r="L181" s="29"/>
      <c r="M181" s="29"/>
      <c r="N181" s="29"/>
      <c r="O181" s="29"/>
      <c r="P181" s="29"/>
      <c r="Q181" s="29">
        <v>164</v>
      </c>
    </row>
    <row r="182" spans="1:17" x14ac:dyDescent="0.2">
      <c r="A182" s="29">
        <v>181</v>
      </c>
      <c r="B182" s="29">
        <v>1</v>
      </c>
      <c r="C182" s="29" t="s">
        <v>499</v>
      </c>
      <c r="D182" s="29"/>
      <c r="E182" s="29"/>
      <c r="F182" s="29"/>
      <c r="G182" s="29"/>
      <c r="H182" s="29">
        <f>SUM(_xlfn.IFNA(LOOKUP(Q182,use_fish!A:A,use_fish!E:E),0),_xlfn.IFNA(LOOKUP(R182,use_fish!A:A,use_fish!E:E),0),_xlfn.IFNA(LOOKUP(S182,use_fish!A:A,use_fish!E:E),0),_xlfn.IFNA(LOOKUP(T182,use_fish!A:A,use_fish!E:E),0),_xlfn.IFNA(LOOKUP(U182,use_fish!A:A,use_fish!E:E),0),_xlfn.IFNA(LOOKUP(V182,use_fish!A:A,use_fish!E:E),0),_xlfn.IFNA(LOOKUP(W182,use_fish!A:A,use_fish!E:E),0),)</f>
        <v>40</v>
      </c>
      <c r="I182" s="29">
        <f>SUM(_xlfn.IFNA(LOOKUP(Q182,use_fish!A:A,use_fish!I:I),0),_xlfn.IFNA(LOOKUP(R182,use_fish!A:A,use_fish!I:I),0),_xlfn.IFNA(LOOKUP(S182,use_fish!A:A,use_fish!I:I),0),_xlfn.IFNA(LOOKUP(T182,use_fish!A:A,use_fish!I:I),0),_xlfn.IFNA(LOOKUP(U182,use_fish!A:A,use_fish!I:I),0),_xlfn.IFNA(LOOKUP(V182,use_fish!A:A,use_fish!I:I),0),_xlfn.IFNA(LOOKUP(W182,use_fish!A:A,use_fish!I:I),0),)</f>
        <v>40</v>
      </c>
      <c r="J182" s="30">
        <f>SUM(_xlfn.IFNA(LOOKUP(Q182,use_fish!A:A,use_fish!K:K),0),_xlfn.IFNA(LOOKUP(R182,use_fish!A:A,use_fish!K:K),0),_xlfn.IFNA(LOOKUP(S182,use_fish!A:A,use_fish!K:K),0),_xlfn.IFNA(LOOKUP(T182,use_fish!A:A,use_fish!K:K),0),_xlfn.IFNA(LOOKUP(U182,use_fish!A:A,use_fish!K:K),0),_xlfn.IFNA(LOOKUP(V182,use_fish!A:A,use_fish!K:K),0),_xlfn.IFNA(LOOKUP(W182,use_fish!A:A,use_fish!K:K),0),)</f>
        <v>0</v>
      </c>
      <c r="K182" s="29"/>
      <c r="L182" s="29"/>
      <c r="M182" s="29"/>
      <c r="N182" s="29"/>
      <c r="O182" s="29"/>
      <c r="P182" s="29"/>
      <c r="Q182" s="29">
        <v>165</v>
      </c>
    </row>
    <row r="183" spans="1:17" x14ac:dyDescent="0.2">
      <c r="A183" s="29">
        <v>182</v>
      </c>
      <c r="B183" s="29">
        <v>1</v>
      </c>
      <c r="C183" s="29" t="s">
        <v>500</v>
      </c>
      <c r="D183" s="29"/>
      <c r="E183" s="29"/>
      <c r="F183" s="29"/>
      <c r="G183" s="29"/>
      <c r="H183" s="29">
        <f>SUM(_xlfn.IFNA(LOOKUP(Q183,use_fish!A:A,use_fish!E:E),0),_xlfn.IFNA(LOOKUP(R183,use_fish!A:A,use_fish!E:E),0),_xlfn.IFNA(LOOKUP(S183,use_fish!A:A,use_fish!E:E),0),_xlfn.IFNA(LOOKUP(T183,use_fish!A:A,use_fish!E:E),0),_xlfn.IFNA(LOOKUP(U183,use_fish!A:A,use_fish!E:E),0),_xlfn.IFNA(LOOKUP(V183,use_fish!A:A,use_fish!E:E),0),_xlfn.IFNA(LOOKUP(W183,use_fish!A:A,use_fish!E:E),0),)</f>
        <v>45</v>
      </c>
      <c r="I183" s="29">
        <f>SUM(_xlfn.IFNA(LOOKUP(Q183,use_fish!A:A,use_fish!I:I),0),_xlfn.IFNA(LOOKUP(R183,use_fish!A:A,use_fish!I:I),0),_xlfn.IFNA(LOOKUP(S183,use_fish!A:A,use_fish!I:I),0),_xlfn.IFNA(LOOKUP(T183,use_fish!A:A,use_fish!I:I),0),_xlfn.IFNA(LOOKUP(U183,use_fish!A:A,use_fish!I:I),0),_xlfn.IFNA(LOOKUP(V183,use_fish!A:A,use_fish!I:I),0),_xlfn.IFNA(LOOKUP(W183,use_fish!A:A,use_fish!I:I),0),)</f>
        <v>45</v>
      </c>
      <c r="J183" s="30">
        <f>SUM(_xlfn.IFNA(LOOKUP(Q183,use_fish!A:A,use_fish!K:K),0),_xlfn.IFNA(LOOKUP(R183,use_fish!A:A,use_fish!K:K),0),_xlfn.IFNA(LOOKUP(S183,use_fish!A:A,use_fish!K:K),0),_xlfn.IFNA(LOOKUP(T183,use_fish!A:A,use_fish!K:K),0),_xlfn.IFNA(LOOKUP(U183,use_fish!A:A,use_fish!K:K),0),_xlfn.IFNA(LOOKUP(V183,use_fish!A:A,use_fish!K:K),0),_xlfn.IFNA(LOOKUP(W183,use_fish!A:A,use_fish!K:K),0),)</f>
        <v>0</v>
      </c>
      <c r="K183" s="29"/>
      <c r="L183" s="29"/>
      <c r="M183" s="29"/>
      <c r="N183" s="29"/>
      <c r="O183" s="29"/>
      <c r="P183" s="29"/>
      <c r="Q183" s="29">
        <v>166</v>
      </c>
    </row>
    <row r="184" spans="1:17" x14ac:dyDescent="0.2">
      <c r="A184" s="29">
        <v>183</v>
      </c>
      <c r="B184" s="29">
        <v>1</v>
      </c>
      <c r="C184" s="29" t="s">
        <v>501</v>
      </c>
      <c r="D184" s="29"/>
      <c r="E184" s="29"/>
      <c r="F184" s="29"/>
      <c r="G184" s="29"/>
      <c r="H184" s="29">
        <f>SUM(_xlfn.IFNA(LOOKUP(Q184,use_fish!A:A,use_fish!E:E),0),_xlfn.IFNA(LOOKUP(R184,use_fish!A:A,use_fish!E:E),0),_xlfn.IFNA(LOOKUP(S184,use_fish!A:A,use_fish!E:E),0),_xlfn.IFNA(LOOKUP(T184,use_fish!A:A,use_fish!E:E),0),_xlfn.IFNA(LOOKUP(U184,use_fish!A:A,use_fish!E:E),0),_xlfn.IFNA(LOOKUP(V184,use_fish!A:A,use_fish!E:E),0),_xlfn.IFNA(LOOKUP(W184,use_fish!A:A,use_fish!E:E),0),)</f>
        <v>50</v>
      </c>
      <c r="I184" s="29">
        <f>SUM(_xlfn.IFNA(LOOKUP(Q184,use_fish!A:A,use_fish!I:I),0),_xlfn.IFNA(LOOKUP(R184,use_fish!A:A,use_fish!I:I),0),_xlfn.IFNA(LOOKUP(S184,use_fish!A:A,use_fish!I:I),0),_xlfn.IFNA(LOOKUP(T184,use_fish!A:A,use_fish!I:I),0),_xlfn.IFNA(LOOKUP(U184,use_fish!A:A,use_fish!I:I),0),_xlfn.IFNA(LOOKUP(V184,use_fish!A:A,use_fish!I:I),0),_xlfn.IFNA(LOOKUP(W184,use_fish!A:A,use_fish!I:I),0),)</f>
        <v>50</v>
      </c>
      <c r="J184" s="30">
        <f>SUM(_xlfn.IFNA(LOOKUP(Q184,use_fish!A:A,use_fish!K:K),0),_xlfn.IFNA(LOOKUP(R184,use_fish!A:A,use_fish!K:K),0),_xlfn.IFNA(LOOKUP(S184,use_fish!A:A,use_fish!K:K),0),_xlfn.IFNA(LOOKUP(T184,use_fish!A:A,use_fish!K:K),0),_xlfn.IFNA(LOOKUP(U184,use_fish!A:A,use_fish!K:K),0),_xlfn.IFNA(LOOKUP(V184,use_fish!A:A,use_fish!K:K),0),_xlfn.IFNA(LOOKUP(W184,use_fish!A:A,use_fish!K:K),0),)</f>
        <v>0</v>
      </c>
      <c r="K184" s="29"/>
      <c r="L184" s="29"/>
      <c r="M184" s="29"/>
      <c r="N184" s="29"/>
      <c r="O184" s="29"/>
      <c r="P184" s="29"/>
      <c r="Q184" s="29">
        <v>167</v>
      </c>
    </row>
    <row r="185" spans="1:17" x14ac:dyDescent="0.2">
      <c r="A185" s="29">
        <v>184</v>
      </c>
      <c r="B185" s="29">
        <v>1</v>
      </c>
      <c r="C185" s="29" t="s">
        <v>502</v>
      </c>
      <c r="D185" s="29"/>
      <c r="E185" s="29"/>
      <c r="F185" s="29"/>
      <c r="G185" s="29"/>
      <c r="H185" s="29">
        <f>SUM(_xlfn.IFNA(LOOKUP(Q185,use_fish!A:A,use_fish!E:E),0),_xlfn.IFNA(LOOKUP(R185,use_fish!A:A,use_fish!E:E),0),_xlfn.IFNA(LOOKUP(S185,use_fish!A:A,use_fish!E:E),0),_xlfn.IFNA(LOOKUP(T185,use_fish!A:A,use_fish!E:E),0),_xlfn.IFNA(LOOKUP(U185,use_fish!A:A,use_fish!E:E),0),_xlfn.IFNA(LOOKUP(V185,use_fish!A:A,use_fish!E:E),0),_xlfn.IFNA(LOOKUP(W185,use_fish!A:A,use_fish!E:E),0),)</f>
        <v>70</v>
      </c>
      <c r="I185" s="29">
        <f>SUM(_xlfn.IFNA(LOOKUP(Q185,use_fish!A:A,use_fish!I:I),0),_xlfn.IFNA(LOOKUP(R185,use_fish!A:A,use_fish!I:I),0),_xlfn.IFNA(LOOKUP(S185,use_fish!A:A,use_fish!I:I),0),_xlfn.IFNA(LOOKUP(T185,use_fish!A:A,use_fish!I:I),0),_xlfn.IFNA(LOOKUP(U185,use_fish!A:A,use_fish!I:I),0),_xlfn.IFNA(LOOKUP(V185,use_fish!A:A,use_fish!I:I),0),_xlfn.IFNA(LOOKUP(W185,use_fish!A:A,use_fish!I:I),0),)</f>
        <v>70</v>
      </c>
      <c r="J185" s="30">
        <f>SUM(_xlfn.IFNA(LOOKUP(Q185,use_fish!A:A,use_fish!K:K),0),_xlfn.IFNA(LOOKUP(R185,use_fish!A:A,use_fish!K:K),0),_xlfn.IFNA(LOOKUP(S185,use_fish!A:A,use_fish!K:K),0),_xlfn.IFNA(LOOKUP(T185,use_fish!A:A,use_fish!K:K),0),_xlfn.IFNA(LOOKUP(U185,use_fish!A:A,use_fish!K:K),0),_xlfn.IFNA(LOOKUP(V185,use_fish!A:A,use_fish!K:K),0),_xlfn.IFNA(LOOKUP(W185,use_fish!A:A,use_fish!K:K),0),)</f>
        <v>0</v>
      </c>
      <c r="K185" s="29"/>
      <c r="L185" s="29"/>
      <c r="M185" s="29"/>
      <c r="N185" s="29"/>
      <c r="O185" s="29"/>
      <c r="P185" s="29"/>
      <c r="Q185" s="29">
        <v>168</v>
      </c>
    </row>
    <row r="186" spans="1:17" x14ac:dyDescent="0.2">
      <c r="A186" s="29">
        <v>185</v>
      </c>
      <c r="B186" s="29">
        <v>1</v>
      </c>
      <c r="C186" s="29" t="s">
        <v>503</v>
      </c>
      <c r="D186" s="29"/>
      <c r="E186" s="29"/>
      <c r="F186" s="29"/>
      <c r="G186" s="29"/>
      <c r="H186" s="29">
        <f>SUM(_xlfn.IFNA(LOOKUP(Q186,use_fish!A:A,use_fish!E:E),0),_xlfn.IFNA(LOOKUP(R186,use_fish!A:A,use_fish!E:E),0),_xlfn.IFNA(LOOKUP(S186,use_fish!A:A,use_fish!E:E),0),_xlfn.IFNA(LOOKUP(T186,use_fish!A:A,use_fish!E:E),0),_xlfn.IFNA(LOOKUP(U186,use_fish!A:A,use_fish!E:E),0),_xlfn.IFNA(LOOKUP(V186,use_fish!A:A,use_fish!E:E),0),_xlfn.IFNA(LOOKUP(W186,use_fish!A:A,use_fish!E:E),0),)</f>
        <v>250</v>
      </c>
      <c r="I186" s="29">
        <f>SUM(_xlfn.IFNA(LOOKUP(Q186,use_fish!A:A,use_fish!I:I),0),_xlfn.IFNA(LOOKUP(R186,use_fish!A:A,use_fish!I:I),0),_xlfn.IFNA(LOOKUP(S186,use_fish!A:A,use_fish!I:I),0),_xlfn.IFNA(LOOKUP(T186,use_fish!A:A,use_fish!I:I),0),_xlfn.IFNA(LOOKUP(U186,use_fish!A:A,use_fish!I:I),0),_xlfn.IFNA(LOOKUP(V186,use_fish!A:A,use_fish!I:I),0),_xlfn.IFNA(LOOKUP(W186,use_fish!A:A,use_fish!I:I),0),)</f>
        <v>250</v>
      </c>
      <c r="J186" s="30">
        <f>SUM(_xlfn.IFNA(LOOKUP(Q186,use_fish!A:A,use_fish!K:K),0),_xlfn.IFNA(LOOKUP(R186,use_fish!A:A,use_fish!K:K),0),_xlfn.IFNA(LOOKUP(S186,use_fish!A:A,use_fish!K:K),0),_xlfn.IFNA(LOOKUP(T186,use_fish!A:A,use_fish!K:K),0),_xlfn.IFNA(LOOKUP(U186,use_fish!A:A,use_fish!K:K),0),_xlfn.IFNA(LOOKUP(V186,use_fish!A:A,use_fish!K:K),0),_xlfn.IFNA(LOOKUP(W186,use_fish!A:A,use_fish!K:K),0),)</f>
        <v>0</v>
      </c>
      <c r="K186" s="29"/>
      <c r="L186" s="29"/>
      <c r="M186" s="29"/>
      <c r="N186" s="29"/>
      <c r="O186" s="29"/>
      <c r="P186" s="29"/>
      <c r="Q186" s="29">
        <v>169</v>
      </c>
    </row>
    <row r="187" spans="1:17" x14ac:dyDescent="0.2">
      <c r="A187" s="29">
        <v>186</v>
      </c>
      <c r="B187" s="29">
        <v>1</v>
      </c>
      <c r="C187" s="29" t="s">
        <v>504</v>
      </c>
      <c r="D187" s="29"/>
      <c r="E187" s="29"/>
      <c r="F187" s="29"/>
      <c r="G187" s="29"/>
      <c r="H187" s="29">
        <f>SUM(_xlfn.IFNA(LOOKUP(Q187,use_fish!A:A,use_fish!E:E),0),_xlfn.IFNA(LOOKUP(R187,use_fish!A:A,use_fish!E:E),0),_xlfn.IFNA(LOOKUP(S187,use_fish!A:A,use_fish!E:E),0),_xlfn.IFNA(LOOKUP(T187,use_fish!A:A,use_fish!E:E),0),_xlfn.IFNA(LOOKUP(U187,use_fish!A:A,use_fish!E:E),0),_xlfn.IFNA(LOOKUP(V187,use_fish!A:A,use_fish!E:E),0),_xlfn.IFNA(LOOKUP(W187,use_fish!A:A,use_fish!E:E),0),)</f>
        <v>350</v>
      </c>
      <c r="I187" s="29">
        <f>SUM(_xlfn.IFNA(LOOKUP(Q187,use_fish!A:A,use_fish!I:I),0),_xlfn.IFNA(LOOKUP(R187,use_fish!A:A,use_fish!I:I),0),_xlfn.IFNA(LOOKUP(S187,use_fish!A:A,use_fish!I:I),0),_xlfn.IFNA(LOOKUP(T187,use_fish!A:A,use_fish!I:I),0),_xlfn.IFNA(LOOKUP(U187,use_fish!A:A,use_fish!I:I),0),_xlfn.IFNA(LOOKUP(V187,use_fish!A:A,use_fish!I:I),0),_xlfn.IFNA(LOOKUP(W187,use_fish!A:A,use_fish!I:I),0),)</f>
        <v>350</v>
      </c>
      <c r="J187" s="30">
        <f>SUM(_xlfn.IFNA(LOOKUP(Q187,use_fish!A:A,use_fish!K:K),0),_xlfn.IFNA(LOOKUP(R187,use_fish!A:A,use_fish!K:K),0),_xlfn.IFNA(LOOKUP(S187,use_fish!A:A,use_fish!K:K),0),_xlfn.IFNA(LOOKUP(T187,use_fish!A:A,use_fish!K:K),0),_xlfn.IFNA(LOOKUP(U187,use_fish!A:A,use_fish!K:K),0),_xlfn.IFNA(LOOKUP(V187,use_fish!A:A,use_fish!K:K),0),_xlfn.IFNA(LOOKUP(W187,use_fish!A:A,use_fish!K:K),0),)</f>
        <v>0</v>
      </c>
      <c r="K187" s="29"/>
      <c r="L187" s="29"/>
      <c r="M187" s="29"/>
      <c r="N187" s="29"/>
      <c r="O187" s="29"/>
      <c r="P187" s="29"/>
      <c r="Q187" s="29">
        <v>170</v>
      </c>
    </row>
    <row r="188" spans="1:17" x14ac:dyDescent="0.2">
      <c r="A188" s="29">
        <v>187</v>
      </c>
      <c r="B188" s="29">
        <v>1</v>
      </c>
      <c r="C188" s="29" t="s">
        <v>505</v>
      </c>
      <c r="D188" s="29"/>
      <c r="E188" s="29"/>
      <c r="F188" s="29"/>
      <c r="G188" s="29"/>
      <c r="H188" s="29">
        <f>SUM(_xlfn.IFNA(LOOKUP(Q188,use_fish!A:A,use_fish!E:E),0),_xlfn.IFNA(LOOKUP(R188,use_fish!A:A,use_fish!E:E),0),_xlfn.IFNA(LOOKUP(S188,use_fish!A:A,use_fish!E:E),0),_xlfn.IFNA(LOOKUP(T188,use_fish!A:A,use_fish!E:E),0),_xlfn.IFNA(LOOKUP(U188,use_fish!A:A,use_fish!E:E),0),_xlfn.IFNA(LOOKUP(V188,use_fish!A:A,use_fish!E:E),0),_xlfn.IFNA(LOOKUP(W188,use_fish!A:A,use_fish!E:E),0),)</f>
        <v>450</v>
      </c>
      <c r="I188" s="29">
        <f>SUM(_xlfn.IFNA(LOOKUP(Q188,use_fish!A:A,use_fish!I:I),0),_xlfn.IFNA(LOOKUP(R188,use_fish!A:A,use_fish!I:I),0),_xlfn.IFNA(LOOKUP(S188,use_fish!A:A,use_fish!I:I),0),_xlfn.IFNA(LOOKUP(T188,use_fish!A:A,use_fish!I:I),0),_xlfn.IFNA(LOOKUP(U188,use_fish!A:A,use_fish!I:I),0),_xlfn.IFNA(LOOKUP(V188,use_fish!A:A,use_fish!I:I),0),_xlfn.IFNA(LOOKUP(W188,use_fish!A:A,use_fish!I:I),0),)</f>
        <v>450</v>
      </c>
      <c r="J188" s="30">
        <f>SUM(_xlfn.IFNA(LOOKUP(Q188,use_fish!A:A,use_fish!K:K),0),_xlfn.IFNA(LOOKUP(R188,use_fish!A:A,use_fish!K:K),0),_xlfn.IFNA(LOOKUP(S188,use_fish!A:A,use_fish!K:K),0),_xlfn.IFNA(LOOKUP(T188,use_fish!A:A,use_fish!K:K),0),_xlfn.IFNA(LOOKUP(U188,use_fish!A:A,use_fish!K:K),0),_xlfn.IFNA(LOOKUP(V188,use_fish!A:A,use_fish!K:K),0),_xlfn.IFNA(LOOKUP(W188,use_fish!A:A,use_fish!K:K),0),)</f>
        <v>0</v>
      </c>
      <c r="K188" s="29"/>
      <c r="L188" s="29"/>
      <c r="M188" s="29"/>
      <c r="N188" s="29"/>
      <c r="O188" s="29"/>
      <c r="P188" s="29"/>
      <c r="Q188" s="29">
        <v>171</v>
      </c>
    </row>
    <row r="189" spans="1:17" x14ac:dyDescent="0.2">
      <c r="A189" s="81">
        <v>188</v>
      </c>
      <c r="B189" s="81">
        <v>1</v>
      </c>
      <c r="C189" s="81" t="s">
        <v>506</v>
      </c>
      <c r="D189" s="81"/>
      <c r="E189" s="81"/>
      <c r="F189" s="81"/>
      <c r="G189" s="81"/>
      <c r="H189" s="81">
        <f>SUM(_xlfn.IFNA(LOOKUP(Q189,use_fish!A:A,use_fish!E:E),0),_xlfn.IFNA(LOOKUP(R189,use_fish!A:A,use_fish!E:E),0),_xlfn.IFNA(LOOKUP(S189,use_fish!A:A,use_fish!E:E),0),_xlfn.IFNA(LOOKUP(T189,use_fish!A:A,use_fish!E:E),0),_xlfn.IFNA(LOOKUP(U189,use_fish!A:A,use_fish!E:E),0),_xlfn.IFNA(LOOKUP(V189,use_fish!A:A,use_fish!E:E),0),_xlfn.IFNA(LOOKUP(W189,use_fish!A:A,use_fish!E:E),0),)</f>
        <v>30</v>
      </c>
      <c r="I189" s="81">
        <f>SUM(_xlfn.IFNA(LOOKUP(Q189,use_fish!A:A,use_fish!I:I),0),_xlfn.IFNA(LOOKUP(R189,use_fish!A:A,use_fish!I:I),0),_xlfn.IFNA(LOOKUP(S189,use_fish!A:A,use_fish!I:I),0),_xlfn.IFNA(LOOKUP(T189,use_fish!A:A,use_fish!I:I),0),_xlfn.IFNA(LOOKUP(U189,use_fish!A:A,use_fish!I:I),0),_xlfn.IFNA(LOOKUP(V189,use_fish!A:A,use_fish!I:I),0),_xlfn.IFNA(LOOKUP(W189,use_fish!A:A,use_fish!I:I),0),)</f>
        <v>30</v>
      </c>
      <c r="J189" s="84">
        <f>SUM(_xlfn.IFNA(LOOKUP(Q189,use_fish!A:A,use_fish!K:K),0),_xlfn.IFNA(LOOKUP(R189,use_fish!A:A,use_fish!K:K),0),_xlfn.IFNA(LOOKUP(S189,use_fish!A:A,use_fish!K:K),0),_xlfn.IFNA(LOOKUP(T189,use_fish!A:A,use_fish!K:K),0),_xlfn.IFNA(LOOKUP(U189,use_fish!A:A,use_fish!K:K),0),_xlfn.IFNA(LOOKUP(V189,use_fish!A:A,use_fish!K:K),0),_xlfn.IFNA(LOOKUP(W189,use_fish!A:A,use_fish!K:K),0),)</f>
        <v>0</v>
      </c>
      <c r="K189" s="81"/>
      <c r="L189" s="81"/>
      <c r="M189" s="81"/>
      <c r="N189" s="81"/>
      <c r="O189" s="81"/>
      <c r="P189" s="81"/>
      <c r="Q189" s="81">
        <v>172</v>
      </c>
    </row>
    <row r="190" spans="1:17" x14ac:dyDescent="0.2">
      <c r="A190" s="81">
        <v>189</v>
      </c>
      <c r="B190" s="81">
        <v>1</v>
      </c>
      <c r="C190" s="81" t="s">
        <v>507</v>
      </c>
      <c r="D190" s="81"/>
      <c r="E190" s="81"/>
      <c r="F190" s="81"/>
      <c r="G190" s="81"/>
      <c r="H190" s="81">
        <f>SUM(_xlfn.IFNA(LOOKUP(Q190,use_fish!A:A,use_fish!E:E),0),_xlfn.IFNA(LOOKUP(R190,use_fish!A:A,use_fish!E:E),0),_xlfn.IFNA(LOOKUP(S190,use_fish!A:A,use_fish!E:E),0),_xlfn.IFNA(LOOKUP(T190,use_fish!A:A,use_fish!E:E),0),_xlfn.IFNA(LOOKUP(U190,use_fish!A:A,use_fish!E:E),0),_xlfn.IFNA(LOOKUP(V190,use_fish!A:A,use_fish!E:E),0),_xlfn.IFNA(LOOKUP(W190,use_fish!A:A,use_fish!E:E),0),)</f>
        <v>35</v>
      </c>
      <c r="I190" s="81">
        <f>SUM(_xlfn.IFNA(LOOKUP(Q190,use_fish!A:A,use_fish!I:I),0),_xlfn.IFNA(LOOKUP(R190,use_fish!A:A,use_fish!I:I),0),_xlfn.IFNA(LOOKUP(S190,use_fish!A:A,use_fish!I:I),0),_xlfn.IFNA(LOOKUP(T190,use_fish!A:A,use_fish!I:I),0),_xlfn.IFNA(LOOKUP(U190,use_fish!A:A,use_fish!I:I),0),_xlfn.IFNA(LOOKUP(V190,use_fish!A:A,use_fish!I:I),0),_xlfn.IFNA(LOOKUP(W190,use_fish!A:A,use_fish!I:I),0),)</f>
        <v>35</v>
      </c>
      <c r="J190" s="84">
        <f>SUM(_xlfn.IFNA(LOOKUP(Q190,use_fish!A:A,use_fish!K:K),0),_xlfn.IFNA(LOOKUP(R190,use_fish!A:A,use_fish!K:K),0),_xlfn.IFNA(LOOKUP(S190,use_fish!A:A,use_fish!K:K),0),_xlfn.IFNA(LOOKUP(T190,use_fish!A:A,use_fish!K:K),0),_xlfn.IFNA(LOOKUP(U190,use_fish!A:A,use_fish!K:K),0),_xlfn.IFNA(LOOKUP(V190,use_fish!A:A,use_fish!K:K),0),_xlfn.IFNA(LOOKUP(W190,use_fish!A:A,use_fish!K:K),0),)</f>
        <v>0</v>
      </c>
      <c r="K190" s="81"/>
      <c r="L190" s="81"/>
      <c r="M190" s="81"/>
      <c r="N190" s="81"/>
      <c r="O190" s="81"/>
      <c r="P190" s="81"/>
      <c r="Q190" s="81">
        <v>173</v>
      </c>
    </row>
    <row r="191" spans="1:17" x14ac:dyDescent="0.2">
      <c r="A191" s="81">
        <v>190</v>
      </c>
      <c r="B191" s="81">
        <v>1</v>
      </c>
      <c r="C191" s="81" t="s">
        <v>508</v>
      </c>
      <c r="D191" s="81"/>
      <c r="E191" s="81"/>
      <c r="F191" s="81"/>
      <c r="G191" s="81"/>
      <c r="H191" s="81">
        <f>SUM(_xlfn.IFNA(LOOKUP(Q191,use_fish!A:A,use_fish!E:E),0),_xlfn.IFNA(LOOKUP(R191,use_fish!A:A,use_fish!E:E),0),_xlfn.IFNA(LOOKUP(S191,use_fish!A:A,use_fish!E:E),0),_xlfn.IFNA(LOOKUP(T191,use_fish!A:A,use_fish!E:E),0),_xlfn.IFNA(LOOKUP(U191,use_fish!A:A,use_fish!E:E),0),_xlfn.IFNA(LOOKUP(V191,use_fish!A:A,use_fish!E:E),0),_xlfn.IFNA(LOOKUP(W191,use_fish!A:A,use_fish!E:E),0),)</f>
        <v>40</v>
      </c>
      <c r="I191" s="81">
        <f>SUM(_xlfn.IFNA(LOOKUP(Q191,use_fish!A:A,use_fish!I:I),0),_xlfn.IFNA(LOOKUP(R191,use_fish!A:A,use_fish!I:I),0),_xlfn.IFNA(LOOKUP(S191,use_fish!A:A,use_fish!I:I),0),_xlfn.IFNA(LOOKUP(T191,use_fish!A:A,use_fish!I:I),0),_xlfn.IFNA(LOOKUP(U191,use_fish!A:A,use_fish!I:I),0),_xlfn.IFNA(LOOKUP(V191,use_fish!A:A,use_fish!I:I),0),_xlfn.IFNA(LOOKUP(W191,use_fish!A:A,use_fish!I:I),0),)</f>
        <v>40</v>
      </c>
      <c r="J191" s="84">
        <f>SUM(_xlfn.IFNA(LOOKUP(Q191,use_fish!A:A,use_fish!K:K),0),_xlfn.IFNA(LOOKUP(R191,use_fish!A:A,use_fish!K:K),0),_xlfn.IFNA(LOOKUP(S191,use_fish!A:A,use_fish!K:K),0),_xlfn.IFNA(LOOKUP(T191,use_fish!A:A,use_fish!K:K),0),_xlfn.IFNA(LOOKUP(U191,use_fish!A:A,use_fish!K:K),0),_xlfn.IFNA(LOOKUP(V191,use_fish!A:A,use_fish!K:K),0),_xlfn.IFNA(LOOKUP(W191,use_fish!A:A,use_fish!K:K),0),)</f>
        <v>0</v>
      </c>
      <c r="K191" s="81"/>
      <c r="L191" s="81"/>
      <c r="M191" s="81"/>
      <c r="N191" s="81"/>
      <c r="O191" s="81"/>
      <c r="P191" s="81"/>
      <c r="Q191" s="81">
        <v>174</v>
      </c>
    </row>
    <row r="192" spans="1:17" x14ac:dyDescent="0.2">
      <c r="A192" s="81">
        <v>191</v>
      </c>
      <c r="B192" s="81">
        <v>1</v>
      </c>
      <c r="C192" s="81" t="s">
        <v>509</v>
      </c>
      <c r="D192" s="81"/>
      <c r="E192" s="81"/>
      <c r="F192" s="81"/>
      <c r="G192" s="81"/>
      <c r="H192" s="81">
        <f>SUM(_xlfn.IFNA(LOOKUP(Q192,use_fish!A:A,use_fish!E:E),0),_xlfn.IFNA(LOOKUP(R192,use_fish!A:A,use_fish!E:E),0),_xlfn.IFNA(LOOKUP(S192,use_fish!A:A,use_fish!E:E),0),_xlfn.IFNA(LOOKUP(T192,use_fish!A:A,use_fish!E:E),0),_xlfn.IFNA(LOOKUP(U192,use_fish!A:A,use_fish!E:E),0),_xlfn.IFNA(LOOKUP(V192,use_fish!A:A,use_fish!E:E),0),_xlfn.IFNA(LOOKUP(W192,use_fish!A:A,use_fish!E:E),0),)</f>
        <v>45</v>
      </c>
      <c r="I192" s="81">
        <f>SUM(_xlfn.IFNA(LOOKUP(Q192,use_fish!A:A,use_fish!I:I),0),_xlfn.IFNA(LOOKUP(R192,use_fish!A:A,use_fish!I:I),0),_xlfn.IFNA(LOOKUP(S192,use_fish!A:A,use_fish!I:I),0),_xlfn.IFNA(LOOKUP(T192,use_fish!A:A,use_fish!I:I),0),_xlfn.IFNA(LOOKUP(U192,use_fish!A:A,use_fish!I:I),0),_xlfn.IFNA(LOOKUP(V192,use_fish!A:A,use_fish!I:I),0),_xlfn.IFNA(LOOKUP(W192,use_fish!A:A,use_fish!I:I),0),)</f>
        <v>45</v>
      </c>
      <c r="J192" s="84">
        <f>SUM(_xlfn.IFNA(LOOKUP(Q192,use_fish!A:A,use_fish!K:K),0),_xlfn.IFNA(LOOKUP(R192,use_fish!A:A,use_fish!K:K),0),_xlfn.IFNA(LOOKUP(S192,use_fish!A:A,use_fish!K:K),0),_xlfn.IFNA(LOOKUP(T192,use_fish!A:A,use_fish!K:K),0),_xlfn.IFNA(LOOKUP(U192,use_fish!A:A,use_fish!K:K),0),_xlfn.IFNA(LOOKUP(V192,use_fish!A:A,use_fish!K:K),0),_xlfn.IFNA(LOOKUP(W192,use_fish!A:A,use_fish!K:K),0),)</f>
        <v>0</v>
      </c>
      <c r="K192" s="81"/>
      <c r="L192" s="81"/>
      <c r="M192" s="81"/>
      <c r="N192" s="81"/>
      <c r="O192" s="81"/>
      <c r="P192" s="81"/>
      <c r="Q192" s="81">
        <v>175</v>
      </c>
    </row>
    <row r="193" spans="1:17" x14ac:dyDescent="0.2">
      <c r="A193" s="81">
        <v>192</v>
      </c>
      <c r="B193" s="81">
        <v>1</v>
      </c>
      <c r="C193" s="81" t="s">
        <v>510</v>
      </c>
      <c r="D193" s="81"/>
      <c r="E193" s="81"/>
      <c r="F193" s="81"/>
      <c r="G193" s="81"/>
      <c r="H193" s="81">
        <f>SUM(_xlfn.IFNA(LOOKUP(Q193,use_fish!A:A,use_fish!E:E),0),_xlfn.IFNA(LOOKUP(R193,use_fish!A:A,use_fish!E:E),0),_xlfn.IFNA(LOOKUP(S193,use_fish!A:A,use_fish!E:E),0),_xlfn.IFNA(LOOKUP(T193,use_fish!A:A,use_fish!E:E),0),_xlfn.IFNA(LOOKUP(U193,use_fish!A:A,use_fish!E:E),0),_xlfn.IFNA(LOOKUP(V193,use_fish!A:A,use_fish!E:E),0),_xlfn.IFNA(LOOKUP(W193,use_fish!A:A,use_fish!E:E),0),)</f>
        <v>50</v>
      </c>
      <c r="I193" s="81">
        <f>SUM(_xlfn.IFNA(LOOKUP(Q193,use_fish!A:A,use_fish!I:I),0),_xlfn.IFNA(LOOKUP(R193,use_fish!A:A,use_fish!I:I),0),_xlfn.IFNA(LOOKUP(S193,use_fish!A:A,use_fish!I:I),0),_xlfn.IFNA(LOOKUP(T193,use_fish!A:A,use_fish!I:I),0),_xlfn.IFNA(LOOKUP(U193,use_fish!A:A,use_fish!I:I),0),_xlfn.IFNA(LOOKUP(V193,use_fish!A:A,use_fish!I:I),0),_xlfn.IFNA(LOOKUP(W193,use_fish!A:A,use_fish!I:I),0),)</f>
        <v>50</v>
      </c>
      <c r="J193" s="84">
        <f>SUM(_xlfn.IFNA(LOOKUP(Q193,use_fish!A:A,use_fish!K:K),0),_xlfn.IFNA(LOOKUP(R193,use_fish!A:A,use_fish!K:K),0),_xlfn.IFNA(LOOKUP(S193,use_fish!A:A,use_fish!K:K),0),_xlfn.IFNA(LOOKUP(T193,use_fish!A:A,use_fish!K:K),0),_xlfn.IFNA(LOOKUP(U193,use_fish!A:A,use_fish!K:K),0),_xlfn.IFNA(LOOKUP(V193,use_fish!A:A,use_fish!K:K),0),_xlfn.IFNA(LOOKUP(W193,use_fish!A:A,use_fish!K:K),0),)</f>
        <v>0</v>
      </c>
      <c r="K193" s="81"/>
      <c r="L193" s="81"/>
      <c r="M193" s="81"/>
      <c r="N193" s="81"/>
      <c r="O193" s="81"/>
      <c r="P193" s="81"/>
      <c r="Q193" s="81">
        <v>176</v>
      </c>
    </row>
    <row r="194" spans="1:17" x14ac:dyDescent="0.2">
      <c r="A194" s="81">
        <v>193</v>
      </c>
      <c r="B194" s="81">
        <v>1</v>
      </c>
      <c r="C194" s="81" t="s">
        <v>511</v>
      </c>
      <c r="D194" s="81"/>
      <c r="E194" s="81"/>
      <c r="F194" s="81"/>
      <c r="G194" s="81"/>
      <c r="H194" s="81">
        <f>SUM(_xlfn.IFNA(LOOKUP(Q194,use_fish!A:A,use_fish!E:E),0),_xlfn.IFNA(LOOKUP(R194,use_fish!A:A,use_fish!E:E),0),_xlfn.IFNA(LOOKUP(S194,use_fish!A:A,use_fish!E:E),0),_xlfn.IFNA(LOOKUP(T194,use_fish!A:A,use_fish!E:E),0),_xlfn.IFNA(LOOKUP(U194,use_fish!A:A,use_fish!E:E),0),_xlfn.IFNA(LOOKUP(V194,use_fish!A:A,use_fish!E:E),0),_xlfn.IFNA(LOOKUP(W194,use_fish!A:A,use_fish!E:E),0),)</f>
        <v>70</v>
      </c>
      <c r="I194" s="81">
        <f>SUM(_xlfn.IFNA(LOOKUP(Q194,use_fish!A:A,use_fish!I:I),0),_xlfn.IFNA(LOOKUP(R194,use_fish!A:A,use_fish!I:I),0),_xlfn.IFNA(LOOKUP(S194,use_fish!A:A,use_fish!I:I),0),_xlfn.IFNA(LOOKUP(T194,use_fish!A:A,use_fish!I:I),0),_xlfn.IFNA(LOOKUP(U194,use_fish!A:A,use_fish!I:I),0),_xlfn.IFNA(LOOKUP(V194,use_fish!A:A,use_fish!I:I),0),_xlfn.IFNA(LOOKUP(W194,use_fish!A:A,use_fish!I:I),0),)</f>
        <v>70</v>
      </c>
      <c r="J194" s="84">
        <f>SUM(_xlfn.IFNA(LOOKUP(Q194,use_fish!A:A,use_fish!K:K),0),_xlfn.IFNA(LOOKUP(R194,use_fish!A:A,use_fish!K:K),0),_xlfn.IFNA(LOOKUP(S194,use_fish!A:A,use_fish!K:K),0),_xlfn.IFNA(LOOKUP(T194,use_fish!A:A,use_fish!K:K),0),_xlfn.IFNA(LOOKUP(U194,use_fish!A:A,use_fish!K:K),0),_xlfn.IFNA(LOOKUP(V194,use_fish!A:A,use_fish!K:K),0),_xlfn.IFNA(LOOKUP(W194,use_fish!A:A,use_fish!K:K),0),)</f>
        <v>0</v>
      </c>
      <c r="K194" s="81"/>
      <c r="L194" s="81"/>
      <c r="M194" s="81"/>
      <c r="N194" s="81"/>
      <c r="O194" s="81"/>
      <c r="P194" s="81"/>
      <c r="Q194" s="81">
        <v>177</v>
      </c>
    </row>
    <row r="195" spans="1:17" x14ac:dyDescent="0.2">
      <c r="A195" s="81">
        <v>194</v>
      </c>
      <c r="B195" s="81">
        <v>1</v>
      </c>
      <c r="C195" s="81" t="s">
        <v>512</v>
      </c>
      <c r="D195" s="81"/>
      <c r="E195" s="81"/>
      <c r="F195" s="81"/>
      <c r="G195" s="81"/>
      <c r="H195" s="81">
        <f>SUM(_xlfn.IFNA(LOOKUP(Q195,use_fish!A:A,use_fish!E:E),0),_xlfn.IFNA(LOOKUP(R195,use_fish!A:A,use_fish!E:E),0),_xlfn.IFNA(LOOKUP(S195,use_fish!A:A,use_fish!E:E),0),_xlfn.IFNA(LOOKUP(T195,use_fish!A:A,use_fish!E:E),0),_xlfn.IFNA(LOOKUP(U195,use_fish!A:A,use_fish!E:E),0),_xlfn.IFNA(LOOKUP(V195,use_fish!A:A,use_fish!E:E),0),_xlfn.IFNA(LOOKUP(W195,use_fish!A:A,use_fish!E:E),0),)</f>
        <v>250</v>
      </c>
      <c r="I195" s="81">
        <f>SUM(_xlfn.IFNA(LOOKUP(Q195,use_fish!A:A,use_fish!I:I),0),_xlfn.IFNA(LOOKUP(R195,use_fish!A:A,use_fish!I:I),0),_xlfn.IFNA(LOOKUP(S195,use_fish!A:A,use_fish!I:I),0),_xlfn.IFNA(LOOKUP(T195,use_fish!A:A,use_fish!I:I),0),_xlfn.IFNA(LOOKUP(U195,use_fish!A:A,use_fish!I:I),0),_xlfn.IFNA(LOOKUP(V195,use_fish!A:A,use_fish!I:I),0),_xlfn.IFNA(LOOKUP(W195,use_fish!A:A,use_fish!I:I),0),)</f>
        <v>250</v>
      </c>
      <c r="J195" s="84">
        <f>SUM(_xlfn.IFNA(LOOKUP(Q195,use_fish!A:A,use_fish!K:K),0),_xlfn.IFNA(LOOKUP(R195,use_fish!A:A,use_fish!K:K),0),_xlfn.IFNA(LOOKUP(S195,use_fish!A:A,use_fish!K:K),0),_xlfn.IFNA(LOOKUP(T195,use_fish!A:A,use_fish!K:K),0),_xlfn.IFNA(LOOKUP(U195,use_fish!A:A,use_fish!K:K),0),_xlfn.IFNA(LOOKUP(V195,use_fish!A:A,use_fish!K:K),0),_xlfn.IFNA(LOOKUP(W195,use_fish!A:A,use_fish!K:K),0),)</f>
        <v>0</v>
      </c>
      <c r="K195" s="81"/>
      <c r="L195" s="81"/>
      <c r="M195" s="81"/>
      <c r="N195" s="81"/>
      <c r="O195" s="81"/>
      <c r="P195" s="81"/>
      <c r="Q195" s="81">
        <v>178</v>
      </c>
    </row>
    <row r="196" spans="1:17" x14ac:dyDescent="0.2">
      <c r="A196" s="81">
        <v>195</v>
      </c>
      <c r="B196" s="81">
        <v>1</v>
      </c>
      <c r="C196" s="81" t="s">
        <v>513</v>
      </c>
      <c r="D196" s="81"/>
      <c r="E196" s="81"/>
      <c r="F196" s="81"/>
      <c r="G196" s="81"/>
      <c r="H196" s="81">
        <f>SUM(_xlfn.IFNA(LOOKUP(Q196,use_fish!A:A,use_fish!E:E),0),_xlfn.IFNA(LOOKUP(R196,use_fish!A:A,use_fish!E:E),0),_xlfn.IFNA(LOOKUP(S196,use_fish!A:A,use_fish!E:E),0),_xlfn.IFNA(LOOKUP(T196,use_fish!A:A,use_fish!E:E),0),_xlfn.IFNA(LOOKUP(U196,use_fish!A:A,use_fish!E:E),0),_xlfn.IFNA(LOOKUP(V196,use_fish!A:A,use_fish!E:E),0),_xlfn.IFNA(LOOKUP(W196,use_fish!A:A,use_fish!E:E),0),)</f>
        <v>350</v>
      </c>
      <c r="I196" s="81">
        <f>SUM(_xlfn.IFNA(LOOKUP(Q196,use_fish!A:A,use_fish!I:I),0),_xlfn.IFNA(LOOKUP(R196,use_fish!A:A,use_fish!I:I),0),_xlfn.IFNA(LOOKUP(S196,use_fish!A:A,use_fish!I:I),0),_xlfn.IFNA(LOOKUP(T196,use_fish!A:A,use_fish!I:I),0),_xlfn.IFNA(LOOKUP(U196,use_fish!A:A,use_fish!I:I),0),_xlfn.IFNA(LOOKUP(V196,use_fish!A:A,use_fish!I:I),0),_xlfn.IFNA(LOOKUP(W196,use_fish!A:A,use_fish!I:I),0),)</f>
        <v>350</v>
      </c>
      <c r="J196" s="84">
        <f>SUM(_xlfn.IFNA(LOOKUP(Q196,use_fish!A:A,use_fish!K:K),0),_xlfn.IFNA(LOOKUP(R196,use_fish!A:A,use_fish!K:K),0),_xlfn.IFNA(LOOKUP(S196,use_fish!A:A,use_fish!K:K),0),_xlfn.IFNA(LOOKUP(T196,use_fish!A:A,use_fish!K:K),0),_xlfn.IFNA(LOOKUP(U196,use_fish!A:A,use_fish!K:K),0),_xlfn.IFNA(LOOKUP(V196,use_fish!A:A,use_fish!K:K),0),_xlfn.IFNA(LOOKUP(W196,use_fish!A:A,use_fish!K:K),0),)</f>
        <v>0</v>
      </c>
      <c r="K196" s="81"/>
      <c r="L196" s="81"/>
      <c r="M196" s="81"/>
      <c r="N196" s="81"/>
      <c r="O196" s="81"/>
      <c r="P196" s="81"/>
      <c r="Q196" s="81">
        <v>179</v>
      </c>
    </row>
    <row r="197" spans="1:17" x14ac:dyDescent="0.2">
      <c r="A197" s="81">
        <v>196</v>
      </c>
      <c r="B197" s="81">
        <v>1</v>
      </c>
      <c r="C197" s="81" t="s">
        <v>514</v>
      </c>
      <c r="D197" s="81"/>
      <c r="E197" s="81"/>
      <c r="F197" s="81"/>
      <c r="G197" s="81"/>
      <c r="H197" s="81">
        <f>SUM(_xlfn.IFNA(LOOKUP(Q197,use_fish!A:A,use_fish!E:E),0),_xlfn.IFNA(LOOKUP(R197,use_fish!A:A,use_fish!E:E),0),_xlfn.IFNA(LOOKUP(S197,use_fish!A:A,use_fish!E:E),0),_xlfn.IFNA(LOOKUP(T197,use_fish!A:A,use_fish!E:E),0),_xlfn.IFNA(LOOKUP(U197,use_fish!A:A,use_fish!E:E),0),_xlfn.IFNA(LOOKUP(V197,use_fish!A:A,use_fish!E:E),0),_xlfn.IFNA(LOOKUP(W197,use_fish!A:A,use_fish!E:E),0),)</f>
        <v>450</v>
      </c>
      <c r="I197" s="81">
        <f>SUM(_xlfn.IFNA(LOOKUP(Q197,use_fish!A:A,use_fish!I:I),0),_xlfn.IFNA(LOOKUP(R197,use_fish!A:A,use_fish!I:I),0),_xlfn.IFNA(LOOKUP(S197,use_fish!A:A,use_fish!I:I),0),_xlfn.IFNA(LOOKUP(T197,use_fish!A:A,use_fish!I:I),0),_xlfn.IFNA(LOOKUP(U197,use_fish!A:A,use_fish!I:I),0),_xlfn.IFNA(LOOKUP(V197,use_fish!A:A,use_fish!I:I),0),_xlfn.IFNA(LOOKUP(W197,use_fish!A:A,use_fish!I:I),0),)</f>
        <v>450</v>
      </c>
      <c r="J197" s="84">
        <f>SUM(_xlfn.IFNA(LOOKUP(Q197,use_fish!A:A,use_fish!K:K),0),_xlfn.IFNA(LOOKUP(R197,use_fish!A:A,use_fish!K:K),0),_xlfn.IFNA(LOOKUP(S197,use_fish!A:A,use_fish!K:K),0),_xlfn.IFNA(LOOKUP(T197,use_fish!A:A,use_fish!K:K),0),_xlfn.IFNA(LOOKUP(U197,use_fish!A:A,use_fish!K:K),0),_xlfn.IFNA(LOOKUP(V197,use_fish!A:A,use_fish!K:K),0),_xlfn.IFNA(LOOKUP(W197,use_fish!A:A,use_fish!K:K),0),)</f>
        <v>0</v>
      </c>
      <c r="K197" s="81"/>
      <c r="L197" s="81"/>
      <c r="M197" s="81"/>
      <c r="N197" s="81"/>
      <c r="O197" s="81"/>
      <c r="P197" s="81"/>
      <c r="Q197" s="81">
        <v>180</v>
      </c>
    </row>
  </sheetData>
  <autoFilter ref="I1:I46"/>
  <dataConsolidate/>
  <phoneticPr fontId="1" type="noConversion"/>
  <conditionalFormatting sqref="J12">
    <cfRule type="iconSet" priority="2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61">
    <cfRule type="iconSet" priority="18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98:J1048576 K1 J2:J11 J13:J25 J27:J64">
    <cfRule type="iconSet" priority="18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98:I1048576 I13:I25 I1:I11 I27:I64">
    <cfRule type="iconSet" priority="19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97">
    <cfRule type="iconSet" priority="19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97">
    <cfRule type="iconSet" priority="19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62:H197">
    <cfRule type="iconSet" priority="20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81"/>
  <sheetViews>
    <sheetView zoomScaleNormal="100" workbookViewId="0">
      <pane ySplit="1" topLeftCell="A152" activePane="bottomLeft" state="frozen"/>
      <selection pane="bottomLeft" activeCell="D175" sqref="D175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27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27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339</v>
      </c>
      <c r="H102" s="64" t="str">
        <f>INDEX(base_fish!E:E,MATCH(use_fish!B102,base_fish!A:A,0))&amp;_xlfn.IFNA("+"&amp;INDEX(activity!G:G,MATCH(use_fish!C102,activity!A:A,0)),"")</f>
        <v>蝴蝶鱼+临时活动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339</v>
      </c>
      <c r="H103" s="64" t="str">
        <f>INDEX(base_fish!E:E,MATCH(use_fish!B103,base_fish!A:A,0))&amp;_xlfn.IFNA("+"&amp;INDEX(activity!G:G,MATCH(use_fish!C103,activity!A:A,0)),"")</f>
        <v>巨大小丑鱼+临时活动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339</v>
      </c>
      <c r="H104" s="64" t="str">
        <f>INDEX(base_fish!E:E,MATCH(use_fish!B104,base_fish!A:A,0))&amp;_xlfn.IFNA("+"&amp;INDEX(activity!G:G,MATCH(use_fish!C104,activity!A:A,0)),"")</f>
        <v>巨大灯笼鱼+临时活动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339</v>
      </c>
      <c r="H105" s="64" t="str">
        <f>INDEX(base_fish!E:E,MATCH(use_fish!B105,base_fish!A:A,0))&amp;_xlfn.IFNA("+"&amp;INDEX(activity!G:G,MATCH(use_fish!C105,activity!A:A,0)),"")</f>
        <v>巨大燕鱼+临时活动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339</v>
      </c>
      <c r="H106" s="64" t="str">
        <f>INDEX(base_fish!E:E,MATCH(use_fish!B106,base_fish!A:A,0))&amp;_xlfn.IFNA("+"&amp;INDEX(activity!G:G,MATCH(use_fish!C106,activity!A:A,0)),"")</f>
        <v>魔鬼鱼+临时活动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339</v>
      </c>
      <c r="H107" s="64" t="str">
        <f>INDEX(base_fish!E:E,MATCH(use_fish!B107,base_fish!A:A,0))&amp;_xlfn.IFNA("+"&amp;INDEX(activity!G:G,MATCH(use_fish!C107,activity!A:A,0)),"")</f>
        <v>虎鲸+临时活动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339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339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339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  <row r="111" spans="1:15" s="65" customFormat="1" x14ac:dyDescent="0.2">
      <c r="A111" s="66">
        <v>110</v>
      </c>
      <c r="B111" s="66">
        <v>59</v>
      </c>
      <c r="C111" s="66">
        <v>69</v>
      </c>
      <c r="D111" s="66"/>
      <c r="E111" s="57">
        <f>LOOKUP(use_fish!B111,base_fish!A:A,base_fish!C:C)+_xlfn.IFNA(INDEX(activity!F:F,MATCH(use_fish!C111,activity!A:A,0)),0)</f>
        <v>75</v>
      </c>
      <c r="F111" s="67">
        <f t="shared" si="16"/>
        <v>1.3333333333333334E-2</v>
      </c>
      <c r="G111" s="67" t="s">
        <v>339</v>
      </c>
      <c r="H111" s="68" t="str">
        <f>INDEX(base_fish!E:E,MATCH(use_fish!B111,base_fish!A:A,0))&amp;_xlfn.IFNA("+"&amp;INDEX(activity!G:G,MATCH(use_fish!C111,activity!A:A,0)),"")</f>
        <v>话费鱼+话费鱼</v>
      </c>
      <c r="I111" s="67">
        <f>LOOKUP(use_fish!B111,base_fish!A:A,base_fish!F:F)+_xlfn.IFNA(INDEX(activity!F:F,MATCH(use_fish!C111,activity!A:A,0)),0)</f>
        <v>75</v>
      </c>
      <c r="J111" s="65">
        <v>1</v>
      </c>
      <c r="K111" s="65">
        <v>0</v>
      </c>
      <c r="L111" s="65">
        <f t="shared" si="17"/>
        <v>75</v>
      </c>
      <c r="M111" s="65">
        <v>1</v>
      </c>
      <c r="N111" s="65">
        <v>1</v>
      </c>
      <c r="O111" s="65">
        <v>1</v>
      </c>
    </row>
    <row r="112" spans="1:15" s="65" customFormat="1" x14ac:dyDescent="0.2">
      <c r="A112" s="66">
        <v>111</v>
      </c>
      <c r="B112" s="66">
        <v>59</v>
      </c>
      <c r="C112" s="66">
        <v>0</v>
      </c>
      <c r="D112" s="79" t="s">
        <v>460</v>
      </c>
      <c r="E112" s="57">
        <v>0</v>
      </c>
      <c r="F112" s="67">
        <v>0</v>
      </c>
      <c r="G112" s="67" t="s">
        <v>339</v>
      </c>
      <c r="H112" s="68" t="str">
        <f>INDEX(base_fish!E:E,MATCH(use_fish!B112,base_fish!A:A,0))&amp;_xlfn.IFNA("+"&amp;INDEX(activity!G:G,MATCH(use_fish!C112,activity!A:A,0)),"")</f>
        <v>话费鱼</v>
      </c>
      <c r="I112" s="67">
        <f>LOOKUP(use_fish!B112,base_fish!A:A,base_fish!F:F)+_xlfn.IFNA(INDEX(activity!F:F,MATCH(use_fish!C112,activity!A:A,0)),0)</f>
        <v>0</v>
      </c>
      <c r="J112" s="65">
        <v>1</v>
      </c>
      <c r="K112" s="65">
        <v>0</v>
      </c>
      <c r="L112" s="65">
        <f t="shared" si="17"/>
        <v>0</v>
      </c>
      <c r="M112" s="65">
        <v>1</v>
      </c>
      <c r="N112" s="65">
        <v>1</v>
      </c>
      <c r="O112" s="65">
        <v>1</v>
      </c>
    </row>
    <row r="113" spans="1:15" s="74" customFormat="1" x14ac:dyDescent="0.2">
      <c r="A113" s="71">
        <v>112</v>
      </c>
      <c r="B113" s="72">
        <v>13</v>
      </c>
      <c r="C113" s="71">
        <v>73</v>
      </c>
      <c r="D113" s="71"/>
      <c r="E113" s="72">
        <f>LOOKUP(use_fish!B113,base_fish!A:A,base_fish!C:C)+_xlfn.IFNA(INDEX(activity!F:F,MATCH(use_fish!C113,activity!A:A,0)),0)</f>
        <v>30</v>
      </c>
      <c r="F113" s="72">
        <f t="shared" si="16"/>
        <v>3.3333333333333333E-2</v>
      </c>
      <c r="G113" s="72" t="s">
        <v>339</v>
      </c>
      <c r="H113" s="73" t="str">
        <f>INDEX(base_fish!E:E,MATCH(use_fish!B113,base_fish!A:A,0))&amp;_xlfn.IFNA("+"&amp;INDEX(activity!G:G,MATCH(use_fish!C113,activity!A:A,0)),"")</f>
        <v>蝴蝶鱼+临时活动</v>
      </c>
      <c r="I113" s="72">
        <f>LOOKUP(use_fish!B113,base_fish!A:A,base_fish!F:F)+_xlfn.IFNA(INDEX(activity!F:F,MATCH(use_fish!C113,activity!A:A,0)),0)</f>
        <v>30</v>
      </c>
      <c r="J113" s="74">
        <v>1</v>
      </c>
      <c r="K113" s="74">
        <v>0</v>
      </c>
      <c r="L113" s="74">
        <f t="shared" si="17"/>
        <v>30</v>
      </c>
      <c r="M113" s="74">
        <v>1</v>
      </c>
      <c r="N113" s="74">
        <v>0</v>
      </c>
      <c r="O113" s="74">
        <v>1</v>
      </c>
    </row>
    <row r="114" spans="1:15" s="74" customFormat="1" x14ac:dyDescent="0.2">
      <c r="A114" s="71">
        <v>113</v>
      </c>
      <c r="B114" s="72">
        <v>14</v>
      </c>
      <c r="C114" s="71">
        <v>73</v>
      </c>
      <c r="D114" s="71"/>
      <c r="E114" s="72">
        <f>LOOKUP(use_fish!B114,base_fish!A:A,base_fish!C:C)+_xlfn.IFNA(INDEX(activity!F:F,MATCH(use_fish!C114,activity!A:A,0)),0)</f>
        <v>35</v>
      </c>
      <c r="F114" s="72">
        <f t="shared" si="16"/>
        <v>2.8571428571428571E-2</v>
      </c>
      <c r="G114" s="72" t="s">
        <v>339</v>
      </c>
      <c r="H114" s="73" t="str">
        <f>INDEX(base_fish!E:E,MATCH(use_fish!B114,base_fish!A:A,0))&amp;_xlfn.IFNA("+"&amp;INDEX(activity!G:G,MATCH(use_fish!C114,activity!A:A,0)),"")</f>
        <v>巨大小丑鱼+临时活动</v>
      </c>
      <c r="I114" s="72">
        <f>LOOKUP(use_fish!B114,base_fish!A:A,base_fish!F:F)+_xlfn.IFNA(INDEX(activity!F:F,MATCH(use_fish!C114,activity!A:A,0)),0)</f>
        <v>35</v>
      </c>
      <c r="J114" s="74">
        <v>1</v>
      </c>
      <c r="K114" s="74">
        <v>0</v>
      </c>
      <c r="L114" s="74">
        <f t="shared" si="17"/>
        <v>35</v>
      </c>
      <c r="M114" s="74">
        <v>1</v>
      </c>
      <c r="N114" s="74">
        <v>0</v>
      </c>
      <c r="O114" s="74">
        <v>1</v>
      </c>
    </row>
    <row r="115" spans="1:15" s="74" customFormat="1" x14ac:dyDescent="0.2">
      <c r="A115" s="71">
        <v>114</v>
      </c>
      <c r="B115" s="72">
        <v>15</v>
      </c>
      <c r="C115" s="71">
        <v>73</v>
      </c>
      <c r="D115" s="71"/>
      <c r="E115" s="72">
        <f>LOOKUP(use_fish!B115,base_fish!A:A,base_fish!C:C)+_xlfn.IFNA(INDEX(activity!F:F,MATCH(use_fish!C115,activity!A:A,0)),0)</f>
        <v>40</v>
      </c>
      <c r="F115" s="72">
        <f t="shared" si="16"/>
        <v>2.5000000000000001E-2</v>
      </c>
      <c r="G115" s="72" t="s">
        <v>339</v>
      </c>
      <c r="H115" s="73" t="str">
        <f>INDEX(base_fish!E:E,MATCH(use_fish!B115,base_fish!A:A,0))&amp;_xlfn.IFNA("+"&amp;INDEX(activity!G:G,MATCH(use_fish!C115,activity!A:A,0)),"")</f>
        <v>巨大灯笼鱼+临时活动</v>
      </c>
      <c r="I115" s="72">
        <f>LOOKUP(use_fish!B115,base_fish!A:A,base_fish!F:F)+_xlfn.IFNA(INDEX(activity!F:F,MATCH(use_fish!C115,activity!A:A,0)),0)</f>
        <v>40</v>
      </c>
      <c r="J115" s="74">
        <v>1</v>
      </c>
      <c r="K115" s="74">
        <v>0</v>
      </c>
      <c r="L115" s="74">
        <f t="shared" si="17"/>
        <v>40</v>
      </c>
      <c r="M115" s="74">
        <v>1</v>
      </c>
      <c r="N115" s="74">
        <v>0</v>
      </c>
      <c r="O115" s="74">
        <v>1</v>
      </c>
    </row>
    <row r="116" spans="1:15" s="74" customFormat="1" x14ac:dyDescent="0.2">
      <c r="A116" s="71">
        <v>115</v>
      </c>
      <c r="B116" s="72">
        <v>16</v>
      </c>
      <c r="C116" s="71">
        <v>73</v>
      </c>
      <c r="D116" s="71"/>
      <c r="E116" s="72">
        <f>LOOKUP(use_fish!B116,base_fish!A:A,base_fish!C:C)+_xlfn.IFNA(INDEX(activity!F:F,MATCH(use_fish!C116,activity!A:A,0)),0)</f>
        <v>45</v>
      </c>
      <c r="F116" s="72">
        <f t="shared" si="16"/>
        <v>2.2222222222222223E-2</v>
      </c>
      <c r="G116" s="72" t="s">
        <v>339</v>
      </c>
      <c r="H116" s="73" t="str">
        <f>INDEX(base_fish!E:E,MATCH(use_fish!B116,base_fish!A:A,0))&amp;_xlfn.IFNA("+"&amp;INDEX(activity!G:G,MATCH(use_fish!C116,activity!A:A,0)),"")</f>
        <v>巨大燕鱼+临时活动</v>
      </c>
      <c r="I116" s="72">
        <f>LOOKUP(use_fish!B116,base_fish!A:A,base_fish!F:F)+_xlfn.IFNA(INDEX(activity!F:F,MATCH(use_fish!C116,activity!A:A,0)),0)</f>
        <v>45</v>
      </c>
      <c r="J116" s="74">
        <v>1</v>
      </c>
      <c r="K116" s="74">
        <v>0</v>
      </c>
      <c r="L116" s="74">
        <f t="shared" si="17"/>
        <v>45</v>
      </c>
      <c r="M116" s="74">
        <v>1</v>
      </c>
      <c r="N116" s="74">
        <v>0</v>
      </c>
      <c r="O116" s="74">
        <v>1</v>
      </c>
    </row>
    <row r="117" spans="1:15" s="74" customFormat="1" x14ac:dyDescent="0.2">
      <c r="A117" s="71">
        <v>116</v>
      </c>
      <c r="B117" s="72">
        <v>17</v>
      </c>
      <c r="C117" s="71">
        <v>73</v>
      </c>
      <c r="D117" s="71"/>
      <c r="E117" s="72">
        <f>LOOKUP(use_fish!B117,base_fish!A:A,base_fish!C:C)+_xlfn.IFNA(INDEX(activity!F:F,MATCH(use_fish!C117,activity!A:A,0)),0)</f>
        <v>50</v>
      </c>
      <c r="F117" s="72">
        <f t="shared" si="16"/>
        <v>0.02</v>
      </c>
      <c r="G117" s="72" t="s">
        <v>339</v>
      </c>
      <c r="H117" s="73" t="str">
        <f>INDEX(base_fish!E:E,MATCH(use_fish!B117,base_fish!A:A,0))&amp;_xlfn.IFNA("+"&amp;INDEX(activity!G:G,MATCH(use_fish!C117,activity!A:A,0)),"")</f>
        <v>魔鬼鱼+临时活动</v>
      </c>
      <c r="I117" s="72">
        <f>LOOKUP(use_fish!B117,base_fish!A:A,base_fish!F:F)+_xlfn.IFNA(INDEX(activity!F:F,MATCH(use_fish!C117,activity!A:A,0)),0)</f>
        <v>50</v>
      </c>
      <c r="J117" s="74">
        <v>1</v>
      </c>
      <c r="K117" s="74">
        <v>0</v>
      </c>
      <c r="L117" s="74">
        <f t="shared" si="17"/>
        <v>50</v>
      </c>
      <c r="M117" s="74">
        <v>1</v>
      </c>
      <c r="N117" s="74">
        <v>0</v>
      </c>
      <c r="O117" s="74">
        <v>1</v>
      </c>
    </row>
    <row r="118" spans="1:15" s="74" customFormat="1" x14ac:dyDescent="0.2">
      <c r="A118" s="71">
        <v>117</v>
      </c>
      <c r="B118" s="72">
        <v>18</v>
      </c>
      <c r="C118" s="71">
        <v>73</v>
      </c>
      <c r="D118" s="71"/>
      <c r="E118" s="72">
        <f>LOOKUP(use_fish!B118,base_fish!A:A,base_fish!C:C)+_xlfn.IFNA(INDEX(activity!F:F,MATCH(use_fish!C118,activity!A:A,0)),0)</f>
        <v>70</v>
      </c>
      <c r="F118" s="72">
        <f t="shared" si="16"/>
        <v>1.4285714285714285E-2</v>
      </c>
      <c r="G118" s="72" t="s">
        <v>339</v>
      </c>
      <c r="H118" s="73" t="str">
        <f>INDEX(base_fish!E:E,MATCH(use_fish!B118,base_fish!A:A,0))&amp;_xlfn.IFNA("+"&amp;INDEX(activity!G:G,MATCH(use_fish!C118,activity!A:A,0)),"")</f>
        <v>虎鲸+临时活动</v>
      </c>
      <c r="I118" s="72">
        <f>LOOKUP(use_fish!B118,base_fish!A:A,base_fish!F:F)+_xlfn.IFNA(INDEX(activity!F:F,MATCH(use_fish!C118,activity!A:A,0)),0)</f>
        <v>70</v>
      </c>
      <c r="J118" s="74">
        <v>1</v>
      </c>
      <c r="K118" s="74">
        <v>0</v>
      </c>
      <c r="L118" s="74">
        <f t="shared" si="17"/>
        <v>70</v>
      </c>
      <c r="M118" s="74">
        <v>1</v>
      </c>
      <c r="N118" s="74">
        <v>0</v>
      </c>
      <c r="O118" s="74">
        <v>1</v>
      </c>
    </row>
    <row r="119" spans="1:15" s="74" customFormat="1" x14ac:dyDescent="0.2">
      <c r="A119" s="71">
        <v>118</v>
      </c>
      <c r="B119" s="71">
        <v>60</v>
      </c>
      <c r="C119" s="71">
        <v>70</v>
      </c>
      <c r="D119" s="71"/>
      <c r="E119" s="72">
        <f>LOOKUP(use_fish!B119,base_fish!A:A,base_fish!C:C)+_xlfn.IFNA(INDEX(activity!F:F,MATCH(use_fish!C119,activity!A:A,0)),0)</f>
        <v>75</v>
      </c>
      <c r="F119" s="72">
        <f t="shared" si="16"/>
        <v>1.3333333333333334E-2</v>
      </c>
      <c r="G119" s="72" t="s">
        <v>339</v>
      </c>
      <c r="H119" s="73" t="str">
        <f>INDEX(base_fish!E:E,MATCH(use_fish!B119,base_fish!A:A,0))&amp;_xlfn.IFNA("+"&amp;INDEX(activity!G:G,MATCH(use_fish!C119,activity!A:A,0)),"")</f>
        <v>礼盒boss+临时活动</v>
      </c>
      <c r="I119" s="72">
        <f>LOOKUP(use_fish!B119,base_fish!A:A,base_fish!F:F)+_xlfn.IFNA(INDEX(activity!F:F,MATCH(use_fish!C119,activity!A:A,0)),0)</f>
        <v>75</v>
      </c>
      <c r="J119" s="74">
        <v>1</v>
      </c>
      <c r="K119" s="74">
        <v>0</v>
      </c>
      <c r="L119" s="74">
        <f t="shared" si="17"/>
        <v>75</v>
      </c>
      <c r="M119" s="74">
        <v>1</v>
      </c>
      <c r="N119" s="74">
        <v>0</v>
      </c>
      <c r="O119" s="74">
        <v>1</v>
      </c>
    </row>
    <row r="120" spans="1:15" s="74" customFormat="1" x14ac:dyDescent="0.2">
      <c r="A120" s="71">
        <v>119</v>
      </c>
      <c r="B120" s="71">
        <v>60</v>
      </c>
      <c r="C120" s="71">
        <v>71</v>
      </c>
      <c r="D120" s="71"/>
      <c r="E120" s="72">
        <f>LOOKUP(use_fish!B120,base_fish!A:A,base_fish!C:C)+_xlfn.IFNA(INDEX(activity!F:F,MATCH(use_fish!C120,activity!A:A,0)),0)</f>
        <v>150</v>
      </c>
      <c r="F120" s="72">
        <f t="shared" si="16"/>
        <v>6.6666666666666671E-3</v>
      </c>
      <c r="G120" s="72" t="s">
        <v>339</v>
      </c>
      <c r="H120" s="73" t="str">
        <f>INDEX(base_fish!E:E,MATCH(use_fish!B120,base_fish!A:A,0))&amp;_xlfn.IFNA("+"&amp;INDEX(activity!G:G,MATCH(use_fish!C120,activity!A:A,0)),"")</f>
        <v>礼盒boss+临时活动</v>
      </c>
      <c r="I120" s="72">
        <f>LOOKUP(use_fish!B120,base_fish!A:A,base_fish!F:F)+_xlfn.IFNA(INDEX(activity!F:F,MATCH(use_fish!C120,activity!A:A,0)),0)</f>
        <v>150</v>
      </c>
      <c r="J120" s="74">
        <v>1</v>
      </c>
      <c r="K120" s="74">
        <v>0</v>
      </c>
      <c r="L120" s="74">
        <f t="shared" si="17"/>
        <v>150</v>
      </c>
      <c r="M120" s="74">
        <v>1</v>
      </c>
      <c r="N120" s="74">
        <v>0</v>
      </c>
      <c r="O120" s="74">
        <v>1</v>
      </c>
    </row>
    <row r="121" spans="1:15" s="74" customFormat="1" x14ac:dyDescent="0.2">
      <c r="A121" s="71">
        <v>120</v>
      </c>
      <c r="B121" s="71">
        <v>60</v>
      </c>
      <c r="C121" s="71">
        <v>72</v>
      </c>
      <c r="D121" s="71"/>
      <c r="E121" s="72">
        <f>LOOKUP(use_fish!B121,base_fish!A:A,base_fish!C:C)+_xlfn.IFNA(INDEX(activity!F:F,MATCH(use_fish!C121,activity!A:A,0)),0)</f>
        <v>250</v>
      </c>
      <c r="F121" s="72">
        <f t="shared" si="16"/>
        <v>4.0000000000000001E-3</v>
      </c>
      <c r="G121" s="72" t="s">
        <v>339</v>
      </c>
      <c r="H121" s="73" t="str">
        <f>INDEX(base_fish!E:E,MATCH(use_fish!B121,base_fish!A:A,0))&amp;_xlfn.IFNA("+"&amp;INDEX(activity!G:G,MATCH(use_fish!C121,activity!A:A,0)),"")</f>
        <v>礼盒boss+临时活动</v>
      </c>
      <c r="I121" s="72">
        <f>LOOKUP(use_fish!B121,base_fish!A:A,base_fish!F:F)+_xlfn.IFNA(INDEX(activity!F:F,MATCH(use_fish!C121,activity!A:A,0)),0)</f>
        <v>250</v>
      </c>
      <c r="J121" s="74">
        <v>1</v>
      </c>
      <c r="K121" s="74">
        <v>0</v>
      </c>
      <c r="L121" s="74">
        <f t="shared" si="17"/>
        <v>250</v>
      </c>
      <c r="M121" s="74">
        <v>1</v>
      </c>
      <c r="N121" s="74">
        <v>0</v>
      </c>
      <c r="O121" s="74">
        <v>1</v>
      </c>
    </row>
    <row r="122" spans="1:15" s="19" customFormat="1" x14ac:dyDescent="0.2">
      <c r="A122" s="16">
        <v>121</v>
      </c>
      <c r="B122" s="16">
        <v>20</v>
      </c>
      <c r="C122" s="16">
        <v>26</v>
      </c>
      <c r="D122" s="16" t="s">
        <v>248</v>
      </c>
      <c r="E122" s="17">
        <v>65</v>
      </c>
      <c r="F122" s="17">
        <f t="shared" si="16"/>
        <v>1.5384615384615385E-2</v>
      </c>
      <c r="G122" s="17" t="s">
        <v>22</v>
      </c>
      <c r="H122" s="18" t="str">
        <f>INDEX(base_fish!E:E,MATCH(use_fish!B122,base_fish!A:A,0))&amp;_xlfn.IFNA("+"&amp;INDEX(activity!G:G,MATCH(use_fish!C122,activity!A:A,0)),"")</f>
        <v>黄金灯笼鱼+彩贝-场次1</v>
      </c>
      <c r="I122" s="17">
        <v>60</v>
      </c>
      <c r="J122" s="19">
        <v>1</v>
      </c>
      <c r="K122" s="19">
        <f>LOOKUP(use_fish!B122,base_fish!A:A,base_fish!G:G)</f>
        <v>0</v>
      </c>
      <c r="L122" s="19">
        <f t="shared" si="17"/>
        <v>60</v>
      </c>
      <c r="M122" s="19">
        <v>1</v>
      </c>
      <c r="N122" s="19">
        <v>0</v>
      </c>
      <c r="O122" s="19">
        <v>2</v>
      </c>
    </row>
    <row r="123" spans="1:15" s="19" customFormat="1" x14ac:dyDescent="0.2">
      <c r="A123" s="16">
        <v>122</v>
      </c>
      <c r="B123" s="16">
        <v>22</v>
      </c>
      <c r="C123" s="16">
        <v>26</v>
      </c>
      <c r="D123" s="16" t="s">
        <v>277</v>
      </c>
      <c r="E123" s="17">
        <v>65</v>
      </c>
      <c r="F123" s="17">
        <f t="shared" si="16"/>
        <v>1.5384615384615385E-2</v>
      </c>
      <c r="G123" s="17" t="s">
        <v>22</v>
      </c>
      <c r="H123" s="18" t="str">
        <f>INDEX(base_fish!E:E,MATCH(use_fish!B123,base_fish!A:A,0))&amp;_xlfn.IFNA("+"&amp;INDEX(activity!G:G,MATCH(use_fish!C123,activity!A:A,0)),"")</f>
        <v>黄金狮子鱼+彩贝-场次1</v>
      </c>
      <c r="I123" s="17">
        <v>60</v>
      </c>
      <c r="J123" s="19">
        <v>1</v>
      </c>
      <c r="K123" s="19">
        <f>LOOKUP(use_fish!B123,base_fish!A:A,base_fish!G:G)</f>
        <v>0</v>
      </c>
      <c r="L123" s="19">
        <f t="shared" si="17"/>
        <v>60</v>
      </c>
      <c r="M123" s="19">
        <v>1</v>
      </c>
      <c r="N123" s="19">
        <v>0</v>
      </c>
      <c r="O123" s="19">
        <v>2</v>
      </c>
    </row>
    <row r="124" spans="1:15" s="19" customFormat="1" x14ac:dyDescent="0.2">
      <c r="A124" s="16">
        <v>123</v>
      </c>
      <c r="B124" s="16">
        <v>23</v>
      </c>
      <c r="C124" s="16">
        <v>26</v>
      </c>
      <c r="D124" s="16" t="s">
        <v>278</v>
      </c>
      <c r="E124" s="17">
        <v>65</v>
      </c>
      <c r="F124" s="17">
        <f t="shared" si="16"/>
        <v>1.5384615384615385E-2</v>
      </c>
      <c r="G124" s="17" t="s">
        <v>22</v>
      </c>
      <c r="H124" s="18" t="str">
        <f>INDEX(base_fish!E:E,MATCH(use_fish!B124,base_fish!A:A,0))&amp;_xlfn.IFNA("+"&amp;INDEX(activity!G:G,MATCH(use_fish!C124,activity!A:A,0)),"")</f>
        <v>黄金海龟+彩贝-场次1</v>
      </c>
      <c r="I124" s="17">
        <v>60</v>
      </c>
      <c r="J124" s="19">
        <v>1</v>
      </c>
      <c r="K124" s="19">
        <f>LOOKUP(use_fish!B124,base_fish!A:A,base_fish!G:G)</f>
        <v>0</v>
      </c>
      <c r="L124" s="19">
        <f t="shared" si="17"/>
        <v>60</v>
      </c>
      <c r="M124" s="19">
        <v>1</v>
      </c>
      <c r="N124" s="19">
        <v>0</v>
      </c>
      <c r="O124" s="19">
        <v>2</v>
      </c>
    </row>
    <row r="125" spans="1:15" s="19" customFormat="1" x14ac:dyDescent="0.2">
      <c r="A125" s="16">
        <v>124</v>
      </c>
      <c r="B125" s="16">
        <v>25</v>
      </c>
      <c r="C125" s="16">
        <v>26</v>
      </c>
      <c r="D125" s="16" t="s">
        <v>248</v>
      </c>
      <c r="E125" s="17">
        <v>86</v>
      </c>
      <c r="F125" s="17">
        <f t="shared" si="16"/>
        <v>1.1627906976744186E-2</v>
      </c>
      <c r="G125" s="17" t="s">
        <v>22</v>
      </c>
      <c r="H125" s="18" t="str">
        <f>INDEX(base_fish!E:E,MATCH(use_fish!B125,base_fish!A:A,0))&amp;_xlfn.IFNA("+"&amp;INDEX(activity!G:G,MATCH(use_fish!C125,activity!A:A,0)),"")</f>
        <v>金蟾+彩贝-场次1</v>
      </c>
      <c r="I125" s="17">
        <v>80</v>
      </c>
      <c r="J125" s="19">
        <v>1</v>
      </c>
      <c r="K125" s="19">
        <f>LOOKUP(use_fish!B125,base_fish!A:A,base_fish!G:G)</f>
        <v>0</v>
      </c>
      <c r="L125" s="19">
        <f t="shared" si="17"/>
        <v>80</v>
      </c>
      <c r="M125" s="19">
        <v>1</v>
      </c>
      <c r="N125" s="19">
        <v>0</v>
      </c>
      <c r="O125" s="19">
        <v>2</v>
      </c>
    </row>
    <row r="126" spans="1:15" s="19" customFormat="1" x14ac:dyDescent="0.2">
      <c r="A126" s="16">
        <v>125</v>
      </c>
      <c r="B126" s="16">
        <v>26</v>
      </c>
      <c r="C126" s="16">
        <v>26</v>
      </c>
      <c r="D126" s="16" t="s">
        <v>248</v>
      </c>
      <c r="E126" s="17">
        <v>107</v>
      </c>
      <c r="F126" s="17">
        <f t="shared" si="16"/>
        <v>9.3457943925233638E-3</v>
      </c>
      <c r="G126" s="17" t="s">
        <v>22</v>
      </c>
      <c r="H126" s="18" t="str">
        <f>INDEX(base_fish!E:E,MATCH(use_fish!B126,base_fish!A:A,0))&amp;_xlfn.IFNA("+"&amp;INDEX(activity!G:G,MATCH(use_fish!C126,activity!A:A,0)),"")</f>
        <v>大金鲨+彩贝-场次1</v>
      </c>
      <c r="I126" s="17">
        <v>100</v>
      </c>
      <c r="J126" s="19">
        <v>1</v>
      </c>
      <c r="K126" s="19">
        <f>LOOKUP(use_fish!B126,base_fish!A:A,base_fish!G:G)</f>
        <v>0</v>
      </c>
      <c r="L126" s="19">
        <f t="shared" si="17"/>
        <v>100</v>
      </c>
      <c r="M126" s="19">
        <v>1</v>
      </c>
      <c r="N126" s="19">
        <v>0</v>
      </c>
      <c r="O126" s="19">
        <v>2</v>
      </c>
    </row>
    <row r="127" spans="1:15" s="19" customFormat="1" x14ac:dyDescent="0.2">
      <c r="A127" s="16">
        <v>126</v>
      </c>
      <c r="B127" s="16">
        <v>27</v>
      </c>
      <c r="C127" s="16">
        <v>26</v>
      </c>
      <c r="D127" s="16" t="s">
        <v>277</v>
      </c>
      <c r="E127" s="17">
        <v>107</v>
      </c>
      <c r="F127" s="17">
        <f t="shared" si="16"/>
        <v>9.3457943925233638E-3</v>
      </c>
      <c r="G127" s="17" t="s">
        <v>22</v>
      </c>
      <c r="H127" s="18" t="str">
        <f>INDEX(base_fish!E:E,MATCH(use_fish!B127,base_fish!A:A,0))&amp;_xlfn.IFNA("+"&amp;INDEX(activity!G:G,MATCH(use_fish!C127,activity!A:A,0)),"")</f>
        <v>黄金锤头鲨+彩贝-场次1</v>
      </c>
      <c r="I127" s="17">
        <v>100</v>
      </c>
      <c r="J127" s="19">
        <v>1</v>
      </c>
      <c r="K127" s="19">
        <f>LOOKUP(use_fish!B127,base_fish!A:A,base_fish!G:G)</f>
        <v>0</v>
      </c>
      <c r="L127" s="19">
        <f t="shared" si="17"/>
        <v>100</v>
      </c>
      <c r="M127" s="19">
        <v>1</v>
      </c>
      <c r="N127" s="19">
        <v>0</v>
      </c>
      <c r="O127" s="19">
        <v>2</v>
      </c>
    </row>
    <row r="128" spans="1:15" s="78" customFormat="1" x14ac:dyDescent="0.2">
      <c r="A128" s="16">
        <v>127</v>
      </c>
      <c r="B128" s="75">
        <v>20</v>
      </c>
      <c r="C128" s="75">
        <v>27</v>
      </c>
      <c r="D128" s="75" t="s">
        <v>248</v>
      </c>
      <c r="E128" s="76">
        <v>69</v>
      </c>
      <c r="F128" s="76">
        <f t="shared" ref="F128:F133" si="19">1/E128</f>
        <v>1.4492753623188406E-2</v>
      </c>
      <c r="G128" s="76" t="s">
        <v>22</v>
      </c>
      <c r="H128" s="77" t="str">
        <f>INDEX(base_fish!E:E,MATCH(use_fish!B128,base_fish!A:A,0))&amp;_xlfn.IFNA("+"&amp;INDEX(activity!G:G,MATCH(use_fish!C128,activity!A:A,0)),"")</f>
        <v>黄金灯笼鱼+彩贝-场次2</v>
      </c>
      <c r="I128" s="76">
        <v>60</v>
      </c>
      <c r="J128" s="78">
        <v>1</v>
      </c>
      <c r="K128" s="78">
        <f>LOOKUP(use_fish!B128,base_fish!A:A,base_fish!G:G)</f>
        <v>0</v>
      </c>
      <c r="L128" s="78">
        <f t="shared" ref="L128:L133" si="20">I128</f>
        <v>60</v>
      </c>
      <c r="M128" s="78">
        <v>1</v>
      </c>
      <c r="N128" s="78">
        <v>0</v>
      </c>
      <c r="O128" s="78">
        <v>2</v>
      </c>
    </row>
    <row r="129" spans="1:15" s="78" customFormat="1" x14ac:dyDescent="0.2">
      <c r="A129" s="16">
        <v>128</v>
      </c>
      <c r="B129" s="75">
        <v>22</v>
      </c>
      <c r="C129" s="75">
        <v>27</v>
      </c>
      <c r="D129" s="75" t="s">
        <v>277</v>
      </c>
      <c r="E129" s="76">
        <v>69</v>
      </c>
      <c r="F129" s="76">
        <f t="shared" si="19"/>
        <v>1.4492753623188406E-2</v>
      </c>
      <c r="G129" s="76" t="s">
        <v>22</v>
      </c>
      <c r="H129" s="77" t="str">
        <f>INDEX(base_fish!E:E,MATCH(use_fish!B129,base_fish!A:A,0))&amp;_xlfn.IFNA("+"&amp;INDEX(activity!G:G,MATCH(use_fish!C129,activity!A:A,0)),"")</f>
        <v>黄金狮子鱼+彩贝-场次2</v>
      </c>
      <c r="I129" s="76">
        <v>60</v>
      </c>
      <c r="J129" s="78">
        <v>1</v>
      </c>
      <c r="K129" s="78">
        <f>LOOKUP(use_fish!B129,base_fish!A:A,base_fish!G:G)</f>
        <v>0</v>
      </c>
      <c r="L129" s="78">
        <f t="shared" si="20"/>
        <v>60</v>
      </c>
      <c r="M129" s="78">
        <v>1</v>
      </c>
      <c r="N129" s="78">
        <v>0</v>
      </c>
      <c r="O129" s="78">
        <v>2</v>
      </c>
    </row>
    <row r="130" spans="1:15" s="78" customFormat="1" x14ac:dyDescent="0.2">
      <c r="A130" s="16">
        <v>129</v>
      </c>
      <c r="B130" s="75">
        <v>23</v>
      </c>
      <c r="C130" s="75">
        <v>27</v>
      </c>
      <c r="D130" s="75" t="s">
        <v>278</v>
      </c>
      <c r="E130" s="76">
        <v>69</v>
      </c>
      <c r="F130" s="76">
        <f t="shared" si="19"/>
        <v>1.4492753623188406E-2</v>
      </c>
      <c r="G130" s="76" t="s">
        <v>22</v>
      </c>
      <c r="H130" s="77" t="str">
        <f>INDEX(base_fish!E:E,MATCH(use_fish!B130,base_fish!A:A,0))&amp;_xlfn.IFNA("+"&amp;INDEX(activity!G:G,MATCH(use_fish!C130,activity!A:A,0)),"")</f>
        <v>黄金海龟+彩贝-场次2</v>
      </c>
      <c r="I130" s="76">
        <v>60</v>
      </c>
      <c r="J130" s="78">
        <v>1</v>
      </c>
      <c r="K130" s="78">
        <f>LOOKUP(use_fish!B130,base_fish!A:A,base_fish!G:G)</f>
        <v>0</v>
      </c>
      <c r="L130" s="78">
        <f t="shared" si="20"/>
        <v>60</v>
      </c>
      <c r="M130" s="78">
        <v>1</v>
      </c>
      <c r="N130" s="78">
        <v>0</v>
      </c>
      <c r="O130" s="78">
        <v>2</v>
      </c>
    </row>
    <row r="131" spans="1:15" s="78" customFormat="1" x14ac:dyDescent="0.2">
      <c r="A131" s="16">
        <v>130</v>
      </c>
      <c r="B131" s="75">
        <v>25</v>
      </c>
      <c r="C131" s="75">
        <v>27</v>
      </c>
      <c r="D131" s="75" t="s">
        <v>248</v>
      </c>
      <c r="E131" s="76">
        <v>90</v>
      </c>
      <c r="F131" s="76">
        <f t="shared" si="19"/>
        <v>1.1111111111111112E-2</v>
      </c>
      <c r="G131" s="76" t="s">
        <v>22</v>
      </c>
      <c r="H131" s="77" t="str">
        <f>INDEX(base_fish!E:E,MATCH(use_fish!B131,base_fish!A:A,0))&amp;_xlfn.IFNA("+"&amp;INDEX(activity!G:G,MATCH(use_fish!C131,activity!A:A,0)),"")</f>
        <v>金蟾+彩贝-场次2</v>
      </c>
      <c r="I131" s="76">
        <v>80</v>
      </c>
      <c r="J131" s="78">
        <v>1</v>
      </c>
      <c r="K131" s="78">
        <f>LOOKUP(use_fish!B131,base_fish!A:A,base_fish!G:G)</f>
        <v>0</v>
      </c>
      <c r="L131" s="78">
        <f t="shared" si="20"/>
        <v>80</v>
      </c>
      <c r="M131" s="78">
        <v>1</v>
      </c>
      <c r="N131" s="78">
        <v>0</v>
      </c>
      <c r="O131" s="78">
        <v>2</v>
      </c>
    </row>
    <row r="132" spans="1:15" s="78" customFormat="1" x14ac:dyDescent="0.2">
      <c r="A132" s="16">
        <v>131</v>
      </c>
      <c r="B132" s="75">
        <v>26</v>
      </c>
      <c r="C132" s="75">
        <v>27</v>
      </c>
      <c r="D132" s="75" t="s">
        <v>248</v>
      </c>
      <c r="E132" s="76">
        <v>111</v>
      </c>
      <c r="F132" s="76">
        <f t="shared" si="19"/>
        <v>9.0090090090090089E-3</v>
      </c>
      <c r="G132" s="76" t="s">
        <v>22</v>
      </c>
      <c r="H132" s="77" t="str">
        <f>INDEX(base_fish!E:E,MATCH(use_fish!B132,base_fish!A:A,0))&amp;_xlfn.IFNA("+"&amp;INDEX(activity!G:G,MATCH(use_fish!C132,activity!A:A,0)),"")</f>
        <v>大金鲨+彩贝-场次2</v>
      </c>
      <c r="I132" s="76">
        <v>100</v>
      </c>
      <c r="J132" s="78">
        <v>1</v>
      </c>
      <c r="K132" s="78">
        <f>LOOKUP(use_fish!B132,base_fish!A:A,base_fish!G:G)</f>
        <v>0</v>
      </c>
      <c r="L132" s="78">
        <f t="shared" si="20"/>
        <v>100</v>
      </c>
      <c r="M132" s="78">
        <v>1</v>
      </c>
      <c r="N132" s="78">
        <v>0</v>
      </c>
      <c r="O132" s="78">
        <v>2</v>
      </c>
    </row>
    <row r="133" spans="1:15" s="78" customFormat="1" x14ac:dyDescent="0.2">
      <c r="A133" s="16">
        <v>132</v>
      </c>
      <c r="B133" s="75">
        <v>27</v>
      </c>
      <c r="C133" s="75">
        <v>27</v>
      </c>
      <c r="D133" s="75" t="s">
        <v>277</v>
      </c>
      <c r="E133" s="76">
        <v>111</v>
      </c>
      <c r="F133" s="76">
        <f t="shared" si="19"/>
        <v>9.0090090090090089E-3</v>
      </c>
      <c r="G133" s="76" t="s">
        <v>22</v>
      </c>
      <c r="H133" s="77" t="str">
        <f>INDEX(base_fish!E:E,MATCH(use_fish!B133,base_fish!A:A,0))&amp;_xlfn.IFNA("+"&amp;INDEX(activity!G:G,MATCH(use_fish!C133,activity!A:A,0)),"")</f>
        <v>黄金锤头鲨+彩贝-场次2</v>
      </c>
      <c r="I133" s="76">
        <v>100</v>
      </c>
      <c r="J133" s="78">
        <v>1</v>
      </c>
      <c r="K133" s="78">
        <f>LOOKUP(use_fish!B133,base_fish!A:A,base_fish!G:G)</f>
        <v>0</v>
      </c>
      <c r="L133" s="78">
        <f t="shared" si="20"/>
        <v>100</v>
      </c>
      <c r="M133" s="78">
        <v>1</v>
      </c>
      <c r="N133" s="78">
        <v>0</v>
      </c>
      <c r="O133" s="78">
        <v>2</v>
      </c>
    </row>
    <row r="134" spans="1:15" s="19" customFormat="1" x14ac:dyDescent="0.2">
      <c r="A134" s="16">
        <v>133</v>
      </c>
      <c r="B134" s="16">
        <v>20</v>
      </c>
      <c r="C134" s="16">
        <v>40</v>
      </c>
      <c r="D134" s="16" t="s">
        <v>248</v>
      </c>
      <c r="E134" s="17">
        <v>65</v>
      </c>
      <c r="F134" s="17">
        <f t="shared" ref="F134:F139" si="21">1/E134</f>
        <v>1.5384615384615385E-2</v>
      </c>
      <c r="G134" s="17" t="s">
        <v>22</v>
      </c>
      <c r="H134" s="18" t="str">
        <f>INDEX(base_fish!E:E,MATCH(use_fish!B134,base_fish!A:A,0))&amp;_xlfn.IFNA("+"&amp;INDEX(activity!G:G,MATCH(use_fish!C134,activity!A:A,0)),"")</f>
        <v>黄金灯笼鱼+彩贝-场次3</v>
      </c>
      <c r="I134" s="17">
        <v>60</v>
      </c>
      <c r="J134" s="19">
        <v>1</v>
      </c>
      <c r="K134" s="19">
        <f>LOOKUP(use_fish!B134,base_fish!A:A,base_fish!G:G)</f>
        <v>0</v>
      </c>
      <c r="L134" s="19">
        <f t="shared" ref="L134:L139" si="22">I134</f>
        <v>60</v>
      </c>
      <c r="M134" s="19">
        <v>1</v>
      </c>
      <c r="N134" s="19">
        <v>0</v>
      </c>
      <c r="O134" s="19">
        <v>2</v>
      </c>
    </row>
    <row r="135" spans="1:15" s="19" customFormat="1" x14ac:dyDescent="0.2">
      <c r="A135" s="16">
        <v>134</v>
      </c>
      <c r="B135" s="16">
        <v>22</v>
      </c>
      <c r="C135" s="16">
        <v>40</v>
      </c>
      <c r="D135" s="16" t="s">
        <v>277</v>
      </c>
      <c r="E135" s="17">
        <v>65</v>
      </c>
      <c r="F135" s="17">
        <f t="shared" si="21"/>
        <v>1.5384615384615385E-2</v>
      </c>
      <c r="G135" s="17" t="s">
        <v>22</v>
      </c>
      <c r="H135" s="18" t="str">
        <f>INDEX(base_fish!E:E,MATCH(use_fish!B135,base_fish!A:A,0))&amp;_xlfn.IFNA("+"&amp;INDEX(activity!G:G,MATCH(use_fish!C135,activity!A:A,0)),"")</f>
        <v>黄金狮子鱼+彩贝-场次3</v>
      </c>
      <c r="I135" s="17">
        <v>60</v>
      </c>
      <c r="J135" s="19">
        <v>1</v>
      </c>
      <c r="K135" s="19">
        <f>LOOKUP(use_fish!B135,base_fish!A:A,base_fish!G:G)</f>
        <v>0</v>
      </c>
      <c r="L135" s="19">
        <f t="shared" si="22"/>
        <v>60</v>
      </c>
      <c r="M135" s="19">
        <v>1</v>
      </c>
      <c r="N135" s="19">
        <v>0</v>
      </c>
      <c r="O135" s="19">
        <v>2</v>
      </c>
    </row>
    <row r="136" spans="1:15" s="19" customFormat="1" x14ac:dyDescent="0.2">
      <c r="A136" s="16">
        <v>135</v>
      </c>
      <c r="B136" s="16">
        <v>23</v>
      </c>
      <c r="C136" s="16">
        <v>40</v>
      </c>
      <c r="D136" s="16" t="s">
        <v>278</v>
      </c>
      <c r="E136" s="17">
        <v>65</v>
      </c>
      <c r="F136" s="17">
        <f t="shared" si="21"/>
        <v>1.5384615384615385E-2</v>
      </c>
      <c r="G136" s="17" t="s">
        <v>22</v>
      </c>
      <c r="H136" s="18" t="str">
        <f>INDEX(base_fish!E:E,MATCH(use_fish!B136,base_fish!A:A,0))&amp;_xlfn.IFNA("+"&amp;INDEX(activity!G:G,MATCH(use_fish!C136,activity!A:A,0)),"")</f>
        <v>黄金海龟+彩贝-场次3</v>
      </c>
      <c r="I136" s="17">
        <v>60</v>
      </c>
      <c r="J136" s="19">
        <v>1</v>
      </c>
      <c r="K136" s="19">
        <f>LOOKUP(use_fish!B136,base_fish!A:A,base_fish!G:G)</f>
        <v>0</v>
      </c>
      <c r="L136" s="19">
        <f t="shared" si="22"/>
        <v>60</v>
      </c>
      <c r="M136" s="19">
        <v>1</v>
      </c>
      <c r="N136" s="19">
        <v>0</v>
      </c>
      <c r="O136" s="19">
        <v>2</v>
      </c>
    </row>
    <row r="137" spans="1:15" s="19" customFormat="1" x14ac:dyDescent="0.2">
      <c r="A137" s="16">
        <v>136</v>
      </c>
      <c r="B137" s="16">
        <v>25</v>
      </c>
      <c r="C137" s="16">
        <v>40</v>
      </c>
      <c r="D137" s="16" t="s">
        <v>248</v>
      </c>
      <c r="E137" s="17">
        <v>86</v>
      </c>
      <c r="F137" s="17">
        <f t="shared" si="21"/>
        <v>1.1627906976744186E-2</v>
      </c>
      <c r="G137" s="17" t="s">
        <v>22</v>
      </c>
      <c r="H137" s="18" t="str">
        <f>INDEX(base_fish!E:E,MATCH(use_fish!B137,base_fish!A:A,0))&amp;_xlfn.IFNA("+"&amp;INDEX(activity!G:G,MATCH(use_fish!C137,activity!A:A,0)),"")</f>
        <v>金蟾+彩贝-场次3</v>
      </c>
      <c r="I137" s="17">
        <v>80</v>
      </c>
      <c r="J137" s="19">
        <v>1</v>
      </c>
      <c r="K137" s="19">
        <f>LOOKUP(use_fish!B137,base_fish!A:A,base_fish!G:G)</f>
        <v>0</v>
      </c>
      <c r="L137" s="19">
        <f t="shared" si="22"/>
        <v>80</v>
      </c>
      <c r="M137" s="19">
        <v>1</v>
      </c>
      <c r="N137" s="19">
        <v>0</v>
      </c>
      <c r="O137" s="19">
        <v>2</v>
      </c>
    </row>
    <row r="138" spans="1:15" s="19" customFormat="1" x14ac:dyDescent="0.2">
      <c r="A138" s="16">
        <v>137</v>
      </c>
      <c r="B138" s="16">
        <v>26</v>
      </c>
      <c r="C138" s="16">
        <v>40</v>
      </c>
      <c r="D138" s="16" t="s">
        <v>248</v>
      </c>
      <c r="E138" s="17">
        <v>107</v>
      </c>
      <c r="F138" s="17">
        <f t="shared" si="21"/>
        <v>9.3457943925233638E-3</v>
      </c>
      <c r="G138" s="17" t="s">
        <v>22</v>
      </c>
      <c r="H138" s="18" t="str">
        <f>INDEX(base_fish!E:E,MATCH(use_fish!B138,base_fish!A:A,0))&amp;_xlfn.IFNA("+"&amp;INDEX(activity!G:G,MATCH(use_fish!C138,activity!A:A,0)),"")</f>
        <v>大金鲨+彩贝-场次3</v>
      </c>
      <c r="I138" s="17">
        <v>100</v>
      </c>
      <c r="J138" s="19">
        <v>1</v>
      </c>
      <c r="K138" s="19">
        <f>LOOKUP(use_fish!B138,base_fish!A:A,base_fish!G:G)</f>
        <v>0</v>
      </c>
      <c r="L138" s="19">
        <f t="shared" si="22"/>
        <v>100</v>
      </c>
      <c r="M138" s="19">
        <v>1</v>
      </c>
      <c r="N138" s="19">
        <v>0</v>
      </c>
      <c r="O138" s="19">
        <v>2</v>
      </c>
    </row>
    <row r="139" spans="1:15" s="19" customFormat="1" x14ac:dyDescent="0.2">
      <c r="A139" s="16">
        <v>138</v>
      </c>
      <c r="B139" s="16">
        <v>27</v>
      </c>
      <c r="C139" s="16">
        <v>40</v>
      </c>
      <c r="D139" s="16" t="s">
        <v>277</v>
      </c>
      <c r="E139" s="17">
        <v>107</v>
      </c>
      <c r="F139" s="17">
        <f t="shared" si="21"/>
        <v>9.3457943925233638E-3</v>
      </c>
      <c r="G139" s="17" t="s">
        <v>22</v>
      </c>
      <c r="H139" s="18" t="str">
        <f>INDEX(base_fish!E:E,MATCH(use_fish!B139,base_fish!A:A,0))&amp;_xlfn.IFNA("+"&amp;INDEX(activity!G:G,MATCH(use_fish!C139,activity!A:A,0)),"")</f>
        <v>黄金锤头鲨+彩贝-场次3</v>
      </c>
      <c r="I139" s="17">
        <v>100</v>
      </c>
      <c r="J139" s="19">
        <v>1</v>
      </c>
      <c r="K139" s="19">
        <f>LOOKUP(use_fish!B139,base_fish!A:A,base_fish!G:G)</f>
        <v>0</v>
      </c>
      <c r="L139" s="19">
        <f t="shared" si="22"/>
        <v>100</v>
      </c>
      <c r="M139" s="19">
        <v>1</v>
      </c>
      <c r="N139" s="19">
        <v>0</v>
      </c>
      <c r="O139" s="19">
        <v>2</v>
      </c>
    </row>
    <row r="140" spans="1:15" s="78" customFormat="1" x14ac:dyDescent="0.2">
      <c r="A140" s="16">
        <v>139</v>
      </c>
      <c r="B140" s="75">
        <v>20</v>
      </c>
      <c r="C140" s="75">
        <v>41</v>
      </c>
      <c r="D140" s="75" t="s">
        <v>248</v>
      </c>
      <c r="E140" s="76">
        <v>65</v>
      </c>
      <c r="F140" s="76">
        <f t="shared" ref="F140:F154" si="23">1/E140</f>
        <v>1.5384615384615385E-2</v>
      </c>
      <c r="G140" s="76" t="s">
        <v>22</v>
      </c>
      <c r="H140" s="77" t="str">
        <f>INDEX(base_fish!E:E,MATCH(use_fish!B140,base_fish!A:A,0))&amp;_xlfn.IFNA("+"&amp;INDEX(activity!G:G,MATCH(use_fish!C140,activity!A:A,0)),"")</f>
        <v>黄金灯笼鱼+彩贝-场次4</v>
      </c>
      <c r="I140" s="76">
        <v>60</v>
      </c>
      <c r="J140" s="78">
        <v>1</v>
      </c>
      <c r="K140" s="78">
        <f>LOOKUP(use_fish!B140,base_fish!A:A,base_fish!G:G)</f>
        <v>0</v>
      </c>
      <c r="L140" s="78">
        <f t="shared" ref="L140:L154" si="24">I140</f>
        <v>60</v>
      </c>
      <c r="M140" s="78">
        <v>1</v>
      </c>
      <c r="N140" s="78">
        <v>0</v>
      </c>
      <c r="O140" s="78">
        <v>2</v>
      </c>
    </row>
    <row r="141" spans="1:15" s="78" customFormat="1" x14ac:dyDescent="0.2">
      <c r="A141" s="16">
        <v>140</v>
      </c>
      <c r="B141" s="75">
        <v>22</v>
      </c>
      <c r="C141" s="75">
        <v>41</v>
      </c>
      <c r="D141" s="75" t="s">
        <v>277</v>
      </c>
      <c r="E141" s="76">
        <v>65</v>
      </c>
      <c r="F141" s="76">
        <f t="shared" si="23"/>
        <v>1.5384615384615385E-2</v>
      </c>
      <c r="G141" s="76" t="s">
        <v>22</v>
      </c>
      <c r="H141" s="77" t="str">
        <f>INDEX(base_fish!E:E,MATCH(use_fish!B141,base_fish!A:A,0))&amp;_xlfn.IFNA("+"&amp;INDEX(activity!G:G,MATCH(use_fish!C141,activity!A:A,0)),"")</f>
        <v>黄金狮子鱼+彩贝-场次4</v>
      </c>
      <c r="I141" s="76">
        <v>60</v>
      </c>
      <c r="J141" s="78">
        <v>1</v>
      </c>
      <c r="K141" s="78">
        <f>LOOKUP(use_fish!B141,base_fish!A:A,base_fish!G:G)</f>
        <v>0</v>
      </c>
      <c r="L141" s="78">
        <f t="shared" si="24"/>
        <v>60</v>
      </c>
      <c r="M141" s="78">
        <v>1</v>
      </c>
      <c r="N141" s="78">
        <v>0</v>
      </c>
      <c r="O141" s="78">
        <v>2</v>
      </c>
    </row>
    <row r="142" spans="1:15" s="78" customFormat="1" x14ac:dyDescent="0.2">
      <c r="A142" s="16">
        <v>141</v>
      </c>
      <c r="B142" s="75">
        <v>23</v>
      </c>
      <c r="C142" s="75">
        <v>41</v>
      </c>
      <c r="D142" s="75" t="s">
        <v>278</v>
      </c>
      <c r="E142" s="76">
        <v>65</v>
      </c>
      <c r="F142" s="76">
        <f t="shared" si="23"/>
        <v>1.5384615384615385E-2</v>
      </c>
      <c r="G142" s="76" t="s">
        <v>22</v>
      </c>
      <c r="H142" s="77" t="str">
        <f>INDEX(base_fish!E:E,MATCH(use_fish!B142,base_fish!A:A,0))&amp;_xlfn.IFNA("+"&amp;INDEX(activity!G:G,MATCH(use_fish!C142,activity!A:A,0)),"")</f>
        <v>黄金海龟+彩贝-场次4</v>
      </c>
      <c r="I142" s="76">
        <v>60</v>
      </c>
      <c r="J142" s="78">
        <v>1</v>
      </c>
      <c r="K142" s="78">
        <f>LOOKUP(use_fish!B142,base_fish!A:A,base_fish!G:G)</f>
        <v>0</v>
      </c>
      <c r="L142" s="78">
        <f t="shared" si="24"/>
        <v>60</v>
      </c>
      <c r="M142" s="78">
        <v>1</v>
      </c>
      <c r="N142" s="78">
        <v>0</v>
      </c>
      <c r="O142" s="78">
        <v>2</v>
      </c>
    </row>
    <row r="143" spans="1:15" s="78" customFormat="1" x14ac:dyDescent="0.2">
      <c r="A143" s="16">
        <v>142</v>
      </c>
      <c r="B143" s="75">
        <v>25</v>
      </c>
      <c r="C143" s="75">
        <v>41</v>
      </c>
      <c r="D143" s="75" t="s">
        <v>248</v>
      </c>
      <c r="E143" s="76">
        <v>86</v>
      </c>
      <c r="F143" s="76">
        <f t="shared" si="23"/>
        <v>1.1627906976744186E-2</v>
      </c>
      <c r="G143" s="76" t="s">
        <v>22</v>
      </c>
      <c r="H143" s="77" t="str">
        <f>INDEX(base_fish!E:E,MATCH(use_fish!B143,base_fish!A:A,0))&amp;_xlfn.IFNA("+"&amp;INDEX(activity!G:G,MATCH(use_fish!C143,activity!A:A,0)),"")</f>
        <v>金蟾+彩贝-场次4</v>
      </c>
      <c r="I143" s="76">
        <v>80</v>
      </c>
      <c r="J143" s="78">
        <v>1</v>
      </c>
      <c r="K143" s="78">
        <f>LOOKUP(use_fish!B143,base_fish!A:A,base_fish!G:G)</f>
        <v>0</v>
      </c>
      <c r="L143" s="78">
        <f t="shared" si="24"/>
        <v>80</v>
      </c>
      <c r="M143" s="78">
        <v>1</v>
      </c>
      <c r="N143" s="78">
        <v>0</v>
      </c>
      <c r="O143" s="78">
        <v>2</v>
      </c>
    </row>
    <row r="144" spans="1:15" s="78" customFormat="1" x14ac:dyDescent="0.2">
      <c r="A144" s="16">
        <v>143</v>
      </c>
      <c r="B144" s="75">
        <v>26</v>
      </c>
      <c r="C144" s="75">
        <v>41</v>
      </c>
      <c r="D144" s="75" t="s">
        <v>248</v>
      </c>
      <c r="E144" s="76">
        <v>107</v>
      </c>
      <c r="F144" s="76">
        <f t="shared" si="23"/>
        <v>9.3457943925233638E-3</v>
      </c>
      <c r="G144" s="76" t="s">
        <v>22</v>
      </c>
      <c r="H144" s="77" t="str">
        <f>INDEX(base_fish!E:E,MATCH(use_fish!B144,base_fish!A:A,0))&amp;_xlfn.IFNA("+"&amp;INDEX(activity!G:G,MATCH(use_fish!C144,activity!A:A,0)),"")</f>
        <v>大金鲨+彩贝-场次4</v>
      </c>
      <c r="I144" s="76">
        <v>100</v>
      </c>
      <c r="J144" s="78">
        <v>1</v>
      </c>
      <c r="K144" s="78">
        <f>LOOKUP(use_fish!B144,base_fish!A:A,base_fish!G:G)</f>
        <v>0</v>
      </c>
      <c r="L144" s="78">
        <f t="shared" si="24"/>
        <v>100</v>
      </c>
      <c r="M144" s="78">
        <v>1</v>
      </c>
      <c r="N144" s="78">
        <v>0</v>
      </c>
      <c r="O144" s="78">
        <v>2</v>
      </c>
    </row>
    <row r="145" spans="1:15" s="78" customFormat="1" x14ac:dyDescent="0.2">
      <c r="A145" s="16">
        <v>144</v>
      </c>
      <c r="B145" s="75">
        <v>27</v>
      </c>
      <c r="C145" s="75">
        <v>41</v>
      </c>
      <c r="D145" s="75" t="s">
        <v>277</v>
      </c>
      <c r="E145" s="76">
        <v>107</v>
      </c>
      <c r="F145" s="76">
        <f t="shared" si="23"/>
        <v>9.3457943925233638E-3</v>
      </c>
      <c r="G145" s="76" t="s">
        <v>22</v>
      </c>
      <c r="H145" s="77" t="str">
        <f>INDEX(base_fish!E:E,MATCH(use_fish!B145,base_fish!A:A,0))&amp;_xlfn.IFNA("+"&amp;INDEX(activity!G:G,MATCH(use_fish!C145,activity!A:A,0)),"")</f>
        <v>黄金锤头鲨+彩贝-场次4</v>
      </c>
      <c r="I145" s="76">
        <v>100</v>
      </c>
      <c r="J145" s="78">
        <v>1</v>
      </c>
      <c r="K145" s="78">
        <f>LOOKUP(use_fish!B145,base_fish!A:A,base_fish!G:G)</f>
        <v>0</v>
      </c>
      <c r="L145" s="78">
        <f t="shared" si="24"/>
        <v>100</v>
      </c>
      <c r="M145" s="78">
        <v>1</v>
      </c>
      <c r="N145" s="78">
        <v>0</v>
      </c>
      <c r="O145" s="78">
        <v>2</v>
      </c>
    </row>
    <row r="146" spans="1:15" x14ac:dyDescent="0.2">
      <c r="A146" s="28">
        <v>145</v>
      </c>
      <c r="B146" s="30">
        <v>13</v>
      </c>
      <c r="C146" s="28">
        <v>77</v>
      </c>
      <c r="D146" s="28"/>
      <c r="E146" s="72">
        <f>LOOKUP(use_fish!B146,base_fish!A:A,base_fish!C:C)+_xlfn.IFNA(INDEX(activity!F:F,MATCH(use_fish!C146,activity!A:A,0)),0)</f>
        <v>30</v>
      </c>
      <c r="F146" s="30">
        <f t="shared" si="23"/>
        <v>3.3333333333333333E-2</v>
      </c>
      <c r="G146" s="30" t="s">
        <v>22</v>
      </c>
      <c r="H146" s="31" t="str">
        <f>INDEX(base_fish!E:E,MATCH(use_fish!B146,base_fish!A:A,0))&amp;_xlfn.IFNA("+"&amp;INDEX(activity!G:G,MATCH(use_fish!C146,activity!A:A,0)),"")</f>
        <v>蝴蝶鱼+临时活动</v>
      </c>
      <c r="I146" s="30">
        <f>LOOKUP(use_fish!B146,base_fish!A:A,base_fish!F:F)+_xlfn.IFNA(INDEX(activity!F:F,MATCH(use_fish!C146,activity!A:A,0)),0)</f>
        <v>30</v>
      </c>
      <c r="J146" s="29">
        <v>1</v>
      </c>
      <c r="K146" s="29">
        <f>LOOKUP(use_fish!B146,base_fish!A:A,base_fish!G:G)</f>
        <v>0</v>
      </c>
      <c r="L146" s="29">
        <f t="shared" si="24"/>
        <v>30</v>
      </c>
      <c r="M146" s="29">
        <v>1</v>
      </c>
      <c r="N146" s="29">
        <v>0</v>
      </c>
      <c r="O146" s="29">
        <v>1</v>
      </c>
    </row>
    <row r="147" spans="1:15" x14ac:dyDescent="0.2">
      <c r="A147" s="28">
        <v>146</v>
      </c>
      <c r="B147" s="30">
        <v>14</v>
      </c>
      <c r="C147" s="28">
        <v>77</v>
      </c>
      <c r="D147" s="28"/>
      <c r="E147" s="72">
        <f>LOOKUP(use_fish!B147,base_fish!A:A,base_fish!C:C)+_xlfn.IFNA(INDEX(activity!F:F,MATCH(use_fish!C147,activity!A:A,0)),0)</f>
        <v>35</v>
      </c>
      <c r="F147" s="30">
        <f t="shared" si="23"/>
        <v>2.8571428571428571E-2</v>
      </c>
      <c r="G147" s="30" t="s">
        <v>22</v>
      </c>
      <c r="H147" s="31" t="str">
        <f>INDEX(base_fish!E:E,MATCH(use_fish!B147,base_fish!A:A,0))&amp;_xlfn.IFNA("+"&amp;INDEX(activity!G:G,MATCH(use_fish!C147,activity!A:A,0)),"")</f>
        <v>巨大小丑鱼+临时活动</v>
      </c>
      <c r="I147" s="30">
        <f>LOOKUP(use_fish!B147,base_fish!A:A,base_fish!F:F)+_xlfn.IFNA(INDEX(activity!F:F,MATCH(use_fish!C147,activity!A:A,0)),0)</f>
        <v>35</v>
      </c>
      <c r="J147" s="29">
        <v>1</v>
      </c>
      <c r="K147" s="29">
        <f>LOOKUP(use_fish!B147,base_fish!A:A,base_fish!G:G)</f>
        <v>0</v>
      </c>
      <c r="L147" s="29">
        <f t="shared" si="24"/>
        <v>35</v>
      </c>
      <c r="M147" s="29">
        <v>1</v>
      </c>
      <c r="N147" s="29">
        <v>0</v>
      </c>
      <c r="O147" s="29">
        <v>1</v>
      </c>
    </row>
    <row r="148" spans="1:15" x14ac:dyDescent="0.2">
      <c r="A148" s="28">
        <v>147</v>
      </c>
      <c r="B148" s="30">
        <v>15</v>
      </c>
      <c r="C148" s="28">
        <v>77</v>
      </c>
      <c r="D148" s="28"/>
      <c r="E148" s="72">
        <f>LOOKUP(use_fish!B148,base_fish!A:A,base_fish!C:C)+_xlfn.IFNA(INDEX(activity!F:F,MATCH(use_fish!C148,activity!A:A,0)),0)</f>
        <v>40</v>
      </c>
      <c r="F148" s="30">
        <f t="shared" si="23"/>
        <v>2.5000000000000001E-2</v>
      </c>
      <c r="G148" s="30" t="s">
        <v>22</v>
      </c>
      <c r="H148" s="31" t="str">
        <f>INDEX(base_fish!E:E,MATCH(use_fish!B148,base_fish!A:A,0))&amp;_xlfn.IFNA("+"&amp;INDEX(activity!G:G,MATCH(use_fish!C148,activity!A:A,0)),"")</f>
        <v>巨大灯笼鱼+临时活动</v>
      </c>
      <c r="I148" s="30">
        <f>LOOKUP(use_fish!B148,base_fish!A:A,base_fish!F:F)+_xlfn.IFNA(INDEX(activity!F:F,MATCH(use_fish!C148,activity!A:A,0)),0)</f>
        <v>40</v>
      </c>
      <c r="J148" s="29">
        <v>1</v>
      </c>
      <c r="K148" s="29">
        <f>LOOKUP(use_fish!B148,base_fish!A:A,base_fish!G:G)</f>
        <v>0</v>
      </c>
      <c r="L148" s="29">
        <f t="shared" si="24"/>
        <v>40</v>
      </c>
      <c r="M148" s="29">
        <v>1</v>
      </c>
      <c r="N148" s="29">
        <v>0</v>
      </c>
      <c r="O148" s="29">
        <v>1</v>
      </c>
    </row>
    <row r="149" spans="1:15" x14ac:dyDescent="0.2">
      <c r="A149" s="28">
        <v>148</v>
      </c>
      <c r="B149" s="30">
        <v>16</v>
      </c>
      <c r="C149" s="28">
        <v>77</v>
      </c>
      <c r="D149" s="28"/>
      <c r="E149" s="72">
        <f>LOOKUP(use_fish!B149,base_fish!A:A,base_fish!C:C)+_xlfn.IFNA(INDEX(activity!F:F,MATCH(use_fish!C149,activity!A:A,0)),0)</f>
        <v>45</v>
      </c>
      <c r="F149" s="30">
        <f t="shared" si="23"/>
        <v>2.2222222222222223E-2</v>
      </c>
      <c r="G149" s="30" t="s">
        <v>22</v>
      </c>
      <c r="H149" s="31" t="str">
        <f>INDEX(base_fish!E:E,MATCH(use_fish!B149,base_fish!A:A,0))&amp;_xlfn.IFNA("+"&amp;INDEX(activity!G:G,MATCH(use_fish!C149,activity!A:A,0)),"")</f>
        <v>巨大燕鱼+临时活动</v>
      </c>
      <c r="I149" s="30">
        <f>LOOKUP(use_fish!B149,base_fish!A:A,base_fish!F:F)+_xlfn.IFNA(INDEX(activity!F:F,MATCH(use_fish!C149,activity!A:A,0)),0)</f>
        <v>45</v>
      </c>
      <c r="J149" s="29">
        <v>1</v>
      </c>
      <c r="K149" s="29">
        <f>LOOKUP(use_fish!B149,base_fish!A:A,base_fish!G:G)</f>
        <v>0</v>
      </c>
      <c r="L149" s="29">
        <f t="shared" si="24"/>
        <v>45</v>
      </c>
      <c r="M149" s="29">
        <v>1</v>
      </c>
      <c r="N149" s="29">
        <v>0</v>
      </c>
      <c r="O149" s="29">
        <v>1</v>
      </c>
    </row>
    <row r="150" spans="1:15" x14ac:dyDescent="0.2">
      <c r="A150" s="28">
        <v>149</v>
      </c>
      <c r="B150" s="30">
        <v>17</v>
      </c>
      <c r="C150" s="28">
        <v>77</v>
      </c>
      <c r="D150" s="28"/>
      <c r="E150" s="72">
        <f>LOOKUP(use_fish!B150,base_fish!A:A,base_fish!C:C)+_xlfn.IFNA(INDEX(activity!F:F,MATCH(use_fish!C150,activity!A:A,0)),0)</f>
        <v>50</v>
      </c>
      <c r="F150" s="30">
        <f t="shared" si="23"/>
        <v>0.02</v>
      </c>
      <c r="G150" s="30" t="s">
        <v>22</v>
      </c>
      <c r="H150" s="31" t="str">
        <f>INDEX(base_fish!E:E,MATCH(use_fish!B150,base_fish!A:A,0))&amp;_xlfn.IFNA("+"&amp;INDEX(activity!G:G,MATCH(use_fish!C150,activity!A:A,0)),"")</f>
        <v>魔鬼鱼+临时活动</v>
      </c>
      <c r="I150" s="30">
        <f>LOOKUP(use_fish!B150,base_fish!A:A,base_fish!F:F)+_xlfn.IFNA(INDEX(activity!F:F,MATCH(use_fish!C150,activity!A:A,0)),0)</f>
        <v>50</v>
      </c>
      <c r="J150" s="29">
        <v>1</v>
      </c>
      <c r="K150" s="29">
        <f>LOOKUP(use_fish!B150,base_fish!A:A,base_fish!G:G)</f>
        <v>0</v>
      </c>
      <c r="L150" s="29">
        <f t="shared" si="24"/>
        <v>50</v>
      </c>
      <c r="M150" s="29">
        <v>1</v>
      </c>
      <c r="N150" s="29">
        <v>0</v>
      </c>
      <c r="O150" s="29">
        <v>1</v>
      </c>
    </row>
    <row r="151" spans="1:15" x14ac:dyDescent="0.2">
      <c r="A151" s="28">
        <v>150</v>
      </c>
      <c r="B151" s="30">
        <v>18</v>
      </c>
      <c r="C151" s="28">
        <v>77</v>
      </c>
      <c r="D151" s="28"/>
      <c r="E151" s="72">
        <f>LOOKUP(use_fish!B151,base_fish!A:A,base_fish!C:C)+_xlfn.IFNA(INDEX(activity!F:F,MATCH(use_fish!C151,activity!A:A,0)),0)</f>
        <v>70</v>
      </c>
      <c r="F151" s="30">
        <f t="shared" si="23"/>
        <v>1.4285714285714285E-2</v>
      </c>
      <c r="G151" s="30" t="s">
        <v>22</v>
      </c>
      <c r="H151" s="31" t="str">
        <f>INDEX(base_fish!E:E,MATCH(use_fish!B151,base_fish!A:A,0))&amp;_xlfn.IFNA("+"&amp;INDEX(activity!G:G,MATCH(use_fish!C151,activity!A:A,0)),"")</f>
        <v>虎鲸+临时活动</v>
      </c>
      <c r="I151" s="30">
        <f>LOOKUP(use_fish!B151,base_fish!A:A,base_fish!F:F)+_xlfn.IFNA(INDEX(activity!F:F,MATCH(use_fish!C151,activity!A:A,0)),0)</f>
        <v>70</v>
      </c>
      <c r="J151" s="29">
        <v>1</v>
      </c>
      <c r="K151" s="29">
        <f>LOOKUP(use_fish!B151,base_fish!A:A,base_fish!G:G)</f>
        <v>0</v>
      </c>
      <c r="L151" s="29">
        <f t="shared" si="24"/>
        <v>70</v>
      </c>
      <c r="M151" s="29">
        <v>1</v>
      </c>
      <c r="N151" s="29">
        <v>0</v>
      </c>
      <c r="O151" s="29">
        <v>1</v>
      </c>
    </row>
    <row r="152" spans="1:15" x14ac:dyDescent="0.2">
      <c r="A152" s="28">
        <v>151</v>
      </c>
      <c r="B152" s="28">
        <v>62</v>
      </c>
      <c r="C152" s="28">
        <v>74</v>
      </c>
      <c r="D152" s="28"/>
      <c r="E152" s="72">
        <f>LOOKUP(use_fish!B152,base_fish!A:A,base_fish!C:C)+_xlfn.IFNA(INDEX(activity!F:F,MATCH(use_fish!C152,activity!A:A,0)),0)</f>
        <v>250</v>
      </c>
      <c r="F152" s="30">
        <f t="shared" si="23"/>
        <v>4.0000000000000001E-3</v>
      </c>
      <c r="G152" s="30" t="s">
        <v>22</v>
      </c>
      <c r="H152" s="31" t="str">
        <f>INDEX(base_fish!E:E,MATCH(use_fish!B152,base_fish!A:A,0))&amp;_xlfn.IFNA("+"&amp;INDEX(activity!G:G,MATCH(use_fish!C152,activity!A:A,0)),"")</f>
        <v>活动boss+临时活动</v>
      </c>
      <c r="I152" s="30">
        <f>LOOKUP(use_fish!B152,base_fish!A:A,base_fish!F:F)+_xlfn.IFNA(INDEX(activity!F:F,MATCH(use_fish!C152,activity!A:A,0)),0)</f>
        <v>250</v>
      </c>
      <c r="J152" s="29">
        <v>1</v>
      </c>
      <c r="K152" s="29">
        <f>LOOKUP(use_fish!B152,base_fish!A:A,base_fish!G:G)</f>
        <v>0</v>
      </c>
      <c r="L152" s="29">
        <f t="shared" si="24"/>
        <v>250</v>
      </c>
      <c r="M152" s="29">
        <v>1</v>
      </c>
      <c r="N152" s="29">
        <v>1</v>
      </c>
      <c r="O152" s="29">
        <v>1</v>
      </c>
    </row>
    <row r="153" spans="1:15" x14ac:dyDescent="0.2">
      <c r="A153" s="28">
        <v>152</v>
      </c>
      <c r="B153" s="28">
        <v>62</v>
      </c>
      <c r="C153" s="28">
        <v>75</v>
      </c>
      <c r="D153" s="28"/>
      <c r="E153" s="72">
        <f>LOOKUP(use_fish!B153,base_fish!A:A,base_fish!C:C)+_xlfn.IFNA(INDEX(activity!F:F,MATCH(use_fish!C153,activity!A:A,0)),0)</f>
        <v>350</v>
      </c>
      <c r="F153" s="30">
        <f t="shared" si="23"/>
        <v>2.8571428571428571E-3</v>
      </c>
      <c r="G153" s="30" t="s">
        <v>22</v>
      </c>
      <c r="H153" s="31" t="str">
        <f>INDEX(base_fish!E:E,MATCH(use_fish!B153,base_fish!A:A,0))&amp;_xlfn.IFNA("+"&amp;INDEX(activity!G:G,MATCH(use_fish!C153,activity!A:A,0)),"")</f>
        <v>活动boss+临时活动</v>
      </c>
      <c r="I153" s="30">
        <f>LOOKUP(use_fish!B153,base_fish!A:A,base_fish!F:F)+_xlfn.IFNA(INDEX(activity!F:F,MATCH(use_fish!C153,activity!A:A,0)),0)</f>
        <v>350</v>
      </c>
      <c r="J153" s="29">
        <v>1</v>
      </c>
      <c r="K153" s="29">
        <f>LOOKUP(use_fish!B153,base_fish!A:A,base_fish!G:G)</f>
        <v>0</v>
      </c>
      <c r="L153" s="29">
        <f t="shared" si="24"/>
        <v>350</v>
      </c>
      <c r="M153" s="29">
        <v>1</v>
      </c>
      <c r="N153" s="29">
        <v>1</v>
      </c>
      <c r="O153" s="29">
        <v>1</v>
      </c>
    </row>
    <row r="154" spans="1:15" x14ac:dyDescent="0.2">
      <c r="A154" s="28">
        <v>153</v>
      </c>
      <c r="B154" s="28">
        <v>62</v>
      </c>
      <c r="C154" s="28">
        <v>76</v>
      </c>
      <c r="D154" s="28"/>
      <c r="E154" s="72">
        <f>LOOKUP(use_fish!B154,base_fish!A:A,base_fish!C:C)+_xlfn.IFNA(INDEX(activity!F:F,MATCH(use_fish!C154,activity!A:A,0)),0)</f>
        <v>450</v>
      </c>
      <c r="F154" s="30">
        <f t="shared" si="23"/>
        <v>2.2222222222222222E-3</v>
      </c>
      <c r="G154" s="30" t="s">
        <v>22</v>
      </c>
      <c r="H154" s="31" t="str">
        <f>INDEX(base_fish!E:E,MATCH(use_fish!B154,base_fish!A:A,0))&amp;_xlfn.IFNA("+"&amp;INDEX(activity!G:G,MATCH(use_fish!C154,activity!A:A,0)),"")</f>
        <v>活动boss+临时活动</v>
      </c>
      <c r="I154" s="30">
        <f>LOOKUP(use_fish!B154,base_fish!A:A,base_fish!F:F)+_xlfn.IFNA(INDEX(activity!F:F,MATCH(use_fish!C154,activity!A:A,0)),0)</f>
        <v>450</v>
      </c>
      <c r="J154" s="29">
        <v>1</v>
      </c>
      <c r="K154" s="29">
        <f>LOOKUP(use_fish!B154,base_fish!A:A,base_fish!G:G)</f>
        <v>0</v>
      </c>
      <c r="L154" s="29">
        <f t="shared" si="24"/>
        <v>450</v>
      </c>
      <c r="M154" s="29">
        <v>1</v>
      </c>
      <c r="N154" s="29">
        <v>1</v>
      </c>
      <c r="O154" s="29">
        <v>1</v>
      </c>
    </row>
    <row r="155" spans="1:15" x14ac:dyDescent="0.2">
      <c r="A155" s="28">
        <v>154</v>
      </c>
      <c r="B155" s="84">
        <v>13</v>
      </c>
      <c r="C155" s="83">
        <v>81</v>
      </c>
      <c r="D155" s="83"/>
      <c r="E155" s="84">
        <f>LOOKUP(use_fish!B155,base_fish!A:A,base_fish!C:C)+_xlfn.IFNA(INDEX(activity!F:F,MATCH(use_fish!C155,activity!A:A,0)),0)</f>
        <v>30</v>
      </c>
      <c r="F155" s="84">
        <f t="shared" ref="F155:F163" si="25">1/E155</f>
        <v>3.3333333333333333E-2</v>
      </c>
      <c r="G155" s="84" t="s">
        <v>22</v>
      </c>
      <c r="H155" s="85" t="str">
        <f>INDEX(base_fish!E:E,MATCH(use_fish!B155,base_fish!A:A,0))&amp;_xlfn.IFNA("+"&amp;INDEX(activity!G:G,MATCH(use_fish!C155,activity!A:A,0)),"")</f>
        <v>蝴蝶鱼+临时活动</v>
      </c>
      <c r="I155" s="84">
        <f>LOOKUP(use_fish!B155,base_fish!A:A,base_fish!F:F)+_xlfn.IFNA(INDEX(activity!F:F,MATCH(use_fish!C155,activity!A:A,0)),0)</f>
        <v>30</v>
      </c>
      <c r="J155" s="81">
        <v>1</v>
      </c>
      <c r="K155" s="81">
        <f>LOOKUP(use_fish!B155,base_fish!A:A,base_fish!G:G)</f>
        <v>0</v>
      </c>
      <c r="L155" s="81">
        <f t="shared" ref="L155:L163" si="26">I155</f>
        <v>30</v>
      </c>
      <c r="M155" s="81">
        <v>1</v>
      </c>
      <c r="N155" s="81">
        <v>0</v>
      </c>
      <c r="O155" s="81">
        <v>1</v>
      </c>
    </row>
    <row r="156" spans="1:15" x14ac:dyDescent="0.2">
      <c r="A156" s="28">
        <v>155</v>
      </c>
      <c r="B156" s="84">
        <v>14</v>
      </c>
      <c r="C156" s="83">
        <v>81</v>
      </c>
      <c r="D156" s="83"/>
      <c r="E156" s="84">
        <f>LOOKUP(use_fish!B156,base_fish!A:A,base_fish!C:C)+_xlfn.IFNA(INDEX(activity!F:F,MATCH(use_fish!C156,activity!A:A,0)),0)</f>
        <v>35</v>
      </c>
      <c r="F156" s="84">
        <f t="shared" si="25"/>
        <v>2.8571428571428571E-2</v>
      </c>
      <c r="G156" s="84" t="s">
        <v>22</v>
      </c>
      <c r="H156" s="85" t="str">
        <f>INDEX(base_fish!E:E,MATCH(use_fish!B156,base_fish!A:A,0))&amp;_xlfn.IFNA("+"&amp;INDEX(activity!G:G,MATCH(use_fish!C156,activity!A:A,0)),"")</f>
        <v>巨大小丑鱼+临时活动</v>
      </c>
      <c r="I156" s="84">
        <f>LOOKUP(use_fish!B156,base_fish!A:A,base_fish!F:F)+_xlfn.IFNA(INDEX(activity!F:F,MATCH(use_fish!C156,activity!A:A,0)),0)</f>
        <v>35</v>
      </c>
      <c r="J156" s="81">
        <v>1</v>
      </c>
      <c r="K156" s="81">
        <f>LOOKUP(use_fish!B156,base_fish!A:A,base_fish!G:G)</f>
        <v>0</v>
      </c>
      <c r="L156" s="81">
        <f t="shared" si="26"/>
        <v>35</v>
      </c>
      <c r="M156" s="81">
        <v>1</v>
      </c>
      <c r="N156" s="81">
        <v>0</v>
      </c>
      <c r="O156" s="81">
        <v>1</v>
      </c>
    </row>
    <row r="157" spans="1:15" x14ac:dyDescent="0.2">
      <c r="A157" s="28">
        <v>156</v>
      </c>
      <c r="B157" s="84">
        <v>15</v>
      </c>
      <c r="C157" s="83">
        <v>81</v>
      </c>
      <c r="D157" s="83"/>
      <c r="E157" s="84">
        <f>LOOKUP(use_fish!B157,base_fish!A:A,base_fish!C:C)+_xlfn.IFNA(INDEX(activity!F:F,MATCH(use_fish!C157,activity!A:A,0)),0)</f>
        <v>40</v>
      </c>
      <c r="F157" s="84">
        <f t="shared" si="25"/>
        <v>2.5000000000000001E-2</v>
      </c>
      <c r="G157" s="84" t="s">
        <v>22</v>
      </c>
      <c r="H157" s="85" t="str">
        <f>INDEX(base_fish!E:E,MATCH(use_fish!B157,base_fish!A:A,0))&amp;_xlfn.IFNA("+"&amp;INDEX(activity!G:G,MATCH(use_fish!C157,activity!A:A,0)),"")</f>
        <v>巨大灯笼鱼+临时活动</v>
      </c>
      <c r="I157" s="84">
        <f>LOOKUP(use_fish!B157,base_fish!A:A,base_fish!F:F)+_xlfn.IFNA(INDEX(activity!F:F,MATCH(use_fish!C157,activity!A:A,0)),0)</f>
        <v>40</v>
      </c>
      <c r="J157" s="81">
        <v>1</v>
      </c>
      <c r="K157" s="81">
        <f>LOOKUP(use_fish!B157,base_fish!A:A,base_fish!G:G)</f>
        <v>0</v>
      </c>
      <c r="L157" s="81">
        <f t="shared" si="26"/>
        <v>40</v>
      </c>
      <c r="M157" s="81">
        <v>1</v>
      </c>
      <c r="N157" s="81">
        <v>0</v>
      </c>
      <c r="O157" s="81">
        <v>1</v>
      </c>
    </row>
    <row r="158" spans="1:15" x14ac:dyDescent="0.2">
      <c r="A158" s="28">
        <v>157</v>
      </c>
      <c r="B158" s="84">
        <v>16</v>
      </c>
      <c r="C158" s="83">
        <v>81</v>
      </c>
      <c r="D158" s="83"/>
      <c r="E158" s="84">
        <f>LOOKUP(use_fish!B158,base_fish!A:A,base_fish!C:C)+_xlfn.IFNA(INDEX(activity!F:F,MATCH(use_fish!C158,activity!A:A,0)),0)</f>
        <v>45</v>
      </c>
      <c r="F158" s="84">
        <f t="shared" si="25"/>
        <v>2.2222222222222223E-2</v>
      </c>
      <c r="G158" s="84" t="s">
        <v>22</v>
      </c>
      <c r="H158" s="85" t="str">
        <f>INDEX(base_fish!E:E,MATCH(use_fish!B158,base_fish!A:A,0))&amp;_xlfn.IFNA("+"&amp;INDEX(activity!G:G,MATCH(use_fish!C158,activity!A:A,0)),"")</f>
        <v>巨大燕鱼+临时活动</v>
      </c>
      <c r="I158" s="84">
        <f>LOOKUP(use_fish!B158,base_fish!A:A,base_fish!F:F)+_xlfn.IFNA(INDEX(activity!F:F,MATCH(use_fish!C158,activity!A:A,0)),0)</f>
        <v>45</v>
      </c>
      <c r="J158" s="81">
        <v>1</v>
      </c>
      <c r="K158" s="81">
        <f>LOOKUP(use_fish!B158,base_fish!A:A,base_fish!G:G)</f>
        <v>0</v>
      </c>
      <c r="L158" s="81">
        <f t="shared" si="26"/>
        <v>45</v>
      </c>
      <c r="M158" s="81">
        <v>1</v>
      </c>
      <c r="N158" s="81">
        <v>0</v>
      </c>
      <c r="O158" s="81">
        <v>1</v>
      </c>
    </row>
    <row r="159" spans="1:15" x14ac:dyDescent="0.2">
      <c r="A159" s="28">
        <v>158</v>
      </c>
      <c r="B159" s="84">
        <v>17</v>
      </c>
      <c r="C159" s="83">
        <v>81</v>
      </c>
      <c r="D159" s="83"/>
      <c r="E159" s="84">
        <f>LOOKUP(use_fish!B159,base_fish!A:A,base_fish!C:C)+_xlfn.IFNA(INDEX(activity!F:F,MATCH(use_fish!C159,activity!A:A,0)),0)</f>
        <v>50</v>
      </c>
      <c r="F159" s="84">
        <f t="shared" si="25"/>
        <v>0.02</v>
      </c>
      <c r="G159" s="84" t="s">
        <v>22</v>
      </c>
      <c r="H159" s="85" t="str">
        <f>INDEX(base_fish!E:E,MATCH(use_fish!B159,base_fish!A:A,0))&amp;_xlfn.IFNA("+"&amp;INDEX(activity!G:G,MATCH(use_fish!C159,activity!A:A,0)),"")</f>
        <v>魔鬼鱼+临时活动</v>
      </c>
      <c r="I159" s="84">
        <f>LOOKUP(use_fish!B159,base_fish!A:A,base_fish!F:F)+_xlfn.IFNA(INDEX(activity!F:F,MATCH(use_fish!C159,activity!A:A,0)),0)</f>
        <v>50</v>
      </c>
      <c r="J159" s="81">
        <v>1</v>
      </c>
      <c r="K159" s="81">
        <f>LOOKUP(use_fish!B159,base_fish!A:A,base_fish!G:G)</f>
        <v>0</v>
      </c>
      <c r="L159" s="81">
        <f t="shared" si="26"/>
        <v>50</v>
      </c>
      <c r="M159" s="81">
        <v>1</v>
      </c>
      <c r="N159" s="81">
        <v>0</v>
      </c>
      <c r="O159" s="81">
        <v>1</v>
      </c>
    </row>
    <row r="160" spans="1:15" x14ac:dyDescent="0.2">
      <c r="A160" s="28">
        <v>159</v>
      </c>
      <c r="B160" s="84">
        <v>18</v>
      </c>
      <c r="C160" s="83">
        <v>81</v>
      </c>
      <c r="D160" s="83"/>
      <c r="E160" s="84">
        <f>LOOKUP(use_fish!B160,base_fish!A:A,base_fish!C:C)+_xlfn.IFNA(INDEX(activity!F:F,MATCH(use_fish!C160,activity!A:A,0)),0)</f>
        <v>70</v>
      </c>
      <c r="F160" s="84">
        <f t="shared" si="25"/>
        <v>1.4285714285714285E-2</v>
      </c>
      <c r="G160" s="84" t="s">
        <v>22</v>
      </c>
      <c r="H160" s="85" t="str">
        <f>INDEX(base_fish!E:E,MATCH(use_fish!B160,base_fish!A:A,0))&amp;_xlfn.IFNA("+"&amp;INDEX(activity!G:G,MATCH(use_fish!C160,activity!A:A,0)),"")</f>
        <v>虎鲸+临时活动</v>
      </c>
      <c r="I160" s="84">
        <f>LOOKUP(use_fish!B160,base_fish!A:A,base_fish!F:F)+_xlfn.IFNA(INDEX(activity!F:F,MATCH(use_fish!C160,activity!A:A,0)),0)</f>
        <v>70</v>
      </c>
      <c r="J160" s="81">
        <v>1</v>
      </c>
      <c r="K160" s="81">
        <f>LOOKUP(use_fish!B160,base_fish!A:A,base_fish!G:G)</f>
        <v>0</v>
      </c>
      <c r="L160" s="81">
        <f t="shared" si="26"/>
        <v>70</v>
      </c>
      <c r="M160" s="81">
        <v>1</v>
      </c>
      <c r="N160" s="81">
        <v>0</v>
      </c>
      <c r="O160" s="81">
        <v>1</v>
      </c>
    </row>
    <row r="161" spans="1:15" x14ac:dyDescent="0.2">
      <c r="A161" s="28">
        <v>160</v>
      </c>
      <c r="B161" s="83">
        <v>62</v>
      </c>
      <c r="C161" s="83">
        <v>78</v>
      </c>
      <c r="D161" s="83"/>
      <c r="E161" s="84">
        <f>LOOKUP(use_fish!B161,base_fish!A:A,base_fish!C:C)+_xlfn.IFNA(INDEX(activity!F:F,MATCH(use_fish!C161,activity!A:A,0)),0)</f>
        <v>250</v>
      </c>
      <c r="F161" s="84">
        <f t="shared" si="25"/>
        <v>4.0000000000000001E-3</v>
      </c>
      <c r="G161" s="84" t="s">
        <v>22</v>
      </c>
      <c r="H161" s="85" t="str">
        <f>INDEX(base_fish!E:E,MATCH(use_fish!B161,base_fish!A:A,0))&amp;_xlfn.IFNA("+"&amp;INDEX(activity!G:G,MATCH(use_fish!C161,activity!A:A,0)),"")</f>
        <v>活动boss+临时活动</v>
      </c>
      <c r="I161" s="84">
        <f>LOOKUP(use_fish!B161,base_fish!A:A,base_fish!F:F)+_xlfn.IFNA(INDEX(activity!F:F,MATCH(use_fish!C161,activity!A:A,0)),0)</f>
        <v>250</v>
      </c>
      <c r="J161" s="81">
        <v>1</v>
      </c>
      <c r="K161" s="81">
        <f>LOOKUP(use_fish!B161,base_fish!A:A,base_fish!G:G)</f>
        <v>0</v>
      </c>
      <c r="L161" s="81">
        <f t="shared" si="26"/>
        <v>250</v>
      </c>
      <c r="M161" s="81">
        <v>1</v>
      </c>
      <c r="N161" s="81">
        <v>1</v>
      </c>
      <c r="O161" s="81">
        <v>1</v>
      </c>
    </row>
    <row r="162" spans="1:15" x14ac:dyDescent="0.2">
      <c r="A162" s="28">
        <v>161</v>
      </c>
      <c r="B162" s="83">
        <v>62</v>
      </c>
      <c r="C162" s="83">
        <v>79</v>
      </c>
      <c r="D162" s="83"/>
      <c r="E162" s="84">
        <f>LOOKUP(use_fish!B162,base_fish!A:A,base_fish!C:C)+_xlfn.IFNA(INDEX(activity!F:F,MATCH(use_fish!C162,activity!A:A,0)),0)</f>
        <v>350</v>
      </c>
      <c r="F162" s="84">
        <f t="shared" si="25"/>
        <v>2.8571428571428571E-3</v>
      </c>
      <c r="G162" s="84" t="s">
        <v>22</v>
      </c>
      <c r="H162" s="85" t="str">
        <f>INDEX(base_fish!E:E,MATCH(use_fish!B162,base_fish!A:A,0))&amp;_xlfn.IFNA("+"&amp;INDEX(activity!G:G,MATCH(use_fish!C162,activity!A:A,0)),"")</f>
        <v>活动boss+临时活动</v>
      </c>
      <c r="I162" s="84">
        <f>LOOKUP(use_fish!B162,base_fish!A:A,base_fish!F:F)+_xlfn.IFNA(INDEX(activity!F:F,MATCH(use_fish!C162,activity!A:A,0)),0)</f>
        <v>350</v>
      </c>
      <c r="J162" s="81">
        <v>1</v>
      </c>
      <c r="K162" s="81">
        <f>LOOKUP(use_fish!B162,base_fish!A:A,base_fish!G:G)</f>
        <v>0</v>
      </c>
      <c r="L162" s="81">
        <f t="shared" si="26"/>
        <v>350</v>
      </c>
      <c r="M162" s="81">
        <v>1</v>
      </c>
      <c r="N162" s="81">
        <v>1</v>
      </c>
      <c r="O162" s="81">
        <v>1</v>
      </c>
    </row>
    <row r="163" spans="1:15" x14ac:dyDescent="0.2">
      <c r="A163" s="28">
        <v>162</v>
      </c>
      <c r="B163" s="83">
        <v>62</v>
      </c>
      <c r="C163" s="83">
        <v>80</v>
      </c>
      <c r="D163" s="83"/>
      <c r="E163" s="84">
        <f>LOOKUP(use_fish!B163,base_fish!A:A,base_fish!C:C)+_xlfn.IFNA(INDEX(activity!F:F,MATCH(use_fish!C163,activity!A:A,0)),0)</f>
        <v>450</v>
      </c>
      <c r="F163" s="84">
        <f t="shared" si="25"/>
        <v>2.2222222222222222E-3</v>
      </c>
      <c r="G163" s="84" t="s">
        <v>22</v>
      </c>
      <c r="H163" s="85" t="str">
        <f>INDEX(base_fish!E:E,MATCH(use_fish!B163,base_fish!A:A,0))&amp;_xlfn.IFNA("+"&amp;INDEX(activity!G:G,MATCH(use_fish!C163,activity!A:A,0)),"")</f>
        <v>活动boss+临时活动</v>
      </c>
      <c r="I163" s="84">
        <f>LOOKUP(use_fish!B163,base_fish!A:A,base_fish!F:F)+_xlfn.IFNA(INDEX(activity!F:F,MATCH(use_fish!C163,activity!A:A,0)),0)</f>
        <v>450</v>
      </c>
      <c r="J163" s="81">
        <v>1</v>
      </c>
      <c r="K163" s="81">
        <f>LOOKUP(use_fish!B163,base_fish!A:A,base_fish!G:G)</f>
        <v>0</v>
      </c>
      <c r="L163" s="81">
        <f t="shared" si="26"/>
        <v>450</v>
      </c>
      <c r="M163" s="81">
        <v>1</v>
      </c>
      <c r="N163" s="81">
        <v>1</v>
      </c>
      <c r="O163" s="81">
        <v>1</v>
      </c>
    </row>
    <row r="164" spans="1:15" x14ac:dyDescent="0.2">
      <c r="A164" s="28">
        <v>163</v>
      </c>
      <c r="B164" s="30">
        <v>13</v>
      </c>
      <c r="C164" s="28">
        <v>85</v>
      </c>
      <c r="D164" s="28"/>
      <c r="E164" s="30">
        <f>LOOKUP(use_fish!B164,base_fish!A:A,base_fish!C:C)+_xlfn.IFNA(INDEX(activity!F:F,MATCH(use_fish!C164,activity!A:A,0)),0)</f>
        <v>30</v>
      </c>
      <c r="F164" s="30">
        <f t="shared" ref="F164:F172" si="27">1/E164</f>
        <v>3.3333333333333333E-2</v>
      </c>
      <c r="G164" s="30" t="s">
        <v>22</v>
      </c>
      <c r="H164" s="31" t="str">
        <f>INDEX(base_fish!E:E,MATCH(use_fish!B164,base_fish!A:A,0))&amp;_xlfn.IFNA("+"&amp;INDEX(activity!G:G,MATCH(use_fish!C164,activity!A:A,0)),"")</f>
        <v>蝴蝶鱼+临时活动</v>
      </c>
      <c r="I164" s="30">
        <f>LOOKUP(use_fish!B164,base_fish!A:A,base_fish!F:F)+_xlfn.IFNA(INDEX(activity!F:F,MATCH(use_fish!C164,activity!A:A,0)),0)</f>
        <v>30</v>
      </c>
      <c r="J164" s="29">
        <v>1</v>
      </c>
      <c r="K164" s="29">
        <f>LOOKUP(use_fish!B164,base_fish!A:A,base_fish!G:G)</f>
        <v>0</v>
      </c>
      <c r="L164" s="29">
        <f t="shared" ref="L164:L172" si="28">I164</f>
        <v>30</v>
      </c>
      <c r="M164" s="29">
        <v>1</v>
      </c>
      <c r="N164" s="29">
        <v>0</v>
      </c>
      <c r="O164" s="29">
        <v>1</v>
      </c>
    </row>
    <row r="165" spans="1:15" x14ac:dyDescent="0.2">
      <c r="A165" s="28">
        <v>164</v>
      </c>
      <c r="B165" s="30">
        <v>14</v>
      </c>
      <c r="C165" s="28">
        <v>85</v>
      </c>
      <c r="D165" s="28"/>
      <c r="E165" s="30">
        <f>LOOKUP(use_fish!B165,base_fish!A:A,base_fish!C:C)+_xlfn.IFNA(INDEX(activity!F:F,MATCH(use_fish!C165,activity!A:A,0)),0)</f>
        <v>35</v>
      </c>
      <c r="F165" s="30">
        <f t="shared" si="27"/>
        <v>2.8571428571428571E-2</v>
      </c>
      <c r="G165" s="30" t="s">
        <v>22</v>
      </c>
      <c r="H165" s="31" t="str">
        <f>INDEX(base_fish!E:E,MATCH(use_fish!B165,base_fish!A:A,0))&amp;_xlfn.IFNA("+"&amp;INDEX(activity!G:G,MATCH(use_fish!C165,activity!A:A,0)),"")</f>
        <v>巨大小丑鱼+临时活动</v>
      </c>
      <c r="I165" s="30">
        <f>LOOKUP(use_fish!B165,base_fish!A:A,base_fish!F:F)+_xlfn.IFNA(INDEX(activity!F:F,MATCH(use_fish!C165,activity!A:A,0)),0)</f>
        <v>35</v>
      </c>
      <c r="J165" s="29">
        <v>1</v>
      </c>
      <c r="K165" s="29">
        <f>LOOKUP(use_fish!B165,base_fish!A:A,base_fish!G:G)</f>
        <v>0</v>
      </c>
      <c r="L165" s="29">
        <f t="shared" si="28"/>
        <v>35</v>
      </c>
      <c r="M165" s="29">
        <v>1</v>
      </c>
      <c r="N165" s="29">
        <v>0</v>
      </c>
      <c r="O165" s="29">
        <v>1</v>
      </c>
    </row>
    <row r="166" spans="1:15" x14ac:dyDescent="0.2">
      <c r="A166" s="28">
        <v>165</v>
      </c>
      <c r="B166" s="30">
        <v>15</v>
      </c>
      <c r="C166" s="28">
        <v>85</v>
      </c>
      <c r="D166" s="28"/>
      <c r="E166" s="30">
        <f>LOOKUP(use_fish!B166,base_fish!A:A,base_fish!C:C)+_xlfn.IFNA(INDEX(activity!F:F,MATCH(use_fish!C166,activity!A:A,0)),0)</f>
        <v>40</v>
      </c>
      <c r="F166" s="30">
        <f t="shared" si="27"/>
        <v>2.5000000000000001E-2</v>
      </c>
      <c r="G166" s="30" t="s">
        <v>22</v>
      </c>
      <c r="H166" s="31" t="str">
        <f>INDEX(base_fish!E:E,MATCH(use_fish!B166,base_fish!A:A,0))&amp;_xlfn.IFNA("+"&amp;INDEX(activity!G:G,MATCH(use_fish!C166,activity!A:A,0)),"")</f>
        <v>巨大灯笼鱼+临时活动</v>
      </c>
      <c r="I166" s="30">
        <f>LOOKUP(use_fish!B166,base_fish!A:A,base_fish!F:F)+_xlfn.IFNA(INDEX(activity!F:F,MATCH(use_fish!C166,activity!A:A,0)),0)</f>
        <v>40</v>
      </c>
      <c r="J166" s="29">
        <v>1</v>
      </c>
      <c r="K166" s="29">
        <f>LOOKUP(use_fish!B166,base_fish!A:A,base_fish!G:G)</f>
        <v>0</v>
      </c>
      <c r="L166" s="29">
        <f t="shared" si="28"/>
        <v>40</v>
      </c>
      <c r="M166" s="29">
        <v>1</v>
      </c>
      <c r="N166" s="29">
        <v>0</v>
      </c>
      <c r="O166" s="29">
        <v>1</v>
      </c>
    </row>
    <row r="167" spans="1:15" x14ac:dyDescent="0.2">
      <c r="A167" s="28">
        <v>166</v>
      </c>
      <c r="B167" s="30">
        <v>16</v>
      </c>
      <c r="C167" s="28">
        <v>85</v>
      </c>
      <c r="D167" s="28"/>
      <c r="E167" s="30">
        <f>LOOKUP(use_fish!B167,base_fish!A:A,base_fish!C:C)+_xlfn.IFNA(INDEX(activity!F:F,MATCH(use_fish!C167,activity!A:A,0)),0)</f>
        <v>45</v>
      </c>
      <c r="F167" s="30">
        <f t="shared" si="27"/>
        <v>2.2222222222222223E-2</v>
      </c>
      <c r="G167" s="30" t="s">
        <v>22</v>
      </c>
      <c r="H167" s="31" t="str">
        <f>INDEX(base_fish!E:E,MATCH(use_fish!B167,base_fish!A:A,0))&amp;_xlfn.IFNA("+"&amp;INDEX(activity!G:G,MATCH(use_fish!C167,activity!A:A,0)),"")</f>
        <v>巨大燕鱼+临时活动</v>
      </c>
      <c r="I167" s="30">
        <f>LOOKUP(use_fish!B167,base_fish!A:A,base_fish!F:F)+_xlfn.IFNA(INDEX(activity!F:F,MATCH(use_fish!C167,activity!A:A,0)),0)</f>
        <v>45</v>
      </c>
      <c r="J167" s="29">
        <v>1</v>
      </c>
      <c r="K167" s="29">
        <f>LOOKUP(use_fish!B167,base_fish!A:A,base_fish!G:G)</f>
        <v>0</v>
      </c>
      <c r="L167" s="29">
        <f t="shared" si="28"/>
        <v>45</v>
      </c>
      <c r="M167" s="29">
        <v>1</v>
      </c>
      <c r="N167" s="29">
        <v>0</v>
      </c>
      <c r="O167" s="29">
        <v>1</v>
      </c>
    </row>
    <row r="168" spans="1:15" x14ac:dyDescent="0.2">
      <c r="A168" s="28">
        <v>167</v>
      </c>
      <c r="B168" s="30">
        <v>17</v>
      </c>
      <c r="C168" s="28">
        <v>85</v>
      </c>
      <c r="D168" s="28"/>
      <c r="E168" s="30">
        <f>LOOKUP(use_fish!B168,base_fish!A:A,base_fish!C:C)+_xlfn.IFNA(INDEX(activity!F:F,MATCH(use_fish!C168,activity!A:A,0)),0)</f>
        <v>50</v>
      </c>
      <c r="F168" s="30">
        <f t="shared" si="27"/>
        <v>0.02</v>
      </c>
      <c r="G168" s="30" t="s">
        <v>22</v>
      </c>
      <c r="H168" s="31" t="str">
        <f>INDEX(base_fish!E:E,MATCH(use_fish!B168,base_fish!A:A,0))&amp;_xlfn.IFNA("+"&amp;INDEX(activity!G:G,MATCH(use_fish!C168,activity!A:A,0)),"")</f>
        <v>魔鬼鱼+临时活动</v>
      </c>
      <c r="I168" s="30">
        <f>LOOKUP(use_fish!B168,base_fish!A:A,base_fish!F:F)+_xlfn.IFNA(INDEX(activity!F:F,MATCH(use_fish!C168,activity!A:A,0)),0)</f>
        <v>50</v>
      </c>
      <c r="J168" s="29">
        <v>1</v>
      </c>
      <c r="K168" s="29">
        <f>LOOKUP(use_fish!B168,base_fish!A:A,base_fish!G:G)</f>
        <v>0</v>
      </c>
      <c r="L168" s="29">
        <f t="shared" si="28"/>
        <v>50</v>
      </c>
      <c r="M168" s="29">
        <v>1</v>
      </c>
      <c r="N168" s="29">
        <v>0</v>
      </c>
      <c r="O168" s="29">
        <v>1</v>
      </c>
    </row>
    <row r="169" spans="1:15" x14ac:dyDescent="0.2">
      <c r="A169" s="28">
        <v>168</v>
      </c>
      <c r="B169" s="30">
        <v>18</v>
      </c>
      <c r="C169" s="28">
        <v>85</v>
      </c>
      <c r="D169" s="28"/>
      <c r="E169" s="30">
        <f>LOOKUP(use_fish!B169,base_fish!A:A,base_fish!C:C)+_xlfn.IFNA(INDEX(activity!F:F,MATCH(use_fish!C169,activity!A:A,0)),0)</f>
        <v>70</v>
      </c>
      <c r="F169" s="30">
        <f t="shared" si="27"/>
        <v>1.4285714285714285E-2</v>
      </c>
      <c r="G169" s="30" t="s">
        <v>22</v>
      </c>
      <c r="H169" s="31" t="str">
        <f>INDEX(base_fish!E:E,MATCH(use_fish!B169,base_fish!A:A,0))&amp;_xlfn.IFNA("+"&amp;INDEX(activity!G:G,MATCH(use_fish!C169,activity!A:A,0)),"")</f>
        <v>虎鲸+临时活动</v>
      </c>
      <c r="I169" s="30">
        <f>LOOKUP(use_fish!B169,base_fish!A:A,base_fish!F:F)+_xlfn.IFNA(INDEX(activity!F:F,MATCH(use_fish!C169,activity!A:A,0)),0)</f>
        <v>70</v>
      </c>
      <c r="J169" s="29">
        <v>1</v>
      </c>
      <c r="K169" s="29">
        <f>LOOKUP(use_fish!B169,base_fish!A:A,base_fish!G:G)</f>
        <v>0</v>
      </c>
      <c r="L169" s="29">
        <f t="shared" si="28"/>
        <v>70</v>
      </c>
      <c r="M169" s="29">
        <v>1</v>
      </c>
      <c r="N169" s="29">
        <v>0</v>
      </c>
      <c r="O169" s="29">
        <v>1</v>
      </c>
    </row>
    <row r="170" spans="1:15" x14ac:dyDescent="0.2">
      <c r="A170" s="28">
        <v>169</v>
      </c>
      <c r="B170" s="28">
        <v>62</v>
      </c>
      <c r="C170" s="28">
        <v>82</v>
      </c>
      <c r="D170" s="28"/>
      <c r="E170" s="30">
        <f>LOOKUP(use_fish!B170,base_fish!A:A,base_fish!C:C)+_xlfn.IFNA(INDEX(activity!F:F,MATCH(use_fish!C170,activity!A:A,0)),0)</f>
        <v>250</v>
      </c>
      <c r="F170" s="30">
        <f t="shared" si="27"/>
        <v>4.0000000000000001E-3</v>
      </c>
      <c r="G170" s="30" t="s">
        <v>22</v>
      </c>
      <c r="H170" s="31" t="str">
        <f>INDEX(base_fish!E:E,MATCH(use_fish!B170,base_fish!A:A,0))&amp;_xlfn.IFNA("+"&amp;INDEX(activity!G:G,MATCH(use_fish!C170,activity!A:A,0)),"")</f>
        <v>活动boss+临时活动</v>
      </c>
      <c r="I170" s="30">
        <f>LOOKUP(use_fish!B170,base_fish!A:A,base_fish!F:F)+_xlfn.IFNA(INDEX(activity!F:F,MATCH(use_fish!C170,activity!A:A,0)),0)</f>
        <v>250</v>
      </c>
      <c r="J170" s="29">
        <v>1</v>
      </c>
      <c r="K170" s="29">
        <f>LOOKUP(use_fish!B170,base_fish!A:A,base_fish!G:G)</f>
        <v>0</v>
      </c>
      <c r="L170" s="29">
        <f t="shared" si="28"/>
        <v>250</v>
      </c>
      <c r="M170" s="29">
        <v>1</v>
      </c>
      <c r="N170" s="29">
        <v>1</v>
      </c>
      <c r="O170" s="29">
        <v>1</v>
      </c>
    </row>
    <row r="171" spans="1:15" x14ac:dyDescent="0.2">
      <c r="A171" s="28">
        <v>170</v>
      </c>
      <c r="B171" s="28">
        <v>62</v>
      </c>
      <c r="C171" s="28">
        <v>83</v>
      </c>
      <c r="D171" s="28"/>
      <c r="E171" s="30">
        <f>LOOKUP(use_fish!B171,base_fish!A:A,base_fish!C:C)+_xlfn.IFNA(INDEX(activity!F:F,MATCH(use_fish!C171,activity!A:A,0)),0)</f>
        <v>350</v>
      </c>
      <c r="F171" s="30">
        <f t="shared" si="27"/>
        <v>2.8571428571428571E-3</v>
      </c>
      <c r="G171" s="30" t="s">
        <v>22</v>
      </c>
      <c r="H171" s="31" t="str">
        <f>INDEX(base_fish!E:E,MATCH(use_fish!B171,base_fish!A:A,0))&amp;_xlfn.IFNA("+"&amp;INDEX(activity!G:G,MATCH(use_fish!C171,activity!A:A,0)),"")</f>
        <v>活动boss+临时活动</v>
      </c>
      <c r="I171" s="30">
        <f>LOOKUP(use_fish!B171,base_fish!A:A,base_fish!F:F)+_xlfn.IFNA(INDEX(activity!F:F,MATCH(use_fish!C171,activity!A:A,0)),0)</f>
        <v>350</v>
      </c>
      <c r="J171" s="29">
        <v>1</v>
      </c>
      <c r="K171" s="29">
        <f>LOOKUP(use_fish!B171,base_fish!A:A,base_fish!G:G)</f>
        <v>0</v>
      </c>
      <c r="L171" s="29">
        <f t="shared" si="28"/>
        <v>350</v>
      </c>
      <c r="M171" s="29">
        <v>1</v>
      </c>
      <c r="N171" s="29">
        <v>1</v>
      </c>
      <c r="O171" s="29">
        <v>1</v>
      </c>
    </row>
    <row r="172" spans="1:15" x14ac:dyDescent="0.2">
      <c r="A172" s="28">
        <v>171</v>
      </c>
      <c r="B172" s="28">
        <v>62</v>
      </c>
      <c r="C172" s="28">
        <v>84</v>
      </c>
      <c r="D172" s="28"/>
      <c r="E172" s="30">
        <f>LOOKUP(use_fish!B172,base_fish!A:A,base_fish!C:C)+_xlfn.IFNA(INDEX(activity!F:F,MATCH(use_fish!C172,activity!A:A,0)),0)</f>
        <v>450</v>
      </c>
      <c r="F172" s="30">
        <f t="shared" si="27"/>
        <v>2.2222222222222222E-3</v>
      </c>
      <c r="G172" s="30" t="s">
        <v>22</v>
      </c>
      <c r="H172" s="31" t="str">
        <f>INDEX(base_fish!E:E,MATCH(use_fish!B172,base_fish!A:A,0))&amp;_xlfn.IFNA("+"&amp;INDEX(activity!G:G,MATCH(use_fish!C172,activity!A:A,0)),"")</f>
        <v>活动boss+临时活动</v>
      </c>
      <c r="I172" s="30">
        <f>LOOKUP(use_fish!B172,base_fish!A:A,base_fish!F:F)+_xlfn.IFNA(INDEX(activity!F:F,MATCH(use_fish!C172,activity!A:A,0)),0)</f>
        <v>450</v>
      </c>
      <c r="J172" s="29">
        <v>1</v>
      </c>
      <c r="K172" s="29">
        <f>LOOKUP(use_fish!B172,base_fish!A:A,base_fish!G:G)</f>
        <v>0</v>
      </c>
      <c r="L172" s="29">
        <f t="shared" si="28"/>
        <v>450</v>
      </c>
      <c r="M172" s="29">
        <v>1</v>
      </c>
      <c r="N172" s="29">
        <v>1</v>
      </c>
      <c r="O172" s="29">
        <v>1</v>
      </c>
    </row>
    <row r="173" spans="1:15" x14ac:dyDescent="0.2">
      <c r="A173" s="28">
        <v>172</v>
      </c>
      <c r="B173" s="84">
        <v>13</v>
      </c>
      <c r="C173" s="83">
        <v>89</v>
      </c>
      <c r="D173" s="83"/>
      <c r="E173" s="84">
        <f>LOOKUP(use_fish!B173,base_fish!A:A,base_fish!C:C)+_xlfn.IFNA(INDEX(activity!F:F,MATCH(use_fish!C173,activity!A:A,0)),0)</f>
        <v>30</v>
      </c>
      <c r="F173" s="84">
        <f t="shared" ref="F173:F181" si="29">1/E173</f>
        <v>3.3333333333333333E-2</v>
      </c>
      <c r="G173" s="84" t="s">
        <v>22</v>
      </c>
      <c r="H173" s="85" t="str">
        <f>INDEX(base_fish!E:E,MATCH(use_fish!B173,base_fish!A:A,0))&amp;_xlfn.IFNA("+"&amp;INDEX(activity!G:G,MATCH(use_fish!C173,activity!A:A,0)),"")</f>
        <v>蝴蝶鱼+临时活动</v>
      </c>
      <c r="I173" s="84">
        <f>LOOKUP(use_fish!B173,base_fish!A:A,base_fish!F:F)+_xlfn.IFNA(INDEX(activity!F:F,MATCH(use_fish!C173,activity!A:A,0)),0)</f>
        <v>30</v>
      </c>
      <c r="J173" s="81">
        <v>1</v>
      </c>
      <c r="K173" s="81">
        <f>LOOKUP(use_fish!B173,base_fish!A:A,base_fish!G:G)</f>
        <v>0</v>
      </c>
      <c r="L173" s="81">
        <f t="shared" ref="L173:L181" si="30">I173</f>
        <v>30</v>
      </c>
      <c r="M173" s="81">
        <v>1</v>
      </c>
      <c r="N173" s="81">
        <v>0</v>
      </c>
      <c r="O173" s="81">
        <v>1</v>
      </c>
    </row>
    <row r="174" spans="1:15" x14ac:dyDescent="0.2">
      <c r="A174" s="28">
        <v>173</v>
      </c>
      <c r="B174" s="84">
        <v>14</v>
      </c>
      <c r="C174" s="83">
        <v>89</v>
      </c>
      <c r="D174" s="83"/>
      <c r="E174" s="84">
        <f>LOOKUP(use_fish!B174,base_fish!A:A,base_fish!C:C)+_xlfn.IFNA(INDEX(activity!F:F,MATCH(use_fish!C174,activity!A:A,0)),0)</f>
        <v>35</v>
      </c>
      <c r="F174" s="84">
        <f t="shared" si="29"/>
        <v>2.8571428571428571E-2</v>
      </c>
      <c r="G174" s="84" t="s">
        <v>22</v>
      </c>
      <c r="H174" s="85" t="str">
        <f>INDEX(base_fish!E:E,MATCH(use_fish!B174,base_fish!A:A,0))&amp;_xlfn.IFNA("+"&amp;INDEX(activity!G:G,MATCH(use_fish!C174,activity!A:A,0)),"")</f>
        <v>巨大小丑鱼+临时活动</v>
      </c>
      <c r="I174" s="84">
        <f>LOOKUP(use_fish!B174,base_fish!A:A,base_fish!F:F)+_xlfn.IFNA(INDEX(activity!F:F,MATCH(use_fish!C174,activity!A:A,0)),0)</f>
        <v>35</v>
      </c>
      <c r="J174" s="81">
        <v>1</v>
      </c>
      <c r="K174" s="81">
        <f>LOOKUP(use_fish!B174,base_fish!A:A,base_fish!G:G)</f>
        <v>0</v>
      </c>
      <c r="L174" s="81">
        <f t="shared" si="30"/>
        <v>35</v>
      </c>
      <c r="M174" s="81">
        <v>1</v>
      </c>
      <c r="N174" s="81">
        <v>0</v>
      </c>
      <c r="O174" s="81">
        <v>1</v>
      </c>
    </row>
    <row r="175" spans="1:15" x14ac:dyDescent="0.2">
      <c r="A175" s="28">
        <v>174</v>
      </c>
      <c r="B175" s="84">
        <v>15</v>
      </c>
      <c r="C175" s="83">
        <v>89</v>
      </c>
      <c r="D175" s="83"/>
      <c r="E175" s="84">
        <f>LOOKUP(use_fish!B175,base_fish!A:A,base_fish!C:C)+_xlfn.IFNA(INDEX(activity!F:F,MATCH(use_fish!C175,activity!A:A,0)),0)</f>
        <v>40</v>
      </c>
      <c r="F175" s="84">
        <f t="shared" si="29"/>
        <v>2.5000000000000001E-2</v>
      </c>
      <c r="G175" s="84" t="s">
        <v>22</v>
      </c>
      <c r="H175" s="85" t="str">
        <f>INDEX(base_fish!E:E,MATCH(use_fish!B175,base_fish!A:A,0))&amp;_xlfn.IFNA("+"&amp;INDEX(activity!G:G,MATCH(use_fish!C175,activity!A:A,0)),"")</f>
        <v>巨大灯笼鱼+临时活动</v>
      </c>
      <c r="I175" s="84">
        <f>LOOKUP(use_fish!B175,base_fish!A:A,base_fish!F:F)+_xlfn.IFNA(INDEX(activity!F:F,MATCH(use_fish!C175,activity!A:A,0)),0)</f>
        <v>40</v>
      </c>
      <c r="J175" s="81">
        <v>1</v>
      </c>
      <c r="K175" s="81">
        <f>LOOKUP(use_fish!B175,base_fish!A:A,base_fish!G:G)</f>
        <v>0</v>
      </c>
      <c r="L175" s="81">
        <f t="shared" si="30"/>
        <v>40</v>
      </c>
      <c r="M175" s="81">
        <v>1</v>
      </c>
      <c r="N175" s="81">
        <v>0</v>
      </c>
      <c r="O175" s="81">
        <v>1</v>
      </c>
    </row>
    <row r="176" spans="1:15" x14ac:dyDescent="0.2">
      <c r="A176" s="28">
        <v>175</v>
      </c>
      <c r="B176" s="84">
        <v>16</v>
      </c>
      <c r="C176" s="83">
        <v>89</v>
      </c>
      <c r="D176" s="83"/>
      <c r="E176" s="84">
        <f>LOOKUP(use_fish!B176,base_fish!A:A,base_fish!C:C)+_xlfn.IFNA(INDEX(activity!F:F,MATCH(use_fish!C176,activity!A:A,0)),0)</f>
        <v>45</v>
      </c>
      <c r="F176" s="84">
        <f t="shared" si="29"/>
        <v>2.2222222222222223E-2</v>
      </c>
      <c r="G176" s="84" t="s">
        <v>22</v>
      </c>
      <c r="H176" s="85" t="str">
        <f>INDEX(base_fish!E:E,MATCH(use_fish!B176,base_fish!A:A,0))&amp;_xlfn.IFNA("+"&amp;INDEX(activity!G:G,MATCH(use_fish!C176,activity!A:A,0)),"")</f>
        <v>巨大燕鱼+临时活动</v>
      </c>
      <c r="I176" s="84">
        <f>LOOKUP(use_fish!B176,base_fish!A:A,base_fish!F:F)+_xlfn.IFNA(INDEX(activity!F:F,MATCH(use_fish!C176,activity!A:A,0)),0)</f>
        <v>45</v>
      </c>
      <c r="J176" s="81">
        <v>1</v>
      </c>
      <c r="K176" s="81">
        <f>LOOKUP(use_fish!B176,base_fish!A:A,base_fish!G:G)</f>
        <v>0</v>
      </c>
      <c r="L176" s="81">
        <f t="shared" si="30"/>
        <v>45</v>
      </c>
      <c r="M176" s="81">
        <v>1</v>
      </c>
      <c r="N176" s="81">
        <v>0</v>
      </c>
      <c r="O176" s="81">
        <v>1</v>
      </c>
    </row>
    <row r="177" spans="1:15" x14ac:dyDescent="0.2">
      <c r="A177" s="28">
        <v>176</v>
      </c>
      <c r="B177" s="84">
        <v>17</v>
      </c>
      <c r="C177" s="83">
        <v>89</v>
      </c>
      <c r="D177" s="83"/>
      <c r="E177" s="84">
        <f>LOOKUP(use_fish!B177,base_fish!A:A,base_fish!C:C)+_xlfn.IFNA(INDEX(activity!F:F,MATCH(use_fish!C177,activity!A:A,0)),0)</f>
        <v>50</v>
      </c>
      <c r="F177" s="84">
        <f t="shared" si="29"/>
        <v>0.02</v>
      </c>
      <c r="G177" s="84" t="s">
        <v>22</v>
      </c>
      <c r="H177" s="85" t="str">
        <f>INDEX(base_fish!E:E,MATCH(use_fish!B177,base_fish!A:A,0))&amp;_xlfn.IFNA("+"&amp;INDEX(activity!G:G,MATCH(use_fish!C177,activity!A:A,0)),"")</f>
        <v>魔鬼鱼+临时活动</v>
      </c>
      <c r="I177" s="84">
        <f>LOOKUP(use_fish!B177,base_fish!A:A,base_fish!F:F)+_xlfn.IFNA(INDEX(activity!F:F,MATCH(use_fish!C177,activity!A:A,0)),0)</f>
        <v>50</v>
      </c>
      <c r="J177" s="81">
        <v>1</v>
      </c>
      <c r="K177" s="81">
        <f>LOOKUP(use_fish!B177,base_fish!A:A,base_fish!G:G)</f>
        <v>0</v>
      </c>
      <c r="L177" s="81">
        <f t="shared" si="30"/>
        <v>50</v>
      </c>
      <c r="M177" s="81">
        <v>1</v>
      </c>
      <c r="N177" s="81">
        <v>0</v>
      </c>
      <c r="O177" s="81">
        <v>1</v>
      </c>
    </row>
    <row r="178" spans="1:15" x14ac:dyDescent="0.2">
      <c r="A178" s="28">
        <v>177</v>
      </c>
      <c r="B178" s="84">
        <v>18</v>
      </c>
      <c r="C178" s="83">
        <v>89</v>
      </c>
      <c r="D178" s="83"/>
      <c r="E178" s="84">
        <f>LOOKUP(use_fish!B178,base_fish!A:A,base_fish!C:C)+_xlfn.IFNA(INDEX(activity!F:F,MATCH(use_fish!C178,activity!A:A,0)),0)</f>
        <v>70</v>
      </c>
      <c r="F178" s="84">
        <f t="shared" si="29"/>
        <v>1.4285714285714285E-2</v>
      </c>
      <c r="G178" s="84" t="s">
        <v>22</v>
      </c>
      <c r="H178" s="85" t="str">
        <f>INDEX(base_fish!E:E,MATCH(use_fish!B178,base_fish!A:A,0))&amp;_xlfn.IFNA("+"&amp;INDEX(activity!G:G,MATCH(use_fish!C178,activity!A:A,0)),"")</f>
        <v>虎鲸+临时活动</v>
      </c>
      <c r="I178" s="84">
        <f>LOOKUP(use_fish!B178,base_fish!A:A,base_fish!F:F)+_xlfn.IFNA(INDEX(activity!F:F,MATCH(use_fish!C178,activity!A:A,0)),0)</f>
        <v>70</v>
      </c>
      <c r="J178" s="81">
        <v>1</v>
      </c>
      <c r="K178" s="81">
        <f>LOOKUP(use_fish!B178,base_fish!A:A,base_fish!G:G)</f>
        <v>0</v>
      </c>
      <c r="L178" s="81">
        <f t="shared" si="30"/>
        <v>70</v>
      </c>
      <c r="M178" s="81">
        <v>1</v>
      </c>
      <c r="N178" s="81">
        <v>0</v>
      </c>
      <c r="O178" s="81">
        <v>1</v>
      </c>
    </row>
    <row r="179" spans="1:15" x14ac:dyDescent="0.2">
      <c r="A179" s="28">
        <v>178</v>
      </c>
      <c r="B179" s="83">
        <v>62</v>
      </c>
      <c r="C179" s="83">
        <v>86</v>
      </c>
      <c r="D179" s="83"/>
      <c r="E179" s="84">
        <f>LOOKUP(use_fish!B179,base_fish!A:A,base_fish!C:C)+_xlfn.IFNA(INDEX(activity!F:F,MATCH(use_fish!C179,activity!A:A,0)),0)</f>
        <v>250</v>
      </c>
      <c r="F179" s="84">
        <f t="shared" si="29"/>
        <v>4.0000000000000001E-3</v>
      </c>
      <c r="G179" s="84" t="s">
        <v>22</v>
      </c>
      <c r="H179" s="85" t="str">
        <f>INDEX(base_fish!E:E,MATCH(use_fish!B179,base_fish!A:A,0))&amp;_xlfn.IFNA("+"&amp;INDEX(activity!G:G,MATCH(use_fish!C179,activity!A:A,0)),"")</f>
        <v>活动boss+临时活动</v>
      </c>
      <c r="I179" s="84">
        <f>LOOKUP(use_fish!B179,base_fish!A:A,base_fish!F:F)+_xlfn.IFNA(INDEX(activity!F:F,MATCH(use_fish!C179,activity!A:A,0)),0)</f>
        <v>250</v>
      </c>
      <c r="J179" s="81">
        <v>1</v>
      </c>
      <c r="K179" s="81">
        <f>LOOKUP(use_fish!B179,base_fish!A:A,base_fish!G:G)</f>
        <v>0</v>
      </c>
      <c r="L179" s="81">
        <f t="shared" si="30"/>
        <v>250</v>
      </c>
      <c r="M179" s="81">
        <v>1</v>
      </c>
      <c r="N179" s="81">
        <v>1</v>
      </c>
      <c r="O179" s="81">
        <v>1</v>
      </c>
    </row>
    <row r="180" spans="1:15" x14ac:dyDescent="0.2">
      <c r="A180" s="28">
        <v>179</v>
      </c>
      <c r="B180" s="83">
        <v>62</v>
      </c>
      <c r="C180" s="83">
        <v>87</v>
      </c>
      <c r="D180" s="83"/>
      <c r="E180" s="84">
        <f>LOOKUP(use_fish!B180,base_fish!A:A,base_fish!C:C)+_xlfn.IFNA(INDEX(activity!F:F,MATCH(use_fish!C180,activity!A:A,0)),0)</f>
        <v>350</v>
      </c>
      <c r="F180" s="84">
        <f t="shared" si="29"/>
        <v>2.8571428571428571E-3</v>
      </c>
      <c r="G180" s="84" t="s">
        <v>22</v>
      </c>
      <c r="H180" s="85" t="str">
        <f>INDEX(base_fish!E:E,MATCH(use_fish!B180,base_fish!A:A,0))&amp;_xlfn.IFNA("+"&amp;INDEX(activity!G:G,MATCH(use_fish!C180,activity!A:A,0)),"")</f>
        <v>活动boss+临时活动</v>
      </c>
      <c r="I180" s="84">
        <f>LOOKUP(use_fish!B180,base_fish!A:A,base_fish!F:F)+_xlfn.IFNA(INDEX(activity!F:F,MATCH(use_fish!C180,activity!A:A,0)),0)</f>
        <v>350</v>
      </c>
      <c r="J180" s="81">
        <v>1</v>
      </c>
      <c r="K180" s="81">
        <f>LOOKUP(use_fish!B180,base_fish!A:A,base_fish!G:G)</f>
        <v>0</v>
      </c>
      <c r="L180" s="81">
        <f t="shared" si="30"/>
        <v>350</v>
      </c>
      <c r="M180" s="81">
        <v>1</v>
      </c>
      <c r="N180" s="81">
        <v>1</v>
      </c>
      <c r="O180" s="81">
        <v>1</v>
      </c>
    </row>
    <row r="181" spans="1:15" x14ac:dyDescent="0.2">
      <c r="A181" s="28">
        <v>180</v>
      </c>
      <c r="B181" s="83">
        <v>62</v>
      </c>
      <c r="C181" s="83">
        <v>88</v>
      </c>
      <c r="D181" s="83"/>
      <c r="E181" s="84">
        <f>LOOKUP(use_fish!B181,base_fish!A:A,base_fish!C:C)+_xlfn.IFNA(INDEX(activity!F:F,MATCH(use_fish!C181,activity!A:A,0)),0)</f>
        <v>450</v>
      </c>
      <c r="F181" s="84">
        <f t="shared" si="29"/>
        <v>2.2222222222222222E-3</v>
      </c>
      <c r="G181" s="84" t="s">
        <v>22</v>
      </c>
      <c r="H181" s="85" t="str">
        <f>INDEX(base_fish!E:E,MATCH(use_fish!B181,base_fish!A:A,0))&amp;_xlfn.IFNA("+"&amp;INDEX(activity!G:G,MATCH(use_fish!C181,activity!A:A,0)),"")</f>
        <v>活动boss+临时活动</v>
      </c>
      <c r="I181" s="84">
        <f>LOOKUP(use_fish!B181,base_fish!A:A,base_fish!F:F)+_xlfn.IFNA(INDEX(activity!F:F,MATCH(use_fish!C181,activity!A:A,0)),0)</f>
        <v>450</v>
      </c>
      <c r="J181" s="81">
        <v>1</v>
      </c>
      <c r="K181" s="81">
        <f>LOOKUP(use_fish!B181,base_fish!A:A,base_fish!G:G)</f>
        <v>0</v>
      </c>
      <c r="L181" s="81">
        <f t="shared" si="30"/>
        <v>450</v>
      </c>
      <c r="M181" s="81">
        <v>1</v>
      </c>
      <c r="N181" s="81">
        <v>1</v>
      </c>
      <c r="O181" s="81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90"/>
  <sheetViews>
    <sheetView tabSelected="1" zoomScale="115" zoomScaleNormal="115" workbookViewId="0">
      <pane ySplit="1" topLeftCell="A64" activePane="bottomLeft" state="frozen"/>
      <selection pane="bottomLeft" activeCell="F78" sqref="F78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1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1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1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>LOOKUP(B32,H:H,I:I)</f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>LOOKUP(B33,H:H,I:I)</f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1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1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  <row r="66" spans="1:7" s="62" customFormat="1" x14ac:dyDescent="0.2">
      <c r="A66" s="62">
        <v>65</v>
      </c>
      <c r="B66" s="59">
        <v>9</v>
      </c>
      <c r="C66" s="59" t="s">
        <v>413</v>
      </c>
      <c r="D66" s="60">
        <v>0</v>
      </c>
      <c r="E66" s="60">
        <v>1</v>
      </c>
      <c r="F66" s="59">
        <v>75</v>
      </c>
      <c r="G66" s="59" t="s">
        <v>88</v>
      </c>
    </row>
    <row r="67" spans="1:7" x14ac:dyDescent="0.2">
      <c r="A67">
        <v>66</v>
      </c>
      <c r="B67" s="59">
        <v>9</v>
      </c>
      <c r="C67" s="59" t="s">
        <v>414</v>
      </c>
      <c r="D67" s="60">
        <v>0</v>
      </c>
      <c r="E67" s="60">
        <v>1</v>
      </c>
      <c r="F67" s="59">
        <v>150</v>
      </c>
      <c r="G67" s="59" t="s">
        <v>88</v>
      </c>
    </row>
    <row r="68" spans="1:7" x14ac:dyDescent="0.2">
      <c r="A68">
        <v>67</v>
      </c>
      <c r="B68" s="59">
        <v>9</v>
      </c>
      <c r="C68" s="59" t="s">
        <v>415</v>
      </c>
      <c r="D68" s="60">
        <v>0</v>
      </c>
      <c r="E68" s="60">
        <v>1</v>
      </c>
      <c r="F68" s="59">
        <v>250</v>
      </c>
      <c r="G68" s="59" t="s">
        <v>88</v>
      </c>
    </row>
    <row r="69" spans="1:7" x14ac:dyDescent="0.2">
      <c r="A69">
        <v>68</v>
      </c>
      <c r="B69" s="59">
        <v>9</v>
      </c>
      <c r="C69" s="59" t="s">
        <v>416</v>
      </c>
      <c r="D69" s="60">
        <v>1</v>
      </c>
      <c r="E69" s="60">
        <v>1</v>
      </c>
      <c r="F69" s="59">
        <v>10</v>
      </c>
      <c r="G69" s="59" t="s">
        <v>88</v>
      </c>
    </row>
    <row r="70" spans="1:7" s="65" customFormat="1" x14ac:dyDescent="0.2">
      <c r="A70">
        <v>69</v>
      </c>
      <c r="B70" s="65">
        <v>9</v>
      </c>
      <c r="C70" s="65" t="s">
        <v>421</v>
      </c>
      <c r="D70" s="66">
        <v>1</v>
      </c>
      <c r="E70" s="66">
        <v>1</v>
      </c>
      <c r="F70" s="65">
        <v>75</v>
      </c>
      <c r="G70" s="65" t="s">
        <v>418</v>
      </c>
    </row>
    <row r="71" spans="1:7" s="69" customFormat="1" x14ac:dyDescent="0.2">
      <c r="A71">
        <v>70</v>
      </c>
      <c r="B71" s="69">
        <v>9</v>
      </c>
      <c r="C71" s="69" t="s">
        <v>423</v>
      </c>
      <c r="D71" s="70">
        <v>0</v>
      </c>
      <c r="E71" s="70">
        <v>1</v>
      </c>
      <c r="F71" s="69">
        <v>75</v>
      </c>
      <c r="G71" s="69" t="s">
        <v>88</v>
      </c>
    </row>
    <row r="72" spans="1:7" s="69" customFormat="1" x14ac:dyDescent="0.2">
      <c r="A72">
        <v>71</v>
      </c>
      <c r="B72" s="69">
        <v>9</v>
      </c>
      <c r="C72" s="69" t="s">
        <v>424</v>
      </c>
      <c r="D72" s="70">
        <v>0</v>
      </c>
      <c r="E72" s="70">
        <v>1</v>
      </c>
      <c r="F72" s="69">
        <v>150</v>
      </c>
      <c r="G72" s="69" t="s">
        <v>88</v>
      </c>
    </row>
    <row r="73" spans="1:7" s="69" customFormat="1" x14ac:dyDescent="0.2">
      <c r="A73">
        <v>72</v>
      </c>
      <c r="B73" s="69">
        <v>9</v>
      </c>
      <c r="C73" s="69" t="s">
        <v>425</v>
      </c>
      <c r="D73" s="70">
        <v>0</v>
      </c>
      <c r="E73" s="70">
        <v>1</v>
      </c>
      <c r="F73" s="69">
        <v>250</v>
      </c>
      <c r="G73" s="69" t="s">
        <v>88</v>
      </c>
    </row>
    <row r="74" spans="1:7" s="69" customFormat="1" x14ac:dyDescent="0.2">
      <c r="A74">
        <v>73</v>
      </c>
      <c r="B74" s="69">
        <v>9</v>
      </c>
      <c r="C74" s="69" t="s">
        <v>426</v>
      </c>
      <c r="D74" s="70">
        <v>1</v>
      </c>
      <c r="E74" s="70">
        <v>1</v>
      </c>
      <c r="F74" s="69">
        <v>10</v>
      </c>
      <c r="G74" s="69" t="s">
        <v>88</v>
      </c>
    </row>
    <row r="75" spans="1:7" x14ac:dyDescent="0.2">
      <c r="A75">
        <v>74</v>
      </c>
      <c r="B75" s="29">
        <v>9</v>
      </c>
      <c r="C75" s="29" t="s">
        <v>473</v>
      </c>
      <c r="D75" s="80">
        <v>0</v>
      </c>
      <c r="E75" s="80">
        <v>1</v>
      </c>
      <c r="F75" s="29">
        <v>250</v>
      </c>
      <c r="G75" s="29" t="s">
        <v>88</v>
      </c>
    </row>
    <row r="76" spans="1:7" x14ac:dyDescent="0.2">
      <c r="A76">
        <v>75</v>
      </c>
      <c r="B76" s="29">
        <v>9</v>
      </c>
      <c r="C76" s="29" t="s">
        <v>471</v>
      </c>
      <c r="D76" s="80">
        <v>0</v>
      </c>
      <c r="E76" s="80">
        <v>1</v>
      </c>
      <c r="F76" s="29">
        <v>350</v>
      </c>
      <c r="G76" s="29" t="s">
        <v>88</v>
      </c>
    </row>
    <row r="77" spans="1:7" x14ac:dyDescent="0.2">
      <c r="A77">
        <v>76</v>
      </c>
      <c r="B77" s="29">
        <v>9</v>
      </c>
      <c r="C77" s="29" t="s">
        <v>474</v>
      </c>
      <c r="D77" s="80">
        <v>0</v>
      </c>
      <c r="E77" s="80">
        <v>1</v>
      </c>
      <c r="F77" s="29">
        <v>450</v>
      </c>
      <c r="G77" s="29" t="s">
        <v>88</v>
      </c>
    </row>
    <row r="78" spans="1:7" x14ac:dyDescent="0.2">
      <c r="A78">
        <v>77</v>
      </c>
      <c r="B78" s="29">
        <v>9</v>
      </c>
      <c r="C78" s="29" t="s">
        <v>475</v>
      </c>
      <c r="D78" s="80">
        <v>1</v>
      </c>
      <c r="E78" s="80">
        <v>1</v>
      </c>
      <c r="F78" s="29">
        <v>10</v>
      </c>
      <c r="G78" s="29" t="s">
        <v>88</v>
      </c>
    </row>
    <row r="79" spans="1:7" x14ac:dyDescent="0.2">
      <c r="A79">
        <v>78</v>
      </c>
      <c r="B79" s="81">
        <v>9</v>
      </c>
      <c r="C79" s="81" t="s">
        <v>476</v>
      </c>
      <c r="D79" s="82">
        <v>0</v>
      </c>
      <c r="E79" s="82">
        <v>1</v>
      </c>
      <c r="F79" s="81">
        <v>250</v>
      </c>
      <c r="G79" s="81" t="s">
        <v>88</v>
      </c>
    </row>
    <row r="80" spans="1:7" x14ac:dyDescent="0.2">
      <c r="A80">
        <v>79</v>
      </c>
      <c r="B80" s="81">
        <v>9</v>
      </c>
      <c r="C80" s="81" t="s">
        <v>477</v>
      </c>
      <c r="D80" s="82">
        <v>0</v>
      </c>
      <c r="E80" s="82">
        <v>1</v>
      </c>
      <c r="F80" s="81">
        <v>350</v>
      </c>
      <c r="G80" s="81" t="s">
        <v>88</v>
      </c>
    </row>
    <row r="81" spans="1:7" x14ac:dyDescent="0.2">
      <c r="A81">
        <v>80</v>
      </c>
      <c r="B81" s="81">
        <v>9</v>
      </c>
      <c r="C81" s="81" t="s">
        <v>478</v>
      </c>
      <c r="D81" s="82">
        <v>0</v>
      </c>
      <c r="E81" s="82">
        <v>1</v>
      </c>
      <c r="F81" s="81">
        <v>450</v>
      </c>
      <c r="G81" s="81" t="s">
        <v>88</v>
      </c>
    </row>
    <row r="82" spans="1:7" x14ac:dyDescent="0.2">
      <c r="A82">
        <v>81</v>
      </c>
      <c r="B82" s="81">
        <v>9</v>
      </c>
      <c r="C82" s="81" t="s">
        <v>479</v>
      </c>
      <c r="D82" s="82">
        <v>1</v>
      </c>
      <c r="E82" s="82">
        <v>1</v>
      </c>
      <c r="F82" s="81">
        <v>10</v>
      </c>
      <c r="G82" s="81" t="s">
        <v>88</v>
      </c>
    </row>
    <row r="83" spans="1:7" x14ac:dyDescent="0.2">
      <c r="A83">
        <v>82</v>
      </c>
      <c r="B83" s="29">
        <v>9</v>
      </c>
      <c r="C83" s="29" t="s">
        <v>480</v>
      </c>
      <c r="D83" s="80">
        <v>0</v>
      </c>
      <c r="E83" s="80">
        <v>1</v>
      </c>
      <c r="F83" s="29">
        <v>250</v>
      </c>
      <c r="G83" s="29" t="s">
        <v>88</v>
      </c>
    </row>
    <row r="84" spans="1:7" x14ac:dyDescent="0.2">
      <c r="A84">
        <v>83</v>
      </c>
      <c r="B84" s="29">
        <v>9</v>
      </c>
      <c r="C84" s="29" t="s">
        <v>481</v>
      </c>
      <c r="D84" s="80">
        <v>0</v>
      </c>
      <c r="E84" s="80">
        <v>1</v>
      </c>
      <c r="F84" s="29">
        <v>350</v>
      </c>
      <c r="G84" s="29" t="s">
        <v>88</v>
      </c>
    </row>
    <row r="85" spans="1:7" x14ac:dyDescent="0.2">
      <c r="A85">
        <v>84</v>
      </c>
      <c r="B85" s="29">
        <v>9</v>
      </c>
      <c r="C85" s="29" t="s">
        <v>482</v>
      </c>
      <c r="D85" s="80">
        <v>0</v>
      </c>
      <c r="E85" s="80">
        <v>1</v>
      </c>
      <c r="F85" s="29">
        <v>450</v>
      </c>
      <c r="G85" s="29" t="s">
        <v>88</v>
      </c>
    </row>
    <row r="86" spans="1:7" x14ac:dyDescent="0.2">
      <c r="A86">
        <v>85</v>
      </c>
      <c r="B86" s="29">
        <v>9</v>
      </c>
      <c r="C86" s="29" t="s">
        <v>483</v>
      </c>
      <c r="D86" s="80">
        <v>1</v>
      </c>
      <c r="E86" s="80">
        <v>1</v>
      </c>
      <c r="F86" s="29">
        <v>10</v>
      </c>
      <c r="G86" s="29" t="s">
        <v>88</v>
      </c>
    </row>
    <row r="87" spans="1:7" x14ac:dyDescent="0.2">
      <c r="A87">
        <v>86</v>
      </c>
      <c r="B87" s="81">
        <v>9</v>
      </c>
      <c r="C87" s="81" t="s">
        <v>484</v>
      </c>
      <c r="D87" s="82">
        <v>0</v>
      </c>
      <c r="E87" s="82">
        <v>1</v>
      </c>
      <c r="F87" s="81">
        <v>250</v>
      </c>
      <c r="G87" s="81" t="s">
        <v>88</v>
      </c>
    </row>
    <row r="88" spans="1:7" x14ac:dyDescent="0.2">
      <c r="A88">
        <v>87</v>
      </c>
      <c r="B88" s="81">
        <v>9</v>
      </c>
      <c r="C88" s="81" t="s">
        <v>485</v>
      </c>
      <c r="D88" s="82">
        <v>0</v>
      </c>
      <c r="E88" s="82">
        <v>1</v>
      </c>
      <c r="F88" s="81">
        <v>350</v>
      </c>
      <c r="G88" s="81" t="s">
        <v>88</v>
      </c>
    </row>
    <row r="89" spans="1:7" x14ac:dyDescent="0.2">
      <c r="A89">
        <v>88</v>
      </c>
      <c r="B89" s="81">
        <v>9</v>
      </c>
      <c r="C89" s="81" t="s">
        <v>486</v>
      </c>
      <c r="D89" s="82">
        <v>0</v>
      </c>
      <c r="E89" s="82">
        <v>1</v>
      </c>
      <c r="F89" s="81">
        <v>450</v>
      </c>
      <c r="G89" s="81" t="s">
        <v>88</v>
      </c>
    </row>
    <row r="90" spans="1:7" x14ac:dyDescent="0.2">
      <c r="A90">
        <v>89</v>
      </c>
      <c r="B90" s="81">
        <v>9</v>
      </c>
      <c r="C90" s="81" t="s">
        <v>487</v>
      </c>
      <c r="D90" s="82">
        <v>1</v>
      </c>
      <c r="E90" s="82">
        <v>1</v>
      </c>
      <c r="F90" s="81">
        <v>10</v>
      </c>
      <c r="G90" s="81" t="s">
        <v>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3"/>
  <sheetViews>
    <sheetView zoomScaleNormal="100" workbookViewId="0">
      <pane ySplit="1" topLeftCell="A38" activePane="bottomLeft" state="frozen"/>
      <selection pane="bottomLeft" activeCell="E63" sqref="E63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403</v>
      </c>
      <c r="F59" s="61">
        <v>0</v>
      </c>
      <c r="G59" s="61">
        <v>0</v>
      </c>
    </row>
    <row r="60" spans="1:7" x14ac:dyDescent="0.2">
      <c r="A60" s="2">
        <v>59</v>
      </c>
      <c r="B60" s="2">
        <v>1</v>
      </c>
      <c r="C60" s="2">
        <v>0</v>
      </c>
      <c r="D60" s="2">
        <v>0</v>
      </c>
      <c r="E60" s="2" t="s">
        <v>417</v>
      </c>
      <c r="F60" s="2">
        <v>0</v>
      </c>
      <c r="G60" s="2">
        <v>0</v>
      </c>
    </row>
    <row r="61" spans="1:7" s="72" customFormat="1" x14ac:dyDescent="0.2">
      <c r="A61" s="72">
        <v>60</v>
      </c>
      <c r="B61" s="72">
        <v>1</v>
      </c>
      <c r="C61" s="72">
        <v>0</v>
      </c>
      <c r="D61" s="72">
        <v>0</v>
      </c>
      <c r="E61" s="72" t="s">
        <v>422</v>
      </c>
      <c r="F61" s="72">
        <v>0</v>
      </c>
      <c r="G61" s="72">
        <v>0</v>
      </c>
    </row>
    <row r="62" spans="1:7" x14ac:dyDescent="0.2">
      <c r="A62" s="30">
        <v>61</v>
      </c>
      <c r="B62" s="30">
        <v>1</v>
      </c>
      <c r="C62" s="30">
        <v>0</v>
      </c>
      <c r="D62" s="30">
        <v>0</v>
      </c>
      <c r="E62" s="30" t="s">
        <v>470</v>
      </c>
      <c r="F62" s="30">
        <v>0</v>
      </c>
      <c r="G62" s="30">
        <v>0</v>
      </c>
    </row>
    <row r="63" spans="1:7" x14ac:dyDescent="0.2">
      <c r="A63" s="30">
        <v>62</v>
      </c>
      <c r="B63" s="30">
        <v>1</v>
      </c>
      <c r="C63" s="30">
        <v>0</v>
      </c>
      <c r="D63" s="30">
        <v>0</v>
      </c>
      <c r="E63" s="30" t="s">
        <v>472</v>
      </c>
      <c r="F63" s="30">
        <v>0</v>
      </c>
      <c r="G63" s="30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2021-01-26T11:01:55Z</dcterms:modified>
</cp:coreProperties>
</file>