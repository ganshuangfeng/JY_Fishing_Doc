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90" i="7" l="1"/>
  <c r="I190" i="7"/>
  <c r="H190" i="7"/>
  <c r="J189" i="7"/>
  <c r="I189" i="7"/>
  <c r="H189" i="7"/>
  <c r="I174" i="14"/>
  <c r="L174" i="14" s="1"/>
  <c r="H174" i="14"/>
  <c r="I173" i="14"/>
  <c r="L173" i="14" s="1"/>
  <c r="H173" i="14"/>
  <c r="E173" i="14"/>
  <c r="F173" i="14" s="1"/>
  <c r="J181" i="7" l="1"/>
  <c r="J188" i="7"/>
  <c r="I187" i="7"/>
  <c r="K172" i="14"/>
  <c r="I172" i="14"/>
  <c r="L172" i="14" s="1"/>
  <c r="H172" i="14"/>
  <c r="E172" i="14"/>
  <c r="F172" i="14" s="1"/>
  <c r="L171" i="14"/>
  <c r="K171" i="14"/>
  <c r="J187" i="7" s="1"/>
  <c r="I171" i="14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H186" i="7" l="1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<sst xmlns="http://schemas.openxmlformats.org/spreadsheetml/2006/main" count="793" uniqueCount="506">
  <si>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</si>
  <si>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</si>
  <si>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</si>
  <si>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</si>
  <si>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</si>
  <si>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</si>
  <si>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</si>
  <si>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</si>
  <si>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</si>
  <si>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</si>
  <si>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</si>
  <si>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</si>
  <si>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</si>
  <si>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</si>
  <si>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</si>
  <si>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</si>
  <si>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</si>
  <si>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</si>
  <si>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</si>
  <si>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</si>
  <si>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</si>
  <si>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</si>
  <si>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</si>
  <si>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</si>
  <si>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</si>
  <si>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</si>
  <si>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</si>
  <si>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</si>
  <si>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</si>
  <si>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</si>
  <si>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</si>
  <si>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</si>
  <si>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</si>
  <si>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</si>
  <si>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</si>
  <si>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</si>
  <si>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</si>
  <si>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</si>
  <si>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</si>
  <si>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</si>
  <si>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</si>
  <si>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</si>
  <si>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</si>
  <si>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</si>
  <si>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</si>
  <si>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</si>
  <si>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</si>
  <si>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</si>
  <si>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</si>
  <si>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</si>
  <si>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</si>
  <si>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</si>
  <si>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</si>
  <si>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</si>
  <si>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</si>
  <si>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</si>
  <si>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</si>
  <si>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</si>
  <si>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</si>
  <si>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</si>
  <si>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</si>
  <si>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</si>
  <si>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</si>
  <si>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</si>
  <si>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</si>
  <si>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</si>
  <si>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</si>
  <si>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</si>
  <si>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</si>
  <si>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</si>
  <si>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</si>
  <si>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</si>
  <si>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</si>
  <si>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</si>
  <si>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</si>
  <si>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</si>
  <si>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</si>
  <si>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</si>
  <si>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</si>
  <si>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</si>
  <si>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</si>
  <si>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</si>
  <si>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</si>
  <si>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</si>
  <si>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</si>
  <si>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</si>
  <si>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</si>
  <si>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</si>
  <si>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</si>
  <si>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</si>
  <si>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</si>
  <si>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</si>
  <si>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</si>
  <si>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</si>
  <si>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</si>
  <si>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</si>
  <si>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</si>
  <si>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</si>
  <si>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</si>
  <si>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</si>
  <si>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</si>
  <si>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</si>
  <si>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</si>
  <si>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</si>
  <si>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</si>
  <si>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</si>
  <si>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</si>
  <si>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</si>
  <si>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</si>
  <si>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</si>
  <si>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</si>
  <si>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</si>
  <si>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</si>
  <si>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</si>
  <si>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</si>
  <si>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</si>
  <si>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</si>
  <si>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</si>
  <si>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</si>
  <si>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</si>
  <si>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</si>
  <si>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</si>
  <si>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</si>
  <si>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</si>
  <si>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</si>
  <si>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</si>
  <si>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</si>
  <si>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</si>
  <si>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</si>
  <si>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</si>
  <si>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</si>
  <si>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</si>
  <si>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</si>
  <si>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</si>
  <si>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</si>
  <si>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</si>
  <si>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</si>
  <si>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</si>
  <si>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</si>
  <si>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</si>
  <si>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</si>
  <si>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</si>
  <si>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</si>
  <si>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</si>
  <si>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</si>
  <si>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</si>
  <si>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</si>
  <si>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</si>
  <si>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</si>
  <si>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</si>
  <si>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</si>
  <si>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</si>
  <si>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</si>
  <si>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</si>
  <si>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</si>
  <si>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</si>
  <si>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</si>
  <si>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</si>
  <si>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</si>
  <si>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</si>
  <si>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</si>
  <si>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</si>
  <si>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</si>
  <si>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</si>
  <si>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</si>
  <si>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</si>
  <si>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</si>
  <si>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</si>
  <si>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</si>
  <si>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</si>
  <si>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</si>
  <si>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</si>
  <si>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</si>
  <si>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</si>
  <si>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</si>
  <si>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</si>
  <si>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</si>
  <si>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</si>
  <si>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</si>
  <si>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</si>
  <si>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</si>
  <si>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</si>
  <si>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</si>
  <si>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</si>
  <si>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</si>
  <si>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</si>
  <si>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</si>
  <si>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</si>
  <si>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</si>
  <si>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</si>
  <si>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</si>
  <si>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</si>
  <si>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</si>
  <si>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</si>
  <si>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</si>
  <si>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</si>
  <si>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</si>
  <si>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</si>
  <si>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</si>
  <si>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</si>
  <si>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</si>
  <si>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</si>
  <si>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</si>
  <si>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</si>
  <si>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</si>
  <si>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</si>
  <si>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</si>
  <si>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</si>
  <si>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</si>
  <si>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</si>
  <si>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</si>
  <si>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</si>
  <si>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</si>
  <si>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</si>
  <si>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</si>
  <si>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</si>
  <si>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</si>
  <si>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</si>
  <si>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</si>
  <si>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</si>
  <si>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</si>
  <si>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</si>
  <si>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</si>
  <si>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</si>
  <si>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</si>
  <si>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</si>
  <si>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</si>
  <si>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</si>
  <si>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</si>
  <si>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</si>
  <si>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</si>
  <si>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</si>
  <si>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</si>
  <si>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</si>
  <si>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</si>
  <si>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</si>
  <si>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</si>
  <si>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</si>
  <si>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</si>
  <si>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</si>
  <si>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</si>
  <si>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</si>
  <si>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</si>
  <si>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</si>
  <si>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</si>
  <si>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</si>
  <si>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</si>
  <si>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</si>
  <si>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</si>
  <si>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</si>
  <si>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</si>
  <si>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</si>
  <si>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</si>
  <si>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</si>
  <si>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</si>
  <si>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</si>
  <si>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</si>
  <si>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</si>
  <si>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</si>
  <si>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</si>
  <si>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</si>
  <si>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</si>
  <si>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</si>
  <si>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</si>
  <si>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</si>
  <si>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</si>
  <si>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</si>
  <si>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</si>
  <si>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</si>
  <si>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</si>
  <si>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</si>
  <si>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</si>
  <si>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</si>
  <si>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</si>
  <si>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</si>
  <si>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</si>
  <si>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</si>
  <si>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</si>
  <si>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</si>
  <si>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</si>
  <si>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</si>
  <si>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</si>
  <si>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</si>
  <si>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</si>
  <si>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</si>
  <si>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</si>
  <si>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</si>
  <si>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</si>
  <si>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</si>
  <si>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</si>
  <si>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</si>
  <si>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</si>
  <si>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</si>
  <si>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</si>
  <si>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</si>
  <si>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</si>
  <si>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</si>
  <si>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</si>
  <si>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</si>
  <si>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</si>
  <si>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</si>
  <si>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</si>
  <si>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</si>
  <si>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</si>
  <si>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</si>
  <si>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</si>
  <si>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</si>
  <si>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</si>
  <si>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</si>
  <si>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</si>
  <si>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</si>
  <si>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</si>
  <si>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</si>
  <si>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</si>
  <si>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</si>
  <si>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</si>
  <si>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</si>
  <si>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</si>
  <si>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</si>
  <si>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</si>
  <si>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</si>
  <si>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</si>
  <si>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</si>
  <si>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</si>
  <si>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</si>
  <si>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</si>
  <si>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</si>
  <si>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</si>
  <si>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</si>
  <si>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</si>
  <si>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</si>
  <si>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</si>
  <si>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</si>
  <si>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</si>
  <si>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</si>
  <si>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</si>
  <si>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</si>
  <si>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</si>
  <si>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</si>
  <si>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</si>
  <si>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</si>
  <si>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</si>
  <si>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</si>
  <si>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</si>
  <si>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</si>
  <si>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</si>
  <si>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</si>
  <si>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</si>
  <si>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</si>
  <si>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</si>
  <si>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</si>
  <si>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</si>
  <si>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</si>
  <si>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</si>
  <si>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</si>
  <si>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</si>
  <si>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</si>
  <si>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</si>
  <si>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</si>
  <si>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</si>
  <si>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</si>
  <si>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</si>
  <si>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</si>
  <si>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</si>
  <si>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</si>
  <si>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</si>
  <si>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</si>
  <si>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</si>
  <si>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</si>
  <si>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</si>
  <si>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</si>
  <si>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</si>
  <si>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</si>
  <si>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</si>
  <si>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</si>
  <si>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</si>
  <si>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</si>
  <si>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</si>
  <si>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</si>
  <si>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</si>
  <si>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</si>
  <si>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</si>
  <si>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</si>
  <si>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</si>
  <si>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</si>
  <si>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</si>
  <si>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</si>
  <si>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</si>
  <si>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</si>
  <si>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</si>
  <si>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</si>
  <si>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</si>
  <si>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</si>
  <si>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</si>
  <si>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</si>
  <si>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</si>
  <si>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</si>
  <si>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</si>
  <si>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</si>
  <si>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</si>
  <si>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</si>
  <si>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</si>
  <si>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</si>
  <si>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</si>
  <si>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</si>
  <si>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</si>
  <si>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</si>
  <si>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</si>
  <si>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</si>
  <si>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</si>
  <si>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</si>
  <si>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</si>
  <si>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</si>
  <si>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</si>
  <si>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</si>
  <si>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</si>
  <si>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</si>
  <si>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</si>
  <si>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</si>
  <si>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</si>
  <si>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</si>
  <si>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</si>
  <si>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</si>
  <si>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</si>
  <si>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</si>
  <si>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</si>
  <si>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</si>
  <si>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</si>
  <si>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</si>
  <si>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</si>
  <si>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</si>
  <si>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</si>
  <si>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</si>
  <si>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</si>
  <si>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</si>
  <si>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</si>
  <si>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</si>
  <si>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</si>
  <si>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</si>
  <si>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</si>
  <si>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</si>
  <si>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</si>
  <si>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</si>
  <si>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</si>
  <si>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</si>
  <si>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</si>
  <si>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</si>
  <si>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</si>
  <si>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</si>
  <si>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</si>
  <si>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</si>
  <si>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</si>
  <si>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</si>
  <si>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</si>
  <si>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</si>
  <si>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</si>
  <si>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</si>
  <si>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</si>
  <si>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</si>
  <si>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</si>
  <si>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</si>
  <si>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</si>
  <si>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</si>
  <si>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</si>
  <si>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</si>
  <si>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</si>
  <si>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</si>
  <si>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</si>
  <si>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</si>
  <si>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</si>
  <si>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</si>
  <si>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</si>
  <si>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</si>
  <si>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</si>
  <si>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</si>
  <si>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</si>
  <si>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</si>
  <si>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</si>
  <si>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</si>
  <si>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</si>
  <si>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</si>
  <si>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</si>
  <si>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</si>
  <si>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</si>
  <si>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</si>
  <si>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</si>
  <si>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</si>
  <si>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2,2,0.2,0.3</t>
    <phoneticPr fontId="1" type="noConversion"/>
  </si>
  <si>
    <t>2,2,0.3,0.4</t>
    <phoneticPr fontId="1" type="noConversion"/>
  </si>
  <si>
    <t>2,2,0.4,0.5</t>
    <phoneticPr fontId="1" type="noConversion"/>
  </si>
  <si>
    <t>2,2,0.01,</t>
    <phoneticPr fontId="1" type="noConversion"/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</si>
  <si>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</si>
  <si>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</si>
  <si>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</si>
  <si>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</si>
  <si>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</si>
  <si>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</si>
  <si>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</si>
  <si>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</si>
  <si>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</si>
  <si>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</si>
  <si>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</si>
  <si>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</si>
  <si>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</si>
  <si>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"shop_gold_sum",8,0.02,0.05</t>
    <phoneticPr fontId="1" type="noConversion"/>
  </si>
  <si>
    <t>0,0,0.2,0.3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</si>
</sst>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67" activePane="bottomLeft" state="frozen"/>
      <selection pane="bottomLeft" activeCell="A190" sqref="A190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478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479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480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481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482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483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484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485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486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491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492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493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494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495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496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497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498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499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502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75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75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503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75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1: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1: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1: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tabSelected="1" zoomScaleNormal="100" workbookViewId="0">
      <pane ySplit="1" topLeftCell="A128" activePane="bottomLeft" state="frozen"/>
      <selection pane="bottomLeft" activeCell="F128" sqref="F128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75</v>
      </c>
      <c r="F173" s="67">
        <f t="shared" si="27"/>
        <v>1.3333333333333334E-2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75</v>
      </c>
      <c r="J173" s="65">
        <v>1</v>
      </c>
      <c r="K173" s="65">
        <v>0</v>
      </c>
      <c r="L173" s="65">
        <f t="shared" si="28"/>
        <v>75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>
        <v>86</v>
      </c>
      <c r="D174" s="79" t="s">
        <v>460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红包鱼+红包</v>
      </c>
      <c r="I174" s="67">
        <f>LOOKUP(use_fish!B174,base_fish!A:A,base_fish!F:F)+_xlfn.IFNA(INDEX(activity!F:F,MATCH(use_fish!C174,activity!A:A,0)),0)</f>
        <v>75</v>
      </c>
      <c r="J174" s="65">
        <v>1</v>
      </c>
      <c r="K174" s="65">
        <v>0</v>
      </c>
      <c r="L174" s="65">
        <f t="shared" si="28"/>
        <v>75</v>
      </c>
      <c r="M174" s="65">
        <v>1</v>
      </c>
      <c r="N174" s="65">
        <v>1</v>
      </c>
      <c r="O174" s="65">
        <v>1</v>
      </c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1" activePane="bottomLeft" state="frozen"/>
      <selection pane="bottomLeft" activeCell="C87" sqref="C87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505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474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475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476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477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487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488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489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490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504</v>
      </c>
      <c r="D87" s="66">
        <v>1</v>
      </c>
      <c r="E87" s="66">
        <v>1</v>
      </c>
      <c r="F87" s="65">
        <v>75</v>
      </c>
      <c r="G87" s="65" t="s">
        <v>501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500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2021-01-27T02:52:51Z</dcterms:modified>
</cp:coreProperties>
</file>