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090" activeTab="2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group!$I$1:$I$203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引用usefish中ID</t>
        </r>
      </text>
    </comment>
    <comment ref="E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标准速度100</t>
        </r>
      </text>
    </comment>
    <comment ref="F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宝箱鱼存活时间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box_fish_award中奖励分配方式</t>
        </r>
      </text>
    </comment>
    <comment ref="D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对应fish_path_config.lua文件中的路径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<sst xmlns="http://schemas.openxmlformats.org/spreadsheetml/2006/main" count="848" uniqueCount="484">
  <si>
    <t>ID|鱼组编号</t>
  </si>
  <si>
    <t>fish_type|鱼类型,1A群鱼   2B群鱼  3敢死队  4一网打尽</t>
  </si>
  <si>
    <t>fish_form|鱼组成</t>
  </si>
  <si>
    <t>count|鱼数量，群鱼生效</t>
  </si>
  <si>
    <t>speed|速度</t>
  </si>
  <si>
    <t>int|间隔时间</t>
  </si>
  <si>
    <t>path|一网打尽时路径</t>
  </si>
  <si>
    <t>life|生命</t>
  </si>
  <si>
    <t>rate|倍率</t>
  </si>
  <si>
    <t>gd_award|固定奖励</t>
  </si>
  <si>
    <t>award_id|奖励组合</t>
  </si>
  <si>
    <t>|查询use_fish编号,按F9计算</t>
  </si>
  <si>
    <t>|辅助</t>
  </si>
  <si>
    <t>4,</t>
  </si>
  <si>
    <t>5,</t>
  </si>
  <si>
    <t>海龟</t>
  </si>
  <si>
    <t>3,</t>
  </si>
  <si>
    <t>6,6,6,6,6,</t>
  </si>
  <si>
    <t>77,39,12,35,15,</t>
  </si>
  <si>
    <t>7,7,7,7,7,</t>
  </si>
  <si>
    <t>26,24,6,28,4,</t>
  </si>
  <si>
    <t>8,</t>
  </si>
  <si>
    <t>2,</t>
  </si>
  <si>
    <t>1,</t>
  </si>
  <si>
    <t>11,</t>
  </si>
  <si>
    <t>4,11,4,</t>
  </si>
  <si>
    <t>5,7,5,</t>
  </si>
  <si>
    <t>临时活动</t>
  </si>
  <si>
    <t>8,7,8,</t>
  </si>
  <si>
    <t>7,11,7,</t>
  </si>
  <si>
    <t>5,12,5,</t>
  </si>
  <si>
    <t>3,7,17,</t>
  </si>
  <si>
    <t>1,7,14</t>
  </si>
  <si>
    <t>4,5,18,</t>
  </si>
  <si>
    <t>2,8,15</t>
  </si>
  <si>
    <t>5,8,18,</t>
  </si>
  <si>
    <t>3,9,16</t>
  </si>
  <si>
    <t>12,13,17,</t>
  </si>
  <si>
    <t>4,10,17</t>
  </si>
  <si>
    <t>12,14,16,20,</t>
  </si>
  <si>
    <t>3,9,16,22</t>
  </si>
  <si>
    <t>8,13,15,23</t>
  </si>
  <si>
    <t>2,8,15,22</t>
  </si>
  <si>
    <t>13,14,17,26</t>
  </si>
  <si>
    <t>4,10,17,24</t>
  </si>
  <si>
    <t>15,16,18,27</t>
  </si>
  <si>
    <t>12,12,12,12,12,</t>
  </si>
  <si>
    <t>79,7,5,32,23,</t>
  </si>
  <si>
    <t>13,13,13,13,13,</t>
  </si>
  <si>
    <t>5,36,31,20,23,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</si>
  <si>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</si>
  <si>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</si>
  <si>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</si>
  <si>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</si>
  <si>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</si>
  <si>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</si>
  <si>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</si>
  <si>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</si>
  <si>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</si>
  <si>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</si>
  <si>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</si>
  <si>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50,50,50,50,100,</t>
  </si>
  <si>
    <t>0.02,0.02,0.02,0.02,0.01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</si>
  <si>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</si>
  <si>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</si>
  <si>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</si>
  <si>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</si>
  <si>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</si>
  <si>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</si>
  <si>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</si>
  <si>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</si>
  <si>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</si>
  <si>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</si>
  <si>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</si>
  <si>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</si>
  <si>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</si>
  <si>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</si>
  <si>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</si>
  <si>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</si>
  <si>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</si>
  <si>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</si>
  <si>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</si>
  <si>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</si>
  <si>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</si>
  <si>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</si>
  <si>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</si>
  <si>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</si>
  <si>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</si>
  <si>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9,9,9,9,9,</t>
  </si>
  <si>
    <t>24,7,6,28,4,75,17,</t>
  </si>
  <si>
    <t>10,10,10,10,10,</t>
  </si>
  <si>
    <t>39,12,35,16,15,29,5,</t>
  </si>
  <si>
    <t>11,11,11,11,11,</t>
  </si>
  <si>
    <t>4,11,19,5,34,26,76,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</si>
  <si>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</si>
  <si>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</si>
  <si>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</si>
  <si>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</si>
  <si>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</si>
  <si>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</si>
  <si>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</si>
  <si>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</si>
  <si>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</si>
  <si>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</si>
  <si>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</si>
  <si>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</si>
  <si>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</si>
  <si>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</si>
  <si>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</si>
  <si>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</si>
  <si>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</si>
  <si>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</si>
  <si>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</si>
  <si>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</si>
  <si>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</si>
  <si>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</si>
  <si>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</si>
  <si>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</si>
  <si>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</si>
  <si>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</si>
  <si>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</si>
  <si>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</si>
  <si>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</si>
  <si>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</si>
  <si>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</si>
  <si>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</si>
  <si>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</si>
  <si>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</si>
  <si>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</si>
  <si>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</si>
  <si>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</si>
  <si>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</si>
  <si>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</si>
  <si>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</si>
  <si>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</si>
  <si>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</si>
  <si>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</si>
  <si>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</si>
  <si>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</si>
  <si>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</si>
  <si>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</si>
  <si>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</si>
  <si>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</si>
  <si>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</si>
  <si>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</si>
  <si>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</si>
  <si>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</si>
  <si>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</si>
  <si>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</si>
  <si>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</si>
  <si>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</si>
  <si>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</si>
  <si>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</si>
  <si>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</si>
  <si>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</si>
  <si>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</si>
  <si>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</si>
  <si>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</si>
  <si>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</si>
  <si>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</si>
  <si>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</si>
  <si>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</si>
  <si>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</si>
  <si>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</si>
  <si>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</si>
  <si>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</si>
  <si>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</si>
  <si>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</si>
  <si>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</si>
  <si>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</si>
  <si>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</si>
  <si>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</si>
  <si>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</si>
  <si>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</si>
  <si>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</si>
  <si>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</si>
  <si>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</si>
  <si>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</si>
  <si>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</si>
  <si>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</si>
  <si>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</si>
  <si>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</si>
  <si>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</si>
  <si>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</si>
  <si>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</si>
  <si>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</si>
  <si>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</si>
  <si>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</si>
  <si>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</si>
  <si>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</si>
  <si>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</si>
  <si>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</si>
  <si>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</si>
  <si>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</si>
  <si>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</si>
  <si>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</si>
  <si>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</si>
  <si>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154,</t>
  </si>
  <si>
    <t>155,</t>
  </si>
  <si>
    <t>156,</t>
  </si>
  <si>
    <t>157,</t>
  </si>
  <si>
    <t>158,</t>
  </si>
  <si>
    <t>159,</t>
  </si>
  <si>
    <t>160,</t>
  </si>
  <si>
    <t>161,</t>
  </si>
  <si>
    <t>162,</t>
  </si>
  <si>
    <t>163,</t>
  </si>
  <si>
    <t>164,</t>
  </si>
  <si>
    <t>165,</t>
  </si>
  <si>
    <t>166,</t>
  </si>
  <si>
    <t>167,</t>
  </si>
  <si>
    <t>168,</t>
  </si>
  <si>
    <t>169,</t>
  </si>
  <si>
    <t>170,</t>
  </si>
  <si>
    <t>171,</t>
  </si>
  <si>
    <t>172,</t>
  </si>
  <si>
    <t>173,</t>
  </si>
  <si>
    <t>174,</t>
  </si>
  <si>
    <t>175,</t>
  </si>
  <si>
    <t>176,</t>
  </si>
  <si>
    <t>177,</t>
  </si>
  <si>
    <t>178,</t>
  </si>
  <si>
    <t>179,</t>
  </si>
  <si>
    <t>180,</t>
  </si>
  <si>
    <t>181,</t>
  </si>
  <si>
    <t>182,</t>
  </si>
  <si>
    <t>183,</t>
  </si>
  <si>
    <t>184,</t>
  </si>
  <si>
    <t>185,</t>
  </si>
  <si>
    <t>186,</t>
  </si>
  <si>
    <t>id|在group使用的鱼ID</t>
  </si>
  <si>
    <t>base_id|基础鱼id</t>
  </si>
  <si>
    <t>act_id|活动ID</t>
  </si>
  <si>
    <t>append_life_rate|随机的倍率和奖励</t>
  </si>
  <si>
    <t>shoot|命中率</t>
  </si>
  <si>
    <t>act_type|活动类型</t>
  </si>
  <si>
    <t>|组合名</t>
  </si>
  <si>
    <t>rate|奖励倍数</t>
  </si>
  <si>
    <t>dead_mode|死亡模式</t>
  </si>
  <si>
    <t>ranking_rate|排行榜赢金</t>
  </si>
  <si>
    <t>ranking_show_rate|排行榜赢金客户端倍数</t>
  </si>
  <si>
    <t>broadcast|广播</t>
  </si>
  <si>
    <t>clear_level|鱼潮清理等级</t>
  </si>
  <si>
    <t>activity</t>
  </si>
  <si>
    <t>0,20</t>
  </si>
  <si>
    <t>0,40</t>
  </si>
  <si>
    <t>0,60</t>
  </si>
  <si>
    <t>53,53,53,53,103,</t>
  </si>
  <si>
    <t>0.018867925,0.018867925,0.018867925,0.018867925,0.009708738</t>
  </si>
  <si>
    <t>0,200</t>
  </si>
  <si>
    <t>0,100</t>
  </si>
  <si>
    <t>0,300</t>
  </si>
  <si>
    <t>0,400</t>
  </si>
  <si>
    <t>贝壳鱼</t>
  </si>
  <si>
    <t>50,100</t>
  </si>
  <si>
    <t>100,300</t>
  </si>
  <si>
    <t>黄金灯笼鱼</t>
  </si>
  <si>
    <t>0,80</t>
  </si>
  <si>
    <t>黄金狮子鱼</t>
  </si>
  <si>
    <t>0,120</t>
  </si>
  <si>
    <t>黄金海龟</t>
  </si>
  <si>
    <t>金蟾</t>
  </si>
  <si>
    <t>大金鲨</t>
  </si>
  <si>
    <t>黄金锤头鲨</t>
  </si>
  <si>
    <t>150,450</t>
  </si>
  <si>
    <t>id|编号</t>
  </si>
  <si>
    <t>acti_type|活动类型</t>
  </si>
  <si>
    <t>num|活动数值，两项参数的先时间后倍数</t>
  </si>
  <si>
    <t>show|显隐1显0隐</t>
  </si>
  <si>
    <t>enter_bag|掉落后是否进入背包</t>
  </si>
  <si>
    <t>value|价值</t>
  </si>
  <si>
    <t>|活动名</t>
  </si>
  <si>
    <t>|活动类型备注</t>
  </si>
  <si>
    <t>|备注</t>
  </si>
  <si>
    <t>免费子弹</t>
  </si>
  <si>
    <t>ID12389活动不要随意修改</t>
  </si>
  <si>
    <t>63,2,</t>
  </si>
  <si>
    <t>威力提升</t>
  </si>
  <si>
    <t>暴击时刻</t>
  </si>
  <si>
    <t>炸弹</t>
  </si>
  <si>
    <t>50,</t>
  </si>
  <si>
    <t>闪电</t>
  </si>
  <si>
    <t>红包</t>
  </si>
  <si>
    <t>锁定卡</t>
  </si>
  <si>
    <t>冰冻卡</t>
  </si>
  <si>
    <t>宝箱（持续时间，基础倍率，基础血量）</t>
  </si>
  <si>
    <t>金币活动</t>
  </si>
  <si>
    <t>钻头弹</t>
  </si>
  <si>
    <t>穿透钢弹</t>
  </si>
  <si>
    <t>神灯</t>
  </si>
  <si>
    <t>0.01,</t>
  </si>
  <si>
    <t>财神：奖励区间</t>
  </si>
  <si>
    <t>彩贝：数量，掉彩贝ID（0代表不掉），权重</t>
  </si>
  <si>
    <t>60,50,50</t>
  </si>
  <si>
    <t>宝箱</t>
  </si>
  <si>
    <t>金币大爆发</t>
  </si>
  <si>
    <t>63,2</t>
  </si>
  <si>
    <t>时限免费超级活力子弹</t>
  </si>
  <si>
    <t>120,180</t>
  </si>
  <si>
    <t>连环转盘</t>
  </si>
  <si>
    <t>电磁弹</t>
  </si>
  <si>
    <t>0,50</t>
  </si>
  <si>
    <t>财神-50</t>
  </si>
  <si>
    <t>原子弹</t>
  </si>
  <si>
    <t>100,150</t>
  </si>
  <si>
    <t>财神-150</t>
  </si>
  <si>
    <t>疯狂原子弹</t>
  </si>
  <si>
    <t>200,250</t>
  </si>
  <si>
    <t>财神-250</t>
  </si>
  <si>
    <t>金币转盘</t>
  </si>
  <si>
    <t>300,450</t>
  </si>
  <si>
    <t>财神-450</t>
  </si>
  <si>
    <t>疯狂6选一</t>
  </si>
  <si>
    <t>1,0,90,1,10</t>
  </si>
  <si>
    <t>彩贝-试炼场</t>
  </si>
  <si>
    <t>吞噬天下</t>
  </si>
  <si>
    <t>1,0,85,1,10,2,5</t>
  </si>
  <si>
    <t>彩贝-场次1</t>
  </si>
  <si>
    <t>连环炸弹</t>
  </si>
  <si>
    <t>1,0,70,1,10,2,15,3,5</t>
  </si>
  <si>
    <t>彩贝-场次2</t>
  </si>
  <si>
    <t>炽火龙王</t>
  </si>
  <si>
    <t>0,50,3</t>
  </si>
  <si>
    <t>100倍金币爆发</t>
  </si>
  <si>
    <t>骰子龟</t>
  </si>
  <si>
    <t>10,2,</t>
  </si>
  <si>
    <t>强击弹（超级火力）</t>
  </si>
  <si>
    <t>200,400</t>
  </si>
  <si>
    <t>强击弹（双倍）</t>
  </si>
  <si>
    <t>200,</t>
  </si>
  <si>
    <t>核弹1（炸几次，伤害，倍率）</t>
  </si>
  <si>
    <t>核弹2</t>
  </si>
  <si>
    <t>300,</t>
  </si>
  <si>
    <t>核弹3</t>
  </si>
  <si>
    <t>快速射击</t>
  </si>
  <si>
    <t>4,20,30,50,100,</t>
  </si>
  <si>
    <t>狂暴卡</t>
  </si>
  <si>
    <t>1,300,</t>
  </si>
  <si>
    <t>翻倍卡</t>
  </si>
  <si>
    <t>核弹4</t>
  </si>
  <si>
    <t>250,2,</t>
  </si>
  <si>
    <t>强击弹</t>
  </si>
  <si>
    <t>核弹5</t>
  </si>
  <si>
    <t>1,0,70,1,0,2,15,3,7,4,3</t>
  </si>
  <si>
    <t>彩贝-场次3</t>
  </si>
  <si>
    <t>1,0,84,1,0,2,0,3,10,4,5,5,1</t>
  </si>
  <si>
    <t>彩贝-场次4</t>
  </si>
  <si>
    <t>0,0.2,</t>
  </si>
  <si>
    <t xml:space="preserve">  </t>
  </si>
  <si>
    <t>0,0.06,</t>
  </si>
  <si>
    <t>0,0.04,</t>
  </si>
  <si>
    <t>0,0.03,</t>
  </si>
  <si>
    <t>0,0.02,</t>
  </si>
  <si>
    <t>0,0.05,0.1</t>
  </si>
  <si>
    <t>0,0.1,0.2</t>
  </si>
  <si>
    <t>0,0.2,0.3</t>
  </si>
  <si>
    <t>"prop_031_aster",0,0.05,0.1</t>
  </si>
  <si>
    <t>"prop_031_aster",0,0.1,0.2</t>
  </si>
  <si>
    <t>"prop_031_aster",0,0.2,0.3</t>
  </si>
  <si>
    <t>"prop_031_aster",0,0.01,</t>
  </si>
  <si>
    <t>800000,900000,50,900000,1000000,30,1000000,1200000,20,</t>
  </si>
  <si>
    <t>初级核弹</t>
  </si>
  <si>
    <t>4000000,4500000,50,4500000,5000000,30,5000000,6000000,20,</t>
  </si>
  <si>
    <t>中级核弹</t>
  </si>
  <si>
    <t>8000000,9000000,50,9000000,10000000,30,10000000,12000000,20,</t>
  </si>
  <si>
    <t>高级核弹</t>
  </si>
  <si>
    <t>40000000,45000000,50,45000000,50000000,30,50000000,60000000,20,</t>
  </si>
  <si>
    <t>顶级核弹</t>
  </si>
  <si>
    <t>80000000,90000000,50,90000000,100000000,30,100000000,120000000,20,</t>
  </si>
  <si>
    <t>终极核弹</t>
  </si>
  <si>
    <t>"prop_gej_hj",0,0.05,0.1</t>
  </si>
  <si>
    <t>"prop_gej_hj",0,0.1,0.2</t>
  </si>
  <si>
    <t>"prop_gej_hj",0,0.2,0.3</t>
  </si>
  <si>
    <t>"prop_gej_hj",0,0.01,</t>
  </si>
  <si>
    <t>"prop_web_chip_huafei",10,0.02,0.05</t>
  </si>
  <si>
    <t>话费鱼</t>
  </si>
  <si>
    <t>"prop_12_12_lh",0,0.05,0.1</t>
  </si>
  <si>
    <t>"prop_12_12_lh",0,0.1,0.2</t>
  </si>
  <si>
    <t>"prop_12_12_lh",0,0.2,0.3</t>
  </si>
  <si>
    <t>"prop_12_12_lh",0,0.01,</t>
  </si>
  <si>
    <t>0,0,0.66,1</t>
  </si>
  <si>
    <t>0,0,1,1.33</t>
  </si>
  <si>
    <t>0,0,1.33,1.66</t>
  </si>
  <si>
    <t>0,0,0.03,</t>
  </si>
  <si>
    <t>1,0,0.2,0.3</t>
  </si>
  <si>
    <t>1,0,0.3,0.4</t>
  </si>
  <si>
    <t>1,0,0.4,0.5</t>
  </si>
  <si>
    <t>1,0,0.01,</t>
  </si>
  <si>
    <t>2,0,0.2,0.3</t>
  </si>
  <si>
    <t>2,0,0.3,0.4</t>
  </si>
  <si>
    <t>2,0,0.4,0.5</t>
  </si>
  <si>
    <t>2,0,0.01,</t>
  </si>
  <si>
    <t>"shop_gold_sum",8,0.05,0.15</t>
  </si>
  <si>
    <t>"prop_jinglongbi",9,0.01,</t>
  </si>
  <si>
    <t>金龙币</t>
  </si>
  <si>
    <t>0,0,0.15,</t>
  </si>
  <si>
    <t>survive_time</t>
  </si>
  <si>
    <t>award_id</t>
  </si>
  <si>
    <t>id|基础鱼的ID</t>
  </si>
  <si>
    <t>type|鱼类型</t>
  </si>
  <si>
    <t>|鱼名</t>
  </si>
  <si>
    <t>rate|倍数</t>
  </si>
  <si>
    <t>小牛角</t>
  </si>
  <si>
    <t>小气泡</t>
  </si>
  <si>
    <t>小丑鱼</t>
  </si>
  <si>
    <t>小燕鱼</t>
  </si>
  <si>
    <t>小黄鳍</t>
  </si>
  <si>
    <t>河豚</t>
  </si>
  <si>
    <t>小灯笼</t>
  </si>
  <si>
    <t>小旗鱼</t>
  </si>
  <si>
    <t>小水母</t>
  </si>
  <si>
    <t>小章鱼</t>
  </si>
  <si>
    <t>小海龟</t>
  </si>
  <si>
    <t>狮子鱼</t>
  </si>
  <si>
    <t>蝴蝶鱼</t>
  </si>
  <si>
    <t>巨大小丑鱼</t>
  </si>
  <si>
    <t>巨大灯笼鱼</t>
  </si>
  <si>
    <t>巨大燕鱼</t>
  </si>
  <si>
    <t xml:space="preserve">    </t>
  </si>
  <si>
    <t>魔鬼鱼</t>
  </si>
  <si>
    <t>虎鲸</t>
  </si>
  <si>
    <t>炸弹鱼</t>
  </si>
  <si>
    <t>黄金炸弹鱼</t>
  </si>
  <si>
    <t>黄金河豚</t>
  </si>
  <si>
    <t>闪电海鳗</t>
  </si>
  <si>
    <t>穿云蟹</t>
  </si>
  <si>
    <t>电磁蟹</t>
  </si>
  <si>
    <t>奇遇蟹</t>
  </si>
  <si>
    <t>宝藏章鱼</t>
  </si>
  <si>
    <t>美人鱼</t>
  </si>
  <si>
    <t>金龙转盘</t>
  </si>
  <si>
    <t>财神</t>
  </si>
  <si>
    <t>黄金巨龙</t>
  </si>
  <si>
    <t>霸王蟹</t>
  </si>
  <si>
    <t>深海鲸</t>
  </si>
  <si>
    <t>鲨鱼武士</t>
  </si>
  <si>
    <t>荧光女皇</t>
  </si>
  <si>
    <t>龙龟</t>
  </si>
  <si>
    <t>麒麟兽</t>
  </si>
  <si>
    <t>海盗船</t>
  </si>
  <si>
    <t>深海狂鲨</t>
  </si>
  <si>
    <t>鳄鱼</t>
  </si>
  <si>
    <t>大王乌贼</t>
  </si>
  <si>
    <t>龙虾BOSS</t>
  </si>
  <si>
    <t>接吻鱼</t>
  </si>
  <si>
    <t>星星鱼</t>
  </si>
  <si>
    <t>火鸡鱼</t>
  </si>
  <si>
    <t>礼盒boss</t>
  </si>
  <si>
    <t>活动boss</t>
  </si>
  <si>
    <t>红包鱼</t>
  </si>
  <si>
    <t>id|路径编号</t>
  </si>
  <si>
    <t>time|0.1秒</t>
  </si>
  <si>
    <t>region|所属区域</t>
  </si>
  <si>
    <t>no</t>
  </si>
  <si>
    <t>skill</t>
  </si>
  <si>
    <t>time</t>
  </si>
  <si>
    <t>cd_time</t>
  </si>
  <si>
    <t>frozen</t>
  </si>
  <si>
    <t>lock</t>
  </si>
  <si>
    <t>accelerate</t>
  </si>
  <si>
    <t>wild</t>
  </si>
  <si>
    <t>doubled</t>
  </si>
  <si>
    <t>id</t>
  </si>
  <si>
    <t>mode_name</t>
  </si>
  <si>
    <t>rate</t>
  </si>
  <si>
    <t>gd_blood</t>
  </si>
  <si>
    <t>固定掉一滴血</t>
  </si>
  <si>
    <t>blood</t>
  </si>
  <si>
    <t>按子弹的1倍</t>
  </si>
  <si>
    <t>id|奖励组合id</t>
  </si>
  <si>
    <t>mode</t>
  </si>
  <si>
    <t>weight</t>
  </si>
  <si>
    <t>data</t>
  </si>
  <si>
    <t>A</t>
  </si>
  <si>
    <t>A模式是直接按照输出贡献比例作为概率获取全部奖励</t>
  </si>
  <si>
    <t>B</t>
  </si>
  <si>
    <t>0.1,527,0,0,0,0,2,473</t>
  </si>
  <si>
    <t>B模式，按照打到的血量的倍数返奖</t>
  </si>
  <si>
    <t>0.5,455,1,240,1.5,155,2,150</t>
  </si>
  <si>
    <t>奇数是倍数，偶数是权重，必须两两一组</t>
  </si>
  <si>
    <t>ID</t>
  </si>
  <si>
    <t>group_id|鱼组分页ID</t>
  </si>
  <si>
    <t>34,35,36,37,38,39,40,41,</t>
  </si>
  <si>
    <t>召唤鱼从鱼组中随机生成一条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</si>
</sst>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</numFmts>
  <fonts count="25">
    <font>
      <sz val="11"/>
      <color theme="1"/>
      <name val="等线"/>
      <charset val="134"/>
      <scheme val="minor"/>
    </font>
    <font>
      <sz val="11"/>
      <color rgb="FF0B0B0B"/>
      <name val="宋体"/>
      <charset val="134"/>
    </font>
    <font>
      <sz val="12"/>
      <color rgb="FF000000"/>
      <name val="宋体"/>
      <charset val="134"/>
    </font>
    <font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name val="宋体"/>
      <charset val="134"/>
    </font>
    <font>
      <sz val="9"/>
      <name val="宋体"/>
      <charset val="134"/>
    </font>
    <font>
      <b/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4" fillId="23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28" borderId="5" applyNumberFormat="0" applyFont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7" fillId="24" borderId="7" applyNumberFormat="0" applyAlignment="0" applyProtection="0">
      <alignment vertical="center"/>
    </xf>
    <xf numFmtId="0" fontId="5" fillId="24" borderId="3" applyNumberFormat="0" applyAlignment="0" applyProtection="0">
      <alignment vertical="center"/>
    </xf>
    <xf numFmtId="0" fontId="18" fillId="32" borderId="8" applyNumberFormat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6" borderId="0" applyNumberFormat="0" applyBorder="0" applyAlignment="0" applyProtection="0">
      <alignment vertical="center"/>
    </xf>
    <xf numFmtId="0" fontId="3" fillId="38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8" fillId="39" borderId="0" applyNumberFormat="0" applyBorder="0" applyAlignment="0" applyProtection="0">
      <alignment vertical="center"/>
    </xf>
    <xf numFmtId="0" fontId="8" fillId="4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8" fillId="37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2" fillId="0" borderId="0"/>
  </cellStyleXfs>
  <cellXfs count="107">
    <xf numFmtId="0" fontId="0" fillId="0" borderId="0" xfId="0"/>
    <xf numFmtId="0" fontId="1" fillId="2" borderId="1" xfId="49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3" fontId="0" fillId="0" borderId="0" xfId="0" applyNumberFormat="1"/>
    <xf numFmtId="0" fontId="0" fillId="0" borderId="0" xfId="0" applyFill="1"/>
    <xf numFmtId="0" fontId="0" fillId="3" borderId="0" xfId="0" applyFill="1"/>
    <xf numFmtId="0" fontId="0" fillId="7" borderId="0" xfId="0" applyFill="1"/>
    <xf numFmtId="0" fontId="0" fillId="8" borderId="0" xfId="0" applyFill="1"/>
    <xf numFmtId="49" fontId="0" fillId="0" borderId="0" xfId="0" applyNumberFormat="1"/>
    <xf numFmtId="0" fontId="0" fillId="0" borderId="0" xfId="0" applyAlignment="1">
      <alignment horizontal="left"/>
    </xf>
    <xf numFmtId="0" fontId="0" fillId="9" borderId="0" xfId="0" applyFill="1"/>
    <xf numFmtId="0" fontId="0" fillId="9" borderId="0" xfId="0" applyFill="1" applyBorder="1" applyAlignment="1">
      <alignment horizontal="center" vertical="center"/>
    </xf>
    <xf numFmtId="9" fontId="0" fillId="0" borderId="0" xfId="0" applyNumberFormat="1"/>
    <xf numFmtId="0" fontId="0" fillId="7" borderId="0" xfId="0" applyFill="1" applyAlignment="1">
      <alignment horizontal="center"/>
    </xf>
    <xf numFmtId="0" fontId="0" fillId="8" borderId="0" xfId="0" applyFill="1" applyBorder="1" applyAlignment="1">
      <alignment horizontal="center" vertical="center"/>
    </xf>
    <xf numFmtId="0" fontId="0" fillId="6" borderId="0" xfId="0" applyFill="1"/>
    <xf numFmtId="0" fontId="0" fillId="6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0" borderId="0" xfId="0" applyFill="1"/>
    <xf numFmtId="0" fontId="0" fillId="10" borderId="0" xfId="0" applyFill="1" applyBorder="1" applyAlignment="1">
      <alignment horizontal="center" vertic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5" borderId="0" xfId="0" applyFill="1"/>
    <xf numFmtId="0" fontId="0" fillId="4" borderId="0" xfId="0" applyFill="1"/>
    <xf numFmtId="0" fontId="0" fillId="17" borderId="0" xfId="0" applyFill="1"/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0" fillId="14" borderId="0" xfId="0" applyFill="1" applyAlignment="1">
      <alignment horizontal="center"/>
    </xf>
    <xf numFmtId="0" fontId="0" fillId="14" borderId="0" xfId="0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3" fontId="0" fillId="14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0" fontId="0" fillId="16" borderId="0" xfId="0" applyFill="1" applyAlignment="1">
      <alignment horizontal="center"/>
    </xf>
    <xf numFmtId="0" fontId="0" fillId="16" borderId="0" xfId="0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2" borderId="2" xfId="49" applyNumberFormat="1" applyFont="1" applyFill="1" applyBorder="1" applyAlignment="1" applyProtection="1">
      <alignment horizontal="center" vertical="center" wrapText="1"/>
    </xf>
    <xf numFmtId="0" fontId="0" fillId="5" borderId="0" xfId="0" applyFill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49" fontId="0" fillId="7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2" fillId="4" borderId="0" xfId="0" applyFont="1" applyFill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0" borderId="0" xfId="0" applyAlignment="1">
      <alignment horizontal="right"/>
    </xf>
    <xf numFmtId="0" fontId="1" fillId="2" borderId="1" xfId="49" applyNumberFormat="1" applyFont="1" applyFill="1" applyBorder="1" applyAlignment="1" applyProtection="1">
      <alignment horizontal="right" vertical="center" wrapText="1"/>
    </xf>
    <xf numFmtId="0" fontId="0" fillId="11" borderId="0" xfId="0" applyFill="1" applyAlignment="1">
      <alignment horizontal="right"/>
    </xf>
    <xf numFmtId="0" fontId="0" fillId="11" borderId="0" xfId="0" applyFill="1" applyAlignment="1">
      <alignment horizontal="left" vertical="center"/>
    </xf>
    <xf numFmtId="0" fontId="0" fillId="18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0" fillId="13" borderId="0" xfId="0" applyFill="1" applyAlignment="1">
      <alignment horizontal="right"/>
    </xf>
    <xf numFmtId="0" fontId="0" fillId="19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16" borderId="0" xfId="0" applyFill="1" applyAlignment="1">
      <alignment horizontal="right"/>
    </xf>
    <xf numFmtId="0" fontId="0" fillId="18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9" borderId="0" xfId="0" applyFill="1" applyAlignment="1">
      <alignment horizontal="center"/>
    </xf>
    <xf numFmtId="0" fontId="0" fillId="11" borderId="0" xfId="0" applyFill="1" applyAlignment="1">
      <alignment horizontal="left"/>
    </xf>
    <xf numFmtId="0" fontId="0" fillId="20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20" borderId="0" xfId="0" applyFill="1" applyAlignment="1">
      <alignment horizontal="center" vertical="center"/>
    </xf>
    <xf numFmtId="0" fontId="0" fillId="20" borderId="0" xfId="0" applyFill="1" applyAlignment="1">
      <alignment horizontal="center"/>
    </xf>
    <xf numFmtId="0" fontId="0" fillId="4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0" borderId="0" xfId="0" applyFill="1" applyAlignment="1">
      <alignment horizontal="right"/>
    </xf>
    <xf numFmtId="3" fontId="0" fillId="0" borderId="0" xfId="0" applyNumberFormat="1" quotePrefix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4" xfId="49"/>
  </cellStyles>
  <tableStyles count="0" defaultTableStyle="TableStyleMedium2" defaultPivotStyle="PivotStyleLight16"/>
  <colors>
    <mruColors>
      <color rgb="00FF99FF"/>
      <color rgb="00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W203"/>
  <sheetViews>
    <sheetView workbookViewId="0">
      <pane ySplit="1" topLeftCell="A185" activePane="bottomLeft" state="frozen"/>
      <selection/>
      <selection pane="bottomLeft" activeCell="A203" sqref="A203"/>
    </sheetView>
  </sheetViews>
  <sheetFormatPr defaultColWidth="8.625" defaultRowHeight="14.25"/>
  <cols>
    <col min="2" max="2" width="17.125" customWidth="1"/>
    <col min="3" max="3" width="17.875" style="83" customWidth="1"/>
    <col min="7" max="7" width="20.625" customWidth="1"/>
    <col min="8" max="8" width="10.625" customWidth="1"/>
    <col min="9" max="9" width="12" customWidth="1"/>
    <col min="10" max="10" width="19.625" customWidth="1"/>
    <col min="11" max="11" width="18.875" customWidth="1"/>
    <col min="17" max="23" width="8.625" customWidth="1" outlineLevel="1"/>
  </cols>
  <sheetData>
    <row r="1" s="1" customFormat="1" ht="63.75" customHeight="1" spans="1:23">
      <c r="A1" s="1" t="s">
        <v>0</v>
      </c>
      <c r="B1" s="1" t="s">
        <v>1</v>
      </c>
      <c r="C1" s="84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8" t="s">
        <v>9</v>
      </c>
      <c r="K1" s="1" t="s">
        <v>10</v>
      </c>
      <c r="L1" s="1" t="s">
        <v>11</v>
      </c>
      <c r="Q1" s="1" t="s">
        <v>12</v>
      </c>
      <c r="R1" s="1" t="s">
        <v>12</v>
      </c>
      <c r="S1" s="1" t="s">
        <v>12</v>
      </c>
      <c r="T1" s="1" t="s">
        <v>12</v>
      </c>
      <c r="U1" s="1" t="s">
        <v>12</v>
      </c>
      <c r="V1" s="1" t="s">
        <v>12</v>
      </c>
      <c r="W1" s="1" t="s">
        <v>12</v>
      </c>
    </row>
    <row r="2" s="30" customFormat="1" spans="1:17">
      <c r="A2" s="30">
        <v>1</v>
      </c>
      <c r="B2" s="30">
        <v>1</v>
      </c>
      <c r="C2" s="85" t="s">
        <v>13</v>
      </c>
      <c r="D2" s="30" t="s">
        <v>14</v>
      </c>
      <c r="F2" s="30">
        <v>5</v>
      </c>
      <c r="G2" s="40"/>
      <c r="H2" s="30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30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40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30" t="s">
        <v>15</v>
      </c>
      <c r="Q2" s="30">
        <v>1</v>
      </c>
    </row>
    <row r="3" s="30" customFormat="1" spans="1:17">
      <c r="A3" s="30">
        <v>2</v>
      </c>
      <c r="B3" s="30">
        <v>1</v>
      </c>
      <c r="C3" s="85" t="s">
        <v>14</v>
      </c>
      <c r="D3" s="30" t="s">
        <v>14</v>
      </c>
      <c r="F3" s="30">
        <v>5</v>
      </c>
      <c r="G3" s="40"/>
      <c r="H3" s="30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30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40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30">
        <v>1</v>
      </c>
    </row>
    <row r="4" s="30" customFormat="1" spans="1:17">
      <c r="A4" s="30">
        <v>3</v>
      </c>
      <c r="B4" s="30">
        <v>2</v>
      </c>
      <c r="C4" s="85" t="s">
        <v>16</v>
      </c>
      <c r="D4" s="30" t="s">
        <v>14</v>
      </c>
      <c r="G4" s="40"/>
      <c r="H4" s="30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30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40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30">
        <v>1</v>
      </c>
    </row>
    <row r="5" s="30" customFormat="1" spans="1:17">
      <c r="A5" s="30">
        <v>4</v>
      </c>
      <c r="B5" s="30">
        <v>2</v>
      </c>
      <c r="C5" s="85" t="s">
        <v>13</v>
      </c>
      <c r="D5" s="30" t="s">
        <v>14</v>
      </c>
      <c r="G5" s="40"/>
      <c r="H5" s="30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30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40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30">
        <v>1</v>
      </c>
    </row>
    <row r="6" s="30" customFormat="1" spans="1:17">
      <c r="A6" s="30">
        <v>5</v>
      </c>
      <c r="B6" s="30">
        <v>2</v>
      </c>
      <c r="C6" s="85" t="s">
        <v>14</v>
      </c>
      <c r="D6" s="30" t="s">
        <v>14</v>
      </c>
      <c r="G6" s="40"/>
      <c r="H6" s="30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30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40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30">
        <v>1</v>
      </c>
    </row>
    <row r="7" s="30" customFormat="1" spans="1:17">
      <c r="A7" s="30">
        <v>6</v>
      </c>
      <c r="B7" s="30">
        <v>2</v>
      </c>
      <c r="C7" s="85" t="s">
        <v>17</v>
      </c>
      <c r="G7" s="86" t="s">
        <v>18</v>
      </c>
      <c r="H7" s="30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30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40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30">
        <v>1</v>
      </c>
    </row>
    <row r="8" s="30" customFormat="1" spans="1:17">
      <c r="A8" s="30">
        <v>7</v>
      </c>
      <c r="B8" s="30">
        <v>2</v>
      </c>
      <c r="C8" s="85" t="s">
        <v>19</v>
      </c>
      <c r="G8" s="86" t="s">
        <v>20</v>
      </c>
      <c r="H8" s="30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30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40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30" t="str">
        <f t="array" ref="K8">INDEX(use_fish!A:A,SMALL(IF(group!$L$2&amp;IF(ISBLANK($L$14),$L$14,"+"&amp;$L$14)=use_fish!H:H,ROW(use_fish!H:H),4^8),ROW(16:16)))&amp;""</f>
        <v/>
      </c>
      <c r="Q8" s="30">
        <v>7</v>
      </c>
    </row>
    <row r="9" s="30" customFormat="1" spans="1:17">
      <c r="A9" s="30">
        <v>8</v>
      </c>
      <c r="B9" s="30">
        <v>2</v>
      </c>
      <c r="C9" s="85" t="s">
        <v>21</v>
      </c>
      <c r="D9" s="30" t="s">
        <v>14</v>
      </c>
      <c r="F9" s="30">
        <v>10</v>
      </c>
      <c r="H9" s="30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30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40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30" t="str">
        <f t="array" ref="K9">INDEX(use_fish!A:A,SMALL(IF(group!$L$2&amp;IF(ISBLANK($L$14),$L$14,"+"&amp;$L$14)=use_fish!H:H,ROW(use_fish!H:H),4^8),ROW(17:17)))&amp;""</f>
        <v/>
      </c>
      <c r="Q9" s="30">
        <v>8</v>
      </c>
    </row>
    <row r="10" s="30" customFormat="1" spans="1:17">
      <c r="A10" s="30">
        <v>9</v>
      </c>
      <c r="B10" s="30">
        <v>1</v>
      </c>
      <c r="C10" s="85" t="s">
        <v>22</v>
      </c>
      <c r="D10" s="30" t="s">
        <v>14</v>
      </c>
      <c r="H10" s="30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30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40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30" t="str">
        <f t="array" ref="K10">INDEX(use_fish!A:A,SMALL(IF(group!$L$2&amp;IF(ISBLANK($L$14),$L$14,"+"&amp;$L$14)=use_fish!H:H,ROW(use_fish!H:H),4^8),ROW(18:18)))&amp;""</f>
        <v/>
      </c>
      <c r="Q10" s="30">
        <v>9</v>
      </c>
    </row>
    <row r="11" s="30" customFormat="1" spans="1:17">
      <c r="A11" s="30">
        <v>10</v>
      </c>
      <c r="B11" s="30">
        <v>1</v>
      </c>
      <c r="C11" s="85" t="s">
        <v>23</v>
      </c>
      <c r="D11" s="30" t="s">
        <v>21</v>
      </c>
      <c r="H11" s="30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30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40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30" t="str">
        <f t="array" ref="K11">INDEX(use_fish!A:A,SMALL(IF(group!$L$2&amp;IF(ISBLANK($L$14),$L$14,"+"&amp;$L$14)=use_fish!H:H,ROW(use_fish!H:H),4^8),ROW(8:8)))&amp;""</f>
        <v/>
      </c>
      <c r="Q11" s="30">
        <v>10</v>
      </c>
    </row>
    <row r="12" s="30" customFormat="1" spans="1:17">
      <c r="A12" s="30">
        <v>11</v>
      </c>
      <c r="B12" s="30">
        <v>1</v>
      </c>
      <c r="C12" s="85" t="s">
        <v>24</v>
      </c>
      <c r="D12" s="30" t="s">
        <v>14</v>
      </c>
      <c r="H12" s="30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30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40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30" t="str">
        <f t="array" ref="K12">INDEX(use_fish!A:A,SMALL(IF(group!$L$2&amp;IF(ISBLANK($L$14),$L$14,"+"&amp;$L$14)=use_fish!H:H,ROW(use_fish!H:H),4^8),ROW(9:9)))&amp;""</f>
        <v/>
      </c>
      <c r="Q12" s="30">
        <v>10</v>
      </c>
    </row>
    <row r="13" s="80" customFormat="1" spans="1:19">
      <c r="A13" s="80">
        <v>12</v>
      </c>
      <c r="B13" s="80">
        <v>3</v>
      </c>
      <c r="C13" s="87" t="s">
        <v>25</v>
      </c>
      <c r="H13" s="8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8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9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80">
        <v>4</v>
      </c>
      <c r="R13" s="80">
        <v>11</v>
      </c>
      <c r="S13" s="80">
        <v>4</v>
      </c>
    </row>
    <row r="14" s="80" customFormat="1" spans="1:19">
      <c r="A14" s="80">
        <v>13</v>
      </c>
      <c r="B14" s="80">
        <v>3</v>
      </c>
      <c r="C14" s="87" t="s">
        <v>26</v>
      </c>
      <c r="H14" s="8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8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9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80" t="s">
        <v>27</v>
      </c>
      <c r="Q14" s="80">
        <v>5</v>
      </c>
      <c r="R14" s="80">
        <v>7</v>
      </c>
      <c r="S14" s="80">
        <v>5</v>
      </c>
    </row>
    <row r="15" s="80" customFormat="1" spans="1:19">
      <c r="A15" s="80">
        <v>14</v>
      </c>
      <c r="B15" s="80">
        <v>3</v>
      </c>
      <c r="C15" s="87" t="s">
        <v>28</v>
      </c>
      <c r="H15" s="8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8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9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80" t="str">
        <f t="array" ref="L15">INDEX(use_fish!A:A,SMALL(IF(group!$L$2&amp;IF(ISBLANK($L$14),$L$14,"+"&amp;$L$14)=use_fish!H:H,ROW(use_fish!H:H),4^8),ROW(1:1)))&amp;""</f>
        <v/>
      </c>
      <c r="Q15" s="80">
        <v>8</v>
      </c>
      <c r="R15" s="80">
        <v>7</v>
      </c>
      <c r="S15" s="80">
        <v>8</v>
      </c>
    </row>
    <row r="16" s="80" customFormat="1" spans="1:19">
      <c r="A16" s="80">
        <v>15</v>
      </c>
      <c r="B16" s="80">
        <v>3</v>
      </c>
      <c r="C16" s="87" t="s">
        <v>29</v>
      </c>
      <c r="H16" s="8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8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9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80" t="str">
        <f t="array" ref="L16">INDEX(use_fish!A:A,SMALL(IF(group!$L$2&amp;IF(ISBLANK($L$14),$L$14,"+"&amp;$L$14)=use_fish!H:H,ROW(use_fish!H:H),4^8),ROW(2:2)))&amp;""</f>
        <v/>
      </c>
      <c r="Q16" s="80">
        <v>7</v>
      </c>
      <c r="R16" s="80">
        <v>11</v>
      </c>
      <c r="S16" s="80">
        <v>7</v>
      </c>
    </row>
    <row r="17" s="80" customFormat="1" spans="1:19">
      <c r="A17" s="80">
        <v>16</v>
      </c>
      <c r="B17" s="80">
        <v>3</v>
      </c>
      <c r="C17" s="87" t="s">
        <v>30</v>
      </c>
      <c r="H17" s="8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8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9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80" t="str">
        <f t="array" ref="K17">INDEX(use_fish!A:A,SMALL(IF(group!$L$2&amp;IF(ISBLANK($L$14),$L$14,"+"&amp;$L$14)=use_fish!H:H,ROW(use_fish!H:H),4^8),ROW(14:14)))&amp;""</f>
        <v/>
      </c>
      <c r="Q17" s="80">
        <v>5</v>
      </c>
      <c r="R17" s="80">
        <v>12</v>
      </c>
      <c r="S17" s="80">
        <v>5</v>
      </c>
    </row>
    <row r="18" s="80" customFormat="1" spans="1:19">
      <c r="A18" s="80">
        <v>17</v>
      </c>
      <c r="B18" s="80">
        <v>3</v>
      </c>
      <c r="C18" s="87" t="s">
        <v>25</v>
      </c>
      <c r="H18" s="8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8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9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80" t="str">
        <f t="array" ref="K18">INDEX(use_fish!A:A,SMALL(IF(group!$L$2&amp;IF(ISBLANK($L$14),$L$14,"+"&amp;$L$14)=use_fish!H:H,ROW(use_fish!H:H),4^8),ROW(15:15)))&amp;""</f>
        <v/>
      </c>
      <c r="Q18" s="80">
        <v>4</v>
      </c>
      <c r="R18" s="80">
        <v>11</v>
      </c>
      <c r="S18" s="80">
        <v>4</v>
      </c>
    </row>
    <row r="19" s="31" customFormat="1" spans="1:19">
      <c r="A19" s="31">
        <v>18</v>
      </c>
      <c r="B19" s="31">
        <v>4</v>
      </c>
      <c r="C19" s="88" t="s">
        <v>31</v>
      </c>
      <c r="G19" s="31" t="s">
        <v>32</v>
      </c>
      <c r="H19" s="3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43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1">
        <v>3</v>
      </c>
      <c r="R19" s="31">
        <v>7</v>
      </c>
      <c r="S19" s="31">
        <v>17</v>
      </c>
    </row>
    <row r="20" s="31" customFormat="1" spans="1:19">
      <c r="A20" s="31">
        <v>19</v>
      </c>
      <c r="B20" s="31">
        <v>4</v>
      </c>
      <c r="C20" s="88" t="s">
        <v>33</v>
      </c>
      <c r="G20" s="31" t="s">
        <v>34</v>
      </c>
      <c r="H20" s="3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43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1">
        <v>4</v>
      </c>
      <c r="R20" s="31">
        <v>5</v>
      </c>
      <c r="S20" s="31">
        <v>18</v>
      </c>
    </row>
    <row r="21" s="31" customFormat="1" spans="1:19">
      <c r="A21" s="31">
        <v>20</v>
      </c>
      <c r="B21" s="31">
        <v>4</v>
      </c>
      <c r="C21" s="88" t="s">
        <v>35</v>
      </c>
      <c r="G21" s="31" t="s">
        <v>36</v>
      </c>
      <c r="H21" s="3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43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1">
        <v>5</v>
      </c>
      <c r="R21" s="31">
        <v>8</v>
      </c>
      <c r="S21" s="31">
        <v>18</v>
      </c>
    </row>
    <row r="22" s="31" customFormat="1" spans="1:19">
      <c r="A22" s="31">
        <v>21</v>
      </c>
      <c r="B22" s="31">
        <v>4</v>
      </c>
      <c r="C22" s="88" t="s">
        <v>37</v>
      </c>
      <c r="G22" s="31" t="s">
        <v>38</v>
      </c>
      <c r="H22" s="3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43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1">
        <v>12</v>
      </c>
      <c r="R22" s="31">
        <v>13</v>
      </c>
      <c r="S22" s="31">
        <v>17</v>
      </c>
    </row>
    <row r="23" s="32" customFormat="1" spans="1:20">
      <c r="A23" s="32">
        <v>22</v>
      </c>
      <c r="B23" s="32">
        <v>4</v>
      </c>
      <c r="C23" s="89" t="s">
        <v>39</v>
      </c>
      <c r="G23" s="32" t="s">
        <v>40</v>
      </c>
      <c r="H23" s="32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32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46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32">
        <v>12</v>
      </c>
      <c r="R23" s="32">
        <v>14</v>
      </c>
      <c r="S23" s="32">
        <v>16</v>
      </c>
      <c r="T23" s="32">
        <v>20</v>
      </c>
    </row>
    <row r="24" s="32" customFormat="1" spans="1:20">
      <c r="A24" s="32">
        <v>23</v>
      </c>
      <c r="B24" s="32">
        <v>4</v>
      </c>
      <c r="C24" s="89" t="s">
        <v>41</v>
      </c>
      <c r="G24" s="32" t="s">
        <v>42</v>
      </c>
      <c r="H24" s="32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32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46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32">
        <v>13</v>
      </c>
      <c r="R24" s="32">
        <v>8</v>
      </c>
      <c r="S24" s="32">
        <v>15</v>
      </c>
      <c r="T24" s="32">
        <v>23</v>
      </c>
    </row>
    <row r="25" s="32" customFormat="1" spans="1:20">
      <c r="A25" s="32">
        <v>24</v>
      </c>
      <c r="B25" s="32">
        <v>4</v>
      </c>
      <c r="C25" s="89" t="s">
        <v>43</v>
      </c>
      <c r="G25" s="32" t="s">
        <v>44</v>
      </c>
      <c r="H25" s="32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32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46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32">
        <v>13</v>
      </c>
      <c r="R25" s="32">
        <v>14</v>
      </c>
      <c r="S25" s="32">
        <v>17</v>
      </c>
      <c r="T25" s="32">
        <v>26</v>
      </c>
    </row>
    <row r="26" s="32" customFormat="1" spans="1:20">
      <c r="A26" s="32">
        <v>25</v>
      </c>
      <c r="B26" s="32">
        <v>4</v>
      </c>
      <c r="C26" s="89" t="s">
        <v>45</v>
      </c>
      <c r="G26" s="32" t="s">
        <v>44</v>
      </c>
      <c r="H26" s="32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32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46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32">
        <v>15</v>
      </c>
      <c r="R26" s="32">
        <v>16</v>
      </c>
      <c r="S26" s="32">
        <v>18</v>
      </c>
      <c r="T26" s="32">
        <v>27</v>
      </c>
    </row>
    <row r="27" s="31" customFormat="1" spans="1:17">
      <c r="A27" s="31">
        <v>26</v>
      </c>
      <c r="B27" s="31">
        <v>2</v>
      </c>
      <c r="C27" s="88" t="s">
        <v>46</v>
      </c>
      <c r="G27" s="31" t="s">
        <v>47</v>
      </c>
      <c r="H27" s="3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43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1">
        <v>12</v>
      </c>
    </row>
    <row r="28" s="31" customFormat="1" spans="1:17">
      <c r="A28" s="31">
        <v>27</v>
      </c>
      <c r="B28" s="31">
        <v>2</v>
      </c>
      <c r="C28" s="88" t="s">
        <v>48</v>
      </c>
      <c r="G28" s="31" t="s">
        <v>49</v>
      </c>
      <c r="H28" s="3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43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1">
        <v>13</v>
      </c>
    </row>
    <row r="29" s="31" customFormat="1" spans="1:17">
      <c r="A29" s="31">
        <v>28</v>
      </c>
      <c r="B29" s="31">
        <v>1</v>
      </c>
      <c r="C29" s="88" t="s">
        <v>50</v>
      </c>
      <c r="H29" s="3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43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1">
        <v>14</v>
      </c>
    </row>
    <row r="30" s="31" customFormat="1" spans="1:17">
      <c r="A30" s="31">
        <v>29</v>
      </c>
      <c r="B30" s="31">
        <v>1</v>
      </c>
      <c r="C30" s="88" t="s">
        <v>51</v>
      </c>
      <c r="H30" s="3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43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1">
        <v>15</v>
      </c>
    </row>
    <row r="31" s="31" customFormat="1" spans="1:17">
      <c r="A31" s="31">
        <v>30</v>
      </c>
      <c r="B31" s="31">
        <v>1</v>
      </c>
      <c r="C31" s="88" t="s">
        <v>52</v>
      </c>
      <c r="H31" s="3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43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1">
        <v>16</v>
      </c>
    </row>
    <row r="32" s="31" customFormat="1" spans="1:17">
      <c r="A32" s="31">
        <v>31</v>
      </c>
      <c r="B32" s="31">
        <v>1</v>
      </c>
      <c r="C32" s="88" t="s">
        <v>53</v>
      </c>
      <c r="H32" s="3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43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1">
        <v>17</v>
      </c>
    </row>
    <row r="33" s="31" customFormat="1" spans="1:17">
      <c r="A33" s="31">
        <v>32</v>
      </c>
      <c r="B33" s="31">
        <v>1</v>
      </c>
      <c r="C33" s="88" t="s">
        <v>54</v>
      </c>
      <c r="H33" s="3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43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1" t="str">
        <f t="array" ref="K33">INDEX(use_fish!A:A,SMALL(IF(group!$L$2&amp;IF(ISBLANK($L$14),$L$14,"+"&amp;$L$14)=use_fish!H:H,ROW(use_fish!H:H),4^8),ROW(10:10)))&amp;""</f>
        <v/>
      </c>
      <c r="Q33" s="31">
        <v>18</v>
      </c>
    </row>
    <row r="34" s="31" customFormat="1" spans="1:17">
      <c r="A34" s="31">
        <v>33</v>
      </c>
      <c r="B34" s="31">
        <v>1</v>
      </c>
      <c r="C34" s="88" t="s">
        <v>55</v>
      </c>
      <c r="H34" s="3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43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1" t="str">
        <f t="array" ref="K34">INDEX(use_fish!A:A,SMALL(IF(group!$L$2&amp;IF(ISBLANK($L$14),$L$14,"+"&amp;$L$14)=use_fish!H:H,ROW(use_fish!H:H),4^8),ROW(11:11)))&amp;""</f>
        <v/>
      </c>
      <c r="Q34" s="31">
        <v>19</v>
      </c>
    </row>
    <row r="35" s="32" customFormat="1" spans="1:17">
      <c r="A35" s="32">
        <v>34</v>
      </c>
      <c r="B35" s="32">
        <v>1</v>
      </c>
      <c r="C35" s="89" t="s">
        <v>56</v>
      </c>
      <c r="H35" s="32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32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46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32" t="str">
        <f t="array" ref="K35">INDEX(use_fish!A:A,SMALL(IF(group!$L$2&amp;IF(ISBLANK($L$14),$L$14,"+"&amp;$L$14)=use_fish!H:H,ROW(use_fish!H:H),4^8),ROW(12:12)))&amp;""</f>
        <v/>
      </c>
      <c r="Q35" s="32">
        <v>20</v>
      </c>
    </row>
    <row r="36" s="32" customFormat="1" spans="1:17">
      <c r="A36" s="32">
        <v>35</v>
      </c>
      <c r="B36" s="32">
        <v>1</v>
      </c>
      <c r="C36" s="89" t="s">
        <v>57</v>
      </c>
      <c r="H36" s="32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32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46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32" t="str">
        <f t="array" ref="K36">INDEX(use_fish!A:A,SMALL(IF(group!$L$2&amp;IF(ISBLANK($L$14),$L$14,"+"&amp;$L$14)=use_fish!H:H,ROW(use_fish!H:H),4^8),ROW(13:13)))&amp;""</f>
        <v/>
      </c>
      <c r="Q36" s="32">
        <v>21</v>
      </c>
    </row>
    <row r="37" s="32" customFormat="1" spans="1:17">
      <c r="A37" s="32">
        <v>36</v>
      </c>
      <c r="B37" s="32">
        <v>1</v>
      </c>
      <c r="C37" s="89" t="s">
        <v>58</v>
      </c>
      <c r="H37" s="32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32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46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32" t="str">
        <f t="array" ref="K37">INDEX(use_fish!A:A,SMALL(IF(group!$L$2&amp;IF(ISBLANK($L$14),$L$14,"+"&amp;$L$14)=use_fish!H:H,ROW(use_fish!H:H),4^8),ROW(14:14)))&amp;""</f>
        <v/>
      </c>
      <c r="Q37" s="32">
        <v>22</v>
      </c>
    </row>
    <row r="38" s="32" customFormat="1" spans="1:17">
      <c r="A38" s="32">
        <v>37</v>
      </c>
      <c r="B38" s="32">
        <v>1</v>
      </c>
      <c r="C38" s="89" t="s">
        <v>59</v>
      </c>
      <c r="H38" s="32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32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46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32" t="str">
        <f t="array" ref="K38">INDEX(use_fish!A:A,SMALL(IF(group!$L$2&amp;IF(ISBLANK($L$14),$L$14,"+"&amp;$L$14)=use_fish!H:H,ROW(use_fish!H:H),4^8),ROW(15:15)))&amp;""</f>
        <v/>
      </c>
      <c r="Q38" s="32">
        <v>23</v>
      </c>
    </row>
    <row r="39" s="32" customFormat="1" spans="1:17">
      <c r="A39" s="32">
        <v>38</v>
      </c>
      <c r="B39" s="32">
        <v>1</v>
      </c>
      <c r="C39" s="89" t="s">
        <v>60</v>
      </c>
      <c r="H39" s="46" t="s">
        <v>61</v>
      </c>
      <c r="I39" s="46" t="s">
        <v>62</v>
      </c>
      <c r="J39" s="46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32" t="str">
        <f t="array" ref="K39">INDEX(use_fish!A:A,SMALL(IF(group!$L$2&amp;IF(ISBLANK($L$14),$L$14,"+"&amp;$L$14)=use_fish!H:H,ROW(use_fish!H:H),4^8),ROW(36:36)))&amp;""</f>
        <v/>
      </c>
      <c r="Q39" s="32">
        <v>24</v>
      </c>
    </row>
    <row r="40" s="32" customFormat="1" spans="1:17">
      <c r="A40" s="32">
        <v>39</v>
      </c>
      <c r="B40" s="32">
        <v>1</v>
      </c>
      <c r="C40" s="89" t="s">
        <v>63</v>
      </c>
      <c r="H40" s="32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32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46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32" t="str">
        <f t="array" ref="K40">INDEX(use_fish!A:A,SMALL(IF(group!$L$2&amp;IF(ISBLANK($L$14),$L$14,"+"&amp;$L$14)=use_fish!H:H,ROW(use_fish!H:H),4^8),ROW(37:37)))&amp;""</f>
        <v/>
      </c>
      <c r="Q40" s="32">
        <v>25</v>
      </c>
    </row>
    <row r="41" s="32" customFormat="1" spans="1:17">
      <c r="A41" s="32">
        <v>40</v>
      </c>
      <c r="B41" s="32">
        <v>1</v>
      </c>
      <c r="C41" s="89" t="s">
        <v>64</v>
      </c>
      <c r="H41" s="32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32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46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32" t="str">
        <f t="array" ref="K41">INDEX(use_fish!A:A,SMALL(IF(group!$L$2&amp;IF(ISBLANK($L$14),$L$14,"+"&amp;$L$14)=use_fish!H:H,ROW(use_fish!H:H),4^8),ROW(38:38)))&amp;""</f>
        <v/>
      </c>
      <c r="Q41" s="32">
        <v>26</v>
      </c>
    </row>
    <row r="42" s="32" customFormat="1" spans="1:17">
      <c r="A42" s="32">
        <v>41</v>
      </c>
      <c r="B42" s="32">
        <v>1</v>
      </c>
      <c r="C42" s="89" t="s">
        <v>65</v>
      </c>
      <c r="H42" s="32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32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46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32">
        <v>27</v>
      </c>
    </row>
    <row r="43" s="81" customFormat="1" spans="1:17">
      <c r="A43" s="81">
        <v>42</v>
      </c>
      <c r="B43" s="81">
        <v>1</v>
      </c>
      <c r="C43" s="90" t="s">
        <v>66</v>
      </c>
      <c r="H43" s="81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81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94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81">
        <v>28</v>
      </c>
    </row>
    <row r="44" s="81" customFormat="1" spans="1:17">
      <c r="A44" s="81">
        <v>43</v>
      </c>
      <c r="B44" s="81">
        <v>1</v>
      </c>
      <c r="C44" s="90" t="s">
        <v>67</v>
      </c>
      <c r="H44" s="81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81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94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81" t="str">
        <f t="array" ref="K44">INDEX(use_fish!A:A,SMALL(IF(group!$L$2&amp;IF(ISBLANK($L$14),$L$14,"+"&amp;$L$14)=use_fish!H:H,ROW(use_fish!H:H),4^8),ROW(41:41)))&amp;""</f>
        <v/>
      </c>
      <c r="Q44" s="81">
        <v>29</v>
      </c>
    </row>
    <row r="45" s="81" customFormat="1" spans="1:17">
      <c r="A45" s="81">
        <v>44</v>
      </c>
      <c r="B45" s="81">
        <v>1</v>
      </c>
      <c r="C45" s="90" t="s">
        <v>68</v>
      </c>
      <c r="H45" s="81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81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94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81" t="str">
        <f t="array" ref="K45">INDEX(use_fish!A:A,SMALL(IF(group!$L$2&amp;IF(ISBLANK($L$14),$L$14,"+"&amp;$L$14)=use_fish!H:H,ROW(use_fish!H:H),4^8),ROW(42:42)))&amp;""</f>
        <v/>
      </c>
      <c r="Q45" s="81">
        <v>30</v>
      </c>
    </row>
    <row r="46" s="81" customFormat="1" spans="1:17">
      <c r="A46" s="81">
        <v>45</v>
      </c>
      <c r="B46" s="81">
        <v>1</v>
      </c>
      <c r="C46" s="90" t="s">
        <v>69</v>
      </c>
      <c r="H46" s="81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81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94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81">
        <v>31</v>
      </c>
    </row>
    <row r="47" s="81" customFormat="1" spans="1:17">
      <c r="A47" s="81">
        <v>46</v>
      </c>
      <c r="B47" s="81">
        <v>1</v>
      </c>
      <c r="C47" s="90" t="s">
        <v>70</v>
      </c>
      <c r="H47" s="81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81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94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95">
        <v>32</v>
      </c>
    </row>
    <row r="48" s="81" customFormat="1" spans="1:17">
      <c r="A48" s="81">
        <v>47</v>
      </c>
      <c r="B48" s="81">
        <v>1</v>
      </c>
      <c r="C48" s="90" t="s">
        <v>71</v>
      </c>
      <c r="H48" s="81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81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94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95">
        <v>33</v>
      </c>
    </row>
    <row r="49" s="81" customFormat="1" spans="1:17">
      <c r="A49" s="81">
        <v>48</v>
      </c>
      <c r="B49" s="81">
        <v>1</v>
      </c>
      <c r="C49" s="90" t="s">
        <v>72</v>
      </c>
      <c r="H49" s="81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81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94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95">
        <v>34</v>
      </c>
    </row>
    <row r="50" s="81" customFormat="1" spans="1:17">
      <c r="A50" s="81">
        <v>49</v>
      </c>
      <c r="B50" s="81">
        <v>1</v>
      </c>
      <c r="C50" s="90" t="s">
        <v>73</v>
      </c>
      <c r="H50" s="81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81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94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95">
        <v>35</v>
      </c>
    </row>
    <row r="51" s="81" customFormat="1" spans="1:17">
      <c r="A51" s="81">
        <v>50</v>
      </c>
      <c r="B51" s="81">
        <v>1</v>
      </c>
      <c r="C51" s="90" t="s">
        <v>74</v>
      </c>
      <c r="H51" s="81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81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94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95">
        <v>36</v>
      </c>
    </row>
    <row r="52" s="81" customFormat="1" spans="1:17">
      <c r="A52" s="81">
        <v>51</v>
      </c>
      <c r="B52" s="81">
        <v>1</v>
      </c>
      <c r="C52" s="90" t="s">
        <v>75</v>
      </c>
      <c r="H52" s="81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81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94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95">
        <v>37</v>
      </c>
    </row>
    <row r="53" s="25" customFormat="1" spans="1:17">
      <c r="A53" s="25">
        <v>52</v>
      </c>
      <c r="B53" s="25">
        <v>1</v>
      </c>
      <c r="C53" s="91" t="s">
        <v>76</v>
      </c>
      <c r="H53" s="25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5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1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52">
        <v>38</v>
      </c>
    </row>
    <row r="54" s="25" customFormat="1" spans="1:17">
      <c r="A54" s="25">
        <v>53</v>
      </c>
      <c r="B54" s="25">
        <v>1</v>
      </c>
      <c r="C54" s="91" t="s">
        <v>77</v>
      </c>
      <c r="H54" s="25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5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1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52">
        <v>39</v>
      </c>
    </row>
    <row r="55" s="25" customFormat="1" spans="1:17">
      <c r="A55" s="25">
        <v>54</v>
      </c>
      <c r="B55" s="25">
        <v>1</v>
      </c>
      <c r="C55" s="91" t="s">
        <v>78</v>
      </c>
      <c r="H55" s="25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5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1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52">
        <v>40</v>
      </c>
    </row>
    <row r="56" s="25" customFormat="1" spans="1:17">
      <c r="A56" s="25">
        <v>55</v>
      </c>
      <c r="B56" s="25">
        <v>1</v>
      </c>
      <c r="C56" s="91" t="s">
        <v>79</v>
      </c>
      <c r="H56" s="25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5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1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52">
        <v>41</v>
      </c>
    </row>
    <row r="57" s="25" customFormat="1" spans="1:17">
      <c r="A57" s="25">
        <v>56</v>
      </c>
      <c r="B57" s="25">
        <v>1</v>
      </c>
      <c r="C57" s="91" t="s">
        <v>80</v>
      </c>
      <c r="H57" s="25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5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1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52">
        <v>42</v>
      </c>
    </row>
    <row r="58" s="25" customFormat="1" spans="1:17">
      <c r="A58" s="25">
        <v>57</v>
      </c>
      <c r="B58" s="25">
        <v>1</v>
      </c>
      <c r="C58" s="91" t="s">
        <v>81</v>
      </c>
      <c r="H58" s="25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5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1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52">
        <v>43</v>
      </c>
    </row>
    <row r="59" s="25" customFormat="1" spans="1:17">
      <c r="A59" s="25">
        <v>58</v>
      </c>
      <c r="B59" s="25">
        <v>1</v>
      </c>
      <c r="C59" s="91" t="s">
        <v>82</v>
      </c>
      <c r="H59" s="25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5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1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52">
        <v>44</v>
      </c>
    </row>
    <row r="60" s="25" customFormat="1" spans="1:17">
      <c r="A60" s="25">
        <v>59</v>
      </c>
      <c r="B60" s="25">
        <v>1</v>
      </c>
      <c r="C60" s="91" t="s">
        <v>83</v>
      </c>
      <c r="H60" s="25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5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1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52">
        <v>45</v>
      </c>
    </row>
    <row r="61" s="35" customFormat="1" spans="1:17">
      <c r="A61" s="35">
        <v>60</v>
      </c>
      <c r="B61" s="35">
        <v>1</v>
      </c>
      <c r="C61" s="92" t="s">
        <v>84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58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57">
        <v>46</v>
      </c>
    </row>
    <row r="62" s="35" customFormat="1" spans="1:17">
      <c r="A62" s="35">
        <v>61</v>
      </c>
      <c r="B62" s="35">
        <v>1</v>
      </c>
      <c r="C62" s="92" t="s">
        <v>85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58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57">
        <v>47</v>
      </c>
    </row>
    <row r="63" s="35" customFormat="1" spans="1:17">
      <c r="A63" s="35">
        <v>62</v>
      </c>
      <c r="B63" s="35">
        <v>1</v>
      </c>
      <c r="C63" s="92" t="s">
        <v>86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58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57">
        <v>48</v>
      </c>
    </row>
    <row r="64" s="35" customFormat="1" spans="1:17">
      <c r="A64" s="35">
        <v>63</v>
      </c>
      <c r="B64" s="35">
        <v>1</v>
      </c>
      <c r="C64" s="92" t="s">
        <v>87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58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57">
        <v>49</v>
      </c>
    </row>
    <row r="65" s="30" customFormat="1" spans="1:17">
      <c r="A65" s="30">
        <v>64</v>
      </c>
      <c r="B65" s="30">
        <v>2</v>
      </c>
      <c r="C65" s="85" t="s">
        <v>88</v>
      </c>
      <c r="G65" s="86" t="s">
        <v>89</v>
      </c>
      <c r="H65" s="30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30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40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30">
        <v>4</v>
      </c>
    </row>
    <row r="66" s="30" customFormat="1" spans="1:17">
      <c r="A66" s="30">
        <v>65</v>
      </c>
      <c r="B66" s="30">
        <v>2</v>
      </c>
      <c r="C66" s="85" t="s">
        <v>90</v>
      </c>
      <c r="G66" s="86" t="s">
        <v>91</v>
      </c>
      <c r="H66" s="30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30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40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30">
        <v>5</v>
      </c>
    </row>
    <row r="67" s="30" customFormat="1" spans="1:17">
      <c r="A67" s="30">
        <v>66</v>
      </c>
      <c r="B67" s="30">
        <v>2</v>
      </c>
      <c r="C67" s="85" t="s">
        <v>92</v>
      </c>
      <c r="G67" s="96" t="s">
        <v>93</v>
      </c>
      <c r="H67" s="30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30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40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30" t="str">
        <f t="array" ref="K67">INDEX(use_fish!A:A,SMALL(IF(group!$L$2&amp;IF(ISBLANK($L$14),$L$14,"+"&amp;$L$14)=use_fish!H:H,ROW(use_fish!H:H),4^8),ROW(69:69)))&amp;""</f>
        <v/>
      </c>
      <c r="Q67" s="30">
        <v>7</v>
      </c>
    </row>
    <row r="68" s="25" customFormat="1" spans="1:17">
      <c r="A68" s="25">
        <v>67</v>
      </c>
      <c r="B68" s="25">
        <v>1</v>
      </c>
      <c r="C68" s="91" t="s">
        <v>94</v>
      </c>
      <c r="H68" s="25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5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12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52">
        <v>51</v>
      </c>
    </row>
    <row r="69" s="25" customFormat="1" spans="1:17">
      <c r="A69" s="25">
        <v>68</v>
      </c>
      <c r="B69" s="25">
        <v>1</v>
      </c>
      <c r="C69" s="91" t="s">
        <v>95</v>
      </c>
      <c r="H69" s="25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5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12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52">
        <v>52</v>
      </c>
    </row>
    <row r="70" s="25" customFormat="1" spans="1:17">
      <c r="A70" s="25">
        <v>69</v>
      </c>
      <c r="B70" s="25">
        <v>1</v>
      </c>
      <c r="C70" s="91" t="s">
        <v>96</v>
      </c>
      <c r="H70" s="25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5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12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52">
        <v>53</v>
      </c>
    </row>
    <row r="71" s="25" customFormat="1" spans="1:17">
      <c r="A71" s="25">
        <v>70</v>
      </c>
      <c r="B71" s="25">
        <v>1</v>
      </c>
      <c r="C71" s="91" t="s">
        <v>97</v>
      </c>
      <c r="H71" s="25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5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12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52">
        <v>54</v>
      </c>
    </row>
    <row r="72" s="25" customFormat="1" spans="1:17">
      <c r="A72" s="25">
        <v>71</v>
      </c>
      <c r="B72" s="25">
        <v>1</v>
      </c>
      <c r="C72" s="91" t="s">
        <v>98</v>
      </c>
      <c r="H72" s="25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5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12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52">
        <v>55</v>
      </c>
    </row>
    <row r="73" s="25" customFormat="1" spans="1:17">
      <c r="A73" s="25">
        <v>72</v>
      </c>
      <c r="B73" s="25">
        <v>1</v>
      </c>
      <c r="C73" s="91" t="s">
        <v>99</v>
      </c>
      <c r="H73" s="25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5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12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52">
        <v>56</v>
      </c>
    </row>
    <row r="74" s="25" customFormat="1" spans="1:17">
      <c r="A74" s="25">
        <v>73</v>
      </c>
      <c r="B74" s="25">
        <v>1</v>
      </c>
      <c r="C74" s="91" t="s">
        <v>100</v>
      </c>
      <c r="H74" s="25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5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12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52">
        <v>57</v>
      </c>
    </row>
    <row r="75" s="25" customFormat="1" spans="1:17">
      <c r="A75" s="25">
        <v>74</v>
      </c>
      <c r="B75" s="25">
        <v>1</v>
      </c>
      <c r="C75" s="91" t="s">
        <v>101</v>
      </c>
      <c r="H75" s="25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5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12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52">
        <v>58</v>
      </c>
    </row>
    <row r="76" s="82" customFormat="1" spans="1:17">
      <c r="A76" s="82">
        <v>75</v>
      </c>
      <c r="B76" s="82">
        <v>1</v>
      </c>
      <c r="C76" s="97" t="s">
        <v>102</v>
      </c>
      <c r="H76" s="82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82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102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103">
        <v>59</v>
      </c>
    </row>
    <row r="77" s="82" customFormat="1" spans="1:17">
      <c r="A77" s="82">
        <v>76</v>
      </c>
      <c r="B77" s="82">
        <v>1</v>
      </c>
      <c r="C77" s="97" t="s">
        <v>103</v>
      </c>
      <c r="H77" s="82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82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102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103">
        <v>60</v>
      </c>
    </row>
    <row r="78" s="82" customFormat="1" spans="1:17">
      <c r="A78" s="82">
        <v>77</v>
      </c>
      <c r="B78" s="82">
        <v>1</v>
      </c>
      <c r="C78" s="97" t="s">
        <v>104</v>
      </c>
      <c r="H78" s="82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82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102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103">
        <v>61</v>
      </c>
    </row>
    <row r="79" s="82" customFormat="1" spans="1:17">
      <c r="A79" s="82">
        <v>78</v>
      </c>
      <c r="B79" s="82">
        <v>1</v>
      </c>
      <c r="C79" s="97" t="s">
        <v>105</v>
      </c>
      <c r="H79" s="82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82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102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103">
        <v>62</v>
      </c>
    </row>
    <row r="80" s="82" customFormat="1" spans="1:17">
      <c r="A80" s="82">
        <v>79</v>
      </c>
      <c r="B80" s="82">
        <v>1</v>
      </c>
      <c r="C80" s="97" t="s">
        <v>106</v>
      </c>
      <c r="H80" s="82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82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102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103">
        <v>63</v>
      </c>
    </row>
    <row r="81" s="82" customFormat="1" spans="1:17">
      <c r="A81" s="82">
        <v>80</v>
      </c>
      <c r="B81" s="82">
        <v>1</v>
      </c>
      <c r="C81" s="97" t="s">
        <v>107</v>
      </c>
      <c r="H81" s="82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82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102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103">
        <v>64</v>
      </c>
    </row>
    <row r="82" s="25" customFormat="1" spans="1:17">
      <c r="A82" s="25">
        <v>81</v>
      </c>
      <c r="B82" s="25">
        <v>1</v>
      </c>
      <c r="C82" s="91" t="s">
        <v>108</v>
      </c>
      <c r="H82" s="25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5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12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52">
        <v>65</v>
      </c>
    </row>
    <row r="83" s="25" customFormat="1" spans="1:17">
      <c r="A83" s="25">
        <v>82</v>
      </c>
      <c r="B83" s="25">
        <v>1</v>
      </c>
      <c r="C83" s="91" t="s">
        <v>109</v>
      </c>
      <c r="H83" s="25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5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12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52">
        <v>66</v>
      </c>
    </row>
    <row r="84" s="25" customFormat="1" spans="1:17">
      <c r="A84" s="25">
        <v>83</v>
      </c>
      <c r="B84" s="25">
        <v>1</v>
      </c>
      <c r="C84" s="91" t="s">
        <v>110</v>
      </c>
      <c r="H84" s="25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5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12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52">
        <v>67</v>
      </c>
    </row>
    <row r="85" s="25" customFormat="1" spans="1:17">
      <c r="A85" s="25">
        <v>84</v>
      </c>
      <c r="B85" s="25">
        <v>1</v>
      </c>
      <c r="C85" s="91" t="s">
        <v>111</v>
      </c>
      <c r="H85" s="25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5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12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52">
        <v>68</v>
      </c>
    </row>
    <row r="86" s="25" customFormat="1" spans="1:17">
      <c r="A86" s="25">
        <v>85</v>
      </c>
      <c r="B86" s="25">
        <v>1</v>
      </c>
      <c r="C86" s="91" t="s">
        <v>112</v>
      </c>
      <c r="H86" s="25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5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12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52">
        <v>69</v>
      </c>
    </row>
    <row r="87" s="25" customFormat="1" spans="1:17">
      <c r="A87" s="25">
        <v>86</v>
      </c>
      <c r="B87" s="25">
        <v>1</v>
      </c>
      <c r="C87" s="91" t="s">
        <v>113</v>
      </c>
      <c r="H87" s="25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5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12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52">
        <v>70</v>
      </c>
    </row>
    <row r="88" s="25" customFormat="1" spans="1:17">
      <c r="A88" s="25">
        <v>87</v>
      </c>
      <c r="B88" s="25">
        <v>1</v>
      </c>
      <c r="C88" s="91" t="s">
        <v>114</v>
      </c>
      <c r="H88" s="25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5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12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52">
        <v>71</v>
      </c>
    </row>
    <row r="89" s="25" customFormat="1" spans="1:17">
      <c r="A89" s="25">
        <v>88</v>
      </c>
      <c r="B89" s="25">
        <v>1</v>
      </c>
      <c r="C89" s="91" t="s">
        <v>115</v>
      </c>
      <c r="H89" s="25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5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12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52">
        <v>72</v>
      </c>
    </row>
    <row r="90" s="82" customFormat="1" spans="1:17">
      <c r="A90" s="82">
        <v>89</v>
      </c>
      <c r="B90" s="82">
        <v>1</v>
      </c>
      <c r="C90" s="97" t="s">
        <v>116</v>
      </c>
      <c r="H90" s="82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82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102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103">
        <v>73</v>
      </c>
    </row>
    <row r="91" s="82" customFormat="1" spans="1:17">
      <c r="A91" s="82">
        <v>90</v>
      </c>
      <c r="B91" s="82">
        <v>1</v>
      </c>
      <c r="C91" s="97" t="s">
        <v>117</v>
      </c>
      <c r="H91" s="82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82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102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103">
        <v>74</v>
      </c>
    </row>
    <row r="92" s="82" customFormat="1" spans="1:17">
      <c r="A92" s="82">
        <v>91</v>
      </c>
      <c r="B92" s="82">
        <v>1</v>
      </c>
      <c r="C92" s="97" t="s">
        <v>118</v>
      </c>
      <c r="H92" s="82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82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102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103">
        <v>75</v>
      </c>
    </row>
    <row r="93" s="82" customFormat="1" spans="1:17">
      <c r="A93" s="82">
        <v>92</v>
      </c>
      <c r="B93" s="82">
        <v>1</v>
      </c>
      <c r="C93" s="97" t="s">
        <v>119</v>
      </c>
      <c r="H93" s="82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82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102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103">
        <v>76</v>
      </c>
    </row>
    <row r="94" s="82" customFormat="1" spans="1:17">
      <c r="A94" s="82">
        <v>93</v>
      </c>
      <c r="B94" s="82">
        <v>1</v>
      </c>
      <c r="C94" s="97" t="s">
        <v>120</v>
      </c>
      <c r="H94" s="82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82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102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103">
        <v>77</v>
      </c>
    </row>
    <row r="95" s="82" customFormat="1" spans="1:17">
      <c r="A95" s="82">
        <v>94</v>
      </c>
      <c r="B95" s="82">
        <v>1</v>
      </c>
      <c r="C95" s="97" t="s">
        <v>121</v>
      </c>
      <c r="H95" s="82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82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102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103">
        <v>78</v>
      </c>
    </row>
    <row r="96" s="36" customFormat="1" spans="1:17">
      <c r="A96" s="36">
        <v>95</v>
      </c>
      <c r="B96" s="36">
        <v>1</v>
      </c>
      <c r="C96" s="98" t="s">
        <v>122</v>
      </c>
      <c r="H96" s="36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36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11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61">
        <v>79</v>
      </c>
    </row>
    <row r="97" s="25" customFormat="1" spans="1:17">
      <c r="A97" s="25">
        <v>96</v>
      </c>
      <c r="B97" s="25">
        <v>1</v>
      </c>
      <c r="C97" s="91" t="s">
        <v>123</v>
      </c>
      <c r="H97" s="25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5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12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52">
        <v>80</v>
      </c>
    </row>
    <row r="98" s="25" customFormat="1" spans="1:17">
      <c r="A98" s="25">
        <v>97</v>
      </c>
      <c r="B98" s="25">
        <v>1</v>
      </c>
      <c r="C98" s="91" t="s">
        <v>124</v>
      </c>
      <c r="H98" s="25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5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12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52">
        <v>81</v>
      </c>
    </row>
    <row r="99" s="25" customFormat="1" spans="1:17">
      <c r="A99" s="25">
        <v>98</v>
      </c>
      <c r="B99" s="25">
        <v>1</v>
      </c>
      <c r="C99" s="91" t="s">
        <v>125</v>
      </c>
      <c r="H99" s="25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5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12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52">
        <v>82</v>
      </c>
    </row>
    <row r="100" s="25" customFormat="1" spans="1:17">
      <c r="A100" s="25">
        <v>99</v>
      </c>
      <c r="B100" s="25">
        <v>1</v>
      </c>
      <c r="C100" s="91" t="s">
        <v>126</v>
      </c>
      <c r="H100" s="25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5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12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52">
        <v>83</v>
      </c>
    </row>
    <row r="101" s="25" customFormat="1" spans="1:17">
      <c r="A101" s="25">
        <v>100</v>
      </c>
      <c r="B101" s="25">
        <v>1</v>
      </c>
      <c r="C101" s="91" t="s">
        <v>127</v>
      </c>
      <c r="H101" s="25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5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12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52">
        <v>84</v>
      </c>
    </row>
    <row r="102" s="25" customFormat="1" spans="1:17">
      <c r="A102" s="25">
        <v>101</v>
      </c>
      <c r="B102" s="25">
        <v>1</v>
      </c>
      <c r="C102" s="91" t="s">
        <v>128</v>
      </c>
      <c r="H102" s="25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5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12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52">
        <v>85</v>
      </c>
    </row>
    <row r="103" s="25" customFormat="1" spans="1:17">
      <c r="A103" s="25">
        <v>102</v>
      </c>
      <c r="B103" s="25">
        <v>1</v>
      </c>
      <c r="C103" s="91" t="s">
        <v>129</v>
      </c>
      <c r="H103" s="25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5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12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52">
        <v>86</v>
      </c>
    </row>
    <row r="104" s="25" customFormat="1" spans="1:17">
      <c r="A104" s="25">
        <v>103</v>
      </c>
      <c r="B104" s="25">
        <v>1</v>
      </c>
      <c r="C104" s="91" t="s">
        <v>130</v>
      </c>
      <c r="H104" s="25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5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12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52">
        <v>87</v>
      </c>
    </row>
    <row r="105" s="25" customFormat="1" spans="1:17">
      <c r="A105" s="25">
        <v>104</v>
      </c>
      <c r="B105" s="25">
        <v>1</v>
      </c>
      <c r="C105" s="91" t="s">
        <v>131</v>
      </c>
      <c r="H105" s="25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5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12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52">
        <v>88</v>
      </c>
    </row>
    <row r="106" s="25" customFormat="1" spans="1:17">
      <c r="A106" s="25">
        <v>105</v>
      </c>
      <c r="B106" s="25">
        <v>1</v>
      </c>
      <c r="C106" s="91" t="s">
        <v>132</v>
      </c>
      <c r="H106" s="25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5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12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52">
        <v>89</v>
      </c>
    </row>
    <row r="107" s="25" customFormat="1" spans="1:17">
      <c r="A107" s="25">
        <v>106</v>
      </c>
      <c r="B107" s="25">
        <v>1</v>
      </c>
      <c r="C107" s="91" t="s">
        <v>133</v>
      </c>
      <c r="H107" s="25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5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12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52">
        <v>90</v>
      </c>
    </row>
    <row r="108" s="20" customFormat="1" spans="1:17">
      <c r="A108" s="20">
        <v>107</v>
      </c>
      <c r="B108" s="20">
        <v>1</v>
      </c>
      <c r="C108" s="99" t="s">
        <v>134</v>
      </c>
      <c r="H108" s="20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20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64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63">
        <v>91</v>
      </c>
    </row>
    <row r="109" s="20" customFormat="1" spans="1:17">
      <c r="A109" s="20">
        <v>108</v>
      </c>
      <c r="B109" s="20">
        <v>1</v>
      </c>
      <c r="C109" s="99" t="s">
        <v>135</v>
      </c>
      <c r="H109" s="20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20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64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63">
        <v>92</v>
      </c>
    </row>
    <row r="110" s="20" customFormat="1" spans="1:17">
      <c r="A110" s="20">
        <v>109</v>
      </c>
      <c r="B110" s="20">
        <v>1</v>
      </c>
      <c r="C110" s="99" t="s">
        <v>136</v>
      </c>
      <c r="H110" s="20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20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64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63">
        <v>93</v>
      </c>
    </row>
    <row r="111" s="20" customFormat="1" spans="1:17">
      <c r="A111" s="20">
        <v>110</v>
      </c>
      <c r="B111" s="20">
        <v>1</v>
      </c>
      <c r="C111" s="99" t="s">
        <v>137</v>
      </c>
      <c r="H111" s="20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20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64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63">
        <v>94</v>
      </c>
    </row>
    <row r="112" s="20" customFormat="1" spans="1:17">
      <c r="A112" s="20">
        <v>111</v>
      </c>
      <c r="B112" s="20">
        <v>1</v>
      </c>
      <c r="C112" s="99" t="s">
        <v>138</v>
      </c>
      <c r="H112" s="20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20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64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63">
        <v>95</v>
      </c>
    </row>
    <row r="113" s="20" customFormat="1" spans="1:17">
      <c r="A113" s="20">
        <v>112</v>
      </c>
      <c r="B113" s="20">
        <v>1</v>
      </c>
      <c r="C113" s="99" t="s">
        <v>139</v>
      </c>
      <c r="H113" s="20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20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64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63">
        <v>96</v>
      </c>
    </row>
    <row r="114" s="20" customFormat="1" spans="1:17">
      <c r="A114" s="20">
        <v>113</v>
      </c>
      <c r="B114" s="20">
        <v>1</v>
      </c>
      <c r="C114" s="99" t="s">
        <v>140</v>
      </c>
      <c r="H114" s="20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20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64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63">
        <v>97</v>
      </c>
    </row>
    <row r="115" s="20" customFormat="1" spans="1:17">
      <c r="A115" s="20">
        <v>114</v>
      </c>
      <c r="B115" s="20">
        <v>1</v>
      </c>
      <c r="C115" s="99" t="s">
        <v>141</v>
      </c>
      <c r="H115" s="20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20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64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63">
        <v>98</v>
      </c>
    </row>
    <row r="116" s="20" customFormat="1" spans="1:17">
      <c r="A116" s="20">
        <v>115</v>
      </c>
      <c r="B116" s="20">
        <v>1</v>
      </c>
      <c r="C116" s="99" t="s">
        <v>142</v>
      </c>
      <c r="H116" s="20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20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64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63">
        <v>99</v>
      </c>
    </row>
    <row r="117" s="20" customFormat="1" spans="1:17">
      <c r="A117" s="20">
        <v>116</v>
      </c>
      <c r="B117" s="20">
        <v>1</v>
      </c>
      <c r="C117" s="99" t="s">
        <v>143</v>
      </c>
      <c r="H117" s="20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20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64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63">
        <v>100</v>
      </c>
    </row>
    <row r="118" s="15" customFormat="1" ht="15" customHeight="1" spans="1:17">
      <c r="A118" s="15">
        <v>117</v>
      </c>
      <c r="B118" s="15">
        <v>1</v>
      </c>
      <c r="C118" s="100" t="s">
        <v>144</v>
      </c>
      <c r="H118" s="15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15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6">
        <v>101</v>
      </c>
    </row>
    <row r="119" s="15" customFormat="1" spans="1:17">
      <c r="A119" s="15">
        <v>118</v>
      </c>
      <c r="B119" s="15">
        <v>1</v>
      </c>
      <c r="C119" s="100" t="s">
        <v>145</v>
      </c>
      <c r="H119" s="15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15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6">
        <v>102</v>
      </c>
    </row>
    <row r="120" s="15" customFormat="1" spans="1:17">
      <c r="A120" s="15">
        <v>119</v>
      </c>
      <c r="B120" s="15">
        <v>1</v>
      </c>
      <c r="C120" s="100" t="s">
        <v>146</v>
      </c>
      <c r="H120" s="15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15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6">
        <v>103</v>
      </c>
    </row>
    <row r="121" s="15" customFormat="1" spans="1:17">
      <c r="A121" s="15">
        <v>120</v>
      </c>
      <c r="B121" s="15">
        <v>1</v>
      </c>
      <c r="C121" s="100" t="s">
        <v>147</v>
      </c>
      <c r="H121" s="15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15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6">
        <v>104</v>
      </c>
    </row>
    <row r="122" s="15" customFormat="1" spans="1:17">
      <c r="A122" s="15">
        <v>121</v>
      </c>
      <c r="B122" s="15">
        <v>1</v>
      </c>
      <c r="C122" s="100" t="s">
        <v>148</v>
      </c>
      <c r="H122" s="15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15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6">
        <v>105</v>
      </c>
    </row>
    <row r="123" s="15" customFormat="1" spans="1:17">
      <c r="A123" s="15">
        <v>122</v>
      </c>
      <c r="B123" s="15">
        <v>1</v>
      </c>
      <c r="C123" s="100" t="s">
        <v>149</v>
      </c>
      <c r="H123" s="15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15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6">
        <v>106</v>
      </c>
    </row>
    <row r="124" s="15" customFormat="1" spans="1:17">
      <c r="A124" s="15">
        <v>123</v>
      </c>
      <c r="B124" s="15">
        <v>1</v>
      </c>
      <c r="C124" s="100" t="s">
        <v>150</v>
      </c>
      <c r="H124" s="15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15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6">
        <v>107</v>
      </c>
    </row>
    <row r="125" s="15" customFormat="1" spans="1:17">
      <c r="A125" s="15">
        <v>124</v>
      </c>
      <c r="B125" s="15">
        <v>1</v>
      </c>
      <c r="C125" s="100" t="s">
        <v>151</v>
      </c>
      <c r="H125" s="15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15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6">
        <v>108</v>
      </c>
    </row>
    <row r="126" s="15" customFormat="1" spans="1:17">
      <c r="A126" s="15">
        <v>125</v>
      </c>
      <c r="B126" s="15">
        <v>1</v>
      </c>
      <c r="C126" s="100" t="s">
        <v>152</v>
      </c>
      <c r="H126" s="15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15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6">
        <v>109</v>
      </c>
    </row>
    <row r="127" s="16" customFormat="1" spans="1:17">
      <c r="A127" s="16">
        <v>126</v>
      </c>
      <c r="B127" s="16">
        <v>1</v>
      </c>
      <c r="C127" s="101" t="s">
        <v>153</v>
      </c>
      <c r="H127" s="16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16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8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23">
        <v>110</v>
      </c>
    </row>
    <row r="128" s="16" customFormat="1" spans="1:17">
      <c r="A128" s="16">
        <v>127</v>
      </c>
      <c r="B128" s="16">
        <v>1</v>
      </c>
      <c r="C128" s="101" t="s">
        <v>154</v>
      </c>
      <c r="H128" s="16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16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8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23">
        <v>111</v>
      </c>
    </row>
    <row r="129" s="37" customFormat="1" spans="1:17">
      <c r="A129" s="37">
        <v>128</v>
      </c>
      <c r="B129" s="37">
        <v>1</v>
      </c>
      <c r="C129" s="104" t="s">
        <v>155</v>
      </c>
      <c r="H129" s="37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37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="37" customFormat="1" spans="1:17">
      <c r="A130" s="37">
        <v>129</v>
      </c>
      <c r="B130" s="37">
        <v>1</v>
      </c>
      <c r="C130" s="104" t="s">
        <v>156</v>
      </c>
      <c r="H130" s="37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37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="37" customFormat="1" spans="1:17">
      <c r="A131" s="37">
        <v>130</v>
      </c>
      <c r="B131" s="37">
        <v>1</v>
      </c>
      <c r="C131" s="104" t="s">
        <v>157</v>
      </c>
      <c r="H131" s="37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37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="37" customFormat="1" spans="1:17">
      <c r="A132" s="37">
        <v>131</v>
      </c>
      <c r="B132" s="37">
        <v>1</v>
      </c>
      <c r="C132" s="104" t="s">
        <v>158</v>
      </c>
      <c r="H132" s="37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37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="37" customFormat="1" spans="1:17">
      <c r="A133" s="37">
        <v>132</v>
      </c>
      <c r="B133" s="37">
        <v>1</v>
      </c>
      <c r="C133" s="104" t="s">
        <v>159</v>
      </c>
      <c r="H133" s="37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37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="37" customFormat="1" spans="1:17">
      <c r="A134" s="37">
        <v>133</v>
      </c>
      <c r="B134" s="37">
        <v>1</v>
      </c>
      <c r="C134" s="104" t="s">
        <v>160</v>
      </c>
      <c r="H134" s="37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37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="37" customFormat="1" spans="1:17">
      <c r="A135" s="37">
        <v>134</v>
      </c>
      <c r="B135" s="37">
        <v>1</v>
      </c>
      <c r="C135" s="104" t="s">
        <v>161</v>
      </c>
      <c r="H135" s="37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37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="37" customFormat="1" spans="1:17">
      <c r="A136" s="37">
        <v>135</v>
      </c>
      <c r="B136" s="37">
        <v>1</v>
      </c>
      <c r="C136" s="104" t="s">
        <v>162</v>
      </c>
      <c r="H136" s="37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37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="37" customFormat="1" spans="1:17">
      <c r="A137" s="37">
        <v>136</v>
      </c>
      <c r="B137" s="37">
        <v>1</v>
      </c>
      <c r="C137" s="104" t="s">
        <v>163</v>
      </c>
      <c r="H137" s="37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37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="38" customFormat="1" spans="1:17">
      <c r="A138" s="38">
        <v>137</v>
      </c>
      <c r="B138" s="38">
        <v>1</v>
      </c>
      <c r="C138" s="105" t="s">
        <v>164</v>
      </c>
      <c r="H138" s="3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3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4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38">
        <v>121</v>
      </c>
    </row>
    <row r="139" s="38" customFormat="1" spans="1:17">
      <c r="A139" s="38">
        <v>138</v>
      </c>
      <c r="B139" s="38">
        <v>1</v>
      </c>
      <c r="C139" s="105" t="s">
        <v>165</v>
      </c>
      <c r="H139" s="3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3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4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38">
        <v>122</v>
      </c>
    </row>
    <row r="140" s="38" customFormat="1" spans="1:17">
      <c r="A140" s="38">
        <v>139</v>
      </c>
      <c r="B140" s="38">
        <v>1</v>
      </c>
      <c r="C140" s="105" t="s">
        <v>166</v>
      </c>
      <c r="H140" s="3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3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4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38">
        <v>123</v>
      </c>
    </row>
    <row r="141" s="38" customFormat="1" spans="1:17">
      <c r="A141" s="38">
        <v>140</v>
      </c>
      <c r="B141" s="38">
        <v>1</v>
      </c>
      <c r="C141" s="105" t="s">
        <v>167</v>
      </c>
      <c r="H141" s="3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3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4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38">
        <v>124</v>
      </c>
    </row>
    <row r="142" s="38" customFormat="1" spans="1:17">
      <c r="A142" s="38">
        <v>141</v>
      </c>
      <c r="B142" s="38">
        <v>1</v>
      </c>
      <c r="C142" s="105" t="s">
        <v>168</v>
      </c>
      <c r="H142" s="3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3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4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38">
        <v>125</v>
      </c>
    </row>
    <row r="143" s="38" customFormat="1" spans="1:17">
      <c r="A143" s="38">
        <v>142</v>
      </c>
      <c r="B143" s="38">
        <v>1</v>
      </c>
      <c r="C143" s="105" t="s">
        <v>169</v>
      </c>
      <c r="H143" s="3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3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4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38">
        <v>126</v>
      </c>
    </row>
    <row r="144" s="32" customFormat="1" spans="1:17">
      <c r="A144" s="32">
        <v>143</v>
      </c>
      <c r="B144" s="32">
        <v>1</v>
      </c>
      <c r="C144" s="89" t="s">
        <v>170</v>
      </c>
      <c r="H144" s="32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32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46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32">
        <v>127</v>
      </c>
    </row>
    <row r="145" s="32" customFormat="1" spans="1:17">
      <c r="A145" s="32">
        <v>144</v>
      </c>
      <c r="B145" s="32">
        <v>1</v>
      </c>
      <c r="C145" s="89" t="s">
        <v>171</v>
      </c>
      <c r="H145" s="32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32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46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32">
        <v>128</v>
      </c>
    </row>
    <row r="146" s="32" customFormat="1" spans="1:17">
      <c r="A146" s="32">
        <v>145</v>
      </c>
      <c r="B146" s="32">
        <v>1</v>
      </c>
      <c r="C146" s="89" t="s">
        <v>172</v>
      </c>
      <c r="H146" s="32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32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46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32">
        <v>129</v>
      </c>
    </row>
    <row r="147" s="32" customFormat="1" spans="1:17">
      <c r="A147" s="32">
        <v>146</v>
      </c>
      <c r="B147" s="32">
        <v>1</v>
      </c>
      <c r="C147" s="89" t="s">
        <v>173</v>
      </c>
      <c r="H147" s="32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32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46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32">
        <v>130</v>
      </c>
    </row>
    <row r="148" s="32" customFormat="1" spans="1:17">
      <c r="A148" s="32">
        <v>147</v>
      </c>
      <c r="B148" s="32">
        <v>1</v>
      </c>
      <c r="C148" s="89" t="s">
        <v>174</v>
      </c>
      <c r="H148" s="32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32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46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32">
        <v>131</v>
      </c>
    </row>
    <row r="149" s="32" customFormat="1" spans="1:17">
      <c r="A149" s="32">
        <v>148</v>
      </c>
      <c r="B149" s="32">
        <v>1</v>
      </c>
      <c r="C149" s="89" t="s">
        <v>175</v>
      </c>
      <c r="H149" s="32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32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46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32">
        <v>132</v>
      </c>
    </row>
    <row r="150" s="38" customFormat="1" spans="1:17">
      <c r="A150" s="38">
        <v>149</v>
      </c>
      <c r="B150" s="38">
        <v>1</v>
      </c>
      <c r="C150" s="105" t="s">
        <v>176</v>
      </c>
      <c r="H150" s="3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3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4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38">
        <v>133</v>
      </c>
    </row>
    <row r="151" s="38" customFormat="1" spans="1:17">
      <c r="A151" s="38">
        <v>150</v>
      </c>
      <c r="B151" s="38">
        <v>1</v>
      </c>
      <c r="C151" s="105" t="s">
        <v>177</v>
      </c>
      <c r="H151" s="3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3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4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38">
        <v>134</v>
      </c>
    </row>
    <row r="152" s="38" customFormat="1" spans="1:17">
      <c r="A152" s="38">
        <v>151</v>
      </c>
      <c r="B152" s="38">
        <v>1</v>
      </c>
      <c r="C152" s="105" t="s">
        <v>178</v>
      </c>
      <c r="H152" s="3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3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4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38">
        <v>135</v>
      </c>
    </row>
    <row r="153" s="38" customFormat="1" spans="1:17">
      <c r="A153" s="38">
        <v>152</v>
      </c>
      <c r="B153" s="38">
        <v>1</v>
      </c>
      <c r="C153" s="105" t="s">
        <v>179</v>
      </c>
      <c r="H153" s="3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3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4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38">
        <v>136</v>
      </c>
    </row>
    <row r="154" s="38" customFormat="1" spans="1:17">
      <c r="A154" s="38">
        <v>153</v>
      </c>
      <c r="B154" s="38">
        <v>1</v>
      </c>
      <c r="C154" s="105" t="s">
        <v>180</v>
      </c>
      <c r="H154" s="3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3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4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38">
        <v>137</v>
      </c>
    </row>
    <row r="155" s="38" customFormat="1" spans="1:17">
      <c r="A155" s="38">
        <v>154</v>
      </c>
      <c r="B155" s="38">
        <v>1</v>
      </c>
      <c r="C155" s="105" t="s">
        <v>181</v>
      </c>
      <c r="H155" s="3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3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4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38">
        <v>138</v>
      </c>
    </row>
    <row r="156" s="32" customFormat="1" spans="1:17">
      <c r="A156" s="32">
        <v>155</v>
      </c>
      <c r="B156" s="32">
        <v>1</v>
      </c>
      <c r="C156" s="89" t="s">
        <v>182</v>
      </c>
      <c r="H156" s="32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32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46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32">
        <v>139</v>
      </c>
    </row>
    <row r="157" s="32" customFormat="1" spans="1:17">
      <c r="A157" s="32">
        <v>156</v>
      </c>
      <c r="B157" s="32">
        <v>1</v>
      </c>
      <c r="C157" s="89" t="s">
        <v>183</v>
      </c>
      <c r="H157" s="32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32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46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32">
        <v>140</v>
      </c>
    </row>
    <row r="158" s="32" customFormat="1" spans="1:17">
      <c r="A158" s="32">
        <v>157</v>
      </c>
      <c r="B158" s="32">
        <v>1</v>
      </c>
      <c r="C158" s="89" t="s">
        <v>184</v>
      </c>
      <c r="H158" s="32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32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46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32">
        <v>141</v>
      </c>
    </row>
    <row r="159" s="32" customFormat="1" spans="1:17">
      <c r="A159" s="32">
        <v>158</v>
      </c>
      <c r="B159" s="32">
        <v>1</v>
      </c>
      <c r="C159" s="89" t="s">
        <v>185</v>
      </c>
      <c r="H159" s="32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32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46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32">
        <v>142</v>
      </c>
    </row>
    <row r="160" s="32" customFormat="1" spans="1:17">
      <c r="A160" s="32">
        <v>159</v>
      </c>
      <c r="B160" s="32">
        <v>1</v>
      </c>
      <c r="C160" s="89" t="s">
        <v>186</v>
      </c>
      <c r="H160" s="32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32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46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32">
        <v>143</v>
      </c>
    </row>
    <row r="161" s="32" customFormat="1" spans="1:17">
      <c r="A161" s="32">
        <v>160</v>
      </c>
      <c r="B161" s="32">
        <v>1</v>
      </c>
      <c r="C161" s="89" t="s">
        <v>187</v>
      </c>
      <c r="H161" s="32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32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46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32">
        <v>144</v>
      </c>
    </row>
    <row r="162" spans="1:17">
      <c r="A162" s="25">
        <v>161</v>
      </c>
      <c r="B162" s="25">
        <v>1</v>
      </c>
      <c r="C162" s="91" t="s">
        <v>188</v>
      </c>
      <c r="D162" s="25"/>
      <c r="E162" s="25"/>
      <c r="F162" s="25"/>
      <c r="G162" s="25"/>
      <c r="H162" s="25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5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12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5"/>
      <c r="L162" s="25"/>
      <c r="M162" s="25"/>
      <c r="N162" s="25"/>
      <c r="O162" s="25"/>
      <c r="P162" s="25"/>
      <c r="Q162" s="25">
        <v>145</v>
      </c>
    </row>
    <row r="163" spans="1:17">
      <c r="A163" s="25">
        <v>162</v>
      </c>
      <c r="B163" s="25">
        <v>1</v>
      </c>
      <c r="C163" s="91" t="s">
        <v>189</v>
      </c>
      <c r="D163" s="25"/>
      <c r="E163" s="25"/>
      <c r="F163" s="25"/>
      <c r="G163" s="25"/>
      <c r="H163" s="25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5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12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5"/>
      <c r="L163" s="25"/>
      <c r="M163" s="25"/>
      <c r="N163" s="25"/>
      <c r="O163" s="25"/>
      <c r="P163" s="25"/>
      <c r="Q163" s="25">
        <v>146</v>
      </c>
    </row>
    <row r="164" spans="1:17">
      <c r="A164" s="25">
        <v>163</v>
      </c>
      <c r="B164" s="25">
        <v>1</v>
      </c>
      <c r="C164" s="91" t="s">
        <v>190</v>
      </c>
      <c r="D164" s="25"/>
      <c r="E164" s="25"/>
      <c r="F164" s="25"/>
      <c r="G164" s="25"/>
      <c r="H164" s="25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5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12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5"/>
      <c r="L164" s="25"/>
      <c r="M164" s="25"/>
      <c r="N164" s="25"/>
      <c r="O164" s="25"/>
      <c r="P164" s="25"/>
      <c r="Q164" s="25">
        <v>147</v>
      </c>
    </row>
    <row r="165" spans="1:17">
      <c r="A165" s="25">
        <v>164</v>
      </c>
      <c r="B165" s="25">
        <v>1</v>
      </c>
      <c r="C165" s="91" t="s">
        <v>191</v>
      </c>
      <c r="D165" s="25"/>
      <c r="E165" s="25"/>
      <c r="F165" s="25"/>
      <c r="G165" s="25"/>
      <c r="H165" s="25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5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12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5"/>
      <c r="L165" s="25"/>
      <c r="M165" s="25"/>
      <c r="N165" s="25"/>
      <c r="O165" s="25"/>
      <c r="P165" s="25"/>
      <c r="Q165" s="25">
        <v>148</v>
      </c>
    </row>
    <row r="166" spans="1:17">
      <c r="A166" s="25">
        <v>165</v>
      </c>
      <c r="B166" s="25">
        <v>1</v>
      </c>
      <c r="C166" s="91" t="s">
        <v>192</v>
      </c>
      <c r="D166" s="25"/>
      <c r="E166" s="25"/>
      <c r="F166" s="25"/>
      <c r="G166" s="25"/>
      <c r="H166" s="25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5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12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5"/>
      <c r="L166" s="25"/>
      <c r="M166" s="25"/>
      <c r="N166" s="25"/>
      <c r="O166" s="25"/>
      <c r="P166" s="25"/>
      <c r="Q166" s="25">
        <v>149</v>
      </c>
    </row>
    <row r="167" spans="1:17">
      <c r="A167" s="25">
        <v>166</v>
      </c>
      <c r="B167" s="25">
        <v>1</v>
      </c>
      <c r="C167" s="91" t="s">
        <v>193</v>
      </c>
      <c r="D167" s="25"/>
      <c r="E167" s="25"/>
      <c r="F167" s="25"/>
      <c r="G167" s="25"/>
      <c r="H167" s="25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5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12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5"/>
      <c r="L167" s="25"/>
      <c r="M167" s="25"/>
      <c r="N167" s="25"/>
      <c r="O167" s="25"/>
      <c r="P167" s="25"/>
      <c r="Q167" s="25">
        <v>150</v>
      </c>
    </row>
    <row r="168" spans="1:17">
      <c r="A168" s="25">
        <v>167</v>
      </c>
      <c r="B168" s="25">
        <v>1</v>
      </c>
      <c r="C168" s="91" t="s">
        <v>194</v>
      </c>
      <c r="D168" s="25"/>
      <c r="E168" s="25"/>
      <c r="F168" s="25"/>
      <c r="G168" s="25"/>
      <c r="H168" s="25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250</v>
      </c>
      <c r="I168" s="25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250</v>
      </c>
      <c r="J168" s="12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5"/>
      <c r="L168" s="25"/>
      <c r="M168" s="25"/>
      <c r="N168" s="25"/>
      <c r="O168" s="25"/>
      <c r="P168" s="25"/>
      <c r="Q168" s="25">
        <v>151</v>
      </c>
    </row>
    <row r="169" spans="1:17">
      <c r="A169" s="25">
        <v>168</v>
      </c>
      <c r="B169" s="25">
        <v>1</v>
      </c>
      <c r="C169" s="91" t="s">
        <v>195</v>
      </c>
      <c r="D169" s="25"/>
      <c r="E169" s="25"/>
      <c r="F169" s="25"/>
      <c r="G169" s="25"/>
      <c r="H169" s="25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350</v>
      </c>
      <c r="I169" s="25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350</v>
      </c>
      <c r="J169" s="12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5"/>
      <c r="L169" s="25"/>
      <c r="M169" s="25"/>
      <c r="N169" s="25"/>
      <c r="O169" s="25"/>
      <c r="P169" s="25"/>
      <c r="Q169" s="25">
        <v>152</v>
      </c>
    </row>
    <row r="170" spans="1:17">
      <c r="A170" s="25">
        <v>169</v>
      </c>
      <c r="B170" s="25">
        <v>1</v>
      </c>
      <c r="C170" s="91" t="s">
        <v>196</v>
      </c>
      <c r="D170" s="25"/>
      <c r="E170" s="25"/>
      <c r="F170" s="25"/>
      <c r="G170" s="25"/>
      <c r="H170" s="25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450</v>
      </c>
      <c r="I170" s="25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450</v>
      </c>
      <c r="J170" s="12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5"/>
      <c r="L170" s="25"/>
      <c r="M170" s="25"/>
      <c r="N170" s="25"/>
      <c r="O170" s="25"/>
      <c r="P170" s="25"/>
      <c r="Q170" s="25">
        <v>153</v>
      </c>
    </row>
    <row r="171" s="14" customFormat="1" spans="1:17">
      <c r="A171" s="15">
        <v>170</v>
      </c>
      <c r="B171" s="15">
        <v>1</v>
      </c>
      <c r="C171" s="100" t="s">
        <v>197</v>
      </c>
      <c r="D171" s="15"/>
      <c r="E171" s="15"/>
      <c r="F171" s="15"/>
      <c r="G171" s="15"/>
      <c r="H171" s="15">
        <f>SUM(_xlfn.IFNA(LOOKUP(Q171,use_fish!A:A,use_fish!E:E),0),_xlfn.IFNA(LOOKUP(R171,use_fish!A:A,use_fish!E:E),0),_xlfn.IFNA(LOOKUP(S171,use_fish!A:A,use_fish!E:E),0),_xlfn.IFNA(LOOKUP(T171,use_fish!A:A,use_fish!E:E),0),_xlfn.IFNA(LOOKUP(U171,use_fish!A:A,use_fish!E:E),0),_xlfn.IFNA(LOOKUP(V171,use_fish!A:A,use_fish!E:E),0),_xlfn.IFNA(LOOKUP(W171,use_fish!A:A,use_fish!E:E),0),)</f>
        <v>30</v>
      </c>
      <c r="I171" s="15">
        <f>SUM(_xlfn.IFNA(LOOKUP(Q171,use_fish!A:A,use_fish!I:I),0),_xlfn.IFNA(LOOKUP(R171,use_fish!A:A,use_fish!I:I),0),_xlfn.IFNA(LOOKUP(S171,use_fish!A:A,use_fish!I:I),0),_xlfn.IFNA(LOOKUP(T171,use_fish!A:A,use_fish!I:I),0),_xlfn.IFNA(LOOKUP(U171,use_fish!A:A,use_fish!I:I),0),_xlfn.IFNA(LOOKUP(V171,use_fish!A:A,use_fish!I:I),0),_xlfn.IFNA(LOOKUP(W171,use_fish!A:A,use_fish!I:I),0),)</f>
        <v>30</v>
      </c>
      <c r="J171" s="6">
        <f>SUM(_xlfn.IFNA(LOOKUP(Q171,use_fish!A:A,use_fish!K:K),0),_xlfn.IFNA(LOOKUP(R171,use_fish!A:A,use_fish!K:K),0),_xlfn.IFNA(LOOKUP(S171,use_fish!A:A,use_fish!K:K),0),_xlfn.IFNA(LOOKUP(T171,use_fish!A:A,use_fish!K:K),0),_xlfn.IFNA(LOOKUP(U171,use_fish!A:A,use_fish!K:K),0),_xlfn.IFNA(LOOKUP(V171,use_fish!A:A,use_fish!K:K),0),_xlfn.IFNA(LOOKUP(W171,use_fish!A:A,use_fish!K:K),0),)</f>
        <v>0</v>
      </c>
      <c r="K171" s="15"/>
      <c r="L171" s="15"/>
      <c r="M171" s="15"/>
      <c r="N171" s="15"/>
      <c r="O171" s="15"/>
      <c r="P171" s="15"/>
      <c r="Q171" s="15">
        <v>154</v>
      </c>
    </row>
    <row r="172" s="14" customFormat="1" spans="1:17">
      <c r="A172" s="15">
        <v>171</v>
      </c>
      <c r="B172" s="15">
        <v>1</v>
      </c>
      <c r="C172" s="100" t="s">
        <v>198</v>
      </c>
      <c r="D172" s="15"/>
      <c r="E172" s="15"/>
      <c r="F172" s="15"/>
      <c r="G172" s="15"/>
      <c r="H172" s="15">
        <f>SUM(_xlfn.IFNA(LOOKUP(Q172,use_fish!A:A,use_fish!E:E),0),_xlfn.IFNA(LOOKUP(R172,use_fish!A:A,use_fish!E:E),0),_xlfn.IFNA(LOOKUP(S172,use_fish!A:A,use_fish!E:E),0),_xlfn.IFNA(LOOKUP(T172,use_fish!A:A,use_fish!E:E),0),_xlfn.IFNA(LOOKUP(U172,use_fish!A:A,use_fish!E:E),0),_xlfn.IFNA(LOOKUP(V172,use_fish!A:A,use_fish!E:E),0),_xlfn.IFNA(LOOKUP(W172,use_fish!A:A,use_fish!E:E),0),)</f>
        <v>35</v>
      </c>
      <c r="I172" s="15">
        <f>SUM(_xlfn.IFNA(LOOKUP(Q172,use_fish!A:A,use_fish!I:I),0),_xlfn.IFNA(LOOKUP(R172,use_fish!A:A,use_fish!I:I),0),_xlfn.IFNA(LOOKUP(S172,use_fish!A:A,use_fish!I:I),0),_xlfn.IFNA(LOOKUP(T172,use_fish!A:A,use_fish!I:I),0),_xlfn.IFNA(LOOKUP(U172,use_fish!A:A,use_fish!I:I),0),_xlfn.IFNA(LOOKUP(V172,use_fish!A:A,use_fish!I:I),0),_xlfn.IFNA(LOOKUP(W172,use_fish!A:A,use_fish!I:I),0),)</f>
        <v>35</v>
      </c>
      <c r="J172" s="6">
        <f>SUM(_xlfn.IFNA(LOOKUP(Q172,use_fish!A:A,use_fish!K:K),0),_xlfn.IFNA(LOOKUP(R172,use_fish!A:A,use_fish!K:K),0),_xlfn.IFNA(LOOKUP(S172,use_fish!A:A,use_fish!K:K),0),_xlfn.IFNA(LOOKUP(T172,use_fish!A:A,use_fish!K:K),0),_xlfn.IFNA(LOOKUP(U172,use_fish!A:A,use_fish!K:K),0),_xlfn.IFNA(LOOKUP(V172,use_fish!A:A,use_fish!K:K),0),_xlfn.IFNA(LOOKUP(W172,use_fish!A:A,use_fish!K:K),0),)</f>
        <v>0</v>
      </c>
      <c r="K172" s="15"/>
      <c r="L172" s="15"/>
      <c r="M172" s="15"/>
      <c r="N172" s="15"/>
      <c r="O172" s="15"/>
      <c r="P172" s="15"/>
      <c r="Q172" s="15">
        <v>155</v>
      </c>
    </row>
    <row r="173" s="14" customFormat="1" spans="1:17">
      <c r="A173" s="15">
        <v>172</v>
      </c>
      <c r="B173" s="15">
        <v>1</v>
      </c>
      <c r="C173" s="100" t="s">
        <v>199</v>
      </c>
      <c r="D173" s="15"/>
      <c r="E173" s="15"/>
      <c r="F173" s="15"/>
      <c r="G173" s="15"/>
      <c r="H173" s="15">
        <f>SUM(_xlfn.IFNA(LOOKUP(Q173,use_fish!A:A,use_fish!E:E),0),_xlfn.IFNA(LOOKUP(R173,use_fish!A:A,use_fish!E:E),0),_xlfn.IFNA(LOOKUP(S173,use_fish!A:A,use_fish!E:E),0),_xlfn.IFNA(LOOKUP(T173,use_fish!A:A,use_fish!E:E),0),_xlfn.IFNA(LOOKUP(U173,use_fish!A:A,use_fish!E:E),0),_xlfn.IFNA(LOOKUP(V173,use_fish!A:A,use_fish!E:E),0),_xlfn.IFNA(LOOKUP(W173,use_fish!A:A,use_fish!E:E),0),)</f>
        <v>40</v>
      </c>
      <c r="I173" s="15">
        <f>SUM(_xlfn.IFNA(LOOKUP(Q173,use_fish!A:A,use_fish!I:I),0),_xlfn.IFNA(LOOKUP(R173,use_fish!A:A,use_fish!I:I),0),_xlfn.IFNA(LOOKUP(S173,use_fish!A:A,use_fish!I:I),0),_xlfn.IFNA(LOOKUP(T173,use_fish!A:A,use_fish!I:I),0),_xlfn.IFNA(LOOKUP(U173,use_fish!A:A,use_fish!I:I),0),_xlfn.IFNA(LOOKUP(V173,use_fish!A:A,use_fish!I:I),0),_xlfn.IFNA(LOOKUP(W173,use_fish!A:A,use_fish!I:I),0),)</f>
        <v>40</v>
      </c>
      <c r="J173" s="6">
        <f>SUM(_xlfn.IFNA(LOOKUP(Q173,use_fish!A:A,use_fish!K:K),0),_xlfn.IFNA(LOOKUP(R173,use_fish!A:A,use_fish!K:K),0),_xlfn.IFNA(LOOKUP(S173,use_fish!A:A,use_fish!K:K),0),_xlfn.IFNA(LOOKUP(T173,use_fish!A:A,use_fish!K:K),0),_xlfn.IFNA(LOOKUP(U173,use_fish!A:A,use_fish!K:K),0),_xlfn.IFNA(LOOKUP(V173,use_fish!A:A,use_fish!K:K),0),_xlfn.IFNA(LOOKUP(W173,use_fish!A:A,use_fish!K:K),0),)</f>
        <v>0</v>
      </c>
      <c r="K173" s="15"/>
      <c r="L173" s="15"/>
      <c r="M173" s="15"/>
      <c r="N173" s="15"/>
      <c r="O173" s="15"/>
      <c r="P173" s="15"/>
      <c r="Q173" s="15">
        <v>156</v>
      </c>
    </row>
    <row r="174" s="14" customFormat="1" spans="1:17">
      <c r="A174" s="15">
        <v>173</v>
      </c>
      <c r="B174" s="15">
        <v>1</v>
      </c>
      <c r="C174" s="100" t="s">
        <v>200</v>
      </c>
      <c r="D174" s="15"/>
      <c r="E174" s="15"/>
      <c r="F174" s="15"/>
      <c r="G174" s="15"/>
      <c r="H174" s="15">
        <f>SUM(_xlfn.IFNA(LOOKUP(Q174,use_fish!A:A,use_fish!E:E),0),_xlfn.IFNA(LOOKUP(R174,use_fish!A:A,use_fish!E:E),0),_xlfn.IFNA(LOOKUP(S174,use_fish!A:A,use_fish!E:E),0),_xlfn.IFNA(LOOKUP(T174,use_fish!A:A,use_fish!E:E),0),_xlfn.IFNA(LOOKUP(U174,use_fish!A:A,use_fish!E:E),0),_xlfn.IFNA(LOOKUP(V174,use_fish!A:A,use_fish!E:E),0),_xlfn.IFNA(LOOKUP(W174,use_fish!A:A,use_fish!E:E),0),)</f>
        <v>45</v>
      </c>
      <c r="I174" s="15">
        <f>SUM(_xlfn.IFNA(LOOKUP(Q174,use_fish!A:A,use_fish!I:I),0),_xlfn.IFNA(LOOKUP(R174,use_fish!A:A,use_fish!I:I),0),_xlfn.IFNA(LOOKUP(S174,use_fish!A:A,use_fish!I:I),0),_xlfn.IFNA(LOOKUP(T174,use_fish!A:A,use_fish!I:I),0),_xlfn.IFNA(LOOKUP(U174,use_fish!A:A,use_fish!I:I),0),_xlfn.IFNA(LOOKUP(V174,use_fish!A:A,use_fish!I:I),0),_xlfn.IFNA(LOOKUP(W174,use_fish!A:A,use_fish!I:I),0),)</f>
        <v>45</v>
      </c>
      <c r="J174" s="6">
        <f>SUM(_xlfn.IFNA(LOOKUP(Q174,use_fish!A:A,use_fish!K:K),0),_xlfn.IFNA(LOOKUP(R174,use_fish!A:A,use_fish!K:K),0),_xlfn.IFNA(LOOKUP(S174,use_fish!A:A,use_fish!K:K),0),_xlfn.IFNA(LOOKUP(T174,use_fish!A:A,use_fish!K:K),0),_xlfn.IFNA(LOOKUP(U174,use_fish!A:A,use_fish!K:K),0),_xlfn.IFNA(LOOKUP(V174,use_fish!A:A,use_fish!K:K),0),_xlfn.IFNA(LOOKUP(W174,use_fish!A:A,use_fish!K:K),0),)</f>
        <v>0</v>
      </c>
      <c r="K174" s="15"/>
      <c r="L174" s="15"/>
      <c r="M174" s="15"/>
      <c r="N174" s="15"/>
      <c r="O174" s="15"/>
      <c r="P174" s="15"/>
      <c r="Q174" s="15">
        <v>157</v>
      </c>
    </row>
    <row r="175" s="14" customFormat="1" spans="1:17">
      <c r="A175" s="15">
        <v>174</v>
      </c>
      <c r="B175" s="15">
        <v>1</v>
      </c>
      <c r="C175" s="100" t="s">
        <v>201</v>
      </c>
      <c r="D175" s="15"/>
      <c r="E175" s="15"/>
      <c r="F175" s="15"/>
      <c r="G175" s="15"/>
      <c r="H175" s="15">
        <f>SUM(_xlfn.IFNA(LOOKUP(Q175,use_fish!A:A,use_fish!E:E),0),_xlfn.IFNA(LOOKUP(R175,use_fish!A:A,use_fish!E:E),0),_xlfn.IFNA(LOOKUP(S175,use_fish!A:A,use_fish!E:E),0),_xlfn.IFNA(LOOKUP(T175,use_fish!A:A,use_fish!E:E),0),_xlfn.IFNA(LOOKUP(U175,use_fish!A:A,use_fish!E:E),0),_xlfn.IFNA(LOOKUP(V175,use_fish!A:A,use_fish!E:E),0),_xlfn.IFNA(LOOKUP(W175,use_fish!A:A,use_fish!E:E),0),)</f>
        <v>50</v>
      </c>
      <c r="I175" s="15">
        <f>SUM(_xlfn.IFNA(LOOKUP(Q175,use_fish!A:A,use_fish!I:I),0),_xlfn.IFNA(LOOKUP(R175,use_fish!A:A,use_fish!I:I),0),_xlfn.IFNA(LOOKUP(S175,use_fish!A:A,use_fish!I:I),0),_xlfn.IFNA(LOOKUP(T175,use_fish!A:A,use_fish!I:I),0),_xlfn.IFNA(LOOKUP(U175,use_fish!A:A,use_fish!I:I),0),_xlfn.IFNA(LOOKUP(V175,use_fish!A:A,use_fish!I:I),0),_xlfn.IFNA(LOOKUP(W175,use_fish!A:A,use_fish!I:I),0),)</f>
        <v>50</v>
      </c>
      <c r="J175" s="6">
        <f>SUM(_xlfn.IFNA(LOOKUP(Q175,use_fish!A:A,use_fish!K:K),0),_xlfn.IFNA(LOOKUP(R175,use_fish!A:A,use_fish!K:K),0),_xlfn.IFNA(LOOKUP(S175,use_fish!A:A,use_fish!K:K),0),_xlfn.IFNA(LOOKUP(T175,use_fish!A:A,use_fish!K:K),0),_xlfn.IFNA(LOOKUP(U175,use_fish!A:A,use_fish!K:K),0),_xlfn.IFNA(LOOKUP(V175,use_fish!A:A,use_fish!K:K),0),_xlfn.IFNA(LOOKUP(W175,use_fish!A:A,use_fish!K:K),0),)</f>
        <v>0</v>
      </c>
      <c r="K175" s="15"/>
      <c r="L175" s="15"/>
      <c r="M175" s="15"/>
      <c r="N175" s="15"/>
      <c r="O175" s="15"/>
      <c r="P175" s="15"/>
      <c r="Q175" s="15">
        <v>158</v>
      </c>
    </row>
    <row r="176" s="14" customFormat="1" spans="1:17">
      <c r="A176" s="15">
        <v>175</v>
      </c>
      <c r="B176" s="15">
        <v>1</v>
      </c>
      <c r="C176" s="100" t="s">
        <v>202</v>
      </c>
      <c r="D176" s="15"/>
      <c r="E176" s="15"/>
      <c r="F176" s="15"/>
      <c r="G176" s="15"/>
      <c r="H176" s="15">
        <f>SUM(_xlfn.IFNA(LOOKUP(Q176,use_fish!A:A,use_fish!E:E),0),_xlfn.IFNA(LOOKUP(R176,use_fish!A:A,use_fish!E:E),0),_xlfn.IFNA(LOOKUP(S176,use_fish!A:A,use_fish!E:E),0),_xlfn.IFNA(LOOKUP(T176,use_fish!A:A,use_fish!E:E),0),_xlfn.IFNA(LOOKUP(U176,use_fish!A:A,use_fish!E:E),0),_xlfn.IFNA(LOOKUP(V176,use_fish!A:A,use_fish!E:E),0),_xlfn.IFNA(LOOKUP(W176,use_fish!A:A,use_fish!E:E),0),)</f>
        <v>70</v>
      </c>
      <c r="I176" s="15">
        <f>SUM(_xlfn.IFNA(LOOKUP(Q176,use_fish!A:A,use_fish!I:I),0),_xlfn.IFNA(LOOKUP(R176,use_fish!A:A,use_fish!I:I),0),_xlfn.IFNA(LOOKUP(S176,use_fish!A:A,use_fish!I:I),0),_xlfn.IFNA(LOOKUP(T176,use_fish!A:A,use_fish!I:I),0),_xlfn.IFNA(LOOKUP(U176,use_fish!A:A,use_fish!I:I),0),_xlfn.IFNA(LOOKUP(V176,use_fish!A:A,use_fish!I:I),0),_xlfn.IFNA(LOOKUP(W176,use_fish!A:A,use_fish!I:I),0),)</f>
        <v>70</v>
      </c>
      <c r="J176" s="6">
        <f>SUM(_xlfn.IFNA(LOOKUP(Q176,use_fish!A:A,use_fish!K:K),0),_xlfn.IFNA(LOOKUP(R176,use_fish!A:A,use_fish!K:K),0),_xlfn.IFNA(LOOKUP(S176,use_fish!A:A,use_fish!K:K),0),_xlfn.IFNA(LOOKUP(T176,use_fish!A:A,use_fish!K:K),0),_xlfn.IFNA(LOOKUP(U176,use_fish!A:A,use_fish!K:K),0),_xlfn.IFNA(LOOKUP(V176,use_fish!A:A,use_fish!K:K),0),_xlfn.IFNA(LOOKUP(W176,use_fish!A:A,use_fish!K:K),0),)</f>
        <v>0</v>
      </c>
      <c r="K176" s="15"/>
      <c r="L176" s="15"/>
      <c r="M176" s="15"/>
      <c r="N176" s="15"/>
      <c r="O176" s="15"/>
      <c r="P176" s="15"/>
      <c r="Q176" s="15">
        <v>159</v>
      </c>
    </row>
    <row r="177" s="14" customFormat="1" spans="1:17">
      <c r="A177" s="15">
        <v>176</v>
      </c>
      <c r="B177" s="15">
        <v>1</v>
      </c>
      <c r="C177" s="100" t="s">
        <v>203</v>
      </c>
      <c r="D177" s="15"/>
      <c r="E177" s="15"/>
      <c r="F177" s="15"/>
      <c r="G177" s="15"/>
      <c r="H177" s="15">
        <f>SUM(_xlfn.IFNA(LOOKUP(Q177,use_fish!A:A,use_fish!E:E),0),_xlfn.IFNA(LOOKUP(R177,use_fish!A:A,use_fish!E:E),0),_xlfn.IFNA(LOOKUP(S177,use_fish!A:A,use_fish!E:E),0),_xlfn.IFNA(LOOKUP(T177,use_fish!A:A,use_fish!E:E),0),_xlfn.IFNA(LOOKUP(U177,use_fish!A:A,use_fish!E:E),0),_xlfn.IFNA(LOOKUP(V177,use_fish!A:A,use_fish!E:E),0),_xlfn.IFNA(LOOKUP(W177,use_fish!A:A,use_fish!E:E),0),)</f>
        <v>250</v>
      </c>
      <c r="I177" s="15">
        <f>SUM(_xlfn.IFNA(LOOKUP(Q177,use_fish!A:A,use_fish!I:I),0),_xlfn.IFNA(LOOKUP(R177,use_fish!A:A,use_fish!I:I),0),_xlfn.IFNA(LOOKUP(S177,use_fish!A:A,use_fish!I:I),0),_xlfn.IFNA(LOOKUP(T177,use_fish!A:A,use_fish!I:I),0),_xlfn.IFNA(LOOKUP(U177,use_fish!A:A,use_fish!I:I),0),_xlfn.IFNA(LOOKUP(V177,use_fish!A:A,use_fish!I:I),0),_xlfn.IFNA(LOOKUP(W177,use_fish!A:A,use_fish!I:I),0),)</f>
        <v>250</v>
      </c>
      <c r="J177" s="6">
        <f>SUM(_xlfn.IFNA(LOOKUP(Q177,use_fish!A:A,use_fish!K:K),0),_xlfn.IFNA(LOOKUP(R177,use_fish!A:A,use_fish!K:K),0),_xlfn.IFNA(LOOKUP(S177,use_fish!A:A,use_fish!K:K),0),_xlfn.IFNA(LOOKUP(T177,use_fish!A:A,use_fish!K:K),0),_xlfn.IFNA(LOOKUP(U177,use_fish!A:A,use_fish!K:K),0),_xlfn.IFNA(LOOKUP(V177,use_fish!A:A,use_fish!K:K),0),_xlfn.IFNA(LOOKUP(W177,use_fish!A:A,use_fish!K:K),0),)</f>
        <v>0</v>
      </c>
      <c r="K177" s="15"/>
      <c r="L177" s="15"/>
      <c r="M177" s="15"/>
      <c r="N177" s="15"/>
      <c r="O177" s="15"/>
      <c r="P177" s="15"/>
      <c r="Q177" s="15">
        <v>160</v>
      </c>
    </row>
    <row r="178" s="14" customFormat="1" spans="1:17">
      <c r="A178" s="15">
        <v>177</v>
      </c>
      <c r="B178" s="15">
        <v>1</v>
      </c>
      <c r="C178" s="100" t="s">
        <v>204</v>
      </c>
      <c r="D178" s="15"/>
      <c r="E178" s="15"/>
      <c r="F178" s="15"/>
      <c r="G178" s="15"/>
      <c r="H178" s="15">
        <f>SUM(_xlfn.IFNA(LOOKUP(Q178,use_fish!A:A,use_fish!E:E),0),_xlfn.IFNA(LOOKUP(R178,use_fish!A:A,use_fish!E:E),0),_xlfn.IFNA(LOOKUP(S178,use_fish!A:A,use_fish!E:E),0),_xlfn.IFNA(LOOKUP(T178,use_fish!A:A,use_fish!E:E),0),_xlfn.IFNA(LOOKUP(U178,use_fish!A:A,use_fish!E:E),0),_xlfn.IFNA(LOOKUP(V178,use_fish!A:A,use_fish!E:E),0),_xlfn.IFNA(LOOKUP(W178,use_fish!A:A,use_fish!E:E),0),)</f>
        <v>350</v>
      </c>
      <c r="I178" s="15">
        <f>SUM(_xlfn.IFNA(LOOKUP(Q178,use_fish!A:A,use_fish!I:I),0),_xlfn.IFNA(LOOKUP(R178,use_fish!A:A,use_fish!I:I),0),_xlfn.IFNA(LOOKUP(S178,use_fish!A:A,use_fish!I:I),0),_xlfn.IFNA(LOOKUP(T178,use_fish!A:A,use_fish!I:I),0),_xlfn.IFNA(LOOKUP(U178,use_fish!A:A,use_fish!I:I),0),_xlfn.IFNA(LOOKUP(V178,use_fish!A:A,use_fish!I:I),0),_xlfn.IFNA(LOOKUP(W178,use_fish!A:A,use_fish!I:I),0),)</f>
        <v>350</v>
      </c>
      <c r="J178" s="6">
        <f>SUM(_xlfn.IFNA(LOOKUP(Q178,use_fish!A:A,use_fish!K:K),0),_xlfn.IFNA(LOOKUP(R178,use_fish!A:A,use_fish!K:K),0),_xlfn.IFNA(LOOKUP(S178,use_fish!A:A,use_fish!K:K),0),_xlfn.IFNA(LOOKUP(T178,use_fish!A:A,use_fish!K:K),0),_xlfn.IFNA(LOOKUP(U178,use_fish!A:A,use_fish!K:K),0),_xlfn.IFNA(LOOKUP(V178,use_fish!A:A,use_fish!K:K),0),_xlfn.IFNA(LOOKUP(W178,use_fish!A:A,use_fish!K:K),0),)</f>
        <v>0</v>
      </c>
      <c r="K178" s="15"/>
      <c r="L178" s="15"/>
      <c r="M178" s="15"/>
      <c r="N178" s="15"/>
      <c r="O178" s="15"/>
      <c r="P178" s="15"/>
      <c r="Q178" s="15">
        <v>161</v>
      </c>
    </row>
    <row r="179" s="14" customFormat="1" spans="1:17">
      <c r="A179" s="15">
        <v>178</v>
      </c>
      <c r="B179" s="15">
        <v>1</v>
      </c>
      <c r="C179" s="100" t="s">
        <v>205</v>
      </c>
      <c r="D179" s="15"/>
      <c r="E179" s="15"/>
      <c r="F179" s="15"/>
      <c r="G179" s="15"/>
      <c r="H179" s="15">
        <f>SUM(_xlfn.IFNA(LOOKUP(Q179,use_fish!A:A,use_fish!E:E),0),_xlfn.IFNA(LOOKUP(R179,use_fish!A:A,use_fish!E:E),0),_xlfn.IFNA(LOOKUP(S179,use_fish!A:A,use_fish!E:E),0),_xlfn.IFNA(LOOKUP(T179,use_fish!A:A,use_fish!E:E),0),_xlfn.IFNA(LOOKUP(U179,use_fish!A:A,use_fish!E:E),0),_xlfn.IFNA(LOOKUP(V179,use_fish!A:A,use_fish!E:E),0),_xlfn.IFNA(LOOKUP(W179,use_fish!A:A,use_fish!E:E),0),)</f>
        <v>450</v>
      </c>
      <c r="I179" s="15">
        <f>SUM(_xlfn.IFNA(LOOKUP(Q179,use_fish!A:A,use_fish!I:I),0),_xlfn.IFNA(LOOKUP(R179,use_fish!A:A,use_fish!I:I),0),_xlfn.IFNA(LOOKUP(S179,use_fish!A:A,use_fish!I:I),0),_xlfn.IFNA(LOOKUP(T179,use_fish!A:A,use_fish!I:I),0),_xlfn.IFNA(LOOKUP(U179,use_fish!A:A,use_fish!I:I),0),_xlfn.IFNA(LOOKUP(V179,use_fish!A:A,use_fish!I:I),0),_xlfn.IFNA(LOOKUP(W179,use_fish!A:A,use_fish!I:I),0),)</f>
        <v>450</v>
      </c>
      <c r="J179" s="6">
        <f>SUM(_xlfn.IFNA(LOOKUP(Q179,use_fish!A:A,use_fish!K:K),0),_xlfn.IFNA(LOOKUP(R179,use_fish!A:A,use_fish!K:K),0),_xlfn.IFNA(LOOKUP(S179,use_fish!A:A,use_fish!K:K),0),_xlfn.IFNA(LOOKUP(T179,use_fish!A:A,use_fish!K:K),0),_xlfn.IFNA(LOOKUP(U179,use_fish!A:A,use_fish!K:K),0),_xlfn.IFNA(LOOKUP(V179,use_fish!A:A,use_fish!K:K),0),_xlfn.IFNA(LOOKUP(W179,use_fish!A:A,use_fish!K:K),0),)</f>
        <v>0</v>
      </c>
      <c r="K179" s="15"/>
      <c r="L179" s="15"/>
      <c r="M179" s="15"/>
      <c r="N179" s="15"/>
      <c r="O179" s="15"/>
      <c r="P179" s="15"/>
      <c r="Q179" s="15">
        <v>162</v>
      </c>
    </row>
    <row r="180" s="14" customFormat="1" spans="1:17">
      <c r="A180" s="28">
        <v>179</v>
      </c>
      <c r="B180" s="28">
        <v>1</v>
      </c>
      <c r="C180" s="106" t="s">
        <v>206</v>
      </c>
      <c r="D180" s="28"/>
      <c r="E180" s="28"/>
      <c r="F180" s="28"/>
      <c r="G180" s="28"/>
      <c r="H180" s="28">
        <f>SUM(_xlfn.IFNA(LOOKUP(Q180,use_fish!A:A,use_fish!E:E),0),_xlfn.IFNA(LOOKUP(R180,use_fish!A:A,use_fish!E:E),0),_xlfn.IFNA(LOOKUP(S180,use_fish!A:A,use_fish!E:E),0),_xlfn.IFNA(LOOKUP(T180,use_fish!A:A,use_fish!E:E),0),_xlfn.IFNA(LOOKUP(U180,use_fish!A:A,use_fish!E:E),0),_xlfn.IFNA(LOOKUP(V180,use_fish!A:A,use_fish!E:E),0),_xlfn.IFNA(LOOKUP(W180,use_fish!A:A,use_fish!E:E),0),)</f>
        <v>30</v>
      </c>
      <c r="I180" s="28">
        <f>SUM(_xlfn.IFNA(LOOKUP(Q180,use_fish!A:A,use_fish!I:I),0),_xlfn.IFNA(LOOKUP(R180,use_fish!A:A,use_fish!I:I),0),_xlfn.IFNA(LOOKUP(S180,use_fish!A:A,use_fish!I:I),0),_xlfn.IFNA(LOOKUP(T180,use_fish!A:A,use_fish!I:I),0),_xlfn.IFNA(LOOKUP(U180,use_fish!A:A,use_fish!I:I),0),_xlfn.IFNA(LOOKUP(V180,use_fish!A:A,use_fish!I:I),0),_xlfn.IFNA(LOOKUP(W180,use_fish!A:A,use_fish!I:I),0),)</f>
        <v>30</v>
      </c>
      <c r="J180" s="77">
        <f>SUM(_xlfn.IFNA(LOOKUP(Q180,use_fish!A:A,use_fish!K:K),0),_xlfn.IFNA(LOOKUP(R180,use_fish!A:A,use_fish!K:K),0),_xlfn.IFNA(LOOKUP(S180,use_fish!A:A,use_fish!K:K),0),_xlfn.IFNA(LOOKUP(T180,use_fish!A:A,use_fish!K:K),0),_xlfn.IFNA(LOOKUP(U180,use_fish!A:A,use_fish!K:K),0),_xlfn.IFNA(LOOKUP(V180,use_fish!A:A,use_fish!K:K),0),_xlfn.IFNA(LOOKUP(W180,use_fish!A:A,use_fish!K:K),0),)</f>
        <v>0</v>
      </c>
      <c r="K180" s="28"/>
      <c r="L180" s="28"/>
      <c r="M180" s="28"/>
      <c r="N180" s="28"/>
      <c r="O180" s="28"/>
      <c r="P180" s="28"/>
      <c r="Q180" s="28">
        <v>163</v>
      </c>
    </row>
    <row r="181" s="14" customFormat="1" spans="1:17">
      <c r="A181" s="28">
        <v>180</v>
      </c>
      <c r="B181" s="28">
        <v>1</v>
      </c>
      <c r="C181" s="106" t="s">
        <v>207</v>
      </c>
      <c r="D181" s="28"/>
      <c r="E181" s="28"/>
      <c r="F181" s="28"/>
      <c r="G181" s="28"/>
      <c r="H181" s="28">
        <f>SUM(_xlfn.IFNA(LOOKUP(Q181,use_fish!A:A,use_fish!E:E),0),_xlfn.IFNA(LOOKUP(R181,use_fish!A:A,use_fish!E:E),0),_xlfn.IFNA(LOOKUP(S181,use_fish!A:A,use_fish!E:E),0),_xlfn.IFNA(LOOKUP(T181,use_fish!A:A,use_fish!E:E),0),_xlfn.IFNA(LOOKUP(U181,use_fish!A:A,use_fish!E:E),0),_xlfn.IFNA(LOOKUP(V181,use_fish!A:A,use_fish!E:E),0),_xlfn.IFNA(LOOKUP(W181,use_fish!A:A,use_fish!E:E),0),)</f>
        <v>35</v>
      </c>
      <c r="I181" s="28">
        <f>SUM(_xlfn.IFNA(LOOKUP(Q181,use_fish!A:A,use_fish!I:I),0),_xlfn.IFNA(LOOKUP(R181,use_fish!A:A,use_fish!I:I),0),_xlfn.IFNA(LOOKUP(S181,use_fish!A:A,use_fish!I:I),0),_xlfn.IFNA(LOOKUP(T181,use_fish!A:A,use_fish!I:I),0),_xlfn.IFNA(LOOKUP(U181,use_fish!A:A,use_fish!I:I),0),_xlfn.IFNA(LOOKUP(V181,use_fish!A:A,use_fish!I:I),0),_xlfn.IFNA(LOOKUP(W181,use_fish!A:A,use_fish!I:I),0),)</f>
        <v>35</v>
      </c>
      <c r="J181" s="77">
        <f>SUM(_xlfn.IFNA(LOOKUP(Q181,use_fish!A:A,use_fish!K:K),0),_xlfn.IFNA(LOOKUP(R181,use_fish!A:A,use_fish!K:K),0),_xlfn.IFNA(LOOKUP(S181,use_fish!A:A,use_fish!K:K),0),_xlfn.IFNA(LOOKUP(T181,use_fish!A:A,use_fish!K:K),0),_xlfn.IFNA(LOOKUP(U181,use_fish!A:A,use_fish!K:K),0),_xlfn.IFNA(LOOKUP(V181,use_fish!A:A,use_fish!K:K),0),_xlfn.IFNA(LOOKUP(W181,use_fish!A:A,use_fish!K:K),0),)</f>
        <v>0</v>
      </c>
      <c r="K181" s="28"/>
      <c r="L181" s="28"/>
      <c r="M181" s="28"/>
      <c r="N181" s="28"/>
      <c r="O181" s="28"/>
      <c r="P181" s="28"/>
      <c r="Q181" s="28">
        <v>164</v>
      </c>
    </row>
    <row r="182" s="14" customFormat="1" spans="1:17">
      <c r="A182" s="28">
        <v>181</v>
      </c>
      <c r="B182" s="28">
        <v>1</v>
      </c>
      <c r="C182" s="106" t="s">
        <v>208</v>
      </c>
      <c r="D182" s="28"/>
      <c r="E182" s="28"/>
      <c r="F182" s="28"/>
      <c r="G182" s="28"/>
      <c r="H182" s="28">
        <f>SUM(_xlfn.IFNA(LOOKUP(Q182,use_fish!A:A,use_fish!E:E),0),_xlfn.IFNA(LOOKUP(R182,use_fish!A:A,use_fish!E:E),0),_xlfn.IFNA(LOOKUP(S182,use_fish!A:A,use_fish!E:E),0),_xlfn.IFNA(LOOKUP(T182,use_fish!A:A,use_fish!E:E),0),_xlfn.IFNA(LOOKUP(U182,use_fish!A:A,use_fish!E:E),0),_xlfn.IFNA(LOOKUP(V182,use_fish!A:A,use_fish!E:E),0),_xlfn.IFNA(LOOKUP(W182,use_fish!A:A,use_fish!E:E),0),)</f>
        <v>40</v>
      </c>
      <c r="I182" s="28">
        <f>SUM(_xlfn.IFNA(LOOKUP(Q182,use_fish!A:A,use_fish!I:I),0),_xlfn.IFNA(LOOKUP(R182,use_fish!A:A,use_fish!I:I),0),_xlfn.IFNA(LOOKUP(S182,use_fish!A:A,use_fish!I:I),0),_xlfn.IFNA(LOOKUP(T182,use_fish!A:A,use_fish!I:I),0),_xlfn.IFNA(LOOKUP(U182,use_fish!A:A,use_fish!I:I),0),_xlfn.IFNA(LOOKUP(V182,use_fish!A:A,use_fish!I:I),0),_xlfn.IFNA(LOOKUP(W182,use_fish!A:A,use_fish!I:I),0),)</f>
        <v>40</v>
      </c>
      <c r="J182" s="77">
        <f>SUM(_xlfn.IFNA(LOOKUP(Q182,use_fish!A:A,use_fish!K:K),0),_xlfn.IFNA(LOOKUP(R182,use_fish!A:A,use_fish!K:K),0),_xlfn.IFNA(LOOKUP(S182,use_fish!A:A,use_fish!K:K),0),_xlfn.IFNA(LOOKUP(T182,use_fish!A:A,use_fish!K:K),0),_xlfn.IFNA(LOOKUP(U182,use_fish!A:A,use_fish!K:K),0),_xlfn.IFNA(LOOKUP(V182,use_fish!A:A,use_fish!K:K),0),_xlfn.IFNA(LOOKUP(W182,use_fish!A:A,use_fish!K:K),0),)</f>
        <v>0</v>
      </c>
      <c r="K182" s="28"/>
      <c r="L182" s="28"/>
      <c r="M182" s="28"/>
      <c r="N182" s="28"/>
      <c r="O182" s="28"/>
      <c r="P182" s="28"/>
      <c r="Q182" s="28">
        <v>165</v>
      </c>
    </row>
    <row r="183" s="14" customFormat="1" spans="1:17">
      <c r="A183" s="28">
        <v>182</v>
      </c>
      <c r="B183" s="28">
        <v>1</v>
      </c>
      <c r="C183" s="106" t="s">
        <v>209</v>
      </c>
      <c r="D183" s="28"/>
      <c r="E183" s="28"/>
      <c r="F183" s="28"/>
      <c r="G183" s="28"/>
      <c r="H183" s="28">
        <f>SUM(_xlfn.IFNA(LOOKUP(Q183,use_fish!A:A,use_fish!E:E),0),_xlfn.IFNA(LOOKUP(R183,use_fish!A:A,use_fish!E:E),0),_xlfn.IFNA(LOOKUP(S183,use_fish!A:A,use_fish!E:E),0),_xlfn.IFNA(LOOKUP(T183,use_fish!A:A,use_fish!E:E),0),_xlfn.IFNA(LOOKUP(U183,use_fish!A:A,use_fish!E:E),0),_xlfn.IFNA(LOOKUP(V183,use_fish!A:A,use_fish!E:E),0),_xlfn.IFNA(LOOKUP(W183,use_fish!A:A,use_fish!E:E),0),)</f>
        <v>45</v>
      </c>
      <c r="I183" s="28">
        <f>SUM(_xlfn.IFNA(LOOKUP(Q183,use_fish!A:A,use_fish!I:I),0),_xlfn.IFNA(LOOKUP(R183,use_fish!A:A,use_fish!I:I),0),_xlfn.IFNA(LOOKUP(S183,use_fish!A:A,use_fish!I:I),0),_xlfn.IFNA(LOOKUP(T183,use_fish!A:A,use_fish!I:I),0),_xlfn.IFNA(LOOKUP(U183,use_fish!A:A,use_fish!I:I),0),_xlfn.IFNA(LOOKUP(V183,use_fish!A:A,use_fish!I:I),0),_xlfn.IFNA(LOOKUP(W183,use_fish!A:A,use_fish!I:I),0),)</f>
        <v>45</v>
      </c>
      <c r="J183" s="77">
        <f>SUM(_xlfn.IFNA(LOOKUP(Q183,use_fish!A:A,use_fish!K:K),0),_xlfn.IFNA(LOOKUP(R183,use_fish!A:A,use_fish!K:K),0),_xlfn.IFNA(LOOKUP(S183,use_fish!A:A,use_fish!K:K),0),_xlfn.IFNA(LOOKUP(T183,use_fish!A:A,use_fish!K:K),0),_xlfn.IFNA(LOOKUP(U183,use_fish!A:A,use_fish!K:K),0),_xlfn.IFNA(LOOKUP(V183,use_fish!A:A,use_fish!K:K),0),_xlfn.IFNA(LOOKUP(W183,use_fish!A:A,use_fish!K:K),0),)</f>
        <v>0</v>
      </c>
      <c r="K183" s="28"/>
      <c r="L183" s="28"/>
      <c r="M183" s="28"/>
      <c r="N183" s="28"/>
      <c r="O183" s="28"/>
      <c r="P183" s="28"/>
      <c r="Q183" s="28">
        <v>166</v>
      </c>
    </row>
    <row r="184" s="14" customFormat="1" spans="1:17">
      <c r="A184" s="28">
        <v>183</v>
      </c>
      <c r="B184" s="28">
        <v>1</v>
      </c>
      <c r="C184" s="106" t="s">
        <v>210</v>
      </c>
      <c r="D184" s="28"/>
      <c r="E184" s="28"/>
      <c r="F184" s="28"/>
      <c r="G184" s="28"/>
      <c r="H184" s="28">
        <f>SUM(_xlfn.IFNA(LOOKUP(Q184,use_fish!A:A,use_fish!E:E),0),_xlfn.IFNA(LOOKUP(R184,use_fish!A:A,use_fish!E:E),0),_xlfn.IFNA(LOOKUP(S184,use_fish!A:A,use_fish!E:E),0),_xlfn.IFNA(LOOKUP(T184,use_fish!A:A,use_fish!E:E),0),_xlfn.IFNA(LOOKUP(U184,use_fish!A:A,use_fish!E:E),0),_xlfn.IFNA(LOOKUP(V184,use_fish!A:A,use_fish!E:E),0),_xlfn.IFNA(LOOKUP(W184,use_fish!A:A,use_fish!E:E),0),)</f>
        <v>50</v>
      </c>
      <c r="I184" s="28">
        <f>SUM(_xlfn.IFNA(LOOKUP(Q184,use_fish!A:A,use_fish!I:I),0),_xlfn.IFNA(LOOKUP(R184,use_fish!A:A,use_fish!I:I),0),_xlfn.IFNA(LOOKUP(S184,use_fish!A:A,use_fish!I:I),0),_xlfn.IFNA(LOOKUP(T184,use_fish!A:A,use_fish!I:I),0),_xlfn.IFNA(LOOKUP(U184,use_fish!A:A,use_fish!I:I),0),_xlfn.IFNA(LOOKUP(V184,use_fish!A:A,use_fish!I:I),0),_xlfn.IFNA(LOOKUP(W184,use_fish!A:A,use_fish!I:I),0),)</f>
        <v>50</v>
      </c>
      <c r="J184" s="77">
        <f>SUM(_xlfn.IFNA(LOOKUP(Q184,use_fish!A:A,use_fish!K:K),0),_xlfn.IFNA(LOOKUP(R184,use_fish!A:A,use_fish!K:K),0),_xlfn.IFNA(LOOKUP(S184,use_fish!A:A,use_fish!K:K),0),_xlfn.IFNA(LOOKUP(T184,use_fish!A:A,use_fish!K:K),0),_xlfn.IFNA(LOOKUP(U184,use_fish!A:A,use_fish!K:K),0),_xlfn.IFNA(LOOKUP(V184,use_fish!A:A,use_fish!K:K),0),_xlfn.IFNA(LOOKUP(W184,use_fish!A:A,use_fish!K:K),0),)</f>
        <v>0</v>
      </c>
      <c r="K184" s="28"/>
      <c r="L184" s="28"/>
      <c r="M184" s="28"/>
      <c r="N184" s="28"/>
      <c r="O184" s="28"/>
      <c r="P184" s="28"/>
      <c r="Q184" s="28">
        <v>167</v>
      </c>
    </row>
    <row r="185" s="14" customFormat="1" spans="1:17">
      <c r="A185" s="28">
        <v>184</v>
      </c>
      <c r="B185" s="28">
        <v>1</v>
      </c>
      <c r="C185" s="106" t="s">
        <v>211</v>
      </c>
      <c r="D185" s="28"/>
      <c r="E185" s="28"/>
      <c r="F185" s="28"/>
      <c r="G185" s="28"/>
      <c r="H185" s="28">
        <f>SUM(_xlfn.IFNA(LOOKUP(Q185,use_fish!A:A,use_fish!E:E),0),_xlfn.IFNA(LOOKUP(R185,use_fish!A:A,use_fish!E:E),0),_xlfn.IFNA(LOOKUP(S185,use_fish!A:A,use_fish!E:E),0),_xlfn.IFNA(LOOKUP(T185,use_fish!A:A,use_fish!E:E),0),_xlfn.IFNA(LOOKUP(U185,use_fish!A:A,use_fish!E:E),0),_xlfn.IFNA(LOOKUP(V185,use_fish!A:A,use_fish!E:E),0),_xlfn.IFNA(LOOKUP(W185,use_fish!A:A,use_fish!E:E),0),)</f>
        <v>70</v>
      </c>
      <c r="I185" s="28">
        <f>SUM(_xlfn.IFNA(LOOKUP(Q185,use_fish!A:A,use_fish!I:I),0),_xlfn.IFNA(LOOKUP(R185,use_fish!A:A,use_fish!I:I),0),_xlfn.IFNA(LOOKUP(S185,use_fish!A:A,use_fish!I:I),0),_xlfn.IFNA(LOOKUP(T185,use_fish!A:A,use_fish!I:I),0),_xlfn.IFNA(LOOKUP(U185,use_fish!A:A,use_fish!I:I),0),_xlfn.IFNA(LOOKUP(V185,use_fish!A:A,use_fish!I:I),0),_xlfn.IFNA(LOOKUP(W185,use_fish!A:A,use_fish!I:I),0),)</f>
        <v>70</v>
      </c>
      <c r="J185" s="77">
        <f>SUM(_xlfn.IFNA(LOOKUP(Q185,use_fish!A:A,use_fish!K:K),0),_xlfn.IFNA(LOOKUP(R185,use_fish!A:A,use_fish!K:K),0),_xlfn.IFNA(LOOKUP(S185,use_fish!A:A,use_fish!K:K),0),_xlfn.IFNA(LOOKUP(T185,use_fish!A:A,use_fish!K:K),0),_xlfn.IFNA(LOOKUP(U185,use_fish!A:A,use_fish!K:K),0),_xlfn.IFNA(LOOKUP(V185,use_fish!A:A,use_fish!K:K),0),_xlfn.IFNA(LOOKUP(W185,use_fish!A:A,use_fish!K:K),0),)</f>
        <v>0</v>
      </c>
      <c r="K185" s="28"/>
      <c r="L185" s="28"/>
      <c r="M185" s="28"/>
      <c r="N185" s="28"/>
      <c r="O185" s="28"/>
      <c r="P185" s="28"/>
      <c r="Q185" s="28">
        <v>168</v>
      </c>
    </row>
    <row r="186" s="14" customFormat="1" spans="1:17">
      <c r="A186" s="28">
        <v>185</v>
      </c>
      <c r="B186" s="28">
        <v>1</v>
      </c>
      <c r="C186" s="106" t="s">
        <v>212</v>
      </c>
      <c r="D186" s="28"/>
      <c r="E186" s="28"/>
      <c r="F186" s="28"/>
      <c r="G186" s="28"/>
      <c r="H186" s="28">
        <f>SUM(_xlfn.IFNA(LOOKUP(Q186,use_fish!A:A,use_fish!E:E),0),_xlfn.IFNA(LOOKUP(R186,use_fish!A:A,use_fish!E:E),0),_xlfn.IFNA(LOOKUP(S186,use_fish!A:A,use_fish!E:E),0),_xlfn.IFNA(LOOKUP(T186,use_fish!A:A,use_fish!E:E),0),_xlfn.IFNA(LOOKUP(U186,use_fish!A:A,use_fish!E:E),0),_xlfn.IFNA(LOOKUP(V186,use_fish!A:A,use_fish!E:E),0),_xlfn.IFNA(LOOKUP(W186,use_fish!A:A,use_fish!E:E),0),)</f>
        <v>250</v>
      </c>
      <c r="I186" s="28">
        <f>SUM(_xlfn.IFNA(LOOKUP(Q186,use_fish!A:A,use_fish!I:I),0),_xlfn.IFNA(LOOKUP(R186,use_fish!A:A,use_fish!I:I),0),_xlfn.IFNA(LOOKUP(S186,use_fish!A:A,use_fish!I:I),0),_xlfn.IFNA(LOOKUP(T186,use_fish!A:A,use_fish!I:I),0),_xlfn.IFNA(LOOKUP(U186,use_fish!A:A,use_fish!I:I),0),_xlfn.IFNA(LOOKUP(V186,use_fish!A:A,use_fish!I:I),0),_xlfn.IFNA(LOOKUP(W186,use_fish!A:A,use_fish!I:I),0),)</f>
        <v>250</v>
      </c>
      <c r="J186" s="77">
        <f>SUM(_xlfn.IFNA(LOOKUP(Q186,use_fish!A:A,use_fish!K:K),0),_xlfn.IFNA(LOOKUP(R186,use_fish!A:A,use_fish!K:K),0),_xlfn.IFNA(LOOKUP(S186,use_fish!A:A,use_fish!K:K),0),_xlfn.IFNA(LOOKUP(T186,use_fish!A:A,use_fish!K:K),0),_xlfn.IFNA(LOOKUP(U186,use_fish!A:A,use_fish!K:K),0),_xlfn.IFNA(LOOKUP(V186,use_fish!A:A,use_fish!K:K),0),_xlfn.IFNA(LOOKUP(W186,use_fish!A:A,use_fish!K:K),0),)</f>
        <v>0</v>
      </c>
      <c r="K186" s="28"/>
      <c r="L186" s="28"/>
      <c r="M186" s="28"/>
      <c r="N186" s="28"/>
      <c r="O186" s="28"/>
      <c r="P186" s="28"/>
      <c r="Q186" s="28">
        <v>169</v>
      </c>
    </row>
    <row r="187" s="14" customFormat="1" spans="1:17">
      <c r="A187" s="28">
        <v>186</v>
      </c>
      <c r="B187" s="28">
        <v>1</v>
      </c>
      <c r="C187" s="106" t="s">
        <v>213</v>
      </c>
      <c r="D187" s="28"/>
      <c r="E187" s="28"/>
      <c r="F187" s="28"/>
      <c r="G187" s="28"/>
      <c r="H187" s="28">
        <f>SUM(_xlfn.IFNA(LOOKUP(Q187,use_fish!A:A,use_fish!E:E),0),_xlfn.IFNA(LOOKUP(R187,use_fish!A:A,use_fish!E:E),0),_xlfn.IFNA(LOOKUP(S187,use_fish!A:A,use_fish!E:E),0),_xlfn.IFNA(LOOKUP(T187,use_fish!A:A,use_fish!E:E),0),_xlfn.IFNA(LOOKUP(U187,use_fish!A:A,use_fish!E:E),0),_xlfn.IFNA(LOOKUP(V187,use_fish!A:A,use_fish!E:E),0),_xlfn.IFNA(LOOKUP(W187,use_fish!A:A,use_fish!E:E),0),)</f>
        <v>350</v>
      </c>
      <c r="I187" s="28">
        <f>SUM(_xlfn.IFNA(LOOKUP(Q187,use_fish!A:A,use_fish!I:I),0),_xlfn.IFNA(LOOKUP(R187,use_fish!A:A,use_fish!I:I),0),_xlfn.IFNA(LOOKUP(S187,use_fish!A:A,use_fish!I:I),0),_xlfn.IFNA(LOOKUP(T187,use_fish!A:A,use_fish!I:I),0),_xlfn.IFNA(LOOKUP(U187,use_fish!A:A,use_fish!I:I),0),_xlfn.IFNA(LOOKUP(V187,use_fish!A:A,use_fish!I:I),0),_xlfn.IFNA(LOOKUP(W187,use_fish!A:A,use_fish!I:I),0),)</f>
        <v>350</v>
      </c>
      <c r="J187" s="77">
        <f>SUM(_xlfn.IFNA(LOOKUP(Q187,use_fish!A:A,use_fish!K:K),0),_xlfn.IFNA(LOOKUP(R187,use_fish!A:A,use_fish!K:K),0),_xlfn.IFNA(LOOKUP(S187,use_fish!A:A,use_fish!K:K),0),_xlfn.IFNA(LOOKUP(T187,use_fish!A:A,use_fish!K:K),0),_xlfn.IFNA(LOOKUP(U187,use_fish!A:A,use_fish!K:K),0),_xlfn.IFNA(LOOKUP(V187,use_fish!A:A,use_fish!K:K),0),_xlfn.IFNA(LOOKUP(W187,use_fish!A:A,use_fish!K:K),0),)</f>
        <v>0</v>
      </c>
      <c r="K187" s="28"/>
      <c r="L187" s="28"/>
      <c r="M187" s="28"/>
      <c r="N187" s="28"/>
      <c r="O187" s="28"/>
      <c r="P187" s="28"/>
      <c r="Q187" s="28">
        <v>170</v>
      </c>
    </row>
    <row r="188" s="14" customFormat="1" spans="1:17">
      <c r="A188" s="28">
        <v>187</v>
      </c>
      <c r="B188" s="28">
        <v>1</v>
      </c>
      <c r="C188" s="106" t="s">
        <v>214</v>
      </c>
      <c r="D188" s="28"/>
      <c r="E188" s="28"/>
      <c r="F188" s="28"/>
      <c r="G188" s="28"/>
      <c r="H188" s="28">
        <f>SUM(_xlfn.IFNA(LOOKUP(Q188,use_fish!A:A,use_fish!E:E),0),_xlfn.IFNA(LOOKUP(R188,use_fish!A:A,use_fish!E:E),0),_xlfn.IFNA(LOOKUP(S188,use_fish!A:A,use_fish!E:E),0),_xlfn.IFNA(LOOKUP(T188,use_fish!A:A,use_fish!E:E),0),_xlfn.IFNA(LOOKUP(U188,use_fish!A:A,use_fish!E:E),0),_xlfn.IFNA(LOOKUP(V188,use_fish!A:A,use_fish!E:E),0),_xlfn.IFNA(LOOKUP(W188,use_fish!A:A,use_fish!E:E),0),)</f>
        <v>450</v>
      </c>
      <c r="I188" s="28">
        <f>SUM(_xlfn.IFNA(LOOKUP(Q188,use_fish!A:A,use_fish!I:I),0),_xlfn.IFNA(LOOKUP(R188,use_fish!A:A,use_fish!I:I),0),_xlfn.IFNA(LOOKUP(S188,use_fish!A:A,use_fish!I:I),0),_xlfn.IFNA(LOOKUP(T188,use_fish!A:A,use_fish!I:I),0),_xlfn.IFNA(LOOKUP(U188,use_fish!A:A,use_fish!I:I),0),_xlfn.IFNA(LOOKUP(V188,use_fish!A:A,use_fish!I:I),0),_xlfn.IFNA(LOOKUP(W188,use_fish!A:A,use_fish!I:I),0),)</f>
        <v>450</v>
      </c>
      <c r="J188" s="77">
        <f>SUM(_xlfn.IFNA(LOOKUP(Q188,use_fish!A:A,use_fish!K:K),0),_xlfn.IFNA(LOOKUP(R188,use_fish!A:A,use_fish!K:K),0),_xlfn.IFNA(LOOKUP(S188,use_fish!A:A,use_fish!K:K),0),_xlfn.IFNA(LOOKUP(T188,use_fish!A:A,use_fish!K:K),0),_xlfn.IFNA(LOOKUP(U188,use_fish!A:A,use_fish!K:K),0),_xlfn.IFNA(LOOKUP(V188,use_fish!A:A,use_fish!K:K),0),_xlfn.IFNA(LOOKUP(W188,use_fish!A:A,use_fish!K:K),0),)</f>
        <v>0</v>
      </c>
      <c r="K188" s="28"/>
      <c r="L188" s="28"/>
      <c r="M188" s="28"/>
      <c r="N188" s="28"/>
      <c r="O188" s="28"/>
      <c r="P188" s="28"/>
      <c r="Q188" s="28">
        <v>171</v>
      </c>
    </row>
    <row r="189" s="14" customFormat="1" spans="1:17">
      <c r="A189" s="28">
        <v>188</v>
      </c>
      <c r="B189" s="28">
        <v>1</v>
      </c>
      <c r="C189" s="106" t="s">
        <v>215</v>
      </c>
      <c r="D189" s="28"/>
      <c r="E189" s="28"/>
      <c r="F189" s="28"/>
      <c r="G189" s="28"/>
      <c r="H189" s="28">
        <f>SUM(_xlfn.IFNA(LOOKUP(Q189,use_fish!A:A,use_fish!E:E),0),_xlfn.IFNA(LOOKUP(R189,use_fish!A:A,use_fish!E:E),0),_xlfn.IFNA(LOOKUP(S189,use_fish!A:A,use_fish!E:E),0),_xlfn.IFNA(LOOKUP(T189,use_fish!A:A,use_fish!E:E),0),_xlfn.IFNA(LOOKUP(U189,use_fish!A:A,use_fish!E:E),0),_xlfn.IFNA(LOOKUP(V189,use_fish!A:A,use_fish!E:E),0),_xlfn.IFNA(LOOKUP(W189,use_fish!A:A,use_fish!E:E),0),)</f>
        <v>200</v>
      </c>
      <c r="I189" s="28">
        <f>SUM(_xlfn.IFNA(LOOKUP(Q189,use_fish!A:A,use_fish!I:I),0),_xlfn.IFNA(LOOKUP(R189,use_fish!A:A,use_fish!I:I),0),_xlfn.IFNA(LOOKUP(S189,use_fish!A:A,use_fish!I:I),0),_xlfn.IFNA(LOOKUP(T189,use_fish!A:A,use_fish!I:I),0),_xlfn.IFNA(LOOKUP(U189,use_fish!A:A,use_fish!I:I),0),_xlfn.IFNA(LOOKUP(V189,use_fish!A:A,use_fish!I:I),0),_xlfn.IFNA(LOOKUP(W189,use_fish!A:A,use_fish!I:I),0),)</f>
        <v>200</v>
      </c>
      <c r="J189" s="77">
        <f>SUM(_xlfn.IFNA(LOOKUP(Q189,use_fish!A:A,use_fish!K:K),0),_xlfn.IFNA(LOOKUP(R189,use_fish!A:A,use_fish!K:K),0),_xlfn.IFNA(LOOKUP(S189,use_fish!A:A,use_fish!K:K),0),_xlfn.IFNA(LOOKUP(T189,use_fish!A:A,use_fish!K:K),0),_xlfn.IFNA(LOOKUP(U189,use_fish!A:A,use_fish!K:K),0),_xlfn.IFNA(LOOKUP(V189,use_fish!A:A,use_fish!K:K),0),_xlfn.IFNA(LOOKUP(W189,use_fish!A:A,use_fish!K:K),0),)</f>
        <v>0</v>
      </c>
      <c r="K189" s="28"/>
      <c r="L189" s="28"/>
      <c r="M189" s="28"/>
      <c r="N189" s="28"/>
      <c r="O189" s="28"/>
      <c r="P189" s="28"/>
      <c r="Q189" s="28">
        <v>172</v>
      </c>
    </row>
    <row r="190" s="14" customFormat="1" spans="1:17">
      <c r="A190" s="28">
        <v>189</v>
      </c>
      <c r="B190" s="28">
        <v>1</v>
      </c>
      <c r="C190" s="106" t="s">
        <v>216</v>
      </c>
      <c r="D190" s="28"/>
      <c r="E190" s="28"/>
      <c r="F190" s="28"/>
      <c r="G190" s="28"/>
      <c r="H190" s="28">
        <f>SUM(_xlfn.IFNA(LOOKUP(Q190,use_fish!A:A,use_fish!E:E),0),_xlfn.IFNA(LOOKUP(R190,use_fish!A:A,use_fish!E:E),0),_xlfn.IFNA(LOOKUP(S190,use_fish!A:A,use_fish!E:E),0),_xlfn.IFNA(LOOKUP(T190,use_fish!A:A,use_fish!E:E),0),_xlfn.IFNA(LOOKUP(U190,use_fish!A:A,use_fish!E:E),0),_xlfn.IFNA(LOOKUP(V190,use_fish!A:A,use_fish!E:E),0),_xlfn.IFNA(LOOKUP(W190,use_fish!A:A,use_fish!E:E),0),)</f>
        <v>0</v>
      </c>
      <c r="I190" s="28">
        <f>SUM(_xlfn.IFNA(LOOKUP(Q190,use_fish!A:A,use_fish!I:I),0),_xlfn.IFNA(LOOKUP(R190,use_fish!A:A,use_fish!I:I),0),_xlfn.IFNA(LOOKUP(S190,use_fish!A:A,use_fish!I:I),0),_xlfn.IFNA(LOOKUP(T190,use_fish!A:A,use_fish!I:I),0),_xlfn.IFNA(LOOKUP(U190,use_fish!A:A,use_fish!I:I),0),_xlfn.IFNA(LOOKUP(V190,use_fish!A:A,use_fish!I:I),0),_xlfn.IFNA(LOOKUP(W190,use_fish!A:A,use_fish!I:I),0),)</f>
        <v>0</v>
      </c>
      <c r="J190" s="77">
        <f>SUM(_xlfn.IFNA(LOOKUP(Q190,use_fish!A:A,use_fish!K:K),0),_xlfn.IFNA(LOOKUP(R190,use_fish!A:A,use_fish!K:K),0),_xlfn.IFNA(LOOKUP(S190,use_fish!A:A,use_fish!K:K),0),_xlfn.IFNA(LOOKUP(T190,use_fish!A:A,use_fish!K:K),0),_xlfn.IFNA(LOOKUP(U190,use_fish!A:A,use_fish!K:K),0),_xlfn.IFNA(LOOKUP(V190,use_fish!A:A,use_fish!K:K),0),_xlfn.IFNA(LOOKUP(W190,use_fish!A:A,use_fish!K:K),0),)</f>
        <v>0</v>
      </c>
      <c r="K190" s="28"/>
      <c r="L190" s="28"/>
      <c r="M190" s="28"/>
      <c r="N190" s="28"/>
      <c r="O190" s="28"/>
      <c r="P190" s="28"/>
      <c r="Q190" s="28">
        <v>173</v>
      </c>
    </row>
    <row r="191" s="15" customFormat="1" spans="1:17">
      <c r="A191" s="15">
        <v>190</v>
      </c>
      <c r="B191" s="15">
        <v>1</v>
      </c>
      <c r="C191" s="100" t="s">
        <v>217</v>
      </c>
      <c r="H191" s="15">
        <f>SUM(_xlfn.IFNA(LOOKUP(Q191,use_fish!A:A,use_fish!E:E),0),_xlfn.IFNA(LOOKUP(R191,use_fish!A:A,use_fish!E:E),0),_xlfn.IFNA(LOOKUP(S191,use_fish!A:A,use_fish!E:E),0),_xlfn.IFNA(LOOKUP(T191,use_fish!A:A,use_fish!E:E),0),_xlfn.IFNA(LOOKUP(U191,use_fish!A:A,use_fish!E:E),0),_xlfn.IFNA(LOOKUP(V191,use_fish!A:A,use_fish!E:E),0),_xlfn.IFNA(LOOKUP(W191,use_fish!A:A,use_fish!E:E),0),)</f>
        <v>126</v>
      </c>
      <c r="I191" s="15">
        <f>SUM(_xlfn.IFNA(LOOKUP(Q191,use_fish!A:A,use_fish!I:I),0),_xlfn.IFNA(LOOKUP(R191,use_fish!A:A,use_fish!I:I),0),_xlfn.IFNA(LOOKUP(S191,use_fish!A:A,use_fish!I:I),0),_xlfn.IFNA(LOOKUP(T191,use_fish!A:A,use_fish!I:I),0),_xlfn.IFNA(LOOKUP(U191,use_fish!A:A,use_fish!I:I),0),_xlfn.IFNA(LOOKUP(V191,use_fish!A:A,use_fish!I:I),0),_xlfn.IFNA(LOOKUP(W191,use_fish!A:A,use_fish!I:I),0),)</f>
        <v>120</v>
      </c>
      <c r="J191" s="6">
        <f>SUM(_xlfn.IFNA(LOOKUP(Q191,use_fish!A:A,use_fish!K:K),0),_xlfn.IFNA(LOOKUP(R191,use_fish!A:A,use_fish!K:K),0),_xlfn.IFNA(LOOKUP(S191,use_fish!A:A,use_fish!K:K),0),_xlfn.IFNA(LOOKUP(T191,use_fish!A:A,use_fish!K:K),0),_xlfn.IFNA(LOOKUP(U191,use_fish!A:A,use_fish!K:K),0),_xlfn.IFNA(LOOKUP(V191,use_fish!A:A,use_fish!K:K),0),_xlfn.IFNA(LOOKUP(W191,use_fish!A:A,use_fish!K:K),0),)</f>
        <v>0</v>
      </c>
      <c r="Q191" s="15">
        <v>174</v>
      </c>
    </row>
    <row r="192" s="15" customFormat="1" spans="1:17">
      <c r="A192" s="15">
        <v>191</v>
      </c>
      <c r="B192" s="15">
        <v>1</v>
      </c>
      <c r="C192" s="100" t="s">
        <v>218</v>
      </c>
      <c r="H192" s="15">
        <f>SUM(_xlfn.IFNA(LOOKUP(Q192,use_fish!A:A,use_fish!E:E),0),_xlfn.IFNA(LOOKUP(R192,use_fish!A:A,use_fish!E:E),0),_xlfn.IFNA(LOOKUP(S192,use_fish!A:A,use_fish!E:E),0),_xlfn.IFNA(LOOKUP(T192,use_fish!A:A,use_fish!E:E),0),_xlfn.IFNA(LOOKUP(U192,use_fish!A:A,use_fish!E:E),0),_xlfn.IFNA(LOOKUP(V192,use_fish!A:A,use_fish!E:E),0),_xlfn.IFNA(LOOKUP(W192,use_fish!A:A,use_fish!E:E),0),)</f>
        <v>126</v>
      </c>
      <c r="I192" s="15">
        <f>SUM(_xlfn.IFNA(LOOKUP(Q192,use_fish!A:A,use_fish!I:I),0),_xlfn.IFNA(LOOKUP(R192,use_fish!A:A,use_fish!I:I),0),_xlfn.IFNA(LOOKUP(S192,use_fish!A:A,use_fish!I:I),0),_xlfn.IFNA(LOOKUP(T192,use_fish!A:A,use_fish!I:I),0),_xlfn.IFNA(LOOKUP(U192,use_fish!A:A,use_fish!I:I),0),_xlfn.IFNA(LOOKUP(V192,use_fish!A:A,use_fish!I:I),0),_xlfn.IFNA(LOOKUP(W192,use_fish!A:A,use_fish!I:I),0),)</f>
        <v>120</v>
      </c>
      <c r="J192" s="6">
        <f>SUM(_xlfn.IFNA(LOOKUP(Q192,use_fish!A:A,use_fish!K:K),0),_xlfn.IFNA(LOOKUP(R192,use_fish!A:A,use_fish!K:K),0),_xlfn.IFNA(LOOKUP(S192,use_fish!A:A,use_fish!K:K),0),_xlfn.IFNA(LOOKUP(T192,use_fish!A:A,use_fish!K:K),0),_xlfn.IFNA(LOOKUP(U192,use_fish!A:A,use_fish!K:K),0),_xlfn.IFNA(LOOKUP(V192,use_fish!A:A,use_fish!K:K),0),_xlfn.IFNA(LOOKUP(W192,use_fish!A:A,use_fish!K:K),0),)</f>
        <v>0</v>
      </c>
      <c r="Q192" s="15">
        <v>175</v>
      </c>
    </row>
    <row r="193" s="15" customFormat="1" spans="1:17">
      <c r="A193" s="15">
        <v>192</v>
      </c>
      <c r="B193" s="15">
        <v>1</v>
      </c>
      <c r="C193" s="100" t="s">
        <v>219</v>
      </c>
      <c r="H193" s="15">
        <f>SUM(_xlfn.IFNA(LOOKUP(Q193,use_fish!A:A,use_fish!E:E),0),_xlfn.IFNA(LOOKUP(R193,use_fish!A:A,use_fish!E:E),0),_xlfn.IFNA(LOOKUP(S193,use_fish!A:A,use_fish!E:E),0),_xlfn.IFNA(LOOKUP(T193,use_fish!A:A,use_fish!E:E),0),_xlfn.IFNA(LOOKUP(U193,use_fish!A:A,use_fish!E:E),0),_xlfn.IFNA(LOOKUP(V193,use_fish!A:A,use_fish!E:E),0),_xlfn.IFNA(LOOKUP(W193,use_fish!A:A,use_fish!E:E),0),)</f>
        <v>126</v>
      </c>
      <c r="I193" s="15">
        <f>SUM(_xlfn.IFNA(LOOKUP(Q193,use_fish!A:A,use_fish!I:I),0),_xlfn.IFNA(LOOKUP(R193,use_fish!A:A,use_fish!I:I),0),_xlfn.IFNA(LOOKUP(S193,use_fish!A:A,use_fish!I:I),0),_xlfn.IFNA(LOOKUP(T193,use_fish!A:A,use_fish!I:I),0),_xlfn.IFNA(LOOKUP(U193,use_fish!A:A,use_fish!I:I),0),_xlfn.IFNA(LOOKUP(V193,use_fish!A:A,use_fish!I:I),0),_xlfn.IFNA(LOOKUP(W193,use_fish!A:A,use_fish!I:I),0),)</f>
        <v>120</v>
      </c>
      <c r="J193" s="6">
        <f>SUM(_xlfn.IFNA(LOOKUP(Q193,use_fish!A:A,use_fish!K:K),0),_xlfn.IFNA(LOOKUP(R193,use_fish!A:A,use_fish!K:K),0),_xlfn.IFNA(LOOKUP(S193,use_fish!A:A,use_fish!K:K),0),_xlfn.IFNA(LOOKUP(T193,use_fish!A:A,use_fish!K:K),0),_xlfn.IFNA(LOOKUP(U193,use_fish!A:A,use_fish!K:K),0),_xlfn.IFNA(LOOKUP(V193,use_fish!A:A,use_fish!K:K),0),_xlfn.IFNA(LOOKUP(W193,use_fish!A:A,use_fish!K:K),0),)</f>
        <v>0</v>
      </c>
      <c r="Q193" s="15">
        <v>176</v>
      </c>
    </row>
    <row r="194" s="15" customFormat="1" spans="1:17">
      <c r="A194" s="15">
        <v>193</v>
      </c>
      <c r="B194" s="15">
        <v>1</v>
      </c>
      <c r="C194" s="100" t="s">
        <v>220</v>
      </c>
      <c r="H194" s="15">
        <f>SUM(_xlfn.IFNA(LOOKUP(Q194,use_fish!A:A,use_fish!E:E),0),_xlfn.IFNA(LOOKUP(R194,use_fish!A:A,use_fish!E:E),0),_xlfn.IFNA(LOOKUP(S194,use_fish!A:A,use_fish!E:E),0),_xlfn.IFNA(LOOKUP(T194,use_fish!A:A,use_fish!E:E),0),_xlfn.IFNA(LOOKUP(U194,use_fish!A:A,use_fish!E:E),0),_xlfn.IFNA(LOOKUP(V194,use_fish!A:A,use_fish!E:E),0),_xlfn.IFNA(LOOKUP(W194,use_fish!A:A,use_fish!E:E),0),)</f>
        <v>168</v>
      </c>
      <c r="I194" s="15">
        <f>SUM(_xlfn.IFNA(LOOKUP(Q194,use_fish!A:A,use_fish!I:I),0),_xlfn.IFNA(LOOKUP(R194,use_fish!A:A,use_fish!I:I),0),_xlfn.IFNA(LOOKUP(S194,use_fish!A:A,use_fish!I:I),0),_xlfn.IFNA(LOOKUP(T194,use_fish!A:A,use_fish!I:I),0),_xlfn.IFNA(LOOKUP(U194,use_fish!A:A,use_fish!I:I),0),_xlfn.IFNA(LOOKUP(V194,use_fish!A:A,use_fish!I:I),0),_xlfn.IFNA(LOOKUP(W194,use_fish!A:A,use_fish!I:I),0),)</f>
        <v>160</v>
      </c>
      <c r="J194" s="6">
        <f>SUM(_xlfn.IFNA(LOOKUP(Q194,use_fish!A:A,use_fish!K:K),0),_xlfn.IFNA(LOOKUP(R194,use_fish!A:A,use_fish!K:K),0),_xlfn.IFNA(LOOKUP(S194,use_fish!A:A,use_fish!K:K),0),_xlfn.IFNA(LOOKUP(T194,use_fish!A:A,use_fish!K:K),0),_xlfn.IFNA(LOOKUP(U194,use_fish!A:A,use_fish!K:K),0),_xlfn.IFNA(LOOKUP(V194,use_fish!A:A,use_fish!K:K),0),_xlfn.IFNA(LOOKUP(W194,use_fish!A:A,use_fish!K:K),0),)</f>
        <v>0</v>
      </c>
      <c r="Q194" s="15">
        <v>177</v>
      </c>
    </row>
    <row r="195" s="15" customFormat="1" spans="1:17">
      <c r="A195" s="15">
        <v>194</v>
      </c>
      <c r="B195" s="15">
        <v>1</v>
      </c>
      <c r="C195" s="100" t="s">
        <v>221</v>
      </c>
      <c r="H195" s="15">
        <f>SUM(_xlfn.IFNA(LOOKUP(Q195,use_fish!A:A,use_fish!E:E),0),_xlfn.IFNA(LOOKUP(R195,use_fish!A:A,use_fish!E:E),0),_xlfn.IFNA(LOOKUP(S195,use_fish!A:A,use_fish!E:E),0),_xlfn.IFNA(LOOKUP(T195,use_fish!A:A,use_fish!E:E),0),_xlfn.IFNA(LOOKUP(U195,use_fish!A:A,use_fish!E:E),0),_xlfn.IFNA(LOOKUP(V195,use_fish!A:A,use_fish!E:E),0),_xlfn.IFNA(LOOKUP(W195,use_fish!A:A,use_fish!E:E),0),)</f>
        <v>210</v>
      </c>
      <c r="I195" s="15">
        <f>SUM(_xlfn.IFNA(LOOKUP(Q195,use_fish!A:A,use_fish!I:I),0),_xlfn.IFNA(LOOKUP(R195,use_fish!A:A,use_fish!I:I),0),_xlfn.IFNA(LOOKUP(S195,use_fish!A:A,use_fish!I:I),0),_xlfn.IFNA(LOOKUP(T195,use_fish!A:A,use_fish!I:I),0),_xlfn.IFNA(LOOKUP(U195,use_fish!A:A,use_fish!I:I),0),_xlfn.IFNA(LOOKUP(V195,use_fish!A:A,use_fish!I:I),0),_xlfn.IFNA(LOOKUP(W195,use_fish!A:A,use_fish!I:I),0),)</f>
        <v>200</v>
      </c>
      <c r="J195" s="6">
        <f>SUM(_xlfn.IFNA(LOOKUP(Q195,use_fish!A:A,use_fish!K:K),0),_xlfn.IFNA(LOOKUP(R195,use_fish!A:A,use_fish!K:K),0),_xlfn.IFNA(LOOKUP(S195,use_fish!A:A,use_fish!K:K),0),_xlfn.IFNA(LOOKUP(T195,use_fish!A:A,use_fish!K:K),0),_xlfn.IFNA(LOOKUP(U195,use_fish!A:A,use_fish!K:K),0),_xlfn.IFNA(LOOKUP(V195,use_fish!A:A,use_fish!K:K),0),_xlfn.IFNA(LOOKUP(W195,use_fish!A:A,use_fish!K:K),0),)</f>
        <v>0</v>
      </c>
      <c r="Q195" s="15">
        <v>178</v>
      </c>
    </row>
    <row r="196" s="15" customFormat="1" spans="1:17">
      <c r="A196" s="15">
        <v>195</v>
      </c>
      <c r="B196" s="15">
        <v>1</v>
      </c>
      <c r="C196" s="100" t="s">
        <v>222</v>
      </c>
      <c r="H196" s="15">
        <f>SUM(_xlfn.IFNA(LOOKUP(Q196,use_fish!A:A,use_fish!E:E),0),_xlfn.IFNA(LOOKUP(R196,use_fish!A:A,use_fish!E:E),0),_xlfn.IFNA(LOOKUP(S196,use_fish!A:A,use_fish!E:E),0),_xlfn.IFNA(LOOKUP(T196,use_fish!A:A,use_fish!E:E),0),_xlfn.IFNA(LOOKUP(U196,use_fish!A:A,use_fish!E:E),0),_xlfn.IFNA(LOOKUP(V196,use_fish!A:A,use_fish!E:E),0),_xlfn.IFNA(LOOKUP(W196,use_fish!A:A,use_fish!E:E),0),)</f>
        <v>210</v>
      </c>
      <c r="I196" s="15">
        <f>SUM(_xlfn.IFNA(LOOKUP(Q196,use_fish!A:A,use_fish!I:I),0),_xlfn.IFNA(LOOKUP(R196,use_fish!A:A,use_fish!I:I),0),_xlfn.IFNA(LOOKUP(S196,use_fish!A:A,use_fish!I:I),0),_xlfn.IFNA(LOOKUP(T196,use_fish!A:A,use_fish!I:I),0),_xlfn.IFNA(LOOKUP(U196,use_fish!A:A,use_fish!I:I),0),_xlfn.IFNA(LOOKUP(V196,use_fish!A:A,use_fish!I:I),0),_xlfn.IFNA(LOOKUP(W196,use_fish!A:A,use_fish!I:I),0),)</f>
        <v>200</v>
      </c>
      <c r="J196" s="6">
        <f>SUM(_xlfn.IFNA(LOOKUP(Q196,use_fish!A:A,use_fish!K:K),0),_xlfn.IFNA(LOOKUP(R196,use_fish!A:A,use_fish!K:K),0),_xlfn.IFNA(LOOKUP(S196,use_fish!A:A,use_fish!K:K),0),_xlfn.IFNA(LOOKUP(T196,use_fish!A:A,use_fish!K:K),0),_xlfn.IFNA(LOOKUP(U196,use_fish!A:A,use_fish!K:K),0),_xlfn.IFNA(LOOKUP(V196,use_fish!A:A,use_fish!K:K),0),_xlfn.IFNA(LOOKUP(W196,use_fish!A:A,use_fish!K:K),0),)</f>
        <v>0</v>
      </c>
      <c r="Q196" s="15">
        <v>179</v>
      </c>
    </row>
    <row r="197" s="82" customFormat="1" spans="1:17">
      <c r="A197" s="82">
        <v>196</v>
      </c>
      <c r="B197" s="82">
        <v>1</v>
      </c>
      <c r="C197" s="97" t="s">
        <v>223</v>
      </c>
      <c r="H197" s="82">
        <f>SUM(_xlfn.IFNA(LOOKUP(Q197,use_fish!A:A,use_fish!E:E),0),_xlfn.IFNA(LOOKUP(R197,use_fish!A:A,use_fish!E:E),0),_xlfn.IFNA(LOOKUP(S197,use_fish!A:A,use_fish!E:E),0),_xlfn.IFNA(LOOKUP(T197,use_fish!A:A,use_fish!E:E),0),_xlfn.IFNA(LOOKUP(U197,use_fish!A:A,use_fish!E:E),0),_xlfn.IFNA(LOOKUP(V197,use_fish!A:A,use_fish!E:E),0),_xlfn.IFNA(LOOKUP(W197,use_fish!A:A,use_fish!E:E),0),)</f>
        <v>73</v>
      </c>
      <c r="I197" s="82">
        <f>SUM(_xlfn.IFNA(LOOKUP(Q197,use_fish!A:A,use_fish!I:I),0),_xlfn.IFNA(LOOKUP(R197,use_fish!A:A,use_fish!I:I),0),_xlfn.IFNA(LOOKUP(S197,use_fish!A:A,use_fish!I:I),0),_xlfn.IFNA(LOOKUP(T197,use_fish!A:A,use_fish!I:I),0),_xlfn.IFNA(LOOKUP(U197,use_fish!A:A,use_fish!I:I),0),_xlfn.IFNA(LOOKUP(V197,use_fish!A:A,use_fish!I:I),0),_xlfn.IFNA(LOOKUP(W197,use_fish!A:A,use_fish!I:I),0),)</f>
        <v>60</v>
      </c>
      <c r="J197" s="102">
        <f>SUM(_xlfn.IFNA(LOOKUP(Q197,use_fish!A:A,use_fish!K:K),0),_xlfn.IFNA(LOOKUP(R197,use_fish!A:A,use_fish!K:K),0),_xlfn.IFNA(LOOKUP(S197,use_fish!A:A,use_fish!K:K),0),_xlfn.IFNA(LOOKUP(T197,use_fish!A:A,use_fish!K:K),0),_xlfn.IFNA(LOOKUP(U197,use_fish!A:A,use_fish!K:K),0),_xlfn.IFNA(LOOKUP(V197,use_fish!A:A,use_fish!K:K),0),_xlfn.IFNA(LOOKUP(W197,use_fish!A:A,use_fish!K:K),0),)</f>
        <v>0</v>
      </c>
      <c r="Q197" s="82">
        <v>180</v>
      </c>
    </row>
    <row r="198" s="82" customFormat="1" spans="1:17">
      <c r="A198" s="82">
        <v>197</v>
      </c>
      <c r="B198" s="82">
        <v>1</v>
      </c>
      <c r="C198" s="97" t="s">
        <v>224</v>
      </c>
      <c r="H198" s="82">
        <f>SUM(_xlfn.IFNA(LOOKUP(Q198,use_fish!A:A,use_fish!E:E),0),_xlfn.IFNA(LOOKUP(R198,use_fish!A:A,use_fish!E:E),0),_xlfn.IFNA(LOOKUP(S198,use_fish!A:A,use_fish!E:E),0),_xlfn.IFNA(LOOKUP(T198,use_fish!A:A,use_fish!E:E),0),_xlfn.IFNA(LOOKUP(U198,use_fish!A:A,use_fish!E:E),0),_xlfn.IFNA(LOOKUP(V198,use_fish!A:A,use_fish!E:E),0),_xlfn.IFNA(LOOKUP(W198,use_fish!A:A,use_fish!E:E),0),)</f>
        <v>73</v>
      </c>
      <c r="I198" s="82">
        <f>SUM(_xlfn.IFNA(LOOKUP(Q198,use_fish!A:A,use_fish!I:I),0),_xlfn.IFNA(LOOKUP(R198,use_fish!A:A,use_fish!I:I),0),_xlfn.IFNA(LOOKUP(S198,use_fish!A:A,use_fish!I:I),0),_xlfn.IFNA(LOOKUP(T198,use_fish!A:A,use_fish!I:I),0),_xlfn.IFNA(LOOKUP(U198,use_fish!A:A,use_fish!I:I),0),_xlfn.IFNA(LOOKUP(V198,use_fish!A:A,use_fish!I:I),0),_xlfn.IFNA(LOOKUP(W198,use_fish!A:A,use_fish!I:I),0),)</f>
        <v>60</v>
      </c>
      <c r="J198" s="102">
        <f>SUM(_xlfn.IFNA(LOOKUP(Q198,use_fish!A:A,use_fish!K:K),0),_xlfn.IFNA(LOOKUP(R198,use_fish!A:A,use_fish!K:K),0),_xlfn.IFNA(LOOKUP(S198,use_fish!A:A,use_fish!K:K),0),_xlfn.IFNA(LOOKUP(T198,use_fish!A:A,use_fish!K:K),0),_xlfn.IFNA(LOOKUP(U198,use_fish!A:A,use_fish!K:K),0),_xlfn.IFNA(LOOKUP(V198,use_fish!A:A,use_fish!K:K),0),_xlfn.IFNA(LOOKUP(W198,use_fish!A:A,use_fish!K:K),0),)</f>
        <v>0</v>
      </c>
      <c r="Q198" s="82">
        <v>181</v>
      </c>
    </row>
    <row r="199" s="82" customFormat="1" spans="1:17">
      <c r="A199" s="82">
        <v>198</v>
      </c>
      <c r="B199" s="82">
        <v>1</v>
      </c>
      <c r="C199" s="97" t="s">
        <v>225</v>
      </c>
      <c r="H199" s="82">
        <f>SUM(_xlfn.IFNA(LOOKUP(Q199,use_fish!A:A,use_fish!E:E),0),_xlfn.IFNA(LOOKUP(R199,use_fish!A:A,use_fish!E:E),0),_xlfn.IFNA(LOOKUP(S199,use_fish!A:A,use_fish!E:E),0),_xlfn.IFNA(LOOKUP(T199,use_fish!A:A,use_fish!E:E),0),_xlfn.IFNA(LOOKUP(U199,use_fish!A:A,use_fish!E:E),0),_xlfn.IFNA(LOOKUP(V199,use_fish!A:A,use_fish!E:E),0),_xlfn.IFNA(LOOKUP(W199,use_fish!A:A,use_fish!E:E),0),)</f>
        <v>73</v>
      </c>
      <c r="I199" s="82">
        <f>SUM(_xlfn.IFNA(LOOKUP(Q199,use_fish!A:A,use_fish!I:I),0),_xlfn.IFNA(LOOKUP(R199,use_fish!A:A,use_fish!I:I),0),_xlfn.IFNA(LOOKUP(S199,use_fish!A:A,use_fish!I:I),0),_xlfn.IFNA(LOOKUP(T199,use_fish!A:A,use_fish!I:I),0),_xlfn.IFNA(LOOKUP(U199,use_fish!A:A,use_fish!I:I),0),_xlfn.IFNA(LOOKUP(V199,use_fish!A:A,use_fish!I:I),0),_xlfn.IFNA(LOOKUP(W199,use_fish!A:A,use_fish!I:I),0),)</f>
        <v>60</v>
      </c>
      <c r="J199" s="102">
        <f>SUM(_xlfn.IFNA(LOOKUP(Q199,use_fish!A:A,use_fish!K:K),0),_xlfn.IFNA(LOOKUP(R199,use_fish!A:A,use_fish!K:K),0),_xlfn.IFNA(LOOKUP(S199,use_fish!A:A,use_fish!K:K),0),_xlfn.IFNA(LOOKUP(T199,use_fish!A:A,use_fish!K:K),0),_xlfn.IFNA(LOOKUP(U199,use_fish!A:A,use_fish!K:K),0),_xlfn.IFNA(LOOKUP(V199,use_fish!A:A,use_fish!K:K),0),_xlfn.IFNA(LOOKUP(W199,use_fish!A:A,use_fish!K:K),0),)</f>
        <v>0</v>
      </c>
      <c r="Q199" s="82">
        <v>182</v>
      </c>
    </row>
    <row r="200" s="82" customFormat="1" spans="1:17">
      <c r="A200" s="82">
        <v>199</v>
      </c>
      <c r="B200" s="82">
        <v>1</v>
      </c>
      <c r="C200" s="97" t="s">
        <v>226</v>
      </c>
      <c r="H200" s="82">
        <f>SUM(_xlfn.IFNA(LOOKUP(Q200,use_fish!A:A,use_fish!E:E),0),_xlfn.IFNA(LOOKUP(R200,use_fish!A:A,use_fish!E:E),0),_xlfn.IFNA(LOOKUP(S200,use_fish!A:A,use_fish!E:E),0),_xlfn.IFNA(LOOKUP(T200,use_fish!A:A,use_fish!E:E),0),_xlfn.IFNA(LOOKUP(U200,use_fish!A:A,use_fish!E:E),0),_xlfn.IFNA(LOOKUP(V200,use_fish!A:A,use_fish!E:E),0),_xlfn.IFNA(LOOKUP(W200,use_fish!A:A,use_fish!E:E),0),)</f>
        <v>74</v>
      </c>
      <c r="I200" s="82">
        <f>SUM(_xlfn.IFNA(LOOKUP(Q200,use_fish!A:A,use_fish!I:I),0),_xlfn.IFNA(LOOKUP(R200,use_fish!A:A,use_fish!I:I),0),_xlfn.IFNA(LOOKUP(S200,use_fish!A:A,use_fish!I:I),0),_xlfn.IFNA(LOOKUP(T200,use_fish!A:A,use_fish!I:I),0),_xlfn.IFNA(LOOKUP(U200,use_fish!A:A,use_fish!I:I),0),_xlfn.IFNA(LOOKUP(V200,use_fish!A:A,use_fish!I:I),0),_xlfn.IFNA(LOOKUP(W200,use_fish!A:A,use_fish!I:I),0),)</f>
        <v>80</v>
      </c>
      <c r="J200" s="102">
        <f>SUM(_xlfn.IFNA(LOOKUP(Q200,use_fish!A:A,use_fish!K:K),0),_xlfn.IFNA(LOOKUP(R200,use_fish!A:A,use_fish!K:K),0),_xlfn.IFNA(LOOKUP(S200,use_fish!A:A,use_fish!K:K),0),_xlfn.IFNA(LOOKUP(T200,use_fish!A:A,use_fish!K:K),0),_xlfn.IFNA(LOOKUP(U200,use_fish!A:A,use_fish!K:K),0),_xlfn.IFNA(LOOKUP(V200,use_fish!A:A,use_fish!K:K),0),_xlfn.IFNA(LOOKUP(W200,use_fish!A:A,use_fish!K:K),0),)</f>
        <v>0</v>
      </c>
      <c r="Q200" s="82">
        <v>183</v>
      </c>
    </row>
    <row r="201" s="82" customFormat="1" spans="1:17">
      <c r="A201" s="82">
        <v>200</v>
      </c>
      <c r="B201" s="82">
        <v>1</v>
      </c>
      <c r="C201" s="97" t="s">
        <v>227</v>
      </c>
      <c r="H201" s="82">
        <f>SUM(_xlfn.IFNA(LOOKUP(Q201,use_fish!A:A,use_fish!E:E),0),_xlfn.IFNA(LOOKUP(R201,use_fish!A:A,use_fish!E:E),0),_xlfn.IFNA(LOOKUP(S201,use_fish!A:A,use_fish!E:E),0),_xlfn.IFNA(LOOKUP(T201,use_fish!A:A,use_fish!E:E),0),_xlfn.IFNA(LOOKUP(U201,use_fish!A:A,use_fish!E:E),0),_xlfn.IFNA(LOOKUP(V201,use_fish!A:A,use_fish!E:E),0),_xlfn.IFNA(LOOKUP(W201,use_fish!A:A,use_fish!E:E),0),)</f>
        <v>115</v>
      </c>
      <c r="I201" s="82">
        <f>SUM(_xlfn.IFNA(LOOKUP(Q201,use_fish!A:A,use_fish!I:I),0),_xlfn.IFNA(LOOKUP(R201,use_fish!A:A,use_fish!I:I),0),_xlfn.IFNA(LOOKUP(S201,use_fish!A:A,use_fish!I:I),0),_xlfn.IFNA(LOOKUP(T201,use_fish!A:A,use_fish!I:I),0),_xlfn.IFNA(LOOKUP(U201,use_fish!A:A,use_fish!I:I),0),_xlfn.IFNA(LOOKUP(V201,use_fish!A:A,use_fish!I:I),0),_xlfn.IFNA(LOOKUP(W201,use_fish!A:A,use_fish!I:I),0),)</f>
        <v>100</v>
      </c>
      <c r="J201" s="102">
        <f>SUM(_xlfn.IFNA(LOOKUP(Q201,use_fish!A:A,use_fish!K:K),0),_xlfn.IFNA(LOOKUP(R201,use_fish!A:A,use_fish!K:K),0),_xlfn.IFNA(LOOKUP(S201,use_fish!A:A,use_fish!K:K),0),_xlfn.IFNA(LOOKUP(T201,use_fish!A:A,use_fish!K:K),0),_xlfn.IFNA(LOOKUP(U201,use_fish!A:A,use_fish!K:K),0),_xlfn.IFNA(LOOKUP(V201,use_fish!A:A,use_fish!K:K),0),_xlfn.IFNA(LOOKUP(W201,use_fish!A:A,use_fish!K:K),0),)</f>
        <v>0</v>
      </c>
      <c r="Q201" s="82">
        <v>184</v>
      </c>
    </row>
    <row r="202" s="82" customFormat="1" spans="1:17">
      <c r="A202" s="82">
        <v>201</v>
      </c>
      <c r="B202" s="82">
        <v>1</v>
      </c>
      <c r="C202" s="97" t="s">
        <v>228</v>
      </c>
      <c r="H202" s="82">
        <f>SUM(_xlfn.IFNA(LOOKUP(Q202,use_fish!A:A,use_fish!E:E),0),_xlfn.IFNA(LOOKUP(R202,use_fish!A:A,use_fish!E:E),0),_xlfn.IFNA(LOOKUP(S202,use_fish!A:A,use_fish!E:E),0),_xlfn.IFNA(LOOKUP(T202,use_fish!A:A,use_fish!E:E),0),_xlfn.IFNA(LOOKUP(U202,use_fish!A:A,use_fish!E:E),0),_xlfn.IFNA(LOOKUP(V202,use_fish!A:A,use_fish!E:E),0),_xlfn.IFNA(LOOKUP(W202,use_fish!A:A,use_fish!E:E),0),)</f>
        <v>115</v>
      </c>
      <c r="I202" s="82">
        <f>SUM(_xlfn.IFNA(LOOKUP(Q202,use_fish!A:A,use_fish!I:I),0),_xlfn.IFNA(LOOKUP(R202,use_fish!A:A,use_fish!I:I),0),_xlfn.IFNA(LOOKUP(S202,use_fish!A:A,use_fish!I:I),0),_xlfn.IFNA(LOOKUP(T202,use_fish!A:A,use_fish!I:I),0),_xlfn.IFNA(LOOKUP(U202,use_fish!A:A,use_fish!I:I),0),_xlfn.IFNA(LOOKUP(V202,use_fish!A:A,use_fish!I:I),0),_xlfn.IFNA(LOOKUP(W202,use_fish!A:A,use_fish!I:I),0),)</f>
        <v>100</v>
      </c>
      <c r="J202" s="102">
        <f>SUM(_xlfn.IFNA(LOOKUP(Q202,use_fish!A:A,use_fish!K:K),0),_xlfn.IFNA(LOOKUP(R202,use_fish!A:A,use_fish!K:K),0),_xlfn.IFNA(LOOKUP(S202,use_fish!A:A,use_fish!K:K),0),_xlfn.IFNA(LOOKUP(T202,use_fish!A:A,use_fish!K:K),0),_xlfn.IFNA(LOOKUP(U202,use_fish!A:A,use_fish!K:K),0),_xlfn.IFNA(LOOKUP(V202,use_fish!A:A,use_fish!K:K),0),_xlfn.IFNA(LOOKUP(W202,use_fish!A:A,use_fish!K:K),0),)</f>
        <v>0</v>
      </c>
      <c r="Q202" s="82">
        <v>185</v>
      </c>
    </row>
    <row r="203" spans="1:17">
      <c r="A203">
        <v>202</v>
      </c>
      <c r="B203">
        <v>1</v>
      </c>
      <c r="C203" s="83" t="s">
        <v>229</v>
      </c>
      <c r="G203" s="82"/>
      <c r="H203" s="82">
        <f>SUM(_xlfn.IFNA(LOOKUP(Q203,use_fish!A:A,use_fish!E:E),0),_xlfn.IFNA(LOOKUP(R203,use_fish!A:A,use_fish!E:E),0),_xlfn.IFNA(LOOKUP(S203,use_fish!A:A,use_fish!E:E),0),_xlfn.IFNA(LOOKUP(T203,use_fish!A:A,use_fish!E:E),0),_xlfn.IFNA(LOOKUP(U203,use_fish!A:A,use_fish!E:E),0),_xlfn.IFNA(LOOKUP(V203,use_fish!A:A,use_fish!E:E),0),_xlfn.IFNA(LOOKUP(W203,use_fish!A:A,use_fish!E:E),0),)</f>
        <v>350</v>
      </c>
      <c r="I203" s="82">
        <f>SUM(_xlfn.IFNA(LOOKUP(Q203,use_fish!A:A,use_fish!I:I),0),_xlfn.IFNA(LOOKUP(R203,use_fish!A:A,use_fish!I:I),0),_xlfn.IFNA(LOOKUP(S203,use_fish!A:A,use_fish!I:I),0),_xlfn.IFNA(LOOKUP(T203,use_fish!A:A,use_fish!I:I),0),_xlfn.IFNA(LOOKUP(U203,use_fish!A:A,use_fish!I:I),0),_xlfn.IFNA(LOOKUP(V203,use_fish!A:A,use_fish!I:I),0),_xlfn.IFNA(LOOKUP(W203,use_fish!A:A,use_fish!I:I),0),)</f>
        <v>300</v>
      </c>
      <c r="J203" s="102">
        <f>SUM(_xlfn.IFNA(LOOKUP(Q203,use_fish!A:A,use_fish!K:K),0),_xlfn.IFNA(LOOKUP(R203,use_fish!A:A,use_fish!K:K),0),_xlfn.IFNA(LOOKUP(S203,use_fish!A:A,use_fish!K:K),0),_xlfn.IFNA(LOOKUP(T203,use_fish!A:A,use_fish!K:K),0),_xlfn.IFNA(LOOKUP(U203,use_fish!A:A,use_fish!K:K),0),_xlfn.IFNA(LOOKUP(V203,use_fish!A:A,use_fish!K:K),0),_xlfn.IFNA(LOOKUP(W203,use_fish!A:A,use_fish!K:K),0),)</f>
        <v>1</v>
      </c>
      <c r="Q203">
        <v>186</v>
      </c>
    </row>
  </sheetData>
  <autoFilter ref="I1:I203">
    <extLst/>
  </autoFilter>
  <conditionalFormatting sqref="H12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">
    <cfRule type="iconSet" priority="3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88">
    <cfRule type="iconSet" priority="20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89:H203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88">
    <cfRule type="iconSet" priority="19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89:I203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88">
    <cfRule type="iconSet" priority="19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89:J203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04:I1048576 I13:I25 I1:I11 I27:I64">
    <cfRule type="iconSet" priority="19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04:J1048576 K1 J2:J11 J13:J25 J27:J64">
    <cfRule type="iconSet" priority="18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dataValidations count="2">
    <dataValidation type="list" allowBlank="1" showInputMessage="1" showErrorMessage="1" sqref="L13 L2:L7 L65:L66">
      <formula1>base_fish!$E$2:$E$19</formula1>
    </dataValidation>
    <dataValidation type="list" showInputMessage="1" showErrorMessage="1" sqref="L14">
      <formula1>activity!$I$2:$I$10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O187"/>
  <sheetViews>
    <sheetView workbookViewId="0">
      <pane ySplit="1" topLeftCell="A159" activePane="bottomLeft" state="frozen"/>
      <selection/>
      <selection pane="bottomLeft" activeCell="D188" sqref="D188"/>
    </sheetView>
  </sheetViews>
  <sheetFormatPr defaultColWidth="8.875" defaultRowHeight="14.25"/>
  <cols>
    <col min="1" max="1" width="14.125" customWidth="1"/>
    <col min="2" max="4" width="11.375" style="2" customWidth="1"/>
    <col min="5" max="5" width="14.875" customWidth="1"/>
    <col min="6" max="6" width="22" customWidth="1"/>
    <col min="7" max="7" width="15" customWidth="1"/>
    <col min="8" max="8" width="23.625" customWidth="1"/>
    <col min="10" max="10" width="19" customWidth="1"/>
    <col min="14" max="15" width="8.75" customWidth="1"/>
  </cols>
  <sheetData>
    <row r="1" ht="67.5" spans="1:15">
      <c r="A1" s="1" t="s">
        <v>230</v>
      </c>
      <c r="B1" s="1" t="s">
        <v>231</v>
      </c>
      <c r="C1" s="1" t="s">
        <v>232</v>
      </c>
      <c r="D1" s="1" t="s">
        <v>233</v>
      </c>
      <c r="E1" s="1" t="s">
        <v>7</v>
      </c>
      <c r="F1" s="1" t="s">
        <v>234</v>
      </c>
      <c r="G1" s="1" t="s">
        <v>235</v>
      </c>
      <c r="H1" s="1" t="s">
        <v>236</v>
      </c>
      <c r="I1" s="60" t="s">
        <v>237</v>
      </c>
      <c r="J1" s="60" t="s">
        <v>238</v>
      </c>
      <c r="K1" s="60" t="s">
        <v>9</v>
      </c>
      <c r="L1" s="60" t="s">
        <v>239</v>
      </c>
      <c r="M1" s="60" t="s">
        <v>240</v>
      </c>
      <c r="N1" s="60" t="s">
        <v>241</v>
      </c>
      <c r="O1" s="60" t="s">
        <v>242</v>
      </c>
    </row>
    <row r="2" s="30" customFormat="1" spans="1:15">
      <c r="A2" s="39">
        <v>1</v>
      </c>
      <c r="B2" s="39">
        <v>1</v>
      </c>
      <c r="C2" s="39"/>
      <c r="D2" s="39"/>
      <c r="E2" s="40">
        <f>LOOKUP(use_fish!B2,base_fish!A:A,base_fish!C:C)+_xlfn.IFNA(INDEX(activity!F:F,MATCH(use_fish!C2,activity!A:A,0)),0)</f>
        <v>2</v>
      </c>
      <c r="F2" s="40">
        <f>1/E2</f>
        <v>0.5</v>
      </c>
      <c r="G2" s="40" t="s">
        <v>243</v>
      </c>
      <c r="H2" s="41" t="str">
        <f>INDEX(base_fish!E:E,MATCH(use_fish!B2,base_fish!A:A,0))&amp;_xlfn.IFNA("+"&amp;INDEX(activity!G:G,MATCH(use_fish!C2,activity!A:A,0)),"")</f>
        <v>小牛角</v>
      </c>
      <c r="I2" s="40">
        <f>LOOKUP(use_fish!B2,base_fish!A:A,base_fish!F:F)+_xlfn.IFNA(INDEX(activity!F:F,MATCH(use_fish!C2,activity!A:A,0)),0)</f>
        <v>2</v>
      </c>
      <c r="J2" s="30">
        <v>1</v>
      </c>
      <c r="K2" s="30">
        <f>LOOKUP(use_fish!B2,base_fish!A:A,base_fish!G:G)</f>
        <v>0</v>
      </c>
      <c r="L2" s="30">
        <f>I2</f>
        <v>2</v>
      </c>
      <c r="M2" s="30">
        <v>1</v>
      </c>
      <c r="N2" s="30">
        <f>IF(OR(C2=4,C2=5),1,0)</f>
        <v>0</v>
      </c>
      <c r="O2" s="30">
        <v>1</v>
      </c>
    </row>
    <row r="3" s="30" customFormat="1" spans="1:15">
      <c r="A3" s="39">
        <v>2</v>
      </c>
      <c r="B3" s="39">
        <v>2</v>
      </c>
      <c r="C3" s="39"/>
      <c r="D3" s="39"/>
      <c r="E3" s="40">
        <f>LOOKUP(use_fish!B3,base_fish!A:A,base_fish!C:C)+_xlfn.IFNA(INDEX(activity!F:F,MATCH(use_fish!C3,activity!A:A,0)),0)</f>
        <v>2</v>
      </c>
      <c r="F3" s="40">
        <f>1/E3</f>
        <v>0.5</v>
      </c>
      <c r="G3" s="40" t="s">
        <v>243</v>
      </c>
      <c r="H3" s="41" t="str">
        <f>INDEX(base_fish!E:E,MATCH(use_fish!B3,base_fish!A:A,0))&amp;_xlfn.IFNA("+"&amp;INDEX(activity!G:G,MATCH(use_fish!C3,activity!A:A,0)),"")</f>
        <v>小气泡</v>
      </c>
      <c r="I3" s="40">
        <f>LOOKUP(use_fish!B3,base_fish!A:A,base_fish!F:F)+_xlfn.IFNA(INDEX(activity!F:F,MATCH(use_fish!C3,activity!A:A,0)),0)</f>
        <v>2</v>
      </c>
      <c r="J3" s="30">
        <v>1</v>
      </c>
      <c r="K3" s="30">
        <f>LOOKUP(use_fish!B3,base_fish!A:A,base_fish!G:G)</f>
        <v>0</v>
      </c>
      <c r="L3" s="30">
        <f t="shared" ref="L3:L19" si="0">I3</f>
        <v>2</v>
      </c>
      <c r="M3" s="30">
        <v>1</v>
      </c>
      <c r="N3" s="30">
        <f t="shared" ref="N3:N17" si="1">IF(OR(C3=4,C3=5),1,0)</f>
        <v>0</v>
      </c>
      <c r="O3" s="30">
        <v>1</v>
      </c>
    </row>
    <row r="4" s="30" customFormat="1" spans="1:15">
      <c r="A4" s="39">
        <v>3</v>
      </c>
      <c r="B4" s="39">
        <v>3</v>
      </c>
      <c r="C4" s="39"/>
      <c r="D4" s="39"/>
      <c r="E4" s="40">
        <f>LOOKUP(use_fish!B4,base_fish!A:A,base_fish!C:C)+_xlfn.IFNA(INDEX(activity!F:F,MATCH(use_fish!C4,activity!A:A,0)),0)</f>
        <v>3</v>
      </c>
      <c r="F4" s="40">
        <f t="shared" ref="F4:F19" si="2">1/E4</f>
        <v>0.333333333333333</v>
      </c>
      <c r="G4" s="40" t="s">
        <v>243</v>
      </c>
      <c r="H4" s="41" t="str">
        <f>INDEX(base_fish!E:E,MATCH(use_fish!B4,base_fish!A:A,0))&amp;_xlfn.IFNA("+"&amp;INDEX(activity!G:G,MATCH(use_fish!C4,activity!A:A,0)),"")</f>
        <v>小丑鱼</v>
      </c>
      <c r="I4" s="40">
        <f>LOOKUP(use_fish!B4,base_fish!A:A,base_fish!F:F)+_xlfn.IFNA(INDEX(activity!F:F,MATCH(use_fish!C4,activity!A:A,0)),0)</f>
        <v>3</v>
      </c>
      <c r="J4" s="30">
        <v>1</v>
      </c>
      <c r="K4" s="30">
        <f>LOOKUP(use_fish!B4,base_fish!A:A,base_fish!G:G)</f>
        <v>0</v>
      </c>
      <c r="L4" s="30">
        <f t="shared" si="0"/>
        <v>3</v>
      </c>
      <c r="M4" s="30">
        <v>1</v>
      </c>
      <c r="N4" s="30">
        <f t="shared" si="1"/>
        <v>0</v>
      </c>
      <c r="O4" s="30">
        <v>1</v>
      </c>
    </row>
    <row r="5" s="30" customFormat="1" spans="1:15">
      <c r="A5" s="39">
        <v>4</v>
      </c>
      <c r="B5" s="39">
        <v>4</v>
      </c>
      <c r="C5" s="39"/>
      <c r="D5" s="39"/>
      <c r="E5" s="40">
        <f>LOOKUP(use_fish!B5,base_fish!A:A,base_fish!C:C)+_xlfn.IFNA(INDEX(activity!F:F,MATCH(use_fish!C5,activity!A:A,0)),0)</f>
        <v>4</v>
      </c>
      <c r="F5" s="40">
        <f t="shared" si="2"/>
        <v>0.25</v>
      </c>
      <c r="G5" s="40" t="s">
        <v>243</v>
      </c>
      <c r="H5" s="41" t="str">
        <f>INDEX(base_fish!E:E,MATCH(use_fish!B5,base_fish!A:A,0))&amp;_xlfn.IFNA("+"&amp;INDEX(activity!G:G,MATCH(use_fish!C5,activity!A:A,0)),"")</f>
        <v>小燕鱼</v>
      </c>
      <c r="I5" s="40">
        <f>LOOKUP(use_fish!B5,base_fish!A:A,base_fish!F:F)+_xlfn.IFNA(INDEX(activity!F:F,MATCH(use_fish!C5,activity!A:A,0)),0)</f>
        <v>4</v>
      </c>
      <c r="J5" s="30">
        <v>1</v>
      </c>
      <c r="K5" s="30">
        <f>LOOKUP(use_fish!B5,base_fish!A:A,base_fish!G:G)</f>
        <v>0</v>
      </c>
      <c r="L5" s="30">
        <f t="shared" si="0"/>
        <v>4</v>
      </c>
      <c r="M5" s="30">
        <v>1</v>
      </c>
      <c r="N5" s="30">
        <f t="shared" si="1"/>
        <v>0</v>
      </c>
      <c r="O5" s="30">
        <v>1</v>
      </c>
    </row>
    <row r="6" s="30" customFormat="1" spans="1:15">
      <c r="A6" s="39">
        <v>5</v>
      </c>
      <c r="B6" s="39">
        <v>5</v>
      </c>
      <c r="C6" s="39"/>
      <c r="D6" s="39"/>
      <c r="E6" s="40">
        <f>LOOKUP(use_fish!B6,base_fish!A:A,base_fish!C:C)+_xlfn.IFNA(INDEX(activity!F:F,MATCH(use_fish!C6,activity!A:A,0)),0)</f>
        <v>5</v>
      </c>
      <c r="F6" s="40">
        <f t="shared" si="2"/>
        <v>0.2</v>
      </c>
      <c r="G6" s="40" t="s">
        <v>243</v>
      </c>
      <c r="H6" s="41" t="str">
        <f>INDEX(base_fish!E:E,MATCH(use_fish!B6,base_fish!A:A,0))&amp;_xlfn.IFNA("+"&amp;INDEX(activity!G:G,MATCH(use_fish!C6,activity!A:A,0)),"")</f>
        <v>小黄鳍</v>
      </c>
      <c r="I6" s="40">
        <f>LOOKUP(use_fish!B6,base_fish!A:A,base_fish!F:F)+_xlfn.IFNA(INDEX(activity!F:F,MATCH(use_fish!C6,activity!A:A,0)),0)</f>
        <v>5</v>
      </c>
      <c r="J6" s="30">
        <v>1</v>
      </c>
      <c r="K6" s="30">
        <f>LOOKUP(use_fish!B6,base_fish!A:A,base_fish!G:G)</f>
        <v>0</v>
      </c>
      <c r="L6" s="30">
        <f t="shared" si="0"/>
        <v>5</v>
      </c>
      <c r="M6" s="30">
        <v>1</v>
      </c>
      <c r="N6" s="30">
        <f t="shared" si="1"/>
        <v>0</v>
      </c>
      <c r="O6" s="30">
        <v>1</v>
      </c>
    </row>
    <row r="7" s="30" customFormat="1" spans="1:15">
      <c r="A7" s="39">
        <v>6</v>
      </c>
      <c r="B7" s="39">
        <v>6</v>
      </c>
      <c r="C7" s="39"/>
      <c r="D7" s="39"/>
      <c r="E7" s="40">
        <f>LOOKUP(use_fish!B7,base_fish!A:A,base_fish!C:C)+_xlfn.IFNA(INDEX(activity!F:F,MATCH(use_fish!C7,activity!A:A,0)),0)</f>
        <v>6</v>
      </c>
      <c r="F7" s="40">
        <f t="shared" si="2"/>
        <v>0.166666666666667</v>
      </c>
      <c r="G7" s="40" t="s">
        <v>243</v>
      </c>
      <c r="H7" s="41" t="str">
        <f>INDEX(base_fish!E:E,MATCH(use_fish!B7,base_fish!A:A,0))&amp;_xlfn.IFNA("+"&amp;INDEX(activity!G:G,MATCH(use_fish!C7,activity!A:A,0)),"")</f>
        <v>河豚</v>
      </c>
      <c r="I7" s="40">
        <f>LOOKUP(use_fish!B7,base_fish!A:A,base_fish!F:F)+_xlfn.IFNA(INDEX(activity!F:F,MATCH(use_fish!C7,activity!A:A,0)),0)</f>
        <v>6</v>
      </c>
      <c r="J7" s="30">
        <v>1</v>
      </c>
      <c r="K7" s="30">
        <f>LOOKUP(use_fish!B7,base_fish!A:A,base_fish!G:G)</f>
        <v>0</v>
      </c>
      <c r="L7" s="30">
        <f t="shared" si="0"/>
        <v>6</v>
      </c>
      <c r="M7" s="30">
        <v>1</v>
      </c>
      <c r="N7" s="30">
        <f t="shared" si="1"/>
        <v>0</v>
      </c>
      <c r="O7" s="30">
        <v>1</v>
      </c>
    </row>
    <row r="8" s="30" customFormat="1" spans="1:15">
      <c r="A8" s="39">
        <v>7</v>
      </c>
      <c r="B8" s="39">
        <v>7</v>
      </c>
      <c r="C8" s="39"/>
      <c r="D8" s="39"/>
      <c r="E8" s="40">
        <f>LOOKUP(use_fish!B8,base_fish!A:A,base_fish!C:C)+_xlfn.IFNA(INDEX(activity!F:F,MATCH(use_fish!C8,activity!A:A,0)),0)</f>
        <v>7</v>
      </c>
      <c r="F8" s="40">
        <f t="shared" si="2"/>
        <v>0.142857142857143</v>
      </c>
      <c r="G8" s="40" t="s">
        <v>243</v>
      </c>
      <c r="H8" s="41" t="str">
        <f>INDEX(base_fish!E:E,MATCH(use_fish!B8,base_fish!A:A,0))&amp;_xlfn.IFNA("+"&amp;INDEX(activity!G:G,MATCH(use_fish!C8,activity!A:A,0)),"")</f>
        <v>小灯笼</v>
      </c>
      <c r="I8" s="40">
        <f>LOOKUP(use_fish!B8,base_fish!A:A,base_fish!F:F)+_xlfn.IFNA(INDEX(activity!F:F,MATCH(use_fish!C8,activity!A:A,0)),0)</f>
        <v>7</v>
      </c>
      <c r="J8" s="30">
        <v>1</v>
      </c>
      <c r="K8" s="30">
        <f>LOOKUP(use_fish!B8,base_fish!A:A,base_fish!G:G)</f>
        <v>0</v>
      </c>
      <c r="L8" s="30">
        <f t="shared" si="0"/>
        <v>7</v>
      </c>
      <c r="M8" s="30">
        <v>1</v>
      </c>
      <c r="N8" s="30">
        <f t="shared" si="1"/>
        <v>0</v>
      </c>
      <c r="O8" s="30">
        <v>1</v>
      </c>
    </row>
    <row r="9" s="30" customFormat="1" spans="1:15">
      <c r="A9" s="39">
        <v>8</v>
      </c>
      <c r="B9" s="39">
        <v>8</v>
      </c>
      <c r="C9" s="39"/>
      <c r="D9" s="39"/>
      <c r="E9" s="40">
        <f>LOOKUP(use_fish!B9,base_fish!A:A,base_fish!C:C)+_xlfn.IFNA(INDEX(activity!F:F,MATCH(use_fish!C9,activity!A:A,0)),0)</f>
        <v>8</v>
      </c>
      <c r="F9" s="40">
        <f t="shared" si="2"/>
        <v>0.125</v>
      </c>
      <c r="G9" s="40" t="s">
        <v>243</v>
      </c>
      <c r="H9" s="41" t="str">
        <f>INDEX(base_fish!E:E,MATCH(use_fish!B9,base_fish!A:A,0))&amp;_xlfn.IFNA("+"&amp;INDEX(activity!G:G,MATCH(use_fish!C9,activity!A:A,0)),"")</f>
        <v>小旗鱼</v>
      </c>
      <c r="I9" s="40">
        <f>LOOKUP(use_fish!B9,base_fish!A:A,base_fish!F:F)+_xlfn.IFNA(INDEX(activity!F:F,MATCH(use_fish!C9,activity!A:A,0)),0)</f>
        <v>8</v>
      </c>
      <c r="J9" s="30">
        <v>1</v>
      </c>
      <c r="K9" s="30">
        <f>LOOKUP(use_fish!B9,base_fish!A:A,base_fish!G:G)</f>
        <v>0</v>
      </c>
      <c r="L9" s="30">
        <f t="shared" si="0"/>
        <v>8</v>
      </c>
      <c r="M9" s="30">
        <v>1</v>
      </c>
      <c r="N9" s="30">
        <f t="shared" si="1"/>
        <v>0</v>
      </c>
      <c r="O9" s="30">
        <v>1</v>
      </c>
    </row>
    <row r="10" s="30" customFormat="1" spans="1:15">
      <c r="A10" s="39">
        <v>9</v>
      </c>
      <c r="B10" s="39">
        <v>9</v>
      </c>
      <c r="C10" s="39"/>
      <c r="D10" s="39"/>
      <c r="E10" s="40">
        <f>LOOKUP(use_fish!B10,base_fish!A:A,base_fish!C:C)+_xlfn.IFNA(INDEX(activity!F:F,MATCH(use_fish!C10,activity!A:A,0)),0)</f>
        <v>10</v>
      </c>
      <c r="F10" s="40">
        <f t="shared" si="2"/>
        <v>0.1</v>
      </c>
      <c r="G10" s="40" t="s">
        <v>243</v>
      </c>
      <c r="H10" s="41" t="str">
        <f>INDEX(base_fish!E:E,MATCH(use_fish!B10,base_fish!A:A,0))&amp;_xlfn.IFNA("+"&amp;INDEX(activity!G:G,MATCH(use_fish!C10,activity!A:A,0)),"")</f>
        <v>小水母</v>
      </c>
      <c r="I10" s="40">
        <f>LOOKUP(use_fish!B10,base_fish!A:A,base_fish!F:F)+_xlfn.IFNA(INDEX(activity!F:F,MATCH(use_fish!C10,activity!A:A,0)),0)</f>
        <v>10</v>
      </c>
      <c r="J10" s="30">
        <v>1</v>
      </c>
      <c r="K10" s="30">
        <f>LOOKUP(use_fish!B10,base_fish!A:A,base_fish!G:G)</f>
        <v>0</v>
      </c>
      <c r="L10" s="30">
        <f t="shared" si="0"/>
        <v>10</v>
      </c>
      <c r="M10" s="30">
        <v>1</v>
      </c>
      <c r="N10" s="30">
        <f t="shared" si="1"/>
        <v>0</v>
      </c>
      <c r="O10" s="30">
        <v>1</v>
      </c>
    </row>
    <row r="11" s="30" customFormat="1" spans="1:15">
      <c r="A11" s="39">
        <v>10</v>
      </c>
      <c r="B11" s="39">
        <v>10</v>
      </c>
      <c r="C11" s="39"/>
      <c r="D11" s="39"/>
      <c r="E11" s="40">
        <f>LOOKUP(use_fish!B11,base_fish!A:A,base_fish!C:C)+_xlfn.IFNA(INDEX(activity!F:F,MATCH(use_fish!C11,activity!A:A,0)),0)</f>
        <v>12</v>
      </c>
      <c r="F11" s="40">
        <f t="shared" si="2"/>
        <v>0.0833333333333333</v>
      </c>
      <c r="G11" s="40" t="s">
        <v>243</v>
      </c>
      <c r="H11" s="41" t="str">
        <f>INDEX(base_fish!E:E,MATCH(use_fish!B11,base_fish!A:A,0))&amp;_xlfn.IFNA("+"&amp;INDEX(activity!G:G,MATCH(use_fish!C11,activity!A:A,0)),"")</f>
        <v>小章鱼</v>
      </c>
      <c r="I11" s="40">
        <f>LOOKUP(use_fish!B11,base_fish!A:A,base_fish!F:F)+_xlfn.IFNA(INDEX(activity!F:F,MATCH(use_fish!C11,activity!A:A,0)),0)</f>
        <v>12</v>
      </c>
      <c r="J11" s="30">
        <v>1</v>
      </c>
      <c r="K11" s="30">
        <f>LOOKUP(use_fish!B11,base_fish!A:A,base_fish!G:G)</f>
        <v>0</v>
      </c>
      <c r="L11" s="30">
        <f t="shared" si="0"/>
        <v>12</v>
      </c>
      <c r="M11" s="30">
        <v>1</v>
      </c>
      <c r="N11" s="30">
        <f t="shared" si="1"/>
        <v>0</v>
      </c>
      <c r="O11" s="30">
        <v>1</v>
      </c>
    </row>
    <row r="12" s="30" customFormat="1" spans="1:15">
      <c r="A12" s="39">
        <v>11</v>
      </c>
      <c r="B12" s="39">
        <v>11</v>
      </c>
      <c r="C12" s="39"/>
      <c r="D12" s="39"/>
      <c r="E12" s="40">
        <f>LOOKUP(use_fish!B12,base_fish!A:A,base_fish!C:C)+_xlfn.IFNA(INDEX(activity!F:F,MATCH(use_fish!C12,activity!A:A,0)),0)</f>
        <v>15</v>
      </c>
      <c r="F12" s="40">
        <f t="shared" si="2"/>
        <v>0.0666666666666667</v>
      </c>
      <c r="G12" s="40" t="s">
        <v>243</v>
      </c>
      <c r="H12" s="41" t="str">
        <f>INDEX(base_fish!E:E,MATCH(use_fish!B12,base_fish!A:A,0))&amp;_xlfn.IFNA("+"&amp;INDEX(activity!G:G,MATCH(use_fish!C12,activity!A:A,0)),"")</f>
        <v>小海龟</v>
      </c>
      <c r="I12" s="40">
        <f>LOOKUP(use_fish!B12,base_fish!A:A,base_fish!F:F)+_xlfn.IFNA(INDEX(activity!F:F,MATCH(use_fish!C12,activity!A:A,0)),0)</f>
        <v>15</v>
      </c>
      <c r="J12" s="30">
        <v>1</v>
      </c>
      <c r="K12" s="30">
        <f>LOOKUP(use_fish!B12,base_fish!A:A,base_fish!G:G)</f>
        <v>0</v>
      </c>
      <c r="L12" s="30">
        <f t="shared" si="0"/>
        <v>15</v>
      </c>
      <c r="M12" s="30">
        <v>1</v>
      </c>
      <c r="N12" s="30">
        <f t="shared" si="1"/>
        <v>0</v>
      </c>
      <c r="O12" s="30">
        <v>1</v>
      </c>
    </row>
    <row r="13" s="31" customFormat="1" spans="1:15">
      <c r="A13" s="42">
        <v>12</v>
      </c>
      <c r="B13" s="42">
        <v>12</v>
      </c>
      <c r="C13" s="42"/>
      <c r="D13" s="42"/>
      <c r="E13" s="43">
        <f>LOOKUP(use_fish!B13,base_fish!A:A,base_fish!C:C)+_xlfn.IFNA(INDEX(activity!F:F,MATCH(use_fish!C13,activity!A:A,0)),0)</f>
        <v>18</v>
      </c>
      <c r="F13" s="43">
        <f t="shared" si="2"/>
        <v>0.0555555555555556</v>
      </c>
      <c r="G13" s="43" t="s">
        <v>243</v>
      </c>
      <c r="H13" s="44" t="str">
        <f>INDEX(base_fish!E:E,MATCH(use_fish!B13,base_fish!A:A,0))&amp;_xlfn.IFNA("+"&amp;INDEX(activity!G:G,MATCH(use_fish!C13,activity!A:A,0)),"")</f>
        <v>狮子鱼</v>
      </c>
      <c r="I13" s="43">
        <f>LOOKUP(use_fish!B13,base_fish!A:A,base_fish!F:F)+_xlfn.IFNA(INDEX(activity!F:F,MATCH(use_fish!C13,activity!A:A,0)),0)</f>
        <v>18</v>
      </c>
      <c r="J13" s="31">
        <v>1</v>
      </c>
      <c r="K13" s="31">
        <f>LOOKUP(use_fish!B13,base_fish!A:A,base_fish!G:G)</f>
        <v>0</v>
      </c>
      <c r="L13" s="31">
        <f t="shared" si="0"/>
        <v>18</v>
      </c>
      <c r="M13" s="31">
        <v>1</v>
      </c>
      <c r="N13" s="31">
        <f t="shared" si="1"/>
        <v>0</v>
      </c>
      <c r="O13" s="31">
        <v>1</v>
      </c>
    </row>
    <row r="14" s="31" customFormat="1" spans="1:15">
      <c r="A14" s="42">
        <v>13</v>
      </c>
      <c r="B14" s="42">
        <v>13</v>
      </c>
      <c r="C14" s="42"/>
      <c r="D14" s="42"/>
      <c r="E14" s="43">
        <f>LOOKUP(use_fish!B14,base_fish!A:A,base_fish!C:C)+_xlfn.IFNA(INDEX(activity!F:F,MATCH(use_fish!C14,activity!A:A,0)),0)</f>
        <v>20</v>
      </c>
      <c r="F14" s="43">
        <f t="shared" si="2"/>
        <v>0.05</v>
      </c>
      <c r="G14" s="43" t="s">
        <v>243</v>
      </c>
      <c r="H14" s="44" t="str">
        <f>INDEX(base_fish!E:E,MATCH(use_fish!B14,base_fish!A:A,0))&amp;_xlfn.IFNA("+"&amp;INDEX(activity!G:G,MATCH(use_fish!C14,activity!A:A,0)),"")</f>
        <v>蝴蝶鱼</v>
      </c>
      <c r="I14" s="43">
        <f>LOOKUP(use_fish!B14,base_fish!A:A,base_fish!F:F)+_xlfn.IFNA(INDEX(activity!F:F,MATCH(use_fish!C14,activity!A:A,0)),0)</f>
        <v>20</v>
      </c>
      <c r="J14" s="31">
        <v>1</v>
      </c>
      <c r="K14" s="31">
        <f>LOOKUP(use_fish!B14,base_fish!A:A,base_fish!G:G)</f>
        <v>0</v>
      </c>
      <c r="L14" s="31">
        <f t="shared" si="0"/>
        <v>20</v>
      </c>
      <c r="M14" s="31">
        <v>1</v>
      </c>
      <c r="N14" s="31">
        <f t="shared" si="1"/>
        <v>0</v>
      </c>
      <c r="O14" s="31">
        <v>1</v>
      </c>
    </row>
    <row r="15" s="31" customFormat="1" spans="1:15">
      <c r="A15" s="42">
        <v>14</v>
      </c>
      <c r="B15" s="42">
        <v>14</v>
      </c>
      <c r="C15" s="42"/>
      <c r="D15" s="42"/>
      <c r="E15" s="43">
        <f>LOOKUP(use_fish!B15,base_fish!A:A,base_fish!C:C)+_xlfn.IFNA(INDEX(activity!F:F,MATCH(use_fish!C15,activity!A:A,0)),0)</f>
        <v>25</v>
      </c>
      <c r="F15" s="43">
        <f t="shared" si="2"/>
        <v>0.04</v>
      </c>
      <c r="G15" s="43" t="s">
        <v>243</v>
      </c>
      <c r="H15" s="44" t="str">
        <f>INDEX(base_fish!E:E,MATCH(use_fish!B15,base_fish!A:A,0))&amp;_xlfn.IFNA("+"&amp;INDEX(activity!G:G,MATCH(use_fish!C15,activity!A:A,0)),"")</f>
        <v>巨大小丑鱼</v>
      </c>
      <c r="I15" s="43">
        <f>LOOKUP(use_fish!B15,base_fish!A:A,base_fish!F:F)+_xlfn.IFNA(INDEX(activity!F:F,MATCH(use_fish!C15,activity!A:A,0)),0)</f>
        <v>25</v>
      </c>
      <c r="J15" s="31">
        <v>1</v>
      </c>
      <c r="K15" s="31">
        <f>LOOKUP(use_fish!B15,base_fish!A:A,base_fish!G:G)</f>
        <v>0</v>
      </c>
      <c r="L15" s="31">
        <f t="shared" si="0"/>
        <v>25</v>
      </c>
      <c r="M15" s="31">
        <v>1</v>
      </c>
      <c r="N15" s="31">
        <f t="shared" si="1"/>
        <v>0</v>
      </c>
      <c r="O15" s="31">
        <v>1</v>
      </c>
    </row>
    <row r="16" s="31" customFormat="1" spans="1:15">
      <c r="A16" s="42">
        <v>15</v>
      </c>
      <c r="B16" s="42">
        <v>15</v>
      </c>
      <c r="C16" s="42"/>
      <c r="D16" s="42"/>
      <c r="E16" s="43">
        <f>LOOKUP(use_fish!B16,base_fish!A:A,base_fish!C:C)+_xlfn.IFNA(INDEX(activity!F:F,MATCH(use_fish!C16,activity!A:A,0)),0)</f>
        <v>30</v>
      </c>
      <c r="F16" s="43">
        <f t="shared" si="2"/>
        <v>0.0333333333333333</v>
      </c>
      <c r="G16" s="43" t="s">
        <v>243</v>
      </c>
      <c r="H16" s="44" t="str">
        <f>INDEX(base_fish!E:E,MATCH(use_fish!B16,base_fish!A:A,0))&amp;_xlfn.IFNA("+"&amp;INDEX(activity!G:G,MATCH(use_fish!C16,activity!A:A,0)),"")</f>
        <v>巨大灯笼鱼</v>
      </c>
      <c r="I16" s="43">
        <f>LOOKUP(use_fish!B16,base_fish!A:A,base_fish!F:F)+_xlfn.IFNA(INDEX(activity!F:F,MATCH(use_fish!C16,activity!A:A,0)),0)</f>
        <v>30</v>
      </c>
      <c r="J16" s="31">
        <v>1</v>
      </c>
      <c r="K16" s="31">
        <f>LOOKUP(use_fish!B16,base_fish!A:A,base_fish!G:G)</f>
        <v>0</v>
      </c>
      <c r="L16" s="31">
        <f t="shared" si="0"/>
        <v>30</v>
      </c>
      <c r="M16" s="31">
        <v>1</v>
      </c>
      <c r="N16" s="31">
        <f t="shared" si="1"/>
        <v>0</v>
      </c>
      <c r="O16" s="31">
        <v>1</v>
      </c>
    </row>
    <row r="17" s="31" customFormat="1" spans="1:15">
      <c r="A17" s="42">
        <v>16</v>
      </c>
      <c r="B17" s="42">
        <v>16</v>
      </c>
      <c r="C17" s="42"/>
      <c r="D17" s="42"/>
      <c r="E17" s="43">
        <f>LOOKUP(use_fish!B17,base_fish!A:A,base_fish!C:C)+_xlfn.IFNA(INDEX(activity!F:F,MATCH(use_fish!C17,activity!A:A,0)),0)</f>
        <v>35</v>
      </c>
      <c r="F17" s="43">
        <f t="shared" si="2"/>
        <v>0.0285714285714286</v>
      </c>
      <c r="G17" s="43" t="s">
        <v>243</v>
      </c>
      <c r="H17" s="44" t="str">
        <f>INDEX(base_fish!E:E,MATCH(use_fish!B17,base_fish!A:A,0))&amp;_xlfn.IFNA("+"&amp;INDEX(activity!G:G,MATCH(use_fish!C17,activity!A:A,0)),"")</f>
        <v>巨大燕鱼</v>
      </c>
      <c r="I17" s="43">
        <f>LOOKUP(use_fish!B17,base_fish!A:A,base_fish!F:F)+_xlfn.IFNA(INDEX(activity!F:F,MATCH(use_fish!C17,activity!A:A,0)),0)</f>
        <v>35</v>
      </c>
      <c r="J17" s="31">
        <v>1</v>
      </c>
      <c r="K17" s="31">
        <f>LOOKUP(use_fish!B17,base_fish!A:A,base_fish!G:G)</f>
        <v>0</v>
      </c>
      <c r="L17" s="31">
        <f t="shared" si="0"/>
        <v>35</v>
      </c>
      <c r="M17" s="31">
        <v>1</v>
      </c>
      <c r="N17" s="31">
        <f t="shared" si="1"/>
        <v>0</v>
      </c>
      <c r="O17" s="31">
        <v>1</v>
      </c>
    </row>
    <row r="18" s="31" customFormat="1" spans="1:15">
      <c r="A18" s="42">
        <v>17</v>
      </c>
      <c r="B18" s="42">
        <v>17</v>
      </c>
      <c r="C18" s="42"/>
      <c r="D18" s="42"/>
      <c r="E18" s="43">
        <f>LOOKUP(use_fish!B18,base_fish!A:A,base_fish!C:C)+_xlfn.IFNA(INDEX(activity!F:F,MATCH(use_fish!C18,activity!A:A,0)),0)</f>
        <v>40</v>
      </c>
      <c r="F18" s="43">
        <f t="shared" si="2"/>
        <v>0.025</v>
      </c>
      <c r="G18" s="43" t="s">
        <v>243</v>
      </c>
      <c r="H18" s="44" t="str">
        <f>INDEX(base_fish!E:E,MATCH(use_fish!B18,base_fish!A:A,0))&amp;_xlfn.IFNA("+"&amp;INDEX(activity!G:G,MATCH(use_fish!C18,activity!A:A,0)),"")</f>
        <v>魔鬼鱼</v>
      </c>
      <c r="I18" s="43">
        <f>LOOKUP(use_fish!B18,base_fish!A:A,base_fish!F:F)+_xlfn.IFNA(INDEX(activity!F:F,MATCH(use_fish!C18,activity!A:A,0)),0)</f>
        <v>40</v>
      </c>
      <c r="J18" s="31">
        <v>1</v>
      </c>
      <c r="K18" s="31">
        <f>LOOKUP(use_fish!B18,base_fish!A:A,base_fish!G:G)</f>
        <v>0</v>
      </c>
      <c r="L18" s="31">
        <f t="shared" si="0"/>
        <v>40</v>
      </c>
      <c r="M18" s="31">
        <v>1</v>
      </c>
      <c r="N18" s="31">
        <v>0</v>
      </c>
      <c r="O18" s="31">
        <v>1</v>
      </c>
    </row>
    <row r="19" s="31" customFormat="1" spans="1:15">
      <c r="A19" s="42">
        <v>18</v>
      </c>
      <c r="B19" s="42">
        <v>18</v>
      </c>
      <c r="C19" s="42"/>
      <c r="D19" s="42"/>
      <c r="E19" s="43">
        <f>LOOKUP(use_fish!B19,base_fish!A:A,base_fish!C:C)+_xlfn.IFNA(INDEX(activity!F:F,MATCH(use_fish!C19,activity!A:A,0)),0)</f>
        <v>60</v>
      </c>
      <c r="F19" s="43">
        <f t="shared" si="2"/>
        <v>0.0166666666666667</v>
      </c>
      <c r="G19" s="43" t="s">
        <v>243</v>
      </c>
      <c r="H19" s="44" t="str">
        <f>INDEX(base_fish!E:E,MATCH(use_fish!B19,base_fish!A:A,0))&amp;_xlfn.IFNA("+"&amp;INDEX(activity!G:G,MATCH(use_fish!C19,activity!A:A,0)),"")</f>
        <v>虎鲸</v>
      </c>
      <c r="I19" s="43">
        <f>LOOKUP(use_fish!B19,base_fish!A:A,base_fish!F:F)+_xlfn.IFNA(INDEX(activity!F:F,MATCH(use_fish!C19,activity!A:A,0)),0)</f>
        <v>60</v>
      </c>
      <c r="J19" s="31">
        <v>1</v>
      </c>
      <c r="K19" s="31">
        <f>LOOKUP(use_fish!B19,base_fish!A:A,base_fish!G:G)</f>
        <v>0</v>
      </c>
      <c r="L19" s="31">
        <f t="shared" si="0"/>
        <v>60</v>
      </c>
      <c r="M19" s="31">
        <v>1</v>
      </c>
      <c r="N19" s="31">
        <v>0</v>
      </c>
      <c r="O19" s="31">
        <v>1</v>
      </c>
    </row>
    <row r="20" s="31" customFormat="1" spans="1:15">
      <c r="A20" s="42">
        <v>19</v>
      </c>
      <c r="B20" s="42">
        <v>19</v>
      </c>
      <c r="C20" s="42">
        <v>6</v>
      </c>
      <c r="D20" s="42"/>
      <c r="E20" s="43">
        <f>LOOKUP(use_fish!B20,base_fish!A:A,base_fish!C:C)+_xlfn.IFNA(INDEX(activity!F:F,MATCH(use_fish!C20,activity!A:A,0)),0)</f>
        <v>30</v>
      </c>
      <c r="F20" s="43">
        <f t="shared" ref="F20:F28" si="3">1/E20</f>
        <v>0.0333333333333333</v>
      </c>
      <c r="G20" s="43" t="s">
        <v>243</v>
      </c>
      <c r="H20" s="44" t="str">
        <f>INDEX(base_fish!E:E,MATCH(use_fish!B20,base_fish!A:A,0))&amp;_xlfn.IFNA("+"&amp;INDEX(activity!G:G,MATCH(use_fish!C20,activity!A:A,0)),"")</f>
        <v>炸弹鱼+炸弹</v>
      </c>
      <c r="I20" s="43">
        <f>LOOKUP(use_fish!B20,base_fish!A:A,base_fish!F:F)+_xlfn.IFNA(INDEX(activity!F:F,MATCH(use_fish!C20,activity!A:A,0)),0)</f>
        <v>30</v>
      </c>
      <c r="J20" s="31">
        <v>1</v>
      </c>
      <c r="K20" s="31">
        <f>LOOKUP(use_fish!B20,base_fish!A:A,base_fish!G:G)</f>
        <v>0</v>
      </c>
      <c r="L20" s="31">
        <f t="shared" ref="L20:L28" si="4">I20</f>
        <v>30</v>
      </c>
      <c r="M20" s="31">
        <v>1</v>
      </c>
      <c r="N20" s="31">
        <v>0</v>
      </c>
      <c r="O20" s="31">
        <v>2</v>
      </c>
    </row>
    <row r="21" s="32" customFormat="1" spans="1:15">
      <c r="A21" s="45">
        <v>20</v>
      </c>
      <c r="B21" s="45">
        <v>20</v>
      </c>
      <c r="C21" s="45"/>
      <c r="D21" s="45" t="s">
        <v>244</v>
      </c>
      <c r="E21" s="46">
        <v>63</v>
      </c>
      <c r="F21" s="46">
        <f t="shared" si="3"/>
        <v>0.0158730158730159</v>
      </c>
      <c r="G21" s="46" t="s">
        <v>243</v>
      </c>
      <c r="H21" s="47" t="str">
        <f>INDEX(base_fish!E:E,MATCH(use_fish!B21,base_fish!A:A,0))&amp;_xlfn.IFNA("+"&amp;INDEX(activity!G:G,MATCH(use_fish!C21,activity!A:A,0)),"")</f>
        <v>黄金灯笼鱼</v>
      </c>
      <c r="I21" s="46">
        <f>LOOKUP(use_fish!B21,base_fish!A:A,base_fish!F:F)+_xlfn.IFNA(INDEX(activity!F:F,MATCH(use_fish!C21,activity!A:A,0)),0)</f>
        <v>60</v>
      </c>
      <c r="J21" s="32">
        <v>1</v>
      </c>
      <c r="K21" s="32">
        <f>LOOKUP(use_fish!B21,base_fish!A:A,base_fish!G:G)</f>
        <v>0</v>
      </c>
      <c r="L21" s="32">
        <f t="shared" si="4"/>
        <v>60</v>
      </c>
      <c r="M21" s="32">
        <v>1</v>
      </c>
      <c r="N21" s="32">
        <v>0</v>
      </c>
      <c r="O21" s="32">
        <v>2</v>
      </c>
    </row>
    <row r="22" s="32" customFormat="1" spans="1:15">
      <c r="A22" s="45">
        <v>21</v>
      </c>
      <c r="B22" s="45">
        <v>21</v>
      </c>
      <c r="C22" s="45">
        <v>8</v>
      </c>
      <c r="D22" s="45"/>
      <c r="E22" s="46">
        <v>80</v>
      </c>
      <c r="F22" s="46">
        <f t="shared" si="3"/>
        <v>0.0125</v>
      </c>
      <c r="G22" s="46" t="s">
        <v>243</v>
      </c>
      <c r="H22" s="47" t="str">
        <f>INDEX(base_fish!E:E,MATCH(use_fish!B22,base_fish!A:A,0))&amp;_xlfn.IFNA("+"&amp;INDEX(activity!G:G,MATCH(use_fish!C22,activity!A:A,0)),"")</f>
        <v>黄金炸弹鱼+炸弹</v>
      </c>
      <c r="I22" s="46">
        <f>LOOKUP(use_fish!B22,base_fish!A:A,base_fish!F:F)+_xlfn.IFNA(INDEX(activity!F:F,MATCH(use_fish!C22,activity!A:A,0)),0)</f>
        <v>80</v>
      </c>
      <c r="J22" s="32">
        <v>1</v>
      </c>
      <c r="K22" s="32">
        <f>LOOKUP(use_fish!B22,base_fish!A:A,base_fish!G:G)</f>
        <v>0</v>
      </c>
      <c r="L22" s="32">
        <f t="shared" si="4"/>
        <v>80</v>
      </c>
      <c r="M22" s="32">
        <v>1</v>
      </c>
      <c r="N22" s="32">
        <v>0</v>
      </c>
      <c r="O22" s="32">
        <v>2</v>
      </c>
    </row>
    <row r="23" s="32" customFormat="1" spans="1:15">
      <c r="A23" s="45">
        <v>22</v>
      </c>
      <c r="B23" s="45">
        <v>22</v>
      </c>
      <c r="C23" s="45"/>
      <c r="D23" s="45" t="s">
        <v>245</v>
      </c>
      <c r="E23" s="46">
        <v>63</v>
      </c>
      <c r="F23" s="46">
        <f t="shared" si="3"/>
        <v>0.0158730158730159</v>
      </c>
      <c r="G23" s="46" t="s">
        <v>243</v>
      </c>
      <c r="H23" s="47" t="str">
        <f>INDEX(base_fish!E:E,MATCH(use_fish!B23,base_fish!A:A,0))&amp;_xlfn.IFNA("+"&amp;INDEX(activity!G:G,MATCH(use_fish!C23,activity!A:A,0)),"")</f>
        <v>黄金狮子鱼</v>
      </c>
      <c r="I23" s="46">
        <f>LOOKUP(use_fish!B23,base_fish!A:A,base_fish!F:F)+_xlfn.IFNA(INDEX(activity!F:F,MATCH(use_fish!C23,activity!A:A,0)),0)</f>
        <v>60</v>
      </c>
      <c r="J23" s="32">
        <v>1</v>
      </c>
      <c r="K23" s="32">
        <f>LOOKUP(use_fish!B23,base_fish!A:A,base_fish!G:G)</f>
        <v>0</v>
      </c>
      <c r="L23" s="32">
        <f t="shared" si="4"/>
        <v>60</v>
      </c>
      <c r="M23" s="32">
        <v>1</v>
      </c>
      <c r="N23" s="32">
        <v>0</v>
      </c>
      <c r="O23" s="32">
        <v>2</v>
      </c>
    </row>
    <row r="24" s="32" customFormat="1" spans="1:15">
      <c r="A24" s="45">
        <v>23</v>
      </c>
      <c r="B24" s="45">
        <v>23</v>
      </c>
      <c r="C24" s="45"/>
      <c r="D24" s="45" t="s">
        <v>246</v>
      </c>
      <c r="E24" s="46">
        <v>63</v>
      </c>
      <c r="F24" s="46">
        <f t="shared" si="3"/>
        <v>0.0158730158730159</v>
      </c>
      <c r="G24" s="46" t="s">
        <v>243</v>
      </c>
      <c r="H24" s="47" t="str">
        <f>INDEX(base_fish!E:E,MATCH(use_fish!B24,base_fish!A:A,0))&amp;_xlfn.IFNA("+"&amp;INDEX(activity!G:G,MATCH(use_fish!C24,activity!A:A,0)),"")</f>
        <v>黄金海龟</v>
      </c>
      <c r="I24" s="46">
        <f>LOOKUP(use_fish!B24,base_fish!A:A,base_fish!F:F)+_xlfn.IFNA(INDEX(activity!F:F,MATCH(use_fish!C24,activity!A:A,0)),0)</f>
        <v>60</v>
      </c>
      <c r="J24" s="32">
        <v>1</v>
      </c>
      <c r="K24" s="32">
        <f>LOOKUP(use_fish!B24,base_fish!A:A,base_fish!G:G)</f>
        <v>0</v>
      </c>
      <c r="L24" s="32">
        <f t="shared" si="4"/>
        <v>60</v>
      </c>
      <c r="M24" s="32">
        <v>1</v>
      </c>
      <c r="N24" s="32">
        <v>0</v>
      </c>
      <c r="O24" s="32">
        <v>2</v>
      </c>
    </row>
    <row r="25" s="32" customFormat="1" spans="1:15">
      <c r="A25" s="45">
        <v>24</v>
      </c>
      <c r="B25" s="45">
        <v>24</v>
      </c>
      <c r="C25" s="45"/>
      <c r="D25" s="45"/>
      <c r="E25" s="46" t="s">
        <v>247</v>
      </c>
      <c r="F25" s="46" t="s">
        <v>248</v>
      </c>
      <c r="G25" s="46" t="s">
        <v>243</v>
      </c>
      <c r="H25" s="47" t="str">
        <f>INDEX(base_fish!E:E,MATCH(use_fish!B25,base_fish!A:A,0))&amp;_xlfn.IFNA("+"&amp;INDEX(activity!G:G,MATCH(use_fish!C25,activity!A:A,0)),"")</f>
        <v>黄金河豚</v>
      </c>
      <c r="I25" s="46" t="s">
        <v>61</v>
      </c>
      <c r="J25" s="32">
        <v>1</v>
      </c>
      <c r="K25" s="32">
        <f>LOOKUP(use_fish!B25,base_fish!A:A,base_fish!G:G)</f>
        <v>0</v>
      </c>
      <c r="L25" s="32" t="str">
        <f t="shared" si="4"/>
        <v>50,50,50,50,100,</v>
      </c>
      <c r="M25" s="32">
        <v>1</v>
      </c>
      <c r="N25" s="32">
        <v>0</v>
      </c>
      <c r="O25" s="32">
        <v>2</v>
      </c>
    </row>
    <row r="26" s="32" customFormat="1" spans="1:15">
      <c r="A26" s="45">
        <v>25</v>
      </c>
      <c r="B26" s="45">
        <v>25</v>
      </c>
      <c r="C26" s="45"/>
      <c r="D26" s="45" t="s">
        <v>244</v>
      </c>
      <c r="E26" s="46">
        <v>84</v>
      </c>
      <c r="F26" s="46">
        <f t="shared" si="3"/>
        <v>0.0119047619047619</v>
      </c>
      <c r="G26" s="46" t="s">
        <v>243</v>
      </c>
      <c r="H26" s="47" t="str">
        <f>INDEX(base_fish!E:E,MATCH(use_fish!B26,base_fish!A:A,0))&amp;_xlfn.IFNA("+"&amp;INDEX(activity!G:G,MATCH(use_fish!C26,activity!A:A,0)),"")</f>
        <v>金蟾</v>
      </c>
      <c r="I26" s="46">
        <f>LOOKUP(use_fish!B26,base_fish!A:A,base_fish!F:F)+_xlfn.IFNA(INDEX(activity!F:F,MATCH(use_fish!C26,activity!A:A,0)),0)</f>
        <v>80</v>
      </c>
      <c r="J26" s="32">
        <v>1</v>
      </c>
      <c r="K26" s="32">
        <f>LOOKUP(use_fish!B26,base_fish!A:A,base_fish!G:G)</f>
        <v>0</v>
      </c>
      <c r="L26" s="32">
        <f t="shared" si="4"/>
        <v>80</v>
      </c>
      <c r="M26" s="32">
        <v>1</v>
      </c>
      <c r="N26" s="32">
        <v>0</v>
      </c>
      <c r="O26" s="32">
        <v>2</v>
      </c>
    </row>
    <row r="27" s="32" customFormat="1" spans="1:15">
      <c r="A27" s="45">
        <v>26</v>
      </c>
      <c r="B27" s="45">
        <v>26</v>
      </c>
      <c r="C27" s="45"/>
      <c r="D27" s="45" t="s">
        <v>244</v>
      </c>
      <c r="E27" s="46">
        <v>105</v>
      </c>
      <c r="F27" s="46">
        <f t="shared" si="3"/>
        <v>0.00952380952380952</v>
      </c>
      <c r="G27" s="46" t="s">
        <v>243</v>
      </c>
      <c r="H27" s="47" t="str">
        <f>INDEX(base_fish!E:E,MATCH(use_fish!B27,base_fish!A:A,0))&amp;_xlfn.IFNA("+"&amp;INDEX(activity!G:G,MATCH(use_fish!C27,activity!A:A,0)),"")</f>
        <v>大金鲨</v>
      </c>
      <c r="I27" s="46">
        <f>LOOKUP(use_fish!B27,base_fish!A:A,base_fish!F:F)+_xlfn.IFNA(INDEX(activity!F:F,MATCH(use_fish!C27,activity!A:A,0)),0)</f>
        <v>100</v>
      </c>
      <c r="J27" s="32">
        <v>1</v>
      </c>
      <c r="K27" s="32">
        <f>LOOKUP(use_fish!B27,base_fish!A:A,base_fish!G:G)</f>
        <v>0</v>
      </c>
      <c r="L27" s="32">
        <f t="shared" si="4"/>
        <v>100</v>
      </c>
      <c r="M27" s="32">
        <v>1</v>
      </c>
      <c r="N27" s="32">
        <v>0</v>
      </c>
      <c r="O27" s="32">
        <v>2</v>
      </c>
    </row>
    <row r="28" s="32" customFormat="1" spans="1:15">
      <c r="A28" s="45">
        <v>27</v>
      </c>
      <c r="B28" s="45">
        <v>27</v>
      </c>
      <c r="C28" s="45"/>
      <c r="D28" s="45" t="s">
        <v>245</v>
      </c>
      <c r="E28" s="46">
        <v>105</v>
      </c>
      <c r="F28" s="46">
        <f t="shared" si="3"/>
        <v>0.00952380952380952</v>
      </c>
      <c r="G28" s="46" t="s">
        <v>243</v>
      </c>
      <c r="H28" s="47" t="str">
        <f>INDEX(base_fish!E:E,MATCH(use_fish!B28,base_fish!A:A,0))&amp;_xlfn.IFNA("+"&amp;INDEX(activity!G:G,MATCH(use_fish!C28,activity!A:A,0)),"")</f>
        <v>黄金锤头鲨</v>
      </c>
      <c r="I28" s="46">
        <f>LOOKUP(use_fish!B28,base_fish!A:A,base_fish!F:F)+_xlfn.IFNA(INDEX(activity!F:F,MATCH(use_fish!C28,activity!A:A,0)),0)</f>
        <v>100</v>
      </c>
      <c r="J28" s="32">
        <v>1</v>
      </c>
      <c r="K28" s="32">
        <f>LOOKUP(use_fish!B28,base_fish!A:A,base_fish!G:G)</f>
        <v>0</v>
      </c>
      <c r="L28" s="32">
        <f t="shared" si="4"/>
        <v>100</v>
      </c>
      <c r="M28" s="32">
        <v>1</v>
      </c>
      <c r="N28" s="32">
        <v>0</v>
      </c>
      <c r="O28" s="32">
        <v>2</v>
      </c>
    </row>
    <row r="29" s="33" customFormat="1" spans="1:15">
      <c r="A29" s="48">
        <v>28</v>
      </c>
      <c r="B29" s="48">
        <v>28</v>
      </c>
      <c r="C29" s="48">
        <v>10</v>
      </c>
      <c r="D29" s="48"/>
      <c r="E29" s="49">
        <f>LOOKUP(use_fish!B29,base_fish!A:A,base_fish!C:C)+_xlfn.IFNA(INDEX(activity!F:F,MATCH(use_fish!C29,activity!A:A,0)),0)</f>
        <v>100</v>
      </c>
      <c r="F29" s="49">
        <f t="shared" ref="F29:F32" si="5">1/E29</f>
        <v>0.01</v>
      </c>
      <c r="G29" s="49" t="s">
        <v>243</v>
      </c>
      <c r="H29" s="50" t="str">
        <f>INDEX(base_fish!E:E,MATCH(use_fish!B29,base_fish!A:A,0))&amp;_xlfn.IFNA("+"&amp;INDEX(activity!G:G,MATCH(use_fish!C29,activity!A:A,0)),"")</f>
        <v>闪电海鳗+闪电</v>
      </c>
      <c r="I29" s="49">
        <f>LOOKUP(use_fish!B29,base_fish!A:A,base_fish!F:F)+_xlfn.IFNA(INDEX(activity!F:F,MATCH(use_fish!C29,activity!A:A,0)),0)</f>
        <v>100</v>
      </c>
      <c r="J29" s="33">
        <v>1</v>
      </c>
      <c r="K29" s="33">
        <f>LOOKUP(use_fish!B29,base_fish!A:A,base_fish!G:G)</f>
        <v>0</v>
      </c>
      <c r="L29" s="33">
        <f t="shared" ref="L29:L32" si="6">I29</f>
        <v>100</v>
      </c>
      <c r="M29" s="33">
        <v>1</v>
      </c>
      <c r="N29" s="33">
        <v>1</v>
      </c>
      <c r="O29" s="33">
        <v>2</v>
      </c>
    </row>
    <row r="30" s="33" customFormat="1" spans="1:15">
      <c r="A30" s="48">
        <v>29</v>
      </c>
      <c r="B30" s="48">
        <v>29</v>
      </c>
      <c r="C30" s="48">
        <v>19</v>
      </c>
      <c r="D30" s="48"/>
      <c r="E30" s="49">
        <f>LOOKUP(use_fish!B30,base_fish!A:A,base_fish!C:C)+_xlfn.IFNA(INDEX(activity!F:F,MATCH(use_fish!C30,activity!A:A,0)),0)</f>
        <v>300</v>
      </c>
      <c r="F30" s="49">
        <f t="shared" si="5"/>
        <v>0.00333333333333333</v>
      </c>
      <c r="G30" s="49" t="s">
        <v>243</v>
      </c>
      <c r="H30" s="50" t="str">
        <f>INDEX(base_fish!E:E,MATCH(use_fish!B30,base_fish!A:A,0))&amp;_xlfn.IFNA("+"&amp;INDEX(activity!G:G,MATCH(use_fish!C30,activity!A:A,0)),"")</f>
        <v>穿云蟹+钻头弹</v>
      </c>
      <c r="I30" s="49">
        <f>LOOKUP(use_fish!B30,base_fish!A:A,base_fish!F:F)+_xlfn.IFNA(INDEX(activity!F:F,MATCH(use_fish!C30,activity!A:A,0)),0)</f>
        <v>300</v>
      </c>
      <c r="J30" s="33">
        <v>1</v>
      </c>
      <c r="K30" s="33">
        <f>LOOKUP(use_fish!B30,base_fish!A:A,base_fish!G:G)</f>
        <v>0</v>
      </c>
      <c r="L30" s="33">
        <f t="shared" si="6"/>
        <v>300</v>
      </c>
      <c r="M30" s="33">
        <v>1</v>
      </c>
      <c r="N30" s="33">
        <v>1</v>
      </c>
      <c r="O30" s="33">
        <v>2</v>
      </c>
    </row>
    <row r="31" s="33" customFormat="1" spans="1:15">
      <c r="A31" s="48">
        <v>30</v>
      </c>
      <c r="B31" s="48">
        <v>30</v>
      </c>
      <c r="C31" s="48">
        <v>31</v>
      </c>
      <c r="D31" s="48"/>
      <c r="E31" s="49">
        <f>LOOKUP(use_fish!B31,base_fish!A:A,base_fish!C:C)+_xlfn.IFNA(INDEX(activity!F:F,MATCH(use_fish!C31,activity!A:A,0)),0)</f>
        <v>200</v>
      </c>
      <c r="F31" s="49">
        <f t="shared" si="5"/>
        <v>0.005</v>
      </c>
      <c r="G31" s="49" t="s">
        <v>243</v>
      </c>
      <c r="H31" s="50" t="str">
        <f>INDEX(base_fish!E:E,MATCH(use_fish!B31,base_fish!A:A,0))&amp;_xlfn.IFNA("+"&amp;INDEX(activity!G:G,MATCH(use_fish!C31,activity!A:A,0)),"")</f>
        <v>电磁蟹+电磁弹</v>
      </c>
      <c r="I31" s="49">
        <f>LOOKUP(use_fish!B31,base_fish!A:A,base_fish!F:F)+_xlfn.IFNA(INDEX(activity!F:F,MATCH(use_fish!C31,activity!A:A,0)),0)</f>
        <v>200</v>
      </c>
      <c r="J31" s="33">
        <v>1</v>
      </c>
      <c r="K31" s="33">
        <f>LOOKUP(use_fish!B31,base_fish!A:A,base_fish!G:G)</f>
        <v>0</v>
      </c>
      <c r="L31" s="33">
        <f t="shared" si="6"/>
        <v>200</v>
      </c>
      <c r="M31" s="33">
        <v>1</v>
      </c>
      <c r="N31" s="33">
        <v>1</v>
      </c>
      <c r="O31" s="33">
        <v>1</v>
      </c>
    </row>
    <row r="32" s="33" customFormat="1" spans="1:15">
      <c r="A32" s="48">
        <v>31</v>
      </c>
      <c r="B32" s="48">
        <v>31</v>
      </c>
      <c r="C32" s="48">
        <v>39</v>
      </c>
      <c r="D32" s="48"/>
      <c r="E32" s="49">
        <f>LOOKUP(use_fish!B32,base_fish!A:A,base_fish!C:C)+_xlfn.IFNA(INDEX(activity!F:F,MATCH(use_fish!C32,activity!A:A,0)),0)</f>
        <v>250</v>
      </c>
      <c r="F32" s="49">
        <f t="shared" si="5"/>
        <v>0.004</v>
      </c>
      <c r="G32" s="49" t="s">
        <v>243</v>
      </c>
      <c r="H32" s="50" t="str">
        <f>INDEX(base_fish!E:E,MATCH(use_fish!B32,base_fish!A:A,0))&amp;_xlfn.IFNA("+"&amp;INDEX(activity!G:G,MATCH(use_fish!C32,activity!A:A,0)),"")</f>
        <v>奇遇蟹+强击弹（双倍）</v>
      </c>
      <c r="I32" s="49">
        <f>LOOKUP(use_fish!B32,base_fish!A:A,base_fish!F:F)+_xlfn.IFNA(INDEX(activity!F:F,MATCH(use_fish!C32,activity!A:A,0)),0)</f>
        <v>250</v>
      </c>
      <c r="J32" s="33">
        <v>1</v>
      </c>
      <c r="K32" s="33">
        <f>LOOKUP(use_fish!B32,base_fish!A:A,base_fish!G:G)</f>
        <v>0</v>
      </c>
      <c r="L32" s="33">
        <f t="shared" si="6"/>
        <v>250</v>
      </c>
      <c r="M32" s="33">
        <v>1</v>
      </c>
      <c r="N32" s="33">
        <v>1</v>
      </c>
      <c r="O32" s="33">
        <v>1</v>
      </c>
    </row>
    <row r="33" s="33" customFormat="1" spans="1:15">
      <c r="A33" s="48">
        <v>32</v>
      </c>
      <c r="B33" s="48">
        <v>32</v>
      </c>
      <c r="C33" s="48">
        <v>32</v>
      </c>
      <c r="D33" s="48"/>
      <c r="E33" s="49">
        <f>LOOKUP(use_fish!B33,base_fish!A:A,base_fish!C:C)+_xlfn.IFNA(INDEX(activity!F:F,MATCH(use_fish!C33,activity!A:A,0)),0)</f>
        <v>200</v>
      </c>
      <c r="F33" s="49">
        <f t="shared" ref="F33:F39" si="7">1/E33</f>
        <v>0.005</v>
      </c>
      <c r="G33" s="49" t="s">
        <v>243</v>
      </c>
      <c r="H33" s="50" t="str">
        <f>INDEX(base_fish!E:E,MATCH(use_fish!B33,base_fish!A:A,0))&amp;_xlfn.IFNA("+"&amp;INDEX(activity!G:G,MATCH(use_fish!C33,activity!A:A,0)),"")</f>
        <v>宝藏章鱼+金币转盘</v>
      </c>
      <c r="I33" s="49">
        <f>LOOKUP(use_fish!B33,base_fish!A:A,base_fish!F:F)+_xlfn.IFNA(INDEX(activity!F:F,MATCH(use_fish!C33,activity!A:A,0)),0)</f>
        <v>200</v>
      </c>
      <c r="J33" s="33">
        <v>1</v>
      </c>
      <c r="K33" s="33">
        <f>LOOKUP(use_fish!B33,base_fish!A:A,base_fish!G:G)</f>
        <v>0</v>
      </c>
      <c r="L33" s="33">
        <f t="shared" ref="L33:L39" si="8">I33</f>
        <v>200</v>
      </c>
      <c r="M33" s="33">
        <v>1</v>
      </c>
      <c r="N33" s="33">
        <v>1</v>
      </c>
      <c r="O33" s="33">
        <v>1</v>
      </c>
    </row>
    <row r="34" s="33" customFormat="1" spans="1:15">
      <c r="A34" s="48">
        <v>33</v>
      </c>
      <c r="B34" s="48">
        <v>33</v>
      </c>
      <c r="C34" s="48">
        <v>33</v>
      </c>
      <c r="D34" s="48"/>
      <c r="E34" s="49">
        <f>LOOKUP(use_fish!B34,base_fish!A:A,base_fish!C:C)+_xlfn.IFNA(INDEX(activity!F:F,MATCH(use_fish!C34,activity!A:A,0)),0)</f>
        <v>300</v>
      </c>
      <c r="F34" s="49">
        <f t="shared" si="7"/>
        <v>0.00333333333333333</v>
      </c>
      <c r="G34" s="49" t="s">
        <v>243</v>
      </c>
      <c r="H34" s="50" t="str">
        <f>INDEX(base_fish!E:E,MATCH(use_fish!B34,base_fish!A:A,0))&amp;_xlfn.IFNA("+"&amp;INDEX(activity!G:G,MATCH(use_fish!C34,activity!A:A,0)),"")</f>
        <v>美人鱼+疯狂6选一</v>
      </c>
      <c r="I34" s="49">
        <f>LOOKUP(use_fish!B34,base_fish!A:A,base_fish!F:F)+_xlfn.IFNA(INDEX(activity!F:F,MATCH(use_fish!C34,activity!A:A,0)),0)</f>
        <v>300</v>
      </c>
      <c r="J34" s="33">
        <v>1</v>
      </c>
      <c r="K34" s="33">
        <f>LOOKUP(use_fish!B34,base_fish!A:A,base_fish!G:G)</f>
        <v>0</v>
      </c>
      <c r="L34" s="33">
        <f t="shared" si="8"/>
        <v>300</v>
      </c>
      <c r="M34" s="33">
        <v>1</v>
      </c>
      <c r="N34" s="33">
        <v>1</v>
      </c>
      <c r="O34" s="33">
        <v>1</v>
      </c>
    </row>
    <row r="35" s="33" customFormat="1" spans="1:15">
      <c r="A35" s="48">
        <v>34</v>
      </c>
      <c r="B35" s="48">
        <v>34</v>
      </c>
      <c r="C35" s="48">
        <v>37</v>
      </c>
      <c r="D35" s="48"/>
      <c r="E35" s="49">
        <f>LOOKUP(use_fish!B35,base_fish!A:A,base_fish!C:C)+_xlfn.IFNA(INDEX(activity!F:F,MATCH(use_fish!C35,activity!A:A,0)),0)</f>
        <v>200</v>
      </c>
      <c r="F35" s="49">
        <f t="shared" si="7"/>
        <v>0.005</v>
      </c>
      <c r="G35" s="49" t="s">
        <v>243</v>
      </c>
      <c r="H35" s="50" t="str">
        <f>INDEX(base_fish!E:E,MATCH(use_fish!B35,base_fish!A:A,0))&amp;_xlfn.IFNA("+"&amp;INDEX(activity!G:G,MATCH(use_fish!C35,activity!A:A,0)),"")</f>
        <v>骰子龟+骰子龟</v>
      </c>
      <c r="I35" s="49">
        <v>20</v>
      </c>
      <c r="J35" s="33">
        <v>1</v>
      </c>
      <c r="K35" s="33">
        <f>LOOKUP(use_fish!B35,base_fish!A:A,base_fish!G:G)</f>
        <v>0</v>
      </c>
      <c r="L35" s="33">
        <f t="shared" si="8"/>
        <v>20</v>
      </c>
      <c r="M35" s="33">
        <v>1</v>
      </c>
      <c r="N35" s="33">
        <v>1</v>
      </c>
      <c r="O35" s="33">
        <v>1</v>
      </c>
    </row>
    <row r="36" s="33" customFormat="1" spans="1:15">
      <c r="A36" s="48">
        <v>35</v>
      </c>
      <c r="B36" s="48">
        <v>35</v>
      </c>
      <c r="C36" s="48">
        <v>30</v>
      </c>
      <c r="D36" s="48"/>
      <c r="E36" s="49">
        <f>LOOKUP(use_fish!B36,base_fish!A:A,base_fish!C:C)+_xlfn.IFNA(INDEX(activity!F:F,MATCH(use_fish!C36,activity!A:A,0)),0)</f>
        <v>300</v>
      </c>
      <c r="F36" s="49">
        <f t="shared" si="7"/>
        <v>0.00333333333333333</v>
      </c>
      <c r="G36" s="49" t="s">
        <v>243</v>
      </c>
      <c r="H36" s="50" t="str">
        <f>INDEX(base_fish!E:E,MATCH(use_fish!B36,base_fish!A:A,0))&amp;_xlfn.IFNA("+"&amp;INDEX(activity!G:G,MATCH(use_fish!C36,activity!A:A,0)),"")</f>
        <v>金龙转盘+连环转盘</v>
      </c>
      <c r="I36" s="49">
        <f>LOOKUP(use_fish!B36,base_fish!A:A,base_fish!F:F)+_xlfn.IFNA(INDEX(activity!F:F,MATCH(use_fish!C36,activity!A:A,0)),0)</f>
        <v>300</v>
      </c>
      <c r="J36" s="33">
        <v>1</v>
      </c>
      <c r="K36" s="33">
        <f>LOOKUP(use_fish!B36,base_fish!A:A,base_fish!G:G)</f>
        <v>0</v>
      </c>
      <c r="L36" s="33">
        <f t="shared" si="8"/>
        <v>300</v>
      </c>
      <c r="M36" s="33">
        <v>1</v>
      </c>
      <c r="N36" s="33">
        <v>1</v>
      </c>
      <c r="O36" s="33">
        <v>1</v>
      </c>
    </row>
    <row r="37" s="33" customFormat="1" spans="1:15">
      <c r="A37" s="48">
        <v>36</v>
      </c>
      <c r="B37" s="48">
        <v>36</v>
      </c>
      <c r="C37" s="48">
        <v>36</v>
      </c>
      <c r="D37" s="48"/>
      <c r="E37" s="49">
        <f>LOOKUP(use_fish!B37,base_fish!A:A,base_fish!C:C)+_xlfn.IFNA(INDEX(activity!F:F,MATCH(use_fish!C37,activity!A:A,0)),0)</f>
        <v>300</v>
      </c>
      <c r="F37" s="49">
        <f t="shared" si="7"/>
        <v>0.00333333333333333</v>
      </c>
      <c r="G37" s="49" t="s">
        <v>243</v>
      </c>
      <c r="H37" s="50" t="str">
        <f>INDEX(base_fish!E:E,MATCH(use_fish!B37,base_fish!A:A,0))&amp;_xlfn.IFNA("+"&amp;INDEX(activity!G:G,MATCH(use_fish!C37,activity!A:A,0)),"")</f>
        <v>炽火龙王+炽火龙王</v>
      </c>
      <c r="I37" s="49">
        <f>LOOKUP(use_fish!B37,base_fish!A:A,base_fish!F:F)+_xlfn.IFNA(INDEX(activity!F:F,MATCH(use_fish!C37,activity!A:A,0)),0)</f>
        <v>300</v>
      </c>
      <c r="J37" s="33">
        <v>1</v>
      </c>
      <c r="K37" s="33">
        <f>LOOKUP(use_fish!B37,base_fish!A:A,base_fish!G:G)</f>
        <v>0</v>
      </c>
      <c r="L37" s="33">
        <f t="shared" si="8"/>
        <v>300</v>
      </c>
      <c r="M37" s="33">
        <v>1</v>
      </c>
      <c r="N37" s="33">
        <v>1</v>
      </c>
      <c r="O37" s="33">
        <v>1</v>
      </c>
    </row>
    <row r="38" s="33" customFormat="1" spans="1:15">
      <c r="A38" s="48">
        <v>37</v>
      </c>
      <c r="B38" s="48">
        <v>37</v>
      </c>
      <c r="C38" s="48"/>
      <c r="D38" s="51"/>
      <c r="E38" s="49">
        <f>LOOKUP(use_fish!B38,base_fish!A:A,base_fish!C:C)+_xlfn.IFNA(INDEX(activity!F:F,MATCH(use_fish!C38,activity!A:A,0)),0)</f>
        <v>0</v>
      </c>
      <c r="F38" s="49">
        <v>0</v>
      </c>
      <c r="G38" s="49" t="s">
        <v>243</v>
      </c>
      <c r="H38" s="50" t="str">
        <f>INDEX(base_fish!E:E,MATCH(use_fish!B38,base_fish!A:A,0))&amp;_xlfn.IFNA("+"&amp;INDEX(activity!G:G,MATCH(use_fish!C38,activity!A:A,0)),"")</f>
        <v>财神</v>
      </c>
      <c r="I38" s="49">
        <f>LOOKUP(use_fish!B38,base_fish!A:A,base_fish!F:F)+_xlfn.IFNA(INDEX(activity!F:F,MATCH(use_fish!C38,activity!A:A,0)),0)</f>
        <v>0</v>
      </c>
      <c r="J38" s="33">
        <v>1</v>
      </c>
      <c r="K38" s="33">
        <f>LOOKUP(use_fish!B38,base_fish!A:A,base_fish!G:G)</f>
        <v>0</v>
      </c>
      <c r="L38" s="33">
        <f t="shared" si="8"/>
        <v>0</v>
      </c>
      <c r="M38" s="33">
        <v>1</v>
      </c>
      <c r="N38" s="33">
        <v>1</v>
      </c>
      <c r="O38" s="33">
        <v>1</v>
      </c>
    </row>
    <row r="39" s="25" customFormat="1" spans="1:15">
      <c r="A39" s="52">
        <v>38</v>
      </c>
      <c r="B39" s="52">
        <v>38</v>
      </c>
      <c r="C39" s="52">
        <v>26</v>
      </c>
      <c r="D39" s="52" t="s">
        <v>249</v>
      </c>
      <c r="E39" s="12">
        <f>LOOKUP(use_fish!B39,base_fish!A:A,base_fish!C:C)+_xlfn.IFNA(INDEX(activity!F:F,MATCH(use_fish!C39,activity!A:A,0)),0)</f>
        <v>102</v>
      </c>
      <c r="F39" s="12">
        <f t="shared" si="7"/>
        <v>0.00980392156862745</v>
      </c>
      <c r="G39" s="12" t="s">
        <v>243</v>
      </c>
      <c r="H39" s="53" t="str">
        <f>INDEX(base_fish!E:E,MATCH(use_fish!B39,base_fish!A:A,0))&amp;_xlfn.IFNA("+"&amp;INDEX(activity!G:G,MATCH(use_fish!C39,activity!A:A,0)),"")</f>
        <v>黄金巨龙+彩贝-场次1</v>
      </c>
      <c r="I39" s="12">
        <f>LOOKUP(use_fish!B39,base_fish!A:A,base_fish!F:F)+_xlfn.IFNA(INDEX(activity!F:F,MATCH(use_fish!C39,activity!A:A,0)),0)</f>
        <v>102</v>
      </c>
      <c r="J39" s="25">
        <v>1</v>
      </c>
      <c r="K39" s="25">
        <f>LOOKUP(use_fish!B39,base_fish!A:A,base_fish!G:G)</f>
        <v>0</v>
      </c>
      <c r="L39" s="25">
        <f t="shared" si="8"/>
        <v>102</v>
      </c>
      <c r="M39" s="25">
        <v>2</v>
      </c>
      <c r="N39" s="25">
        <v>2</v>
      </c>
      <c r="O39" s="25">
        <v>1</v>
      </c>
    </row>
    <row r="40" s="25" customFormat="1" spans="1:15">
      <c r="A40" s="52">
        <v>39</v>
      </c>
      <c r="B40" s="52">
        <v>39</v>
      </c>
      <c r="C40" s="52">
        <v>25</v>
      </c>
      <c r="D40" s="52" t="s">
        <v>250</v>
      </c>
      <c r="E40" s="12">
        <f>LOOKUP(use_fish!B40,base_fish!A:A,base_fish!C:C)+_xlfn.IFNA(INDEX(activity!F:F,MATCH(use_fish!C40,activity!A:A,0)),0)</f>
        <v>105</v>
      </c>
      <c r="F40" s="12">
        <f t="shared" ref="F40:F44" si="9">1/E40</f>
        <v>0.00952380952380952</v>
      </c>
      <c r="G40" s="12" t="s">
        <v>243</v>
      </c>
      <c r="H40" s="53" t="str">
        <f>INDEX(base_fish!E:E,MATCH(use_fish!B40,base_fish!A:A,0))&amp;_xlfn.IFNA("+"&amp;INDEX(activity!G:G,MATCH(use_fish!C40,activity!A:A,0)),"")</f>
        <v>霸王蟹+彩贝-试炼场</v>
      </c>
      <c r="I40" s="12">
        <f>LOOKUP(use_fish!B40,base_fish!A:A,base_fish!F:F)+_xlfn.IFNA(INDEX(activity!F:F,MATCH(use_fish!C40,activity!A:A,0)),0)</f>
        <v>105</v>
      </c>
      <c r="J40" s="25">
        <v>1</v>
      </c>
      <c r="K40" s="25">
        <f>LOOKUP(use_fish!B40,base_fish!A:A,base_fish!G:G)</f>
        <v>0</v>
      </c>
      <c r="L40" s="25">
        <f t="shared" ref="L40:L45" si="10">I40</f>
        <v>105</v>
      </c>
      <c r="M40" s="25">
        <v>1</v>
      </c>
      <c r="N40" s="25">
        <v>2</v>
      </c>
      <c r="O40" s="25">
        <v>1</v>
      </c>
    </row>
    <row r="41" s="25" customFormat="1" spans="1:15">
      <c r="A41" s="52">
        <v>40</v>
      </c>
      <c r="B41" s="52">
        <v>40</v>
      </c>
      <c r="C41" s="52">
        <v>41</v>
      </c>
      <c r="D41" s="52" t="s">
        <v>251</v>
      </c>
      <c r="E41" s="12">
        <f>LOOKUP(use_fish!B41,base_fish!A:A,base_fish!C:C)+_xlfn.IFNA(INDEX(activity!F:F,MATCH(use_fish!C41,activity!A:A,0)),0)</f>
        <v>302</v>
      </c>
      <c r="F41" s="12">
        <f t="shared" si="9"/>
        <v>0.0033112582781457</v>
      </c>
      <c r="G41" s="12" t="s">
        <v>243</v>
      </c>
      <c r="H41" s="53" t="str">
        <f>INDEX(base_fish!E:E,MATCH(use_fish!B41,base_fish!A:A,0))&amp;_xlfn.IFNA("+"&amp;INDEX(activity!G:G,MATCH(use_fish!C41,activity!A:A,0)),"")</f>
        <v>深海鲸+彩贝-场次4</v>
      </c>
      <c r="I41" s="12">
        <f>LOOKUP(use_fish!B41,base_fish!A:A,base_fish!F:F)+_xlfn.IFNA(INDEX(activity!F:F,MATCH(use_fish!C41,activity!A:A,0)),0)</f>
        <v>302</v>
      </c>
      <c r="J41" s="25">
        <v>1</v>
      </c>
      <c r="K41" s="25">
        <f>LOOKUP(use_fish!B41,base_fish!A:A,base_fish!G:G)</f>
        <v>0</v>
      </c>
      <c r="L41" s="25">
        <f t="shared" si="10"/>
        <v>302</v>
      </c>
      <c r="M41" s="25">
        <v>1</v>
      </c>
      <c r="N41" s="25">
        <v>2</v>
      </c>
      <c r="O41" s="25">
        <v>1</v>
      </c>
    </row>
    <row r="42" s="25" customFormat="1" spans="1:15">
      <c r="A42" s="52">
        <v>41</v>
      </c>
      <c r="B42" s="52">
        <v>41</v>
      </c>
      <c r="C42" s="52">
        <v>27</v>
      </c>
      <c r="D42" s="52" t="s">
        <v>250</v>
      </c>
      <c r="E42" s="12">
        <f>LOOKUP(use_fish!B42,base_fish!A:A,base_fish!C:C)+_xlfn.IFNA(INDEX(activity!F:F,MATCH(use_fish!C42,activity!A:A,0)),0)</f>
        <v>206</v>
      </c>
      <c r="F42" s="12">
        <f t="shared" si="9"/>
        <v>0.00485436893203883</v>
      </c>
      <c r="G42" s="12" t="s">
        <v>243</v>
      </c>
      <c r="H42" s="53" t="str">
        <f>INDEX(base_fish!E:E,MATCH(use_fish!B42,base_fish!A:A,0))&amp;_xlfn.IFNA("+"&amp;INDEX(activity!G:G,MATCH(use_fish!C42,activity!A:A,0)),"")</f>
        <v>鲨鱼武士+彩贝-场次2</v>
      </c>
      <c r="I42" s="12">
        <f>LOOKUP(use_fish!B42,base_fish!A:A,base_fish!F:F)+_xlfn.IFNA(INDEX(activity!F:F,MATCH(use_fish!C42,activity!A:A,0)),0)</f>
        <v>206</v>
      </c>
      <c r="J42" s="25">
        <v>1</v>
      </c>
      <c r="K42" s="25">
        <f>LOOKUP(use_fish!B42,base_fish!A:A,base_fish!G:G)</f>
        <v>0</v>
      </c>
      <c r="L42" s="25">
        <f t="shared" si="10"/>
        <v>206</v>
      </c>
      <c r="M42" s="25">
        <v>1</v>
      </c>
      <c r="N42" s="25">
        <v>2</v>
      </c>
      <c r="O42" s="25">
        <v>1</v>
      </c>
    </row>
    <row r="43" s="34" customFormat="1" spans="1:15">
      <c r="A43" s="54">
        <v>42</v>
      </c>
      <c r="B43" s="54">
        <v>42</v>
      </c>
      <c r="C43" s="54"/>
      <c r="D43" s="54"/>
      <c r="E43" s="55">
        <f>LOOKUP(use_fish!B43,base_fish!A:A,base_fish!C:C)+_xlfn.IFNA(INDEX(activity!F:F,MATCH(use_fish!C43,activity!A:A,0)),0)</f>
        <v>0</v>
      </c>
      <c r="F43" s="55">
        <v>0</v>
      </c>
      <c r="G43" s="55" t="s">
        <v>243</v>
      </c>
      <c r="H43" s="56" t="str">
        <f>INDEX(base_fish!E:E,MATCH(use_fish!B43,base_fish!A:A,0))&amp;_xlfn.IFNA("+"&amp;INDEX(activity!G:G,MATCH(use_fish!C43,activity!A:A,0)),"")</f>
        <v>荧光女皇</v>
      </c>
      <c r="I43" s="55">
        <f>LOOKUP(use_fish!B43,base_fish!A:A,base_fish!F:F)+_xlfn.IFNA(INDEX(activity!F:F,MATCH(use_fish!C43,activity!A:A,0)),0)</f>
        <v>0</v>
      </c>
      <c r="J43" s="34">
        <v>1</v>
      </c>
      <c r="K43" s="34">
        <f>LOOKUP(use_fish!B43,base_fish!A:A,base_fish!G:G)</f>
        <v>0</v>
      </c>
      <c r="L43" s="34">
        <f t="shared" si="10"/>
        <v>0</v>
      </c>
      <c r="M43" s="34">
        <v>1</v>
      </c>
      <c r="N43" s="34">
        <v>2</v>
      </c>
      <c r="O43" s="34">
        <v>1</v>
      </c>
    </row>
    <row r="44" s="25" customFormat="1" spans="1:15">
      <c r="A44" s="52">
        <v>43</v>
      </c>
      <c r="B44" s="52">
        <v>43</v>
      </c>
      <c r="C44" s="52">
        <v>40</v>
      </c>
      <c r="D44" s="52" t="s">
        <v>251</v>
      </c>
      <c r="E44" s="12">
        <f>LOOKUP(use_fish!B44,base_fish!A:A,base_fish!C:C)+_xlfn.IFNA(INDEX(activity!F:F,MATCH(use_fish!C44,activity!A:A,0)),0)</f>
        <v>202</v>
      </c>
      <c r="F44" s="12">
        <f t="shared" si="9"/>
        <v>0.00495049504950495</v>
      </c>
      <c r="G44" s="12" t="s">
        <v>243</v>
      </c>
      <c r="H44" s="53" t="str">
        <f>INDEX(base_fish!E:E,MATCH(use_fish!B44,base_fish!A:A,0))&amp;_xlfn.IFNA("+"&amp;INDEX(activity!G:G,MATCH(use_fish!C44,activity!A:A,0)),"")</f>
        <v>龙龟+彩贝-场次3</v>
      </c>
      <c r="I44" s="12">
        <f>LOOKUP(use_fish!B44,base_fish!A:A,base_fish!F:F)+_xlfn.IFNA(INDEX(activity!F:F,MATCH(use_fish!C44,activity!A:A,0)),0)</f>
        <v>202</v>
      </c>
      <c r="J44" s="25">
        <v>1</v>
      </c>
      <c r="K44" s="25">
        <f>LOOKUP(use_fish!B44,base_fish!A:A,base_fish!G:G)</f>
        <v>0</v>
      </c>
      <c r="L44" s="25">
        <f t="shared" si="10"/>
        <v>202</v>
      </c>
      <c r="M44" s="25">
        <v>1</v>
      </c>
      <c r="N44" s="25">
        <v>2</v>
      </c>
      <c r="O44" s="25">
        <v>1</v>
      </c>
    </row>
    <row r="45" s="34" customFormat="1" spans="1:15">
      <c r="A45" s="54">
        <v>44</v>
      </c>
      <c r="B45" s="54">
        <v>44</v>
      </c>
      <c r="C45" s="54"/>
      <c r="D45" s="54"/>
      <c r="E45" s="55">
        <f>LOOKUP(use_fish!B45,base_fish!A:A,base_fish!C:C)+_xlfn.IFNA(INDEX(activity!F:F,MATCH(use_fish!C45,activity!A:A,0)),0)</f>
        <v>0</v>
      </c>
      <c r="F45" s="55">
        <v>0</v>
      </c>
      <c r="G45" s="55" t="s">
        <v>243</v>
      </c>
      <c r="H45" s="56" t="str">
        <f>INDEX(base_fish!E:E,MATCH(use_fish!B45,base_fish!A:A,0))&amp;_xlfn.IFNA("+"&amp;INDEX(activity!G:G,MATCH(use_fish!C45,activity!A:A,0)),"")</f>
        <v>麒麟兽</v>
      </c>
      <c r="I45" s="55">
        <f>LOOKUP(use_fish!B45,base_fish!A:A,base_fish!F:F)+_xlfn.IFNA(INDEX(activity!F:F,MATCH(use_fish!C45,activity!A:A,0)),0)</f>
        <v>0</v>
      </c>
      <c r="J45" s="34">
        <v>1</v>
      </c>
      <c r="K45" s="34">
        <f>LOOKUP(use_fish!B45,base_fish!A:A,base_fish!G:G)</f>
        <v>0</v>
      </c>
      <c r="L45" s="34">
        <f t="shared" si="10"/>
        <v>0</v>
      </c>
      <c r="M45" s="34">
        <v>2</v>
      </c>
      <c r="N45" s="34">
        <v>2</v>
      </c>
      <c r="O45" s="34">
        <v>1</v>
      </c>
    </row>
    <row r="46" s="34" customFormat="1" spans="1:15">
      <c r="A46" s="54">
        <v>45</v>
      </c>
      <c r="B46" s="54">
        <v>45</v>
      </c>
      <c r="C46" s="54"/>
      <c r="D46" s="54"/>
      <c r="E46" s="55">
        <f>LOOKUP(use_fish!B46,base_fish!A:A,base_fish!C:C)+_xlfn.IFNA(INDEX(activity!F:F,MATCH(use_fish!C46,activity!A:A,0)),0)</f>
        <v>0</v>
      </c>
      <c r="F46" s="55">
        <v>0</v>
      </c>
      <c r="G46" s="55" t="s">
        <v>243</v>
      </c>
      <c r="H46" s="56" t="str">
        <f>INDEX(base_fish!E:E,MATCH(use_fish!B46,base_fish!A:A,0))&amp;_xlfn.IFNA("+"&amp;INDEX(activity!G:G,MATCH(use_fish!C46,activity!A:A,0)),"")</f>
        <v>海盗船</v>
      </c>
      <c r="I46" s="55">
        <f>LOOKUP(use_fish!B46,base_fish!A:A,base_fish!F:F)+_xlfn.IFNA(INDEX(activity!F:F,MATCH(use_fish!C46,activity!A:A,0)),0)</f>
        <v>0</v>
      </c>
      <c r="J46" s="34">
        <v>1</v>
      </c>
      <c r="K46" s="34">
        <f>LOOKUP(use_fish!B46,base_fish!A:A,base_fish!G:G)</f>
        <v>0</v>
      </c>
      <c r="L46" s="34">
        <f t="shared" ref="L46:L50" si="11">I46</f>
        <v>0</v>
      </c>
      <c r="M46" s="34">
        <v>1</v>
      </c>
      <c r="N46" s="34">
        <v>2</v>
      </c>
      <c r="O46" s="34">
        <v>1</v>
      </c>
    </row>
    <row r="47" s="35" customFormat="1" spans="1:15">
      <c r="A47" s="57">
        <v>46</v>
      </c>
      <c r="B47" s="57">
        <v>46</v>
      </c>
      <c r="C47" s="57"/>
      <c r="D47" s="57" t="s">
        <v>249</v>
      </c>
      <c r="E47" s="58">
        <f>LOOKUP(use_fish!B47,base_fish!A:A,base_fish!C:C)+_xlfn.IFNA(INDEX(activity!F:F,MATCH(use_fish!C47,activity!A:A,0)),0)</f>
        <v>200</v>
      </c>
      <c r="F47" s="58">
        <f t="shared" ref="F47:F50" si="12">1/E47</f>
        <v>0.005</v>
      </c>
      <c r="G47" s="58" t="s">
        <v>243</v>
      </c>
      <c r="H47" s="59" t="str">
        <f>INDEX(base_fish!E:E,MATCH(use_fish!B47,base_fish!A:A,0))&amp;_xlfn.IFNA("+"&amp;INDEX(activity!G:G,MATCH(use_fish!C47,activity!A:A,0)),"")</f>
        <v>金蟾</v>
      </c>
      <c r="I47" s="58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="35" customFormat="1" spans="1:15">
      <c r="A48" s="57">
        <v>47</v>
      </c>
      <c r="B48" s="57">
        <v>47</v>
      </c>
      <c r="C48" s="57">
        <v>34</v>
      </c>
      <c r="D48" s="57" t="s">
        <v>249</v>
      </c>
      <c r="E48" s="58">
        <f>LOOKUP(use_fish!B48,base_fish!A:A,base_fish!C:C)+_xlfn.IFNA(INDEX(activity!F:F,MATCH(use_fish!C48,activity!A:A,0)),0)</f>
        <v>300</v>
      </c>
      <c r="F48" s="58">
        <f t="shared" si="12"/>
        <v>0.00333333333333333</v>
      </c>
      <c r="G48" s="58" t="s">
        <v>243</v>
      </c>
      <c r="H48" s="59" t="str">
        <f>INDEX(base_fish!E:E,MATCH(use_fish!B48,base_fish!A:A,0))&amp;_xlfn.IFNA("+"&amp;INDEX(activity!G:G,MATCH(use_fish!C48,activity!A:A,0)),"")</f>
        <v>深海狂鲨+吞噬天下</v>
      </c>
      <c r="I48" s="58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="35" customFormat="1" spans="1:15">
      <c r="A49" s="57">
        <v>48</v>
      </c>
      <c r="B49" s="57">
        <v>48</v>
      </c>
      <c r="C49" s="57">
        <v>17</v>
      </c>
      <c r="D49" s="57" t="s">
        <v>249</v>
      </c>
      <c r="E49" s="58">
        <f>LOOKUP(use_fish!B49,base_fish!A:A,base_fish!C:C)+_xlfn.IFNA(INDEX(activity!F:F,MATCH(use_fish!C49,activity!A:A,0)),0)</f>
        <v>400</v>
      </c>
      <c r="F49" s="58">
        <f t="shared" si="12"/>
        <v>0.0025</v>
      </c>
      <c r="G49" s="58" t="s">
        <v>243</v>
      </c>
      <c r="H49" s="59" t="str">
        <f>INDEX(base_fish!E:E,MATCH(use_fish!B49,base_fish!A:A,0))&amp;_xlfn.IFNA("+"&amp;INDEX(activity!G:G,MATCH(use_fish!C49,activity!A:A,0)),"")</f>
        <v>鳄鱼+宝箱</v>
      </c>
      <c r="I49" s="58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="35" customFormat="1" spans="1:15">
      <c r="A50" s="57">
        <v>49</v>
      </c>
      <c r="B50" s="57">
        <v>49</v>
      </c>
      <c r="C50" s="57">
        <v>35</v>
      </c>
      <c r="D50" s="57" t="s">
        <v>252</v>
      </c>
      <c r="E50" s="58">
        <f>LOOKUP(use_fish!B50,base_fish!A:A,base_fish!C:C)+_xlfn.IFNA(INDEX(activity!F:F,MATCH(use_fish!C50,activity!A:A,0)),0)</f>
        <v>400</v>
      </c>
      <c r="F50" s="58">
        <f t="shared" si="12"/>
        <v>0.0025</v>
      </c>
      <c r="G50" s="58" t="s">
        <v>243</v>
      </c>
      <c r="H50" s="59" t="str">
        <f>INDEX(base_fish!E:E,MATCH(use_fish!B50,base_fish!A:A,0))&amp;_xlfn.IFNA("+"&amp;INDEX(activity!G:G,MATCH(use_fish!C50,activity!A:A,0)),"")</f>
        <v>大王乌贼+连环炸弹</v>
      </c>
      <c r="I50" s="58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="35" customFormat="1" spans="1:15">
      <c r="A51" s="57">
        <v>50</v>
      </c>
      <c r="B51" s="57">
        <v>50</v>
      </c>
      <c r="C51" s="57"/>
      <c r="D51" s="57"/>
      <c r="E51" s="58">
        <v>0</v>
      </c>
      <c r="F51" s="57">
        <v>0</v>
      </c>
      <c r="G51" s="58" t="s">
        <v>243</v>
      </c>
      <c r="H51" s="35" t="s">
        <v>253</v>
      </c>
      <c r="I51" s="58">
        <v>0</v>
      </c>
      <c r="J51" s="35">
        <v>3</v>
      </c>
      <c r="K51" s="58">
        <v>0</v>
      </c>
      <c r="L51" s="58">
        <v>0</v>
      </c>
      <c r="M51" s="58">
        <v>1</v>
      </c>
      <c r="N51" s="35">
        <v>0</v>
      </c>
      <c r="O51" s="35">
        <v>3</v>
      </c>
    </row>
    <row r="52" s="30" customFormat="1" spans="1:15">
      <c r="A52" s="39">
        <v>51</v>
      </c>
      <c r="B52" s="39">
        <v>11</v>
      </c>
      <c r="C52" s="39">
        <v>42</v>
      </c>
      <c r="D52" s="39"/>
      <c r="E52" s="40">
        <f>LOOKUP(use_fish!B52,base_fish!A:A,base_fish!C:C)+_xlfn.IFNA(INDEX(activity!F:F,MATCH(use_fish!C52,activity!A:A,0)),0)</f>
        <v>45</v>
      </c>
      <c r="F52" s="40">
        <f t="shared" ref="F52:F65" si="13">1/E52</f>
        <v>0.0222222222222222</v>
      </c>
      <c r="G52" s="40" t="s">
        <v>243</v>
      </c>
      <c r="H52" s="41" t="str">
        <f>INDEX(base_fish!E:E,MATCH(use_fish!B52,base_fish!A:A,0))&amp;_xlfn.IFNA("+"&amp;INDEX(activity!G:G,MATCH(use_fish!C52,activity!A:A,0)),"")</f>
        <v>小海龟+炸弹</v>
      </c>
      <c r="I52" s="40">
        <f>LOOKUP(use_fish!B52,base_fish!A:A,base_fish!F:F)+_xlfn.IFNA(INDEX(activity!F:F,MATCH(use_fish!C52,activity!A:A,0)),0)</f>
        <v>45</v>
      </c>
      <c r="J52" s="30">
        <v>1</v>
      </c>
      <c r="K52" s="30">
        <f>LOOKUP(use_fish!B52,base_fish!A:A,base_fish!G:G)</f>
        <v>0</v>
      </c>
      <c r="L52" s="30">
        <f t="shared" ref="L52:L65" si="14">I52</f>
        <v>45</v>
      </c>
      <c r="M52" s="30">
        <v>1</v>
      </c>
      <c r="N52" s="30">
        <f t="shared" ref="N52:N57" si="15">IF(OR(C52=4,C52=5),1,0)</f>
        <v>0</v>
      </c>
      <c r="O52" s="30">
        <v>1</v>
      </c>
    </row>
    <row r="53" s="31" customFormat="1" spans="1:15">
      <c r="A53" s="42">
        <v>52</v>
      </c>
      <c r="B53" s="42">
        <v>12</v>
      </c>
      <c r="C53" s="42">
        <v>42</v>
      </c>
      <c r="D53" s="42"/>
      <c r="E53" s="43">
        <f>LOOKUP(use_fish!B53,base_fish!A:A,base_fish!C:C)+_xlfn.IFNA(INDEX(activity!F:F,MATCH(use_fish!C53,activity!A:A,0)),0)</f>
        <v>48</v>
      </c>
      <c r="F53" s="43">
        <f t="shared" si="13"/>
        <v>0.0208333333333333</v>
      </c>
      <c r="G53" s="43" t="s">
        <v>243</v>
      </c>
      <c r="H53" s="44" t="str">
        <f>INDEX(base_fish!E:E,MATCH(use_fish!B53,base_fish!A:A,0))&amp;_xlfn.IFNA("+"&amp;INDEX(activity!G:G,MATCH(use_fish!C53,activity!A:A,0)),"")</f>
        <v>狮子鱼+炸弹</v>
      </c>
      <c r="I53" s="43">
        <f>LOOKUP(use_fish!B53,base_fish!A:A,base_fish!F:F)+_xlfn.IFNA(INDEX(activity!F:F,MATCH(use_fish!C53,activity!A:A,0)),0)</f>
        <v>48</v>
      </c>
      <c r="J53" s="31">
        <v>1</v>
      </c>
      <c r="K53" s="31">
        <f>LOOKUP(use_fish!B53,base_fish!A:A,base_fish!G:G)</f>
        <v>0</v>
      </c>
      <c r="L53" s="31">
        <f t="shared" si="14"/>
        <v>48</v>
      </c>
      <c r="M53" s="31">
        <v>1</v>
      </c>
      <c r="N53" s="31">
        <f t="shared" si="15"/>
        <v>0</v>
      </c>
      <c r="O53" s="31">
        <v>1</v>
      </c>
    </row>
    <row r="54" s="31" customFormat="1" spans="1:15">
      <c r="A54" s="42">
        <v>53</v>
      </c>
      <c r="B54" s="42">
        <v>13</v>
      </c>
      <c r="C54" s="42">
        <v>42</v>
      </c>
      <c r="D54" s="42"/>
      <c r="E54" s="43">
        <f>LOOKUP(use_fish!B54,base_fish!A:A,base_fish!C:C)+_xlfn.IFNA(INDEX(activity!F:F,MATCH(use_fish!C54,activity!A:A,0)),0)</f>
        <v>50</v>
      </c>
      <c r="F54" s="43">
        <f t="shared" si="13"/>
        <v>0.02</v>
      </c>
      <c r="G54" s="43" t="s">
        <v>243</v>
      </c>
      <c r="H54" s="44" t="str">
        <f>INDEX(base_fish!E:E,MATCH(use_fish!B54,base_fish!A:A,0))&amp;_xlfn.IFNA("+"&amp;INDEX(activity!G:G,MATCH(use_fish!C54,activity!A:A,0)),"")</f>
        <v>蝴蝶鱼+炸弹</v>
      </c>
      <c r="I54" s="43">
        <f>LOOKUP(use_fish!B54,base_fish!A:A,base_fish!F:F)+_xlfn.IFNA(INDEX(activity!F:F,MATCH(use_fish!C54,activity!A:A,0)),0)</f>
        <v>50</v>
      </c>
      <c r="J54" s="31">
        <v>1</v>
      </c>
      <c r="K54" s="31">
        <f>LOOKUP(use_fish!B54,base_fish!A:A,base_fish!G:G)</f>
        <v>0</v>
      </c>
      <c r="L54" s="31">
        <f t="shared" si="14"/>
        <v>50</v>
      </c>
      <c r="M54" s="31">
        <v>1</v>
      </c>
      <c r="N54" s="31">
        <f t="shared" si="15"/>
        <v>0</v>
      </c>
      <c r="O54" s="31">
        <v>1</v>
      </c>
    </row>
    <row r="55" s="31" customFormat="1" spans="1:15">
      <c r="A55" s="42">
        <v>54</v>
      </c>
      <c r="B55" s="42">
        <v>14</v>
      </c>
      <c r="C55" s="42">
        <v>42</v>
      </c>
      <c r="D55" s="42"/>
      <c r="E55" s="43">
        <f>LOOKUP(use_fish!B55,base_fish!A:A,base_fish!C:C)+_xlfn.IFNA(INDEX(activity!F:F,MATCH(use_fish!C55,activity!A:A,0)),0)</f>
        <v>55</v>
      </c>
      <c r="F55" s="43">
        <f t="shared" si="13"/>
        <v>0.0181818181818182</v>
      </c>
      <c r="G55" s="43" t="s">
        <v>243</v>
      </c>
      <c r="H55" s="44" t="str">
        <f>INDEX(base_fish!E:E,MATCH(use_fish!B55,base_fish!A:A,0))&amp;_xlfn.IFNA("+"&amp;INDEX(activity!G:G,MATCH(use_fish!C55,activity!A:A,0)),"")</f>
        <v>巨大小丑鱼+炸弹</v>
      </c>
      <c r="I55" s="43">
        <f>LOOKUP(use_fish!B55,base_fish!A:A,base_fish!F:F)+_xlfn.IFNA(INDEX(activity!F:F,MATCH(use_fish!C55,activity!A:A,0)),0)</f>
        <v>55</v>
      </c>
      <c r="J55" s="31">
        <v>1</v>
      </c>
      <c r="K55" s="31">
        <f>LOOKUP(use_fish!B55,base_fish!A:A,base_fish!G:G)</f>
        <v>0</v>
      </c>
      <c r="L55" s="31">
        <f t="shared" si="14"/>
        <v>55</v>
      </c>
      <c r="M55" s="31">
        <v>1</v>
      </c>
      <c r="N55" s="31">
        <f t="shared" si="15"/>
        <v>0</v>
      </c>
      <c r="O55" s="31">
        <v>1</v>
      </c>
    </row>
    <row r="56" s="31" customFormat="1" spans="1:15">
      <c r="A56" s="42">
        <v>55</v>
      </c>
      <c r="B56" s="42">
        <v>15</v>
      </c>
      <c r="C56" s="42">
        <v>42</v>
      </c>
      <c r="D56" s="42"/>
      <c r="E56" s="43">
        <f>LOOKUP(use_fish!B56,base_fish!A:A,base_fish!C:C)+_xlfn.IFNA(INDEX(activity!F:F,MATCH(use_fish!C56,activity!A:A,0)),0)</f>
        <v>60</v>
      </c>
      <c r="F56" s="43">
        <f t="shared" si="13"/>
        <v>0.0166666666666667</v>
      </c>
      <c r="G56" s="43" t="s">
        <v>243</v>
      </c>
      <c r="H56" s="44" t="str">
        <f>INDEX(base_fish!E:E,MATCH(use_fish!B56,base_fish!A:A,0))&amp;_xlfn.IFNA("+"&amp;INDEX(activity!G:G,MATCH(use_fish!C56,activity!A:A,0)),"")</f>
        <v>巨大灯笼鱼+炸弹</v>
      </c>
      <c r="I56" s="43">
        <f>LOOKUP(use_fish!B56,base_fish!A:A,base_fish!F:F)+_xlfn.IFNA(INDEX(activity!F:F,MATCH(use_fish!C56,activity!A:A,0)),0)</f>
        <v>60</v>
      </c>
      <c r="J56" s="31">
        <v>1</v>
      </c>
      <c r="K56" s="31">
        <f>LOOKUP(use_fish!B56,base_fish!A:A,base_fish!G:G)</f>
        <v>0</v>
      </c>
      <c r="L56" s="31">
        <f t="shared" si="14"/>
        <v>60</v>
      </c>
      <c r="M56" s="31">
        <v>1</v>
      </c>
      <c r="N56" s="31">
        <f t="shared" si="15"/>
        <v>0</v>
      </c>
      <c r="O56" s="31">
        <v>1</v>
      </c>
    </row>
    <row r="57" s="31" customFormat="1" spans="1:15">
      <c r="A57" s="42">
        <v>56</v>
      </c>
      <c r="B57" s="42">
        <v>16</v>
      </c>
      <c r="C57" s="42">
        <v>42</v>
      </c>
      <c r="D57" s="42"/>
      <c r="E57" s="43">
        <f>LOOKUP(use_fish!B57,base_fish!A:A,base_fish!C:C)+_xlfn.IFNA(INDEX(activity!F:F,MATCH(use_fish!C57,activity!A:A,0)),0)</f>
        <v>65</v>
      </c>
      <c r="F57" s="43">
        <f t="shared" si="13"/>
        <v>0.0153846153846154</v>
      </c>
      <c r="G57" s="43" t="s">
        <v>243</v>
      </c>
      <c r="H57" s="44" t="str">
        <f>INDEX(base_fish!E:E,MATCH(use_fish!B57,base_fish!A:A,0))&amp;_xlfn.IFNA("+"&amp;INDEX(activity!G:G,MATCH(use_fish!C57,activity!A:A,0)),"")</f>
        <v>巨大燕鱼+炸弹</v>
      </c>
      <c r="I57" s="43">
        <f>LOOKUP(use_fish!B57,base_fish!A:A,base_fish!F:F)+_xlfn.IFNA(INDEX(activity!F:F,MATCH(use_fish!C57,activity!A:A,0)),0)</f>
        <v>65</v>
      </c>
      <c r="J57" s="31">
        <v>1</v>
      </c>
      <c r="K57" s="31">
        <f>LOOKUP(use_fish!B57,base_fish!A:A,base_fish!G:G)</f>
        <v>0</v>
      </c>
      <c r="L57" s="31">
        <f t="shared" si="14"/>
        <v>65</v>
      </c>
      <c r="M57" s="31">
        <v>1</v>
      </c>
      <c r="N57" s="31">
        <f t="shared" si="15"/>
        <v>0</v>
      </c>
      <c r="O57" s="31">
        <v>1</v>
      </c>
    </row>
    <row r="58" s="31" customFormat="1" spans="1:15">
      <c r="A58" s="42">
        <v>57</v>
      </c>
      <c r="B58" s="42">
        <v>17</v>
      </c>
      <c r="C58" s="42">
        <v>42</v>
      </c>
      <c r="D58" s="42"/>
      <c r="E58" s="43">
        <f>LOOKUP(use_fish!B58,base_fish!A:A,base_fish!C:C)+_xlfn.IFNA(INDEX(activity!F:F,MATCH(use_fish!C58,activity!A:A,0)),0)</f>
        <v>70</v>
      </c>
      <c r="F58" s="43">
        <f t="shared" si="13"/>
        <v>0.0142857142857143</v>
      </c>
      <c r="G58" s="43" t="s">
        <v>243</v>
      </c>
      <c r="H58" s="44" t="str">
        <f>INDEX(base_fish!E:E,MATCH(use_fish!B58,base_fish!A:A,0))&amp;_xlfn.IFNA("+"&amp;INDEX(activity!G:G,MATCH(use_fish!C58,activity!A:A,0)),"")</f>
        <v>魔鬼鱼+炸弹</v>
      </c>
      <c r="I58" s="43">
        <f>LOOKUP(use_fish!B58,base_fish!A:A,base_fish!F:F)+_xlfn.IFNA(INDEX(activity!F:F,MATCH(use_fish!C58,activity!A:A,0)),0)</f>
        <v>70</v>
      </c>
      <c r="J58" s="31">
        <v>1</v>
      </c>
      <c r="K58" s="31">
        <f>LOOKUP(use_fish!B58,base_fish!A:A,base_fish!G:G)</f>
        <v>0</v>
      </c>
      <c r="L58" s="31">
        <f t="shared" si="14"/>
        <v>70</v>
      </c>
      <c r="M58" s="31">
        <v>1</v>
      </c>
      <c r="N58" s="31">
        <v>0</v>
      </c>
      <c r="O58" s="31">
        <v>1</v>
      </c>
    </row>
    <row r="59" s="31" customFormat="1" spans="1:15">
      <c r="A59" s="42">
        <v>58</v>
      </c>
      <c r="B59" s="42">
        <v>18</v>
      </c>
      <c r="C59" s="42">
        <v>42</v>
      </c>
      <c r="D59" s="42"/>
      <c r="E59" s="43">
        <f>LOOKUP(use_fish!B59,base_fish!A:A,base_fish!C:C)+_xlfn.IFNA(INDEX(activity!F:F,MATCH(use_fish!C59,activity!A:A,0)),0)</f>
        <v>90</v>
      </c>
      <c r="F59" s="43">
        <f t="shared" si="13"/>
        <v>0.0111111111111111</v>
      </c>
      <c r="G59" s="43" t="s">
        <v>243</v>
      </c>
      <c r="H59" s="44" t="str">
        <f>INDEX(base_fish!E:E,MATCH(use_fish!B59,base_fish!A:A,0))&amp;_xlfn.IFNA("+"&amp;INDEX(activity!G:G,MATCH(use_fish!C59,activity!A:A,0)),"")</f>
        <v>虎鲸+炸弹</v>
      </c>
      <c r="I59" s="43">
        <f>LOOKUP(use_fish!B59,base_fish!A:A,base_fish!F:F)+_xlfn.IFNA(INDEX(activity!F:F,MATCH(use_fish!C59,activity!A:A,0)),0)</f>
        <v>90</v>
      </c>
      <c r="J59" s="31">
        <v>1</v>
      </c>
      <c r="K59" s="31">
        <f>LOOKUP(use_fish!B59,base_fish!A:A,base_fish!G:G)</f>
        <v>0</v>
      </c>
      <c r="L59" s="31">
        <f t="shared" si="14"/>
        <v>90</v>
      </c>
      <c r="M59" s="31">
        <v>1</v>
      </c>
      <c r="N59" s="31">
        <v>0</v>
      </c>
      <c r="O59" s="31">
        <v>1</v>
      </c>
    </row>
    <row r="60" s="32" customFormat="1" spans="1:15">
      <c r="A60" s="45">
        <v>59</v>
      </c>
      <c r="B60" s="45">
        <v>20</v>
      </c>
      <c r="C60" s="45">
        <v>42</v>
      </c>
      <c r="D60" s="45" t="s">
        <v>244</v>
      </c>
      <c r="E60" s="46">
        <v>93</v>
      </c>
      <c r="F60" s="46">
        <f t="shared" si="13"/>
        <v>0.010752688172043</v>
      </c>
      <c r="G60" s="46" t="s">
        <v>243</v>
      </c>
      <c r="H60" s="47" t="str">
        <f>INDEX(base_fish!E:E,MATCH(use_fish!B60,base_fish!A:A,0))&amp;_xlfn.IFNA("+"&amp;INDEX(activity!G:G,MATCH(use_fish!C60,activity!A:A,0)),"")</f>
        <v>黄金灯笼鱼+炸弹</v>
      </c>
      <c r="I60" s="46">
        <f>LOOKUP(use_fish!B60,base_fish!A:A,base_fish!F:F)+_xlfn.IFNA(INDEX(activity!F:F,MATCH(use_fish!C60,activity!A:A,0)),0)</f>
        <v>90</v>
      </c>
      <c r="J60" s="32">
        <v>1</v>
      </c>
      <c r="K60" s="32">
        <f>LOOKUP(use_fish!B60,base_fish!A:A,base_fish!G:G)</f>
        <v>0</v>
      </c>
      <c r="L60" s="32">
        <f t="shared" si="14"/>
        <v>90</v>
      </c>
      <c r="M60" s="32">
        <v>1</v>
      </c>
      <c r="N60" s="32">
        <v>0</v>
      </c>
      <c r="O60" s="32">
        <v>2</v>
      </c>
    </row>
    <row r="61" s="32" customFormat="1" spans="1:15">
      <c r="A61" s="45">
        <v>60</v>
      </c>
      <c r="B61" s="45">
        <v>22</v>
      </c>
      <c r="C61" s="45">
        <v>42</v>
      </c>
      <c r="D61" s="45" t="s">
        <v>245</v>
      </c>
      <c r="E61" s="46">
        <v>93</v>
      </c>
      <c r="F61" s="46">
        <f t="shared" si="13"/>
        <v>0.010752688172043</v>
      </c>
      <c r="G61" s="46" t="s">
        <v>243</v>
      </c>
      <c r="H61" s="47" t="str">
        <f>INDEX(base_fish!E:E,MATCH(use_fish!B61,base_fish!A:A,0))&amp;_xlfn.IFNA("+"&amp;INDEX(activity!G:G,MATCH(use_fish!C61,activity!A:A,0)),"")</f>
        <v>黄金狮子鱼+炸弹</v>
      </c>
      <c r="I61" s="46">
        <f>LOOKUP(use_fish!B61,base_fish!A:A,base_fish!F:F)+_xlfn.IFNA(INDEX(activity!F:F,MATCH(use_fish!C61,activity!A:A,0)),0)</f>
        <v>90</v>
      </c>
      <c r="J61" s="32">
        <v>1</v>
      </c>
      <c r="K61" s="32">
        <f>LOOKUP(use_fish!B61,base_fish!A:A,base_fish!G:G)</f>
        <v>0</v>
      </c>
      <c r="L61" s="32">
        <f t="shared" si="14"/>
        <v>90</v>
      </c>
      <c r="M61" s="32">
        <v>1</v>
      </c>
      <c r="N61" s="32">
        <v>0</v>
      </c>
      <c r="O61" s="32">
        <v>2</v>
      </c>
    </row>
    <row r="62" s="32" customFormat="1" spans="1:15">
      <c r="A62" s="45">
        <v>61</v>
      </c>
      <c r="B62" s="45">
        <v>23</v>
      </c>
      <c r="C62" s="45">
        <v>42</v>
      </c>
      <c r="D62" s="45" t="s">
        <v>246</v>
      </c>
      <c r="E62" s="46">
        <v>135</v>
      </c>
      <c r="F62" s="46">
        <f t="shared" si="13"/>
        <v>0.00740740740740741</v>
      </c>
      <c r="G62" s="46" t="s">
        <v>243</v>
      </c>
      <c r="H62" s="47" t="str">
        <f>INDEX(base_fish!E:E,MATCH(use_fish!B62,base_fish!A:A,0))&amp;_xlfn.IFNA("+"&amp;INDEX(activity!G:G,MATCH(use_fish!C62,activity!A:A,0)),"")</f>
        <v>黄金海龟+炸弹</v>
      </c>
      <c r="I62" s="46">
        <f>LOOKUP(use_fish!B62,base_fish!A:A,base_fish!F:F)+_xlfn.IFNA(INDEX(activity!F:F,MATCH(use_fish!C62,activity!A:A,0)),0)</f>
        <v>90</v>
      </c>
      <c r="J62" s="32">
        <v>1</v>
      </c>
      <c r="K62" s="32">
        <f>LOOKUP(use_fish!B62,base_fish!A:A,base_fish!G:G)</f>
        <v>0</v>
      </c>
      <c r="L62" s="32">
        <f t="shared" si="14"/>
        <v>90</v>
      </c>
      <c r="M62" s="32">
        <v>1</v>
      </c>
      <c r="N62" s="32">
        <v>0</v>
      </c>
      <c r="O62" s="32">
        <v>2</v>
      </c>
    </row>
    <row r="63" s="32" customFormat="1" spans="1:15">
      <c r="A63" s="45">
        <v>62</v>
      </c>
      <c r="B63" s="45">
        <v>25</v>
      </c>
      <c r="C63" s="45">
        <v>42</v>
      </c>
      <c r="D63" s="45" t="s">
        <v>244</v>
      </c>
      <c r="E63" s="46">
        <v>114</v>
      </c>
      <c r="F63" s="46">
        <f t="shared" si="13"/>
        <v>0.0087719298245614</v>
      </c>
      <c r="G63" s="46" t="s">
        <v>243</v>
      </c>
      <c r="H63" s="47" t="str">
        <f>INDEX(base_fish!E:E,MATCH(use_fish!B63,base_fish!A:A,0))&amp;_xlfn.IFNA("+"&amp;INDEX(activity!G:G,MATCH(use_fish!C63,activity!A:A,0)),"")</f>
        <v>金蟾+炸弹</v>
      </c>
      <c r="I63" s="46">
        <f>LOOKUP(use_fish!B63,base_fish!A:A,base_fish!F:F)+_xlfn.IFNA(INDEX(activity!F:F,MATCH(use_fish!C63,activity!A:A,0)),0)</f>
        <v>110</v>
      </c>
      <c r="J63" s="32">
        <v>1</v>
      </c>
      <c r="K63" s="32">
        <f>LOOKUP(use_fish!B63,base_fish!A:A,base_fish!G:G)</f>
        <v>0</v>
      </c>
      <c r="L63" s="32">
        <f t="shared" si="14"/>
        <v>110</v>
      </c>
      <c r="M63" s="32">
        <v>1</v>
      </c>
      <c r="N63" s="32">
        <v>0</v>
      </c>
      <c r="O63" s="32">
        <v>2</v>
      </c>
    </row>
    <row r="64" s="32" customFormat="1" spans="1:15">
      <c r="A64" s="45">
        <v>63</v>
      </c>
      <c r="B64" s="45">
        <v>26</v>
      </c>
      <c r="C64" s="45">
        <v>42</v>
      </c>
      <c r="D64" s="45" t="s">
        <v>244</v>
      </c>
      <c r="E64" s="46">
        <v>135</v>
      </c>
      <c r="F64" s="46">
        <f t="shared" si="13"/>
        <v>0.00740740740740741</v>
      </c>
      <c r="G64" s="46" t="s">
        <v>243</v>
      </c>
      <c r="H64" s="47" t="str">
        <f>INDEX(base_fish!E:E,MATCH(use_fish!B64,base_fish!A:A,0))&amp;_xlfn.IFNA("+"&amp;INDEX(activity!G:G,MATCH(use_fish!C64,activity!A:A,0)),"")</f>
        <v>大金鲨+炸弹</v>
      </c>
      <c r="I64" s="46">
        <f>LOOKUP(use_fish!B64,base_fish!A:A,base_fish!F:F)+_xlfn.IFNA(INDEX(activity!F:F,MATCH(use_fish!C64,activity!A:A,0)),0)</f>
        <v>130</v>
      </c>
      <c r="J64" s="32">
        <v>1</v>
      </c>
      <c r="K64" s="32">
        <f>LOOKUP(use_fish!B64,base_fish!A:A,base_fish!G:G)</f>
        <v>0</v>
      </c>
      <c r="L64" s="32">
        <f t="shared" si="14"/>
        <v>130</v>
      </c>
      <c r="M64" s="32">
        <v>1</v>
      </c>
      <c r="N64" s="32">
        <v>0</v>
      </c>
      <c r="O64" s="32">
        <v>2</v>
      </c>
    </row>
    <row r="65" s="32" customFormat="1" spans="1:15">
      <c r="A65" s="45">
        <v>64</v>
      </c>
      <c r="B65" s="45">
        <v>27</v>
      </c>
      <c r="C65" s="45">
        <v>42</v>
      </c>
      <c r="D65" s="45" t="s">
        <v>245</v>
      </c>
      <c r="E65" s="46">
        <v>135</v>
      </c>
      <c r="F65" s="46">
        <f t="shared" si="13"/>
        <v>0.00740740740740741</v>
      </c>
      <c r="G65" s="46" t="s">
        <v>243</v>
      </c>
      <c r="H65" s="47" t="str">
        <f>INDEX(base_fish!E:E,MATCH(use_fish!B65,base_fish!A:A,0))&amp;_xlfn.IFNA("+"&amp;INDEX(activity!G:G,MATCH(use_fish!C65,activity!A:A,0)),"")</f>
        <v>黄金锤头鲨+炸弹</v>
      </c>
      <c r="I65" s="46">
        <f>LOOKUP(use_fish!B65,base_fish!A:A,base_fish!F:F)+_xlfn.IFNA(INDEX(activity!F:F,MATCH(use_fish!C65,activity!A:A,0)),0)</f>
        <v>130</v>
      </c>
      <c r="J65" s="32">
        <v>1</v>
      </c>
      <c r="K65" s="32">
        <f>LOOKUP(use_fish!B65,base_fish!A:A,base_fish!G:G)</f>
        <v>0</v>
      </c>
      <c r="L65" s="32">
        <f t="shared" si="14"/>
        <v>130</v>
      </c>
      <c r="M65" s="32">
        <v>1</v>
      </c>
      <c r="N65" s="32">
        <v>0</v>
      </c>
      <c r="O65" s="32">
        <v>2</v>
      </c>
    </row>
    <row r="66" s="30" customFormat="1" spans="1:15">
      <c r="A66" s="39">
        <v>65</v>
      </c>
      <c r="B66" s="39">
        <v>11</v>
      </c>
      <c r="C66" s="39">
        <v>43</v>
      </c>
      <c r="D66" s="39"/>
      <c r="E66" s="40">
        <f>LOOKUP(use_fish!B66,base_fish!A:A,base_fish!C:C)+_xlfn.IFNA(INDEX(activity!F:F,MATCH(use_fish!C66,activity!A:A,0)),0)</f>
        <v>65</v>
      </c>
      <c r="F66" s="40">
        <f t="shared" ref="F66:F127" si="16">1/E66</f>
        <v>0.0153846153846154</v>
      </c>
      <c r="G66" s="40" t="s">
        <v>243</v>
      </c>
      <c r="H66" s="41" t="str">
        <f>INDEX(base_fish!E:E,MATCH(use_fish!B66,base_fish!A:A,0))&amp;_xlfn.IFNA("+"&amp;INDEX(activity!G:G,MATCH(use_fish!C66,activity!A:A,0)),"")</f>
        <v>小海龟+闪电</v>
      </c>
      <c r="I66" s="40">
        <f>LOOKUP(use_fish!B66,base_fish!A:A,base_fish!F:F)+_xlfn.IFNA(INDEX(activity!F:F,MATCH(use_fish!C66,activity!A:A,0)),0)</f>
        <v>65</v>
      </c>
      <c r="J66" s="30">
        <v>1</v>
      </c>
      <c r="K66" s="30">
        <f>LOOKUP(use_fish!B66,base_fish!A:A,base_fish!G:G)</f>
        <v>0</v>
      </c>
      <c r="L66" s="30">
        <f t="shared" ref="L66:L127" si="17">I66</f>
        <v>65</v>
      </c>
      <c r="M66" s="30">
        <v>1</v>
      </c>
      <c r="N66" s="30">
        <f t="shared" ref="N66:N71" si="18">IF(OR(C66=4,C66=5),1,0)</f>
        <v>0</v>
      </c>
      <c r="O66" s="30">
        <v>1</v>
      </c>
    </row>
    <row r="67" s="31" customFormat="1" spans="1:15">
      <c r="A67" s="42">
        <v>66</v>
      </c>
      <c r="B67" s="42">
        <v>12</v>
      </c>
      <c r="C67" s="42">
        <v>43</v>
      </c>
      <c r="D67" s="42"/>
      <c r="E67" s="43">
        <f>LOOKUP(use_fish!B67,base_fish!A:A,base_fish!C:C)+_xlfn.IFNA(INDEX(activity!F:F,MATCH(use_fish!C67,activity!A:A,0)),0)</f>
        <v>68</v>
      </c>
      <c r="F67" s="43">
        <f t="shared" si="16"/>
        <v>0.0147058823529412</v>
      </c>
      <c r="G67" s="43" t="s">
        <v>243</v>
      </c>
      <c r="H67" s="44" t="str">
        <f>INDEX(base_fish!E:E,MATCH(use_fish!B67,base_fish!A:A,0))&amp;_xlfn.IFNA("+"&amp;INDEX(activity!G:G,MATCH(use_fish!C67,activity!A:A,0)),"")</f>
        <v>狮子鱼+闪电</v>
      </c>
      <c r="I67" s="43">
        <f>LOOKUP(use_fish!B67,base_fish!A:A,base_fish!F:F)+_xlfn.IFNA(INDEX(activity!F:F,MATCH(use_fish!C67,activity!A:A,0)),0)</f>
        <v>68</v>
      </c>
      <c r="J67" s="31">
        <v>1</v>
      </c>
      <c r="K67" s="31">
        <f>LOOKUP(use_fish!B67,base_fish!A:A,base_fish!G:G)</f>
        <v>0</v>
      </c>
      <c r="L67" s="31">
        <f t="shared" si="17"/>
        <v>68</v>
      </c>
      <c r="M67" s="31">
        <v>1</v>
      </c>
      <c r="N67" s="31">
        <f t="shared" si="18"/>
        <v>0</v>
      </c>
      <c r="O67" s="31">
        <v>1</v>
      </c>
    </row>
    <row r="68" s="31" customFormat="1" spans="1:15">
      <c r="A68" s="42">
        <v>67</v>
      </c>
      <c r="B68" s="42">
        <v>13</v>
      </c>
      <c r="C68" s="42">
        <v>43</v>
      </c>
      <c r="D68" s="42"/>
      <c r="E68" s="43">
        <f>LOOKUP(use_fish!B68,base_fish!A:A,base_fish!C:C)+_xlfn.IFNA(INDEX(activity!F:F,MATCH(use_fish!C68,activity!A:A,0)),0)</f>
        <v>70</v>
      </c>
      <c r="F68" s="43">
        <f t="shared" si="16"/>
        <v>0.0142857142857143</v>
      </c>
      <c r="G68" s="43" t="s">
        <v>243</v>
      </c>
      <c r="H68" s="44" t="str">
        <f>INDEX(base_fish!E:E,MATCH(use_fish!B68,base_fish!A:A,0))&amp;_xlfn.IFNA("+"&amp;INDEX(activity!G:G,MATCH(use_fish!C68,activity!A:A,0)),"")</f>
        <v>蝴蝶鱼+闪电</v>
      </c>
      <c r="I68" s="43">
        <f>LOOKUP(use_fish!B68,base_fish!A:A,base_fish!F:F)+_xlfn.IFNA(INDEX(activity!F:F,MATCH(use_fish!C68,activity!A:A,0)),0)</f>
        <v>70</v>
      </c>
      <c r="J68" s="31">
        <v>1</v>
      </c>
      <c r="K68" s="31">
        <f>LOOKUP(use_fish!B68,base_fish!A:A,base_fish!G:G)</f>
        <v>0</v>
      </c>
      <c r="L68" s="31">
        <f t="shared" si="17"/>
        <v>70</v>
      </c>
      <c r="M68" s="31">
        <v>1</v>
      </c>
      <c r="N68" s="31">
        <f t="shared" si="18"/>
        <v>0</v>
      </c>
      <c r="O68" s="31">
        <v>1</v>
      </c>
    </row>
    <row r="69" s="31" customFormat="1" spans="1:15">
      <c r="A69" s="42">
        <v>68</v>
      </c>
      <c r="B69" s="42">
        <v>14</v>
      </c>
      <c r="C69" s="42">
        <v>43</v>
      </c>
      <c r="D69" s="42"/>
      <c r="E69" s="43">
        <f>LOOKUP(use_fish!B69,base_fish!A:A,base_fish!C:C)+_xlfn.IFNA(INDEX(activity!F:F,MATCH(use_fish!C69,activity!A:A,0)),0)</f>
        <v>75</v>
      </c>
      <c r="F69" s="43">
        <f t="shared" si="16"/>
        <v>0.0133333333333333</v>
      </c>
      <c r="G69" s="43" t="s">
        <v>243</v>
      </c>
      <c r="H69" s="44" t="str">
        <f>INDEX(base_fish!E:E,MATCH(use_fish!B69,base_fish!A:A,0))&amp;_xlfn.IFNA("+"&amp;INDEX(activity!G:G,MATCH(use_fish!C69,activity!A:A,0)),"")</f>
        <v>巨大小丑鱼+闪电</v>
      </c>
      <c r="I69" s="43">
        <f>LOOKUP(use_fish!B69,base_fish!A:A,base_fish!F:F)+_xlfn.IFNA(INDEX(activity!F:F,MATCH(use_fish!C69,activity!A:A,0)),0)</f>
        <v>75</v>
      </c>
      <c r="J69" s="31">
        <v>1</v>
      </c>
      <c r="K69" s="31">
        <f>LOOKUP(use_fish!B69,base_fish!A:A,base_fish!G:G)</f>
        <v>0</v>
      </c>
      <c r="L69" s="31">
        <f t="shared" si="17"/>
        <v>75</v>
      </c>
      <c r="M69" s="31">
        <v>1</v>
      </c>
      <c r="N69" s="31">
        <f t="shared" si="18"/>
        <v>0</v>
      </c>
      <c r="O69" s="31">
        <v>1</v>
      </c>
    </row>
    <row r="70" s="31" customFormat="1" spans="1:15">
      <c r="A70" s="42">
        <v>69</v>
      </c>
      <c r="B70" s="42">
        <v>15</v>
      </c>
      <c r="C70" s="42">
        <v>43</v>
      </c>
      <c r="D70" s="42"/>
      <c r="E70" s="43">
        <f>LOOKUP(use_fish!B70,base_fish!A:A,base_fish!C:C)+_xlfn.IFNA(INDEX(activity!F:F,MATCH(use_fish!C70,activity!A:A,0)),0)</f>
        <v>80</v>
      </c>
      <c r="F70" s="43">
        <f t="shared" si="16"/>
        <v>0.0125</v>
      </c>
      <c r="G70" s="43" t="s">
        <v>243</v>
      </c>
      <c r="H70" s="44" t="str">
        <f>INDEX(base_fish!E:E,MATCH(use_fish!B70,base_fish!A:A,0))&amp;_xlfn.IFNA("+"&amp;INDEX(activity!G:G,MATCH(use_fish!C70,activity!A:A,0)),"")</f>
        <v>巨大灯笼鱼+闪电</v>
      </c>
      <c r="I70" s="43">
        <f>LOOKUP(use_fish!B70,base_fish!A:A,base_fish!F:F)+_xlfn.IFNA(INDEX(activity!F:F,MATCH(use_fish!C70,activity!A:A,0)),0)</f>
        <v>80</v>
      </c>
      <c r="J70" s="31">
        <v>1</v>
      </c>
      <c r="K70" s="31">
        <f>LOOKUP(use_fish!B70,base_fish!A:A,base_fish!G:G)</f>
        <v>0</v>
      </c>
      <c r="L70" s="31">
        <f t="shared" si="17"/>
        <v>80</v>
      </c>
      <c r="M70" s="31">
        <v>1</v>
      </c>
      <c r="N70" s="31">
        <f t="shared" si="18"/>
        <v>0</v>
      </c>
      <c r="O70" s="31">
        <v>1</v>
      </c>
    </row>
    <row r="71" s="31" customFormat="1" spans="1:15">
      <c r="A71" s="42">
        <v>70</v>
      </c>
      <c r="B71" s="42">
        <v>16</v>
      </c>
      <c r="C71" s="42">
        <v>43</v>
      </c>
      <c r="D71" s="42"/>
      <c r="E71" s="43">
        <f>LOOKUP(use_fish!B71,base_fish!A:A,base_fish!C:C)+_xlfn.IFNA(INDEX(activity!F:F,MATCH(use_fish!C71,activity!A:A,0)),0)</f>
        <v>85</v>
      </c>
      <c r="F71" s="43">
        <f t="shared" si="16"/>
        <v>0.0117647058823529</v>
      </c>
      <c r="G71" s="43" t="s">
        <v>243</v>
      </c>
      <c r="H71" s="44" t="str">
        <f>INDEX(base_fish!E:E,MATCH(use_fish!B71,base_fish!A:A,0))&amp;_xlfn.IFNA("+"&amp;INDEX(activity!G:G,MATCH(use_fish!C71,activity!A:A,0)),"")</f>
        <v>巨大燕鱼+闪电</v>
      </c>
      <c r="I71" s="43">
        <f>LOOKUP(use_fish!B71,base_fish!A:A,base_fish!F:F)+_xlfn.IFNA(INDEX(activity!F:F,MATCH(use_fish!C71,activity!A:A,0)),0)</f>
        <v>85</v>
      </c>
      <c r="J71" s="31">
        <v>1</v>
      </c>
      <c r="K71" s="31">
        <f>LOOKUP(use_fish!B71,base_fish!A:A,base_fish!G:G)</f>
        <v>0</v>
      </c>
      <c r="L71" s="31">
        <f t="shared" si="17"/>
        <v>85</v>
      </c>
      <c r="M71" s="31">
        <v>1</v>
      </c>
      <c r="N71" s="31">
        <f t="shared" si="18"/>
        <v>0</v>
      </c>
      <c r="O71" s="31">
        <v>1</v>
      </c>
    </row>
    <row r="72" s="31" customFormat="1" spans="1:15">
      <c r="A72" s="42">
        <v>71</v>
      </c>
      <c r="B72" s="42">
        <v>17</v>
      </c>
      <c r="C72" s="42">
        <v>43</v>
      </c>
      <c r="D72" s="42"/>
      <c r="E72" s="43">
        <f>LOOKUP(use_fish!B72,base_fish!A:A,base_fish!C:C)+_xlfn.IFNA(INDEX(activity!F:F,MATCH(use_fish!C72,activity!A:A,0)),0)</f>
        <v>90</v>
      </c>
      <c r="F72" s="43">
        <f t="shared" si="16"/>
        <v>0.0111111111111111</v>
      </c>
      <c r="G72" s="43" t="s">
        <v>243</v>
      </c>
      <c r="H72" s="44" t="str">
        <f>INDEX(base_fish!E:E,MATCH(use_fish!B72,base_fish!A:A,0))&amp;_xlfn.IFNA("+"&amp;INDEX(activity!G:G,MATCH(use_fish!C72,activity!A:A,0)),"")</f>
        <v>魔鬼鱼+闪电</v>
      </c>
      <c r="I72" s="43">
        <f>LOOKUP(use_fish!B72,base_fish!A:A,base_fish!F:F)+_xlfn.IFNA(INDEX(activity!F:F,MATCH(use_fish!C72,activity!A:A,0)),0)</f>
        <v>90</v>
      </c>
      <c r="J72" s="31">
        <v>1</v>
      </c>
      <c r="K72" s="31">
        <f>LOOKUP(use_fish!B72,base_fish!A:A,base_fish!G:G)</f>
        <v>0</v>
      </c>
      <c r="L72" s="31">
        <f t="shared" si="17"/>
        <v>90</v>
      </c>
      <c r="M72" s="31">
        <v>1</v>
      </c>
      <c r="N72" s="31">
        <v>0</v>
      </c>
      <c r="O72" s="31">
        <v>1</v>
      </c>
    </row>
    <row r="73" s="31" customFormat="1" spans="1:15">
      <c r="A73" s="42">
        <v>72</v>
      </c>
      <c r="B73" s="42">
        <v>18</v>
      </c>
      <c r="C73" s="42">
        <v>43</v>
      </c>
      <c r="D73" s="42"/>
      <c r="E73" s="43">
        <f>LOOKUP(use_fish!B73,base_fish!A:A,base_fish!C:C)+_xlfn.IFNA(INDEX(activity!F:F,MATCH(use_fish!C73,activity!A:A,0)),0)</f>
        <v>110</v>
      </c>
      <c r="F73" s="43">
        <f t="shared" si="16"/>
        <v>0.00909090909090909</v>
      </c>
      <c r="G73" s="43" t="s">
        <v>243</v>
      </c>
      <c r="H73" s="44" t="str">
        <f>INDEX(base_fish!E:E,MATCH(use_fish!B73,base_fish!A:A,0))&amp;_xlfn.IFNA("+"&amp;INDEX(activity!G:G,MATCH(use_fish!C73,activity!A:A,0)),"")</f>
        <v>虎鲸+闪电</v>
      </c>
      <c r="I73" s="43">
        <f>LOOKUP(use_fish!B73,base_fish!A:A,base_fish!F:F)+_xlfn.IFNA(INDEX(activity!F:F,MATCH(use_fish!C73,activity!A:A,0)),0)</f>
        <v>110</v>
      </c>
      <c r="J73" s="31">
        <v>1</v>
      </c>
      <c r="K73" s="31">
        <f>LOOKUP(use_fish!B73,base_fish!A:A,base_fish!G:G)</f>
        <v>0</v>
      </c>
      <c r="L73" s="31">
        <f t="shared" si="17"/>
        <v>110</v>
      </c>
      <c r="M73" s="31">
        <v>1</v>
      </c>
      <c r="N73" s="31">
        <v>0</v>
      </c>
      <c r="O73" s="31">
        <v>1</v>
      </c>
    </row>
    <row r="74" s="32" customFormat="1" spans="1:15">
      <c r="A74" s="45">
        <v>73</v>
      </c>
      <c r="B74" s="45">
        <v>20</v>
      </c>
      <c r="C74" s="45">
        <v>43</v>
      </c>
      <c r="D74" s="45" t="s">
        <v>244</v>
      </c>
      <c r="E74" s="46">
        <v>113</v>
      </c>
      <c r="F74" s="46">
        <f t="shared" si="16"/>
        <v>0.00884955752212389</v>
      </c>
      <c r="G74" s="46" t="s">
        <v>243</v>
      </c>
      <c r="H74" s="47" t="str">
        <f>INDEX(base_fish!E:E,MATCH(use_fish!B74,base_fish!A:A,0))&amp;_xlfn.IFNA("+"&amp;INDEX(activity!G:G,MATCH(use_fish!C74,activity!A:A,0)),"")</f>
        <v>黄金灯笼鱼+闪电</v>
      </c>
      <c r="I74" s="46">
        <f>LOOKUP(use_fish!B74,base_fish!A:A,base_fish!F:F)+_xlfn.IFNA(INDEX(activity!F:F,MATCH(use_fish!C74,activity!A:A,0)),0)</f>
        <v>110</v>
      </c>
      <c r="J74" s="32">
        <v>1</v>
      </c>
      <c r="K74" s="32">
        <f>LOOKUP(use_fish!B74,base_fish!A:A,base_fish!G:G)</f>
        <v>0</v>
      </c>
      <c r="L74" s="32">
        <f t="shared" si="17"/>
        <v>110</v>
      </c>
      <c r="M74" s="32">
        <v>1</v>
      </c>
      <c r="N74" s="32">
        <v>0</v>
      </c>
      <c r="O74" s="32">
        <v>2</v>
      </c>
    </row>
    <row r="75" s="32" customFormat="1" spans="1:15">
      <c r="A75" s="45">
        <v>74</v>
      </c>
      <c r="B75" s="45">
        <v>22</v>
      </c>
      <c r="C75" s="45">
        <v>43</v>
      </c>
      <c r="D75" s="45" t="s">
        <v>245</v>
      </c>
      <c r="E75" s="46">
        <v>113</v>
      </c>
      <c r="F75" s="46">
        <f t="shared" si="16"/>
        <v>0.00884955752212389</v>
      </c>
      <c r="G75" s="46" t="s">
        <v>243</v>
      </c>
      <c r="H75" s="47" t="str">
        <f>INDEX(base_fish!E:E,MATCH(use_fish!B75,base_fish!A:A,0))&amp;_xlfn.IFNA("+"&amp;INDEX(activity!G:G,MATCH(use_fish!C75,activity!A:A,0)),"")</f>
        <v>黄金狮子鱼+闪电</v>
      </c>
      <c r="I75" s="46">
        <f>LOOKUP(use_fish!B75,base_fish!A:A,base_fish!F:F)+_xlfn.IFNA(INDEX(activity!F:F,MATCH(use_fish!C75,activity!A:A,0)),0)</f>
        <v>110</v>
      </c>
      <c r="J75" s="32">
        <v>1</v>
      </c>
      <c r="K75" s="32">
        <f>LOOKUP(use_fish!B75,base_fish!A:A,base_fish!G:G)</f>
        <v>0</v>
      </c>
      <c r="L75" s="32">
        <f t="shared" si="17"/>
        <v>110</v>
      </c>
      <c r="M75" s="32">
        <v>1</v>
      </c>
      <c r="N75" s="32">
        <v>0</v>
      </c>
      <c r="O75" s="32">
        <v>2</v>
      </c>
    </row>
    <row r="76" s="32" customFormat="1" spans="1:15">
      <c r="A76" s="45">
        <v>75</v>
      </c>
      <c r="B76" s="45">
        <v>23</v>
      </c>
      <c r="C76" s="45">
        <v>43</v>
      </c>
      <c r="D76" s="45" t="s">
        <v>246</v>
      </c>
      <c r="E76" s="46">
        <v>155</v>
      </c>
      <c r="F76" s="46">
        <f t="shared" si="16"/>
        <v>0.00645161290322581</v>
      </c>
      <c r="G76" s="46" t="s">
        <v>243</v>
      </c>
      <c r="H76" s="47" t="str">
        <f>INDEX(base_fish!E:E,MATCH(use_fish!B76,base_fish!A:A,0))&amp;_xlfn.IFNA("+"&amp;INDEX(activity!G:G,MATCH(use_fish!C76,activity!A:A,0)),"")</f>
        <v>黄金海龟+闪电</v>
      </c>
      <c r="I76" s="46">
        <f>LOOKUP(use_fish!B76,base_fish!A:A,base_fish!F:F)+_xlfn.IFNA(INDEX(activity!F:F,MATCH(use_fish!C76,activity!A:A,0)),0)</f>
        <v>110</v>
      </c>
      <c r="J76" s="32">
        <v>1</v>
      </c>
      <c r="K76" s="32">
        <f>LOOKUP(use_fish!B76,base_fish!A:A,base_fish!G:G)</f>
        <v>0</v>
      </c>
      <c r="L76" s="32">
        <f t="shared" si="17"/>
        <v>110</v>
      </c>
      <c r="M76" s="32">
        <v>1</v>
      </c>
      <c r="N76" s="32">
        <v>0</v>
      </c>
      <c r="O76" s="32">
        <v>2</v>
      </c>
    </row>
    <row r="77" s="32" customFormat="1" spans="1:15">
      <c r="A77" s="45">
        <v>76</v>
      </c>
      <c r="B77" s="45">
        <v>25</v>
      </c>
      <c r="C77" s="45">
        <v>43</v>
      </c>
      <c r="D77" s="45" t="s">
        <v>244</v>
      </c>
      <c r="E77" s="46">
        <v>134</v>
      </c>
      <c r="F77" s="46">
        <f t="shared" si="16"/>
        <v>0.00746268656716418</v>
      </c>
      <c r="G77" s="46" t="s">
        <v>243</v>
      </c>
      <c r="H77" s="47" t="str">
        <f>INDEX(base_fish!E:E,MATCH(use_fish!B77,base_fish!A:A,0))&amp;_xlfn.IFNA("+"&amp;INDEX(activity!G:G,MATCH(use_fish!C77,activity!A:A,0)),"")</f>
        <v>金蟾+闪电</v>
      </c>
      <c r="I77" s="46">
        <f>LOOKUP(use_fish!B77,base_fish!A:A,base_fish!F:F)+_xlfn.IFNA(INDEX(activity!F:F,MATCH(use_fish!C77,activity!A:A,0)),0)</f>
        <v>130</v>
      </c>
      <c r="J77" s="32">
        <v>1</v>
      </c>
      <c r="K77" s="32">
        <f>LOOKUP(use_fish!B77,base_fish!A:A,base_fish!G:G)</f>
        <v>0</v>
      </c>
      <c r="L77" s="32">
        <f t="shared" si="17"/>
        <v>130</v>
      </c>
      <c r="M77" s="32">
        <v>1</v>
      </c>
      <c r="N77" s="32">
        <v>0</v>
      </c>
      <c r="O77" s="32">
        <v>2</v>
      </c>
    </row>
    <row r="78" s="32" customFormat="1" spans="1:15">
      <c r="A78" s="45">
        <v>77</v>
      </c>
      <c r="B78" s="45">
        <v>26</v>
      </c>
      <c r="C78" s="45">
        <v>43</v>
      </c>
      <c r="D78" s="45" t="s">
        <v>244</v>
      </c>
      <c r="E78" s="46">
        <v>155</v>
      </c>
      <c r="F78" s="46">
        <f t="shared" si="16"/>
        <v>0.00645161290322581</v>
      </c>
      <c r="G78" s="46" t="s">
        <v>243</v>
      </c>
      <c r="H78" s="47" t="str">
        <f>INDEX(base_fish!E:E,MATCH(use_fish!B78,base_fish!A:A,0))&amp;_xlfn.IFNA("+"&amp;INDEX(activity!G:G,MATCH(use_fish!C78,activity!A:A,0)),"")</f>
        <v>大金鲨+闪电</v>
      </c>
      <c r="I78" s="46">
        <f>LOOKUP(use_fish!B78,base_fish!A:A,base_fish!F:F)+_xlfn.IFNA(INDEX(activity!F:F,MATCH(use_fish!C78,activity!A:A,0)),0)</f>
        <v>150</v>
      </c>
      <c r="J78" s="32">
        <v>1</v>
      </c>
      <c r="K78" s="32">
        <f>LOOKUP(use_fish!B78,base_fish!A:A,base_fish!G:G)</f>
        <v>0</v>
      </c>
      <c r="L78" s="32">
        <f t="shared" si="17"/>
        <v>150</v>
      </c>
      <c r="M78" s="32">
        <v>1</v>
      </c>
      <c r="N78" s="32">
        <v>0</v>
      </c>
      <c r="O78" s="32">
        <v>2</v>
      </c>
    </row>
    <row r="79" s="32" customFormat="1" spans="1:15">
      <c r="A79" s="45">
        <v>78</v>
      </c>
      <c r="B79" s="45">
        <v>27</v>
      </c>
      <c r="C79" s="45">
        <v>43</v>
      </c>
      <c r="D79" s="45" t="s">
        <v>245</v>
      </c>
      <c r="E79" s="46">
        <v>155</v>
      </c>
      <c r="F79" s="46">
        <f t="shared" si="16"/>
        <v>0.00645161290322581</v>
      </c>
      <c r="G79" s="46" t="s">
        <v>243</v>
      </c>
      <c r="H79" s="47" t="str">
        <f>INDEX(base_fish!E:E,MATCH(use_fish!B79,base_fish!A:A,0))&amp;_xlfn.IFNA("+"&amp;INDEX(activity!G:G,MATCH(use_fish!C79,activity!A:A,0)),"")</f>
        <v>黄金锤头鲨+闪电</v>
      </c>
      <c r="I79" s="46">
        <f>LOOKUP(use_fish!B79,base_fish!A:A,base_fish!F:F)+_xlfn.IFNA(INDEX(activity!F:F,MATCH(use_fish!C79,activity!A:A,0)),0)</f>
        <v>150</v>
      </c>
      <c r="J79" s="32">
        <v>1</v>
      </c>
      <c r="K79" s="32">
        <f>LOOKUP(use_fish!B79,base_fish!A:A,base_fish!G:G)</f>
        <v>0</v>
      </c>
      <c r="L79" s="32">
        <f t="shared" si="17"/>
        <v>150</v>
      </c>
      <c r="M79" s="32">
        <v>1</v>
      </c>
      <c r="N79" s="32">
        <v>0</v>
      </c>
      <c r="O79" s="32">
        <v>2</v>
      </c>
    </row>
    <row r="80" s="36" customFormat="1" spans="1:15">
      <c r="A80" s="61">
        <v>79</v>
      </c>
      <c r="B80" s="61">
        <v>51</v>
      </c>
      <c r="C80" s="61">
        <v>44</v>
      </c>
      <c r="D80" s="61"/>
      <c r="E80" s="11">
        <v>400</v>
      </c>
      <c r="F80" s="11">
        <f t="shared" si="16"/>
        <v>0.0025</v>
      </c>
      <c r="G80" s="11" t="s">
        <v>243</v>
      </c>
      <c r="H80" s="62" t="str">
        <f>INDEX(base_fish!E:E,MATCH(use_fish!B80,base_fish!A:A,0))&amp;_xlfn.IFNA("+"&amp;INDEX(activity!G:G,MATCH(use_fish!C80,activity!A:A,0)),"")</f>
        <v>龙虾BOSS+临时活动</v>
      </c>
      <c r="I80" s="11">
        <f>LOOKUP(use_fish!B80,base_fish!A:A,base_fish!F:F)+_xlfn.IFNA(INDEX(activity!F:F,MATCH(use_fish!C80,activity!A:A,0)),0)</f>
        <v>400</v>
      </c>
      <c r="J80" s="36">
        <v>1</v>
      </c>
      <c r="K80" s="36">
        <v>0</v>
      </c>
      <c r="L80" s="36">
        <f t="shared" si="17"/>
        <v>400</v>
      </c>
      <c r="M80" s="36">
        <v>1</v>
      </c>
      <c r="N80" s="36">
        <v>1</v>
      </c>
      <c r="O80" s="36">
        <v>1</v>
      </c>
    </row>
    <row r="81" spans="1:15">
      <c r="A81" s="42">
        <v>80</v>
      </c>
      <c r="B81" s="42">
        <v>18</v>
      </c>
      <c r="C81" s="42">
        <v>45</v>
      </c>
      <c r="D81" s="42"/>
      <c r="E81" s="43">
        <f>LOOKUP(use_fish!B81,base_fish!A:A,base_fish!C:C)+_xlfn.IFNA(INDEX(activity!F:F,MATCH(use_fish!C81,activity!A:A,0)),0)</f>
        <v>120</v>
      </c>
      <c r="F81" s="43">
        <f t="shared" si="16"/>
        <v>0.00833333333333333</v>
      </c>
      <c r="G81" s="43" t="s">
        <v>243</v>
      </c>
      <c r="H81" s="44" t="str">
        <f>INDEX(base_fish!E:E,MATCH(use_fish!B81,base_fish!A:A,0))&amp;_xlfn.IFNA("+"&amp;INDEX(activity!G:G,MATCH(use_fish!C81,activity!A:A,0)),"")</f>
        <v>虎鲸+临时活动</v>
      </c>
      <c r="I81" s="43">
        <f>LOOKUP(use_fish!B81,base_fish!A:A,base_fish!F:F)+_xlfn.IFNA(INDEX(activity!F:F,MATCH(use_fish!C81,activity!A:A,0)),0)</f>
        <v>120</v>
      </c>
      <c r="J81" s="31">
        <v>1</v>
      </c>
      <c r="K81" s="31">
        <v>0</v>
      </c>
      <c r="L81" s="31">
        <f t="shared" si="17"/>
        <v>120</v>
      </c>
      <c r="M81" s="31">
        <v>1</v>
      </c>
      <c r="N81" s="31">
        <v>0</v>
      </c>
      <c r="O81" s="31">
        <v>1</v>
      </c>
    </row>
    <row r="82" spans="1:15">
      <c r="A82" s="42">
        <v>81</v>
      </c>
      <c r="B82" s="42">
        <v>17</v>
      </c>
      <c r="C82" s="42">
        <v>46</v>
      </c>
      <c r="D82" s="42"/>
      <c r="E82" s="43">
        <f>LOOKUP(use_fish!B82,base_fish!A:A,base_fish!C:C)+_xlfn.IFNA(INDEX(activity!F:F,MATCH(use_fish!C82,activity!A:A,0)),0)</f>
        <v>80</v>
      </c>
      <c r="F82" s="43">
        <f t="shared" si="16"/>
        <v>0.0125</v>
      </c>
      <c r="G82" s="43" t="s">
        <v>243</v>
      </c>
      <c r="H82" s="44" t="str">
        <f>INDEX(base_fish!E:E,MATCH(use_fish!B82,base_fish!A:A,0))&amp;_xlfn.IFNA("+"&amp;INDEX(activity!G:G,MATCH(use_fish!C82,activity!A:A,0)),"")</f>
        <v>魔鬼鱼+临时活动</v>
      </c>
      <c r="I82" s="43">
        <f>LOOKUP(use_fish!B82,base_fish!A:A,base_fish!F:F)+_xlfn.IFNA(INDEX(activity!F:F,MATCH(use_fish!C82,activity!A:A,0)),0)</f>
        <v>80</v>
      </c>
      <c r="J82" s="31">
        <v>1</v>
      </c>
      <c r="K82" s="31">
        <v>0</v>
      </c>
      <c r="L82" s="31">
        <f t="shared" si="17"/>
        <v>80</v>
      </c>
      <c r="M82" s="31">
        <v>1</v>
      </c>
      <c r="N82" s="31">
        <v>0</v>
      </c>
      <c r="O82" s="31">
        <v>1</v>
      </c>
    </row>
    <row r="83" spans="1:15">
      <c r="A83" s="42">
        <v>82</v>
      </c>
      <c r="B83" s="42">
        <v>15</v>
      </c>
      <c r="C83" s="42">
        <v>47</v>
      </c>
      <c r="D83" s="42"/>
      <c r="E83" s="43">
        <f>LOOKUP(use_fish!B83,base_fish!A:A,base_fish!C:C)+_xlfn.IFNA(INDEX(activity!F:F,MATCH(use_fish!C83,activity!A:A,0)),0)</f>
        <v>60</v>
      </c>
      <c r="F83" s="43">
        <f t="shared" si="16"/>
        <v>0.0166666666666667</v>
      </c>
      <c r="G83" s="43" t="s">
        <v>243</v>
      </c>
      <c r="H83" s="44" t="str">
        <f>INDEX(base_fish!E:E,MATCH(use_fish!B83,base_fish!A:A,0))&amp;_xlfn.IFNA("+"&amp;INDEX(activity!G:G,MATCH(use_fish!C83,activity!A:A,0)),"")</f>
        <v>巨大灯笼鱼+临时活动</v>
      </c>
      <c r="I83" s="43">
        <f>LOOKUP(use_fish!B83,base_fish!A:A,base_fish!F:F)+_xlfn.IFNA(INDEX(activity!F:F,MATCH(use_fish!C83,activity!A:A,0)),0)</f>
        <v>60</v>
      </c>
      <c r="J83" s="31">
        <v>1</v>
      </c>
      <c r="K83" s="31">
        <v>0</v>
      </c>
      <c r="L83" s="31">
        <f t="shared" si="17"/>
        <v>60</v>
      </c>
      <c r="M83" s="31">
        <v>1</v>
      </c>
      <c r="N83" s="31">
        <v>0</v>
      </c>
      <c r="O83" s="31">
        <v>1</v>
      </c>
    </row>
    <row r="84" spans="1:15">
      <c r="A84" s="42">
        <v>83</v>
      </c>
      <c r="B84" s="42">
        <v>13</v>
      </c>
      <c r="C84" s="42">
        <v>48</v>
      </c>
      <c r="D84" s="42"/>
      <c r="E84" s="43">
        <f>LOOKUP(use_fish!B84,base_fish!A:A,base_fish!C:C)+_xlfn.IFNA(INDEX(activity!F:F,MATCH(use_fish!C84,activity!A:A,0)),0)</f>
        <v>40</v>
      </c>
      <c r="F84" s="43">
        <f t="shared" si="16"/>
        <v>0.025</v>
      </c>
      <c r="G84" s="43" t="s">
        <v>243</v>
      </c>
      <c r="H84" s="44" t="str">
        <f>INDEX(base_fish!E:E,MATCH(use_fish!B84,base_fish!A:A,0))&amp;_xlfn.IFNA("+"&amp;INDEX(activity!G:G,MATCH(use_fish!C84,activity!A:A,0)),"")</f>
        <v>蝴蝶鱼+临时活动</v>
      </c>
      <c r="I84" s="43">
        <f>LOOKUP(use_fish!B84,base_fish!A:A,base_fish!F:F)+_xlfn.IFNA(INDEX(activity!F:F,MATCH(use_fish!C84,activity!A:A,0)),0)</f>
        <v>40</v>
      </c>
      <c r="J84" s="31">
        <v>1</v>
      </c>
      <c r="K84" s="31">
        <v>0</v>
      </c>
      <c r="L84" s="31">
        <f t="shared" si="17"/>
        <v>40</v>
      </c>
      <c r="M84" s="31">
        <v>1</v>
      </c>
      <c r="N84" s="31">
        <v>0</v>
      </c>
      <c r="O84" s="31">
        <v>1</v>
      </c>
    </row>
    <row r="85" spans="1:15">
      <c r="A85" s="42">
        <v>84</v>
      </c>
      <c r="B85" s="42">
        <v>52</v>
      </c>
      <c r="C85" s="42">
        <v>49</v>
      </c>
      <c r="D85" s="42"/>
      <c r="E85" s="42">
        <v>75</v>
      </c>
      <c r="F85" s="43">
        <f t="shared" si="16"/>
        <v>0.0133333333333333</v>
      </c>
      <c r="G85" s="43" t="s">
        <v>243</v>
      </c>
      <c r="H85" s="44" t="str">
        <f>INDEX(base_fish!E:E,MATCH(use_fish!B85,base_fish!A:A,0))&amp;_xlfn.IFNA("+"&amp;INDEX(activity!G:G,MATCH(use_fish!C85,activity!A:A,0)),"")</f>
        <v>接吻鱼+临时活动</v>
      </c>
      <c r="I85" s="43">
        <f>LOOKUP(use_fish!B85,base_fish!A:A,base_fish!F:F)+_xlfn.IFNA(INDEX(activity!F:F,MATCH(use_fish!C85,activity!A:A,0)),0)</f>
        <v>75</v>
      </c>
      <c r="J85" s="31">
        <v>1</v>
      </c>
      <c r="K85" s="31">
        <v>0</v>
      </c>
      <c r="L85" s="31">
        <f t="shared" si="17"/>
        <v>75</v>
      </c>
      <c r="M85" s="31">
        <v>1</v>
      </c>
      <c r="N85" s="31">
        <v>1</v>
      </c>
      <c r="O85" s="31">
        <v>1</v>
      </c>
    </row>
    <row r="86" spans="1:15">
      <c r="A86" s="42">
        <v>85</v>
      </c>
      <c r="B86" s="42">
        <v>52</v>
      </c>
      <c r="C86" s="42">
        <v>50</v>
      </c>
      <c r="D86" s="42"/>
      <c r="E86" s="42">
        <v>150</v>
      </c>
      <c r="F86" s="43">
        <f t="shared" si="16"/>
        <v>0.00666666666666667</v>
      </c>
      <c r="G86" s="43" t="s">
        <v>243</v>
      </c>
      <c r="H86" s="44" t="str">
        <f>INDEX(base_fish!E:E,MATCH(use_fish!B86,base_fish!A:A,0))&amp;_xlfn.IFNA("+"&amp;INDEX(activity!G:G,MATCH(use_fish!C86,activity!A:A,0)),"")</f>
        <v>接吻鱼+临时活动</v>
      </c>
      <c r="I86" s="43">
        <f>LOOKUP(use_fish!B86,base_fish!A:A,base_fish!F:F)+_xlfn.IFNA(INDEX(activity!F:F,MATCH(use_fish!C86,activity!A:A,0)),0)</f>
        <v>150</v>
      </c>
      <c r="J86" s="31">
        <v>1</v>
      </c>
      <c r="K86" s="31">
        <v>0</v>
      </c>
      <c r="L86" s="31">
        <f t="shared" si="17"/>
        <v>150</v>
      </c>
      <c r="M86" s="31">
        <v>1</v>
      </c>
      <c r="N86" s="31">
        <v>1</v>
      </c>
      <c r="O86" s="31">
        <v>1</v>
      </c>
    </row>
    <row r="87" spans="1:15">
      <c r="A87" s="42">
        <v>86</v>
      </c>
      <c r="B87" s="42">
        <v>52</v>
      </c>
      <c r="C87" s="42">
        <v>51</v>
      </c>
      <c r="D87" s="42"/>
      <c r="E87" s="42">
        <v>250</v>
      </c>
      <c r="F87" s="43">
        <f t="shared" si="16"/>
        <v>0.004</v>
      </c>
      <c r="G87" s="43" t="s">
        <v>243</v>
      </c>
      <c r="H87" s="44" t="str">
        <f>INDEX(base_fish!E:E,MATCH(use_fish!B87,base_fish!A:A,0))&amp;_xlfn.IFNA("+"&amp;INDEX(activity!G:G,MATCH(use_fish!C87,activity!A:A,0)),"")</f>
        <v>接吻鱼+临时活动</v>
      </c>
      <c r="I87" s="43">
        <f>LOOKUP(use_fish!B87,base_fish!A:A,base_fish!F:F)+_xlfn.IFNA(INDEX(activity!F:F,MATCH(use_fish!C87,activity!A:A,0)),0)</f>
        <v>250</v>
      </c>
      <c r="J87" s="31">
        <v>1</v>
      </c>
      <c r="K87" s="31">
        <v>0</v>
      </c>
      <c r="L87" s="31">
        <f t="shared" si="17"/>
        <v>250</v>
      </c>
      <c r="M87" s="31">
        <v>1</v>
      </c>
      <c r="N87" s="31">
        <v>1</v>
      </c>
      <c r="O87" s="31">
        <v>1</v>
      </c>
    </row>
    <row r="88" spans="1:15">
      <c r="A88" s="42">
        <v>87</v>
      </c>
      <c r="B88" s="43">
        <v>53</v>
      </c>
      <c r="C88" s="42">
        <v>52</v>
      </c>
      <c r="D88" s="42"/>
      <c r="E88" s="43">
        <f>LOOKUP(use_fish!B88,base_fish!A:A,base_fish!C:C)+_xlfn.IFNA(INDEX(activity!F:F,MATCH(use_fish!C88,activity!A:A,0)),0)</f>
        <v>60</v>
      </c>
      <c r="F88" s="43">
        <f t="shared" si="16"/>
        <v>0.0166666666666667</v>
      </c>
      <c r="G88" s="43" t="s">
        <v>243</v>
      </c>
      <c r="H88" s="44" t="str">
        <f>INDEX(base_fish!E:E,MATCH(use_fish!B88,base_fish!A:A,0))&amp;_xlfn.IFNA("+"&amp;INDEX(activity!G:G,MATCH(use_fish!C88,activity!A:A,0)),"")</f>
        <v>蝴蝶鱼+临时活动</v>
      </c>
      <c r="I88" s="43">
        <f>LOOKUP(use_fish!B88,base_fish!A:A,base_fish!F:F)+_xlfn.IFNA(INDEX(activity!F:F,MATCH(use_fish!C88,activity!A:A,0)),0)</f>
        <v>60</v>
      </c>
      <c r="J88" s="31">
        <v>1</v>
      </c>
      <c r="K88" s="31">
        <v>0</v>
      </c>
      <c r="L88" s="31">
        <f t="shared" si="17"/>
        <v>60</v>
      </c>
      <c r="M88" s="31">
        <v>1</v>
      </c>
      <c r="N88" s="31">
        <v>0</v>
      </c>
      <c r="O88" s="31">
        <v>1</v>
      </c>
    </row>
    <row r="89" spans="1:15">
      <c r="A89" s="42">
        <v>88</v>
      </c>
      <c r="B89" s="43">
        <v>54</v>
      </c>
      <c r="C89" s="42">
        <v>53</v>
      </c>
      <c r="D89" s="42"/>
      <c r="E89" s="43">
        <f>LOOKUP(use_fish!B89,base_fish!A:A,base_fish!C:C)+_xlfn.IFNA(INDEX(activity!F:F,MATCH(use_fish!C89,activity!A:A,0)),0)</f>
        <v>40</v>
      </c>
      <c r="F89" s="43">
        <f t="shared" si="16"/>
        <v>0.025</v>
      </c>
      <c r="G89" s="43" t="s">
        <v>243</v>
      </c>
      <c r="H89" s="44" t="str">
        <f>INDEX(base_fish!E:E,MATCH(use_fish!B89,base_fish!A:A,0))&amp;_xlfn.IFNA("+"&amp;INDEX(activity!G:G,MATCH(use_fish!C89,activity!A:A,0)),"")</f>
        <v>巨大灯笼鱼+临时活动</v>
      </c>
      <c r="I89" s="43">
        <f>LOOKUP(use_fish!B89,base_fish!A:A,base_fish!F:F)+_xlfn.IFNA(INDEX(activity!F:F,MATCH(use_fish!C89,activity!A:A,0)),0)</f>
        <v>40</v>
      </c>
      <c r="J89" s="31">
        <v>1</v>
      </c>
      <c r="K89" s="31">
        <v>0</v>
      </c>
      <c r="L89" s="31">
        <f t="shared" si="17"/>
        <v>40</v>
      </c>
      <c r="M89" s="31">
        <v>1</v>
      </c>
      <c r="N89" s="31">
        <v>0</v>
      </c>
      <c r="O89" s="31">
        <v>1</v>
      </c>
    </row>
    <row r="90" spans="1:15">
      <c r="A90" s="42">
        <v>89</v>
      </c>
      <c r="B90" s="43">
        <v>55</v>
      </c>
      <c r="C90" s="42">
        <v>54</v>
      </c>
      <c r="D90" s="42"/>
      <c r="E90" s="43">
        <f>LOOKUP(use_fish!B90,base_fish!A:A,base_fish!C:C)+_xlfn.IFNA(INDEX(activity!F:F,MATCH(use_fish!C90,activity!A:A,0)),0)</f>
        <v>30</v>
      </c>
      <c r="F90" s="43">
        <f t="shared" si="16"/>
        <v>0.0333333333333333</v>
      </c>
      <c r="G90" s="43" t="s">
        <v>243</v>
      </c>
      <c r="H90" s="44" t="str">
        <f>INDEX(base_fish!E:E,MATCH(use_fish!B90,base_fish!A:A,0))&amp;_xlfn.IFNA("+"&amp;INDEX(activity!G:G,MATCH(use_fish!C90,activity!A:A,0)),"")</f>
        <v>魔鬼鱼+临时活动</v>
      </c>
      <c r="I90" s="43">
        <f>LOOKUP(use_fish!B90,base_fish!A:A,base_fish!F:F)+_xlfn.IFNA(INDEX(activity!F:F,MATCH(use_fish!C90,activity!A:A,0)),0)</f>
        <v>30</v>
      </c>
      <c r="J90" s="31">
        <v>1</v>
      </c>
      <c r="K90" s="31">
        <v>0</v>
      </c>
      <c r="L90" s="31">
        <f t="shared" si="17"/>
        <v>30</v>
      </c>
      <c r="M90" s="31">
        <v>1</v>
      </c>
      <c r="N90" s="31">
        <v>0</v>
      </c>
      <c r="O90" s="31">
        <v>1</v>
      </c>
    </row>
    <row r="91" spans="1:15">
      <c r="A91" s="42">
        <v>90</v>
      </c>
      <c r="B91" s="43">
        <v>56</v>
      </c>
      <c r="C91" s="42">
        <v>55</v>
      </c>
      <c r="D91" s="42"/>
      <c r="E91" s="43">
        <f>LOOKUP(use_fish!B91,base_fish!A:A,base_fish!C:C)+_xlfn.IFNA(INDEX(activity!F:F,MATCH(use_fish!C91,activity!A:A,0)),0)</f>
        <v>20</v>
      </c>
      <c r="F91" s="43">
        <f t="shared" si="16"/>
        <v>0.05</v>
      </c>
      <c r="G91" s="43" t="s">
        <v>243</v>
      </c>
      <c r="H91" s="44" t="str">
        <f>INDEX(base_fish!E:E,MATCH(use_fish!B91,base_fish!A:A,0))&amp;_xlfn.IFNA("+"&amp;INDEX(activity!G:G,MATCH(use_fish!C91,activity!A:A,0)),"")</f>
        <v>虎鲸+临时活动</v>
      </c>
      <c r="I91" s="43">
        <f>LOOKUP(use_fish!B91,base_fish!A:A,base_fish!F:F)+_xlfn.IFNA(INDEX(activity!F:F,MATCH(use_fish!C91,activity!A:A,0)),0)</f>
        <v>20</v>
      </c>
      <c r="J91" s="31">
        <v>1</v>
      </c>
      <c r="K91" s="31">
        <v>0</v>
      </c>
      <c r="L91" s="31">
        <f t="shared" si="17"/>
        <v>20</v>
      </c>
      <c r="M91" s="31">
        <v>1</v>
      </c>
      <c r="N91" s="31">
        <v>0</v>
      </c>
      <c r="O91" s="31">
        <v>1</v>
      </c>
    </row>
    <row r="92" spans="1:15">
      <c r="A92" s="63">
        <v>91</v>
      </c>
      <c r="B92" s="64">
        <v>57</v>
      </c>
      <c r="C92" s="63">
        <v>56</v>
      </c>
      <c r="D92" s="63"/>
      <c r="E92" s="64">
        <f>LOOKUP(use_fish!B92,base_fish!A:A,base_fish!C:C)+_xlfn.IFNA(INDEX(activity!F:F,MATCH(use_fish!C92,activity!A:A,0)),0)</f>
        <v>75</v>
      </c>
      <c r="F92" s="64">
        <f t="shared" si="16"/>
        <v>0.0133333333333333</v>
      </c>
      <c r="G92" s="64" t="s">
        <v>243</v>
      </c>
      <c r="H92" s="65" t="str">
        <f>INDEX(base_fish!E:E,MATCH(use_fish!B92,base_fish!A:A,0))&amp;_xlfn.IFNA("+"&amp;INDEX(activity!G:G,MATCH(use_fish!C92,activity!A:A,0)),"")</f>
        <v>星星鱼+临时活动</v>
      </c>
      <c r="I92" s="64">
        <f>LOOKUP(use_fish!B92,base_fish!A:A,base_fish!F:F)+_xlfn.IFNA(INDEX(activity!F:F,MATCH(use_fish!C92,activity!A:A,0)),0)</f>
        <v>75</v>
      </c>
      <c r="J92" s="20">
        <v>1</v>
      </c>
      <c r="K92" s="20">
        <v>0</v>
      </c>
      <c r="L92" s="20">
        <f t="shared" si="17"/>
        <v>75</v>
      </c>
      <c r="M92" s="20">
        <v>1</v>
      </c>
      <c r="N92" s="20">
        <v>0</v>
      </c>
      <c r="O92" s="20">
        <v>1</v>
      </c>
    </row>
    <row r="93" spans="1:15">
      <c r="A93" s="63">
        <v>92</v>
      </c>
      <c r="B93" s="64">
        <v>57</v>
      </c>
      <c r="C93" s="63">
        <v>57</v>
      </c>
      <c r="D93" s="63"/>
      <c r="E93" s="64">
        <f>LOOKUP(use_fish!B93,base_fish!A:A,base_fish!C:C)+_xlfn.IFNA(INDEX(activity!F:F,MATCH(use_fish!C93,activity!A:A,0)),0)</f>
        <v>150</v>
      </c>
      <c r="F93" s="64">
        <f t="shared" si="16"/>
        <v>0.00666666666666667</v>
      </c>
      <c r="G93" s="64" t="s">
        <v>243</v>
      </c>
      <c r="H93" s="65" t="str">
        <f>INDEX(base_fish!E:E,MATCH(use_fish!B93,base_fish!A:A,0))&amp;_xlfn.IFNA("+"&amp;INDEX(activity!G:G,MATCH(use_fish!C93,activity!A:A,0)),"")</f>
        <v>星星鱼+临时活动</v>
      </c>
      <c r="I93" s="64">
        <f>LOOKUP(use_fish!B93,base_fish!A:A,base_fish!F:F)+_xlfn.IFNA(INDEX(activity!F:F,MATCH(use_fish!C93,activity!A:A,0)),0)</f>
        <v>150</v>
      </c>
      <c r="J93" s="20">
        <v>1</v>
      </c>
      <c r="K93" s="20">
        <v>0</v>
      </c>
      <c r="L93" s="20">
        <f t="shared" si="17"/>
        <v>150</v>
      </c>
      <c r="M93" s="20">
        <v>1</v>
      </c>
      <c r="N93" s="20">
        <v>0</v>
      </c>
      <c r="O93" s="20">
        <v>1</v>
      </c>
    </row>
    <row r="94" spans="1:15">
      <c r="A94" s="63">
        <v>93</v>
      </c>
      <c r="B94" s="64">
        <v>57</v>
      </c>
      <c r="C94" s="63">
        <v>58</v>
      </c>
      <c r="D94" s="63"/>
      <c r="E94" s="64">
        <f>LOOKUP(use_fish!B94,base_fish!A:A,base_fish!C:C)+_xlfn.IFNA(INDEX(activity!F:F,MATCH(use_fish!C94,activity!A:A,0)),0)</f>
        <v>250</v>
      </c>
      <c r="F94" s="64">
        <f t="shared" si="16"/>
        <v>0.004</v>
      </c>
      <c r="G94" s="64" t="s">
        <v>243</v>
      </c>
      <c r="H94" s="65" t="str">
        <f>INDEX(base_fish!E:E,MATCH(use_fish!B94,base_fish!A:A,0))&amp;_xlfn.IFNA("+"&amp;INDEX(activity!G:G,MATCH(use_fish!C94,activity!A:A,0)),"")</f>
        <v>星星鱼+临时活动</v>
      </c>
      <c r="I94" s="64">
        <f>LOOKUP(use_fish!B94,base_fish!A:A,base_fish!F:F)+_xlfn.IFNA(INDEX(activity!F:F,MATCH(use_fish!C94,activity!A:A,0)),0)</f>
        <v>250</v>
      </c>
      <c r="J94" s="20">
        <v>1</v>
      </c>
      <c r="K94" s="20">
        <v>0</v>
      </c>
      <c r="L94" s="20">
        <f t="shared" si="17"/>
        <v>250</v>
      </c>
      <c r="M94" s="20">
        <v>1</v>
      </c>
      <c r="N94" s="20">
        <v>0</v>
      </c>
      <c r="O94" s="20">
        <v>1</v>
      </c>
    </row>
    <row r="95" spans="1:15">
      <c r="A95" s="63">
        <v>94</v>
      </c>
      <c r="B95" s="64">
        <v>11</v>
      </c>
      <c r="C95" s="63">
        <v>59</v>
      </c>
      <c r="D95" s="63"/>
      <c r="E95" s="64">
        <f>LOOKUP(use_fish!B95,base_fish!A:A,base_fish!C:C)+_xlfn.IFNA(INDEX(activity!F:F,MATCH(use_fish!C95,activity!A:A,0)),0)</f>
        <v>25</v>
      </c>
      <c r="F95" s="64">
        <f t="shared" si="16"/>
        <v>0.04</v>
      </c>
      <c r="G95" s="64" t="s">
        <v>243</v>
      </c>
      <c r="H95" s="65" t="str">
        <f>INDEX(base_fish!E:E,MATCH(use_fish!B95,base_fish!A:A,0))&amp;_xlfn.IFNA("+"&amp;INDEX(activity!G:G,MATCH(use_fish!C95,activity!A:A,0)),"")</f>
        <v>小海龟+临时活动</v>
      </c>
      <c r="I95" s="64">
        <f>LOOKUP(use_fish!B95,base_fish!A:A,base_fish!F:F)+_xlfn.IFNA(INDEX(activity!F:F,MATCH(use_fish!C95,activity!A:A,0)),0)</f>
        <v>25</v>
      </c>
      <c r="J95" s="20">
        <v>1</v>
      </c>
      <c r="K95" s="20">
        <v>0</v>
      </c>
      <c r="L95" s="20">
        <f t="shared" si="17"/>
        <v>25</v>
      </c>
      <c r="M95" s="20">
        <v>1</v>
      </c>
      <c r="N95" s="20">
        <v>0</v>
      </c>
      <c r="O95" s="20">
        <v>1</v>
      </c>
    </row>
    <row r="96" spans="1:15">
      <c r="A96" s="63">
        <v>95</v>
      </c>
      <c r="B96" s="64">
        <v>12</v>
      </c>
      <c r="C96" s="63">
        <v>59</v>
      </c>
      <c r="D96" s="63"/>
      <c r="E96" s="64">
        <f>LOOKUP(use_fish!B96,base_fish!A:A,base_fish!C:C)+_xlfn.IFNA(INDEX(activity!F:F,MATCH(use_fish!C96,activity!A:A,0)),0)</f>
        <v>28</v>
      </c>
      <c r="F96" s="64">
        <f t="shared" si="16"/>
        <v>0.0357142857142857</v>
      </c>
      <c r="G96" s="64" t="s">
        <v>243</v>
      </c>
      <c r="H96" s="65" t="str">
        <f>INDEX(base_fish!E:E,MATCH(use_fish!B96,base_fish!A:A,0))&amp;_xlfn.IFNA("+"&amp;INDEX(activity!G:G,MATCH(use_fish!C96,activity!A:A,0)),"")</f>
        <v>狮子鱼+临时活动</v>
      </c>
      <c r="I96" s="64">
        <f>LOOKUP(use_fish!B96,base_fish!A:A,base_fish!F:F)+_xlfn.IFNA(INDEX(activity!F:F,MATCH(use_fish!C96,activity!A:A,0)),0)</f>
        <v>28</v>
      </c>
      <c r="J96" s="20">
        <v>1</v>
      </c>
      <c r="K96" s="20">
        <v>0</v>
      </c>
      <c r="L96" s="20">
        <f t="shared" si="17"/>
        <v>28</v>
      </c>
      <c r="M96" s="20">
        <v>1</v>
      </c>
      <c r="N96" s="20">
        <v>0</v>
      </c>
      <c r="O96" s="20">
        <v>1</v>
      </c>
    </row>
    <row r="97" spans="1:15">
      <c r="A97" s="63">
        <v>96</v>
      </c>
      <c r="B97" s="64">
        <v>13</v>
      </c>
      <c r="C97" s="63">
        <v>59</v>
      </c>
      <c r="D97" s="63"/>
      <c r="E97" s="64">
        <f>LOOKUP(use_fish!B97,base_fish!A:A,base_fish!C:C)+_xlfn.IFNA(INDEX(activity!F:F,MATCH(use_fish!C97,activity!A:A,0)),0)</f>
        <v>30</v>
      </c>
      <c r="F97" s="64">
        <f t="shared" si="16"/>
        <v>0.0333333333333333</v>
      </c>
      <c r="G97" s="64" t="s">
        <v>243</v>
      </c>
      <c r="H97" s="65" t="str">
        <f>INDEX(base_fish!E:E,MATCH(use_fish!B97,base_fish!A:A,0))&amp;_xlfn.IFNA("+"&amp;INDEX(activity!G:G,MATCH(use_fish!C97,activity!A:A,0)),"")</f>
        <v>蝴蝶鱼+临时活动</v>
      </c>
      <c r="I97" s="64">
        <f>LOOKUP(use_fish!B97,base_fish!A:A,base_fish!F:F)+_xlfn.IFNA(INDEX(activity!F:F,MATCH(use_fish!C97,activity!A:A,0)),0)</f>
        <v>30</v>
      </c>
      <c r="J97" s="20">
        <v>1</v>
      </c>
      <c r="K97" s="20">
        <v>0</v>
      </c>
      <c r="L97" s="20">
        <f t="shared" si="17"/>
        <v>30</v>
      </c>
      <c r="M97" s="20">
        <v>1</v>
      </c>
      <c r="N97" s="20">
        <v>0</v>
      </c>
      <c r="O97" s="20">
        <v>1</v>
      </c>
    </row>
    <row r="98" spans="1:15">
      <c r="A98" s="63">
        <v>97</v>
      </c>
      <c r="B98" s="64">
        <v>14</v>
      </c>
      <c r="C98" s="63">
        <v>59</v>
      </c>
      <c r="D98" s="63"/>
      <c r="E98" s="64">
        <f>LOOKUP(use_fish!B98,base_fish!A:A,base_fish!C:C)+_xlfn.IFNA(INDEX(activity!F:F,MATCH(use_fish!C98,activity!A:A,0)),0)</f>
        <v>35</v>
      </c>
      <c r="F98" s="64">
        <f t="shared" si="16"/>
        <v>0.0285714285714286</v>
      </c>
      <c r="G98" s="64" t="s">
        <v>243</v>
      </c>
      <c r="H98" s="65" t="str">
        <f>INDEX(base_fish!E:E,MATCH(use_fish!B98,base_fish!A:A,0))&amp;_xlfn.IFNA("+"&amp;INDEX(activity!G:G,MATCH(use_fish!C98,activity!A:A,0)),"")</f>
        <v>巨大小丑鱼+临时活动</v>
      </c>
      <c r="I98" s="64">
        <f>LOOKUP(use_fish!B98,base_fish!A:A,base_fish!F:F)+_xlfn.IFNA(INDEX(activity!F:F,MATCH(use_fish!C98,activity!A:A,0)),0)</f>
        <v>35</v>
      </c>
      <c r="J98" s="20">
        <v>1</v>
      </c>
      <c r="K98" s="20">
        <v>0</v>
      </c>
      <c r="L98" s="20">
        <f t="shared" si="17"/>
        <v>35</v>
      </c>
      <c r="M98" s="20">
        <v>1</v>
      </c>
      <c r="N98" s="20">
        <v>0</v>
      </c>
      <c r="O98" s="20">
        <v>1</v>
      </c>
    </row>
    <row r="99" spans="1:15">
      <c r="A99" s="63">
        <v>98</v>
      </c>
      <c r="B99" s="64">
        <v>15</v>
      </c>
      <c r="C99" s="63">
        <v>59</v>
      </c>
      <c r="D99" s="63"/>
      <c r="E99" s="64">
        <f>LOOKUP(use_fish!B99,base_fish!A:A,base_fish!C:C)+_xlfn.IFNA(INDEX(activity!F:F,MATCH(use_fish!C99,activity!A:A,0)),0)</f>
        <v>40</v>
      </c>
      <c r="F99" s="64">
        <f t="shared" si="16"/>
        <v>0.025</v>
      </c>
      <c r="G99" s="64" t="s">
        <v>243</v>
      </c>
      <c r="H99" s="65" t="str">
        <f>INDEX(base_fish!E:E,MATCH(use_fish!B99,base_fish!A:A,0))&amp;_xlfn.IFNA("+"&amp;INDEX(activity!G:G,MATCH(use_fish!C99,activity!A:A,0)),"")</f>
        <v>巨大灯笼鱼+临时活动</v>
      </c>
      <c r="I99" s="64">
        <f>LOOKUP(use_fish!B99,base_fish!A:A,base_fish!F:F)+_xlfn.IFNA(INDEX(activity!F:F,MATCH(use_fish!C99,activity!A:A,0)),0)</f>
        <v>40</v>
      </c>
      <c r="J99" s="20">
        <v>1</v>
      </c>
      <c r="K99" s="20">
        <v>0</v>
      </c>
      <c r="L99" s="20">
        <f t="shared" si="17"/>
        <v>40</v>
      </c>
      <c r="M99" s="20">
        <v>1</v>
      </c>
      <c r="N99" s="20">
        <v>0</v>
      </c>
      <c r="O99" s="20">
        <v>1</v>
      </c>
    </row>
    <row r="100" spans="1:15">
      <c r="A100" s="63">
        <v>99</v>
      </c>
      <c r="B100" s="64">
        <v>16</v>
      </c>
      <c r="C100" s="63">
        <v>59</v>
      </c>
      <c r="D100" s="63"/>
      <c r="E100" s="64">
        <f>LOOKUP(use_fish!B100,base_fish!A:A,base_fish!C:C)+_xlfn.IFNA(INDEX(activity!F:F,MATCH(use_fish!C100,activity!A:A,0)),0)</f>
        <v>45</v>
      </c>
      <c r="F100" s="64">
        <f t="shared" si="16"/>
        <v>0.0222222222222222</v>
      </c>
      <c r="G100" s="64" t="s">
        <v>243</v>
      </c>
      <c r="H100" s="65" t="str">
        <f>INDEX(base_fish!E:E,MATCH(use_fish!B100,base_fish!A:A,0))&amp;_xlfn.IFNA("+"&amp;INDEX(activity!G:G,MATCH(use_fish!C100,activity!A:A,0)),"")</f>
        <v>巨大燕鱼+临时活动</v>
      </c>
      <c r="I100" s="64">
        <f>LOOKUP(use_fish!B100,base_fish!A:A,base_fish!F:F)+_xlfn.IFNA(INDEX(activity!F:F,MATCH(use_fish!C100,activity!A:A,0)),0)</f>
        <v>45</v>
      </c>
      <c r="J100" s="20">
        <v>1</v>
      </c>
      <c r="K100" s="20">
        <v>0</v>
      </c>
      <c r="L100" s="20">
        <f t="shared" si="17"/>
        <v>45</v>
      </c>
      <c r="M100" s="20">
        <v>1</v>
      </c>
      <c r="N100" s="20">
        <v>0</v>
      </c>
      <c r="O100" s="20">
        <v>1</v>
      </c>
    </row>
    <row r="101" spans="1:15">
      <c r="A101" s="63">
        <v>100</v>
      </c>
      <c r="B101" s="64">
        <v>17</v>
      </c>
      <c r="C101" s="63">
        <v>59</v>
      </c>
      <c r="D101" s="63"/>
      <c r="E101" s="64">
        <f>LOOKUP(use_fish!B101,base_fish!A:A,base_fish!C:C)+_xlfn.IFNA(INDEX(activity!F:F,MATCH(use_fish!C101,activity!A:A,0)),0)</f>
        <v>50</v>
      </c>
      <c r="F101" s="64">
        <f t="shared" si="16"/>
        <v>0.02</v>
      </c>
      <c r="G101" s="64" t="s">
        <v>243</v>
      </c>
      <c r="H101" s="65" t="str">
        <f>INDEX(base_fish!E:E,MATCH(use_fish!B101,base_fish!A:A,0))&amp;_xlfn.IFNA("+"&amp;INDEX(activity!G:G,MATCH(use_fish!C101,activity!A:A,0)),"")</f>
        <v>魔鬼鱼+临时活动</v>
      </c>
      <c r="I101" s="64">
        <f>LOOKUP(use_fish!B101,base_fish!A:A,base_fish!F:F)+_xlfn.IFNA(INDEX(activity!F:F,MATCH(use_fish!C101,activity!A:A,0)),0)</f>
        <v>50</v>
      </c>
      <c r="J101" s="20">
        <v>1</v>
      </c>
      <c r="K101" s="20">
        <v>0</v>
      </c>
      <c r="L101" s="20">
        <f t="shared" si="17"/>
        <v>50</v>
      </c>
      <c r="M101" s="20">
        <v>1</v>
      </c>
      <c r="N101" s="20">
        <v>0</v>
      </c>
      <c r="O101" s="20">
        <v>1</v>
      </c>
    </row>
    <row r="102" s="15" customFormat="1" spans="1:15">
      <c r="A102" s="66">
        <v>101</v>
      </c>
      <c r="B102" s="6">
        <v>13</v>
      </c>
      <c r="C102" s="66">
        <v>68</v>
      </c>
      <c r="D102" s="66"/>
      <c r="E102" s="6">
        <f>LOOKUP(use_fish!B102,base_fish!A:A,base_fish!C:C)+_xlfn.IFNA(INDEX(activity!F:F,MATCH(use_fish!C102,activity!A:A,0)),0)</f>
        <v>30</v>
      </c>
      <c r="F102" s="6">
        <f t="shared" si="16"/>
        <v>0.0333333333333333</v>
      </c>
      <c r="G102" s="6" t="s">
        <v>243</v>
      </c>
      <c r="H102" s="67" t="str">
        <f>INDEX(base_fish!E:E,MATCH(use_fish!B102,base_fish!A:A,0))&amp;_xlfn.IFNA("+"&amp;INDEX(activity!G:G,MATCH(use_fish!C102,activity!A:A,0)),"")</f>
        <v>蝴蝶鱼+临时活动</v>
      </c>
      <c r="I102" s="6">
        <f>LOOKUP(use_fish!B102,base_fish!A:A,base_fish!F:F)+_xlfn.IFNA(INDEX(activity!F:F,MATCH(use_fish!C102,activity!A:A,0)),0)</f>
        <v>30</v>
      </c>
      <c r="J102" s="15">
        <v>1</v>
      </c>
      <c r="K102" s="15">
        <v>0</v>
      </c>
      <c r="L102" s="15">
        <f t="shared" si="17"/>
        <v>30</v>
      </c>
      <c r="M102" s="15">
        <v>1</v>
      </c>
      <c r="N102" s="15">
        <v>0</v>
      </c>
      <c r="O102" s="15">
        <v>1</v>
      </c>
    </row>
    <row r="103" s="15" customFormat="1" spans="1:15">
      <c r="A103" s="66">
        <v>102</v>
      </c>
      <c r="B103" s="6">
        <v>14</v>
      </c>
      <c r="C103" s="66">
        <v>68</v>
      </c>
      <c r="D103" s="66"/>
      <c r="E103" s="6">
        <f>LOOKUP(use_fish!B103,base_fish!A:A,base_fish!C:C)+_xlfn.IFNA(INDEX(activity!F:F,MATCH(use_fish!C103,activity!A:A,0)),0)</f>
        <v>35</v>
      </c>
      <c r="F103" s="6">
        <f t="shared" si="16"/>
        <v>0.0285714285714286</v>
      </c>
      <c r="G103" s="6" t="s">
        <v>243</v>
      </c>
      <c r="H103" s="67" t="str">
        <f>INDEX(base_fish!E:E,MATCH(use_fish!B103,base_fish!A:A,0))&amp;_xlfn.IFNA("+"&amp;INDEX(activity!G:G,MATCH(use_fish!C103,activity!A:A,0)),"")</f>
        <v>巨大小丑鱼+临时活动</v>
      </c>
      <c r="I103" s="6">
        <f>LOOKUP(use_fish!B103,base_fish!A:A,base_fish!F:F)+_xlfn.IFNA(INDEX(activity!F:F,MATCH(use_fish!C103,activity!A:A,0)),0)</f>
        <v>35</v>
      </c>
      <c r="J103" s="15">
        <v>1</v>
      </c>
      <c r="K103" s="15">
        <v>0</v>
      </c>
      <c r="L103" s="15">
        <f t="shared" si="17"/>
        <v>35</v>
      </c>
      <c r="M103" s="15">
        <v>1</v>
      </c>
      <c r="N103" s="15">
        <v>0</v>
      </c>
      <c r="O103" s="15">
        <v>1</v>
      </c>
    </row>
    <row r="104" s="15" customFormat="1" spans="1:15">
      <c r="A104" s="66">
        <v>103</v>
      </c>
      <c r="B104" s="6">
        <v>15</v>
      </c>
      <c r="C104" s="66">
        <v>68</v>
      </c>
      <c r="D104" s="66"/>
      <c r="E104" s="6">
        <f>LOOKUP(use_fish!B104,base_fish!A:A,base_fish!C:C)+_xlfn.IFNA(INDEX(activity!F:F,MATCH(use_fish!C104,activity!A:A,0)),0)</f>
        <v>40</v>
      </c>
      <c r="F104" s="6">
        <f t="shared" si="16"/>
        <v>0.025</v>
      </c>
      <c r="G104" s="6" t="s">
        <v>243</v>
      </c>
      <c r="H104" s="67" t="str">
        <f>INDEX(base_fish!E:E,MATCH(use_fish!B104,base_fish!A:A,0))&amp;_xlfn.IFNA("+"&amp;INDEX(activity!G:G,MATCH(use_fish!C104,activity!A:A,0)),"")</f>
        <v>巨大灯笼鱼+临时活动</v>
      </c>
      <c r="I104" s="6">
        <f>LOOKUP(use_fish!B104,base_fish!A:A,base_fish!F:F)+_xlfn.IFNA(INDEX(activity!F:F,MATCH(use_fish!C104,activity!A:A,0)),0)</f>
        <v>40</v>
      </c>
      <c r="J104" s="15">
        <v>1</v>
      </c>
      <c r="K104" s="15">
        <v>0</v>
      </c>
      <c r="L104" s="15">
        <f t="shared" si="17"/>
        <v>40</v>
      </c>
      <c r="M104" s="15">
        <v>1</v>
      </c>
      <c r="N104" s="15">
        <v>0</v>
      </c>
      <c r="O104" s="15">
        <v>1</v>
      </c>
    </row>
    <row r="105" s="15" customFormat="1" spans="1:15">
      <c r="A105" s="66">
        <v>104</v>
      </c>
      <c r="B105" s="6">
        <v>16</v>
      </c>
      <c r="C105" s="66">
        <v>68</v>
      </c>
      <c r="D105" s="66"/>
      <c r="E105" s="6">
        <f>LOOKUP(use_fish!B105,base_fish!A:A,base_fish!C:C)+_xlfn.IFNA(INDEX(activity!F:F,MATCH(use_fish!C105,activity!A:A,0)),0)</f>
        <v>45</v>
      </c>
      <c r="F105" s="6">
        <f t="shared" si="16"/>
        <v>0.0222222222222222</v>
      </c>
      <c r="G105" s="6" t="s">
        <v>243</v>
      </c>
      <c r="H105" s="67" t="str">
        <f>INDEX(base_fish!E:E,MATCH(use_fish!B105,base_fish!A:A,0))&amp;_xlfn.IFNA("+"&amp;INDEX(activity!G:G,MATCH(use_fish!C105,activity!A:A,0)),"")</f>
        <v>巨大燕鱼+临时活动</v>
      </c>
      <c r="I105" s="6">
        <f>LOOKUP(use_fish!B105,base_fish!A:A,base_fish!F:F)+_xlfn.IFNA(INDEX(activity!F:F,MATCH(use_fish!C105,activity!A:A,0)),0)</f>
        <v>45</v>
      </c>
      <c r="J105" s="15">
        <v>1</v>
      </c>
      <c r="K105" s="15">
        <v>0</v>
      </c>
      <c r="L105" s="15">
        <f t="shared" si="17"/>
        <v>45</v>
      </c>
      <c r="M105" s="15">
        <v>1</v>
      </c>
      <c r="N105" s="15">
        <v>0</v>
      </c>
      <c r="O105" s="15">
        <v>1</v>
      </c>
    </row>
    <row r="106" s="15" customFormat="1" spans="1:15">
      <c r="A106" s="66">
        <v>105</v>
      </c>
      <c r="B106" s="6">
        <v>17</v>
      </c>
      <c r="C106" s="66">
        <v>68</v>
      </c>
      <c r="D106" s="66"/>
      <c r="E106" s="6">
        <f>LOOKUP(use_fish!B106,base_fish!A:A,base_fish!C:C)+_xlfn.IFNA(INDEX(activity!F:F,MATCH(use_fish!C106,activity!A:A,0)),0)</f>
        <v>50</v>
      </c>
      <c r="F106" s="6">
        <f t="shared" si="16"/>
        <v>0.02</v>
      </c>
      <c r="G106" s="6" t="s">
        <v>243</v>
      </c>
      <c r="H106" s="67" t="str">
        <f>INDEX(base_fish!E:E,MATCH(use_fish!B106,base_fish!A:A,0))&amp;_xlfn.IFNA("+"&amp;INDEX(activity!G:G,MATCH(use_fish!C106,activity!A:A,0)),"")</f>
        <v>魔鬼鱼+临时活动</v>
      </c>
      <c r="I106" s="6">
        <f>LOOKUP(use_fish!B106,base_fish!A:A,base_fish!F:F)+_xlfn.IFNA(INDEX(activity!F:F,MATCH(use_fish!C106,activity!A:A,0)),0)</f>
        <v>50</v>
      </c>
      <c r="J106" s="15">
        <v>1</v>
      </c>
      <c r="K106" s="15">
        <v>0</v>
      </c>
      <c r="L106" s="15">
        <f t="shared" si="17"/>
        <v>50</v>
      </c>
      <c r="M106" s="15">
        <v>1</v>
      </c>
      <c r="N106" s="15">
        <v>0</v>
      </c>
      <c r="O106" s="15">
        <v>1</v>
      </c>
    </row>
    <row r="107" s="15" customFormat="1" spans="1:15">
      <c r="A107" s="66">
        <v>106</v>
      </c>
      <c r="B107" s="6">
        <v>18</v>
      </c>
      <c r="C107" s="66">
        <v>68</v>
      </c>
      <c r="D107" s="66"/>
      <c r="E107" s="6">
        <f>LOOKUP(use_fish!B107,base_fish!A:A,base_fish!C:C)+_xlfn.IFNA(INDEX(activity!F:F,MATCH(use_fish!C107,activity!A:A,0)),0)</f>
        <v>70</v>
      </c>
      <c r="F107" s="6">
        <f t="shared" si="16"/>
        <v>0.0142857142857143</v>
      </c>
      <c r="G107" s="6" t="s">
        <v>243</v>
      </c>
      <c r="H107" s="67" t="str">
        <f>INDEX(base_fish!E:E,MATCH(use_fish!B107,base_fish!A:A,0))&amp;_xlfn.IFNA("+"&amp;INDEX(activity!G:G,MATCH(use_fish!C107,activity!A:A,0)),"")</f>
        <v>虎鲸+临时活动</v>
      </c>
      <c r="I107" s="6">
        <f>LOOKUP(use_fish!B107,base_fish!A:A,base_fish!F:F)+_xlfn.IFNA(INDEX(activity!F:F,MATCH(use_fish!C107,activity!A:A,0)),0)</f>
        <v>70</v>
      </c>
      <c r="J107" s="15">
        <v>1</v>
      </c>
      <c r="K107" s="15">
        <v>0</v>
      </c>
      <c r="L107" s="15">
        <f t="shared" si="17"/>
        <v>70</v>
      </c>
      <c r="M107" s="15">
        <v>1</v>
      </c>
      <c r="N107" s="15">
        <v>0</v>
      </c>
      <c r="O107" s="15">
        <v>1</v>
      </c>
    </row>
    <row r="108" s="15" customFormat="1" spans="1:15">
      <c r="A108" s="66">
        <v>107</v>
      </c>
      <c r="B108" s="66">
        <v>58</v>
      </c>
      <c r="C108" s="66">
        <v>65</v>
      </c>
      <c r="D108" s="66"/>
      <c r="E108" s="6">
        <f>LOOKUP(use_fish!B108,base_fish!A:A,base_fish!C:C)+_xlfn.IFNA(INDEX(activity!F:F,MATCH(use_fish!C108,activity!A:A,0)),0)</f>
        <v>75</v>
      </c>
      <c r="F108" s="6">
        <f t="shared" si="16"/>
        <v>0.0133333333333333</v>
      </c>
      <c r="G108" s="6" t="s">
        <v>243</v>
      </c>
      <c r="H108" s="67" t="str">
        <f>INDEX(base_fish!E:E,MATCH(use_fish!B108,base_fish!A:A,0))&amp;_xlfn.IFNA("+"&amp;INDEX(activity!G:G,MATCH(use_fish!C108,activity!A:A,0)),"")</f>
        <v>火鸡鱼+临时活动</v>
      </c>
      <c r="I108" s="6">
        <f>LOOKUP(use_fish!B108,base_fish!A:A,base_fish!F:F)+_xlfn.IFNA(INDEX(activity!F:F,MATCH(use_fish!C108,activity!A:A,0)),0)</f>
        <v>75</v>
      </c>
      <c r="J108" s="15">
        <v>1</v>
      </c>
      <c r="K108" s="15">
        <v>0</v>
      </c>
      <c r="L108" s="15">
        <f t="shared" si="17"/>
        <v>75</v>
      </c>
      <c r="M108" s="15">
        <v>1</v>
      </c>
      <c r="N108" s="15">
        <v>0</v>
      </c>
      <c r="O108" s="15">
        <v>1</v>
      </c>
    </row>
    <row r="109" s="15" customFormat="1" spans="1:15">
      <c r="A109" s="66">
        <v>108</v>
      </c>
      <c r="B109" s="66">
        <v>58</v>
      </c>
      <c r="C109" s="66">
        <v>66</v>
      </c>
      <c r="D109" s="66"/>
      <c r="E109" s="6">
        <f>LOOKUP(use_fish!B109,base_fish!A:A,base_fish!C:C)+_xlfn.IFNA(INDEX(activity!F:F,MATCH(use_fish!C109,activity!A:A,0)),0)</f>
        <v>150</v>
      </c>
      <c r="F109" s="6">
        <f t="shared" si="16"/>
        <v>0.00666666666666667</v>
      </c>
      <c r="G109" s="6" t="s">
        <v>243</v>
      </c>
      <c r="H109" s="67" t="str">
        <f>INDEX(base_fish!E:E,MATCH(use_fish!B109,base_fish!A:A,0))&amp;_xlfn.IFNA("+"&amp;INDEX(activity!G:G,MATCH(use_fish!C109,activity!A:A,0)),"")</f>
        <v>火鸡鱼+临时活动</v>
      </c>
      <c r="I109" s="6">
        <f>LOOKUP(use_fish!B109,base_fish!A:A,base_fish!F:F)+_xlfn.IFNA(INDEX(activity!F:F,MATCH(use_fish!C109,activity!A:A,0)),0)</f>
        <v>150</v>
      </c>
      <c r="J109" s="15">
        <v>1</v>
      </c>
      <c r="K109" s="15">
        <v>0</v>
      </c>
      <c r="L109" s="15">
        <f t="shared" si="17"/>
        <v>150</v>
      </c>
      <c r="M109" s="15">
        <v>1</v>
      </c>
      <c r="N109" s="15">
        <v>0</v>
      </c>
      <c r="O109" s="15">
        <v>1</v>
      </c>
    </row>
    <row r="110" s="15" customFormat="1" spans="1:15">
      <c r="A110" s="66">
        <v>109</v>
      </c>
      <c r="B110" s="66">
        <v>58</v>
      </c>
      <c r="C110" s="66">
        <v>67</v>
      </c>
      <c r="D110" s="66"/>
      <c r="E110" s="6">
        <f>LOOKUP(use_fish!B110,base_fish!A:A,base_fish!C:C)+_xlfn.IFNA(INDEX(activity!F:F,MATCH(use_fish!C110,activity!A:A,0)),0)</f>
        <v>250</v>
      </c>
      <c r="F110" s="6">
        <f t="shared" si="16"/>
        <v>0.004</v>
      </c>
      <c r="G110" s="6" t="s">
        <v>243</v>
      </c>
      <c r="H110" s="67" t="str">
        <f>INDEX(base_fish!E:E,MATCH(use_fish!B110,base_fish!A:A,0))&amp;_xlfn.IFNA("+"&amp;INDEX(activity!G:G,MATCH(use_fish!C110,activity!A:A,0)),"")</f>
        <v>火鸡鱼+临时活动</v>
      </c>
      <c r="I110" s="6">
        <f>LOOKUP(use_fish!B110,base_fish!A:A,base_fish!F:F)+_xlfn.IFNA(INDEX(activity!F:F,MATCH(use_fish!C110,activity!A:A,0)),0)</f>
        <v>250</v>
      </c>
      <c r="J110" s="15">
        <v>1</v>
      </c>
      <c r="K110" s="15">
        <v>0</v>
      </c>
      <c r="L110" s="15">
        <f t="shared" si="17"/>
        <v>250</v>
      </c>
      <c r="M110" s="15">
        <v>1</v>
      </c>
      <c r="N110" s="15">
        <v>0</v>
      </c>
      <c r="O110" s="15">
        <v>1</v>
      </c>
    </row>
    <row r="111" s="16" customFormat="1" spans="1:15">
      <c r="A111" s="23">
        <v>110</v>
      </c>
      <c r="B111" s="23">
        <v>59</v>
      </c>
      <c r="C111" s="23">
        <v>69</v>
      </c>
      <c r="D111" s="23"/>
      <c r="E111" s="64">
        <f>LOOKUP(use_fish!B111,base_fish!A:A,base_fish!C:C)+_xlfn.IFNA(INDEX(activity!F:F,MATCH(use_fish!C111,activity!A:A,0)),0)</f>
        <v>75</v>
      </c>
      <c r="F111" s="68">
        <f t="shared" si="16"/>
        <v>0.0133333333333333</v>
      </c>
      <c r="G111" s="68" t="s">
        <v>243</v>
      </c>
      <c r="H111" s="69" t="str">
        <f>INDEX(base_fish!E:E,MATCH(use_fish!B111,base_fish!A:A,0))&amp;_xlfn.IFNA("+"&amp;INDEX(activity!G:G,MATCH(use_fish!C111,activity!A:A,0)),"")</f>
        <v>话费鱼+话费鱼</v>
      </c>
      <c r="I111" s="68">
        <f>LOOKUP(use_fish!B111,base_fish!A:A,base_fish!F:F)+_xlfn.IFNA(INDEX(activity!F:F,MATCH(use_fish!C111,activity!A:A,0)),0)</f>
        <v>75</v>
      </c>
      <c r="J111" s="16">
        <v>1</v>
      </c>
      <c r="K111" s="16">
        <v>0</v>
      </c>
      <c r="L111" s="16">
        <f t="shared" si="17"/>
        <v>75</v>
      </c>
      <c r="M111" s="16">
        <v>1</v>
      </c>
      <c r="N111" s="16">
        <v>1</v>
      </c>
      <c r="O111" s="16">
        <v>1</v>
      </c>
    </row>
    <row r="112" s="16" customFormat="1" spans="1:15">
      <c r="A112" s="23">
        <v>111</v>
      </c>
      <c r="B112" s="23">
        <v>59</v>
      </c>
      <c r="C112" s="23">
        <v>0</v>
      </c>
      <c r="D112" s="70" t="s">
        <v>254</v>
      </c>
      <c r="E112" s="64">
        <v>0</v>
      </c>
      <c r="F112" s="68">
        <v>0</v>
      </c>
      <c r="G112" s="68" t="s">
        <v>243</v>
      </c>
      <c r="H112" s="69" t="str">
        <f>INDEX(base_fish!E:E,MATCH(use_fish!B112,base_fish!A:A,0))&amp;_xlfn.IFNA("+"&amp;INDEX(activity!G:G,MATCH(use_fish!C112,activity!A:A,0)),"")</f>
        <v>话费鱼</v>
      </c>
      <c r="I112" s="68">
        <f>LOOKUP(use_fish!B112,base_fish!A:A,base_fish!F:F)+_xlfn.IFNA(INDEX(activity!F:F,MATCH(use_fish!C112,activity!A:A,0)),0)</f>
        <v>0</v>
      </c>
      <c r="J112" s="16">
        <v>1</v>
      </c>
      <c r="K112" s="16">
        <v>0</v>
      </c>
      <c r="L112" s="16">
        <f t="shared" si="17"/>
        <v>0</v>
      </c>
      <c r="M112" s="16">
        <v>1</v>
      </c>
      <c r="N112" s="16">
        <v>1</v>
      </c>
      <c r="O112" s="16">
        <v>1</v>
      </c>
    </row>
    <row r="113" s="37" customFormat="1" spans="1:15">
      <c r="A113" s="71">
        <v>112</v>
      </c>
      <c r="B113" s="7">
        <v>13</v>
      </c>
      <c r="C113" s="71">
        <v>73</v>
      </c>
      <c r="D113" s="71"/>
      <c r="E113" s="7">
        <f>LOOKUP(use_fish!B113,base_fish!A:A,base_fish!C:C)+_xlfn.IFNA(INDEX(activity!F:F,MATCH(use_fish!C113,activity!A:A,0)),0)</f>
        <v>30</v>
      </c>
      <c r="F113" s="7">
        <f t="shared" si="16"/>
        <v>0.0333333333333333</v>
      </c>
      <c r="G113" s="7" t="s">
        <v>243</v>
      </c>
      <c r="H113" s="72" t="str">
        <f>INDEX(base_fish!E:E,MATCH(use_fish!B113,base_fish!A:A,0))&amp;_xlfn.IFNA("+"&amp;INDEX(activity!G:G,MATCH(use_fish!C113,activity!A:A,0)),"")</f>
        <v>蝴蝶鱼+临时活动</v>
      </c>
      <c r="I113" s="7">
        <f>LOOKUP(use_fish!B113,base_fish!A:A,base_fish!F:F)+_xlfn.IFNA(INDEX(activity!F:F,MATCH(use_fish!C113,activity!A:A,0)),0)</f>
        <v>30</v>
      </c>
      <c r="J113" s="37">
        <v>1</v>
      </c>
      <c r="K113" s="37">
        <v>0</v>
      </c>
      <c r="L113" s="37">
        <f t="shared" si="17"/>
        <v>30</v>
      </c>
      <c r="M113" s="37">
        <v>1</v>
      </c>
      <c r="N113" s="37">
        <v>0</v>
      </c>
      <c r="O113" s="37">
        <v>1</v>
      </c>
    </row>
    <row r="114" s="37" customFormat="1" spans="1:15">
      <c r="A114" s="71">
        <v>113</v>
      </c>
      <c r="B114" s="7">
        <v>14</v>
      </c>
      <c r="C114" s="71">
        <v>73</v>
      </c>
      <c r="D114" s="71"/>
      <c r="E114" s="7">
        <f>LOOKUP(use_fish!B114,base_fish!A:A,base_fish!C:C)+_xlfn.IFNA(INDEX(activity!F:F,MATCH(use_fish!C114,activity!A:A,0)),0)</f>
        <v>35</v>
      </c>
      <c r="F114" s="7">
        <f t="shared" si="16"/>
        <v>0.0285714285714286</v>
      </c>
      <c r="G114" s="7" t="s">
        <v>243</v>
      </c>
      <c r="H114" s="72" t="str">
        <f>INDEX(base_fish!E:E,MATCH(use_fish!B114,base_fish!A:A,0))&amp;_xlfn.IFNA("+"&amp;INDEX(activity!G:G,MATCH(use_fish!C114,activity!A:A,0)),"")</f>
        <v>巨大小丑鱼+临时活动</v>
      </c>
      <c r="I114" s="7">
        <f>LOOKUP(use_fish!B114,base_fish!A:A,base_fish!F:F)+_xlfn.IFNA(INDEX(activity!F:F,MATCH(use_fish!C114,activity!A:A,0)),0)</f>
        <v>35</v>
      </c>
      <c r="J114" s="37">
        <v>1</v>
      </c>
      <c r="K114" s="37">
        <v>0</v>
      </c>
      <c r="L114" s="37">
        <f t="shared" si="17"/>
        <v>35</v>
      </c>
      <c r="M114" s="37">
        <v>1</v>
      </c>
      <c r="N114" s="37">
        <v>0</v>
      </c>
      <c r="O114" s="37">
        <v>1</v>
      </c>
    </row>
    <row r="115" s="37" customFormat="1" spans="1:15">
      <c r="A115" s="71">
        <v>114</v>
      </c>
      <c r="B115" s="7">
        <v>15</v>
      </c>
      <c r="C115" s="71">
        <v>73</v>
      </c>
      <c r="D115" s="71"/>
      <c r="E115" s="7">
        <f>LOOKUP(use_fish!B115,base_fish!A:A,base_fish!C:C)+_xlfn.IFNA(INDEX(activity!F:F,MATCH(use_fish!C115,activity!A:A,0)),0)</f>
        <v>40</v>
      </c>
      <c r="F115" s="7">
        <f t="shared" si="16"/>
        <v>0.025</v>
      </c>
      <c r="G115" s="7" t="s">
        <v>243</v>
      </c>
      <c r="H115" s="72" t="str">
        <f>INDEX(base_fish!E:E,MATCH(use_fish!B115,base_fish!A:A,0))&amp;_xlfn.IFNA("+"&amp;INDEX(activity!G:G,MATCH(use_fish!C115,activity!A:A,0)),"")</f>
        <v>巨大灯笼鱼+临时活动</v>
      </c>
      <c r="I115" s="7">
        <f>LOOKUP(use_fish!B115,base_fish!A:A,base_fish!F:F)+_xlfn.IFNA(INDEX(activity!F:F,MATCH(use_fish!C115,activity!A:A,0)),0)</f>
        <v>40</v>
      </c>
      <c r="J115" s="37">
        <v>1</v>
      </c>
      <c r="K115" s="37">
        <v>0</v>
      </c>
      <c r="L115" s="37">
        <f t="shared" si="17"/>
        <v>40</v>
      </c>
      <c r="M115" s="37">
        <v>1</v>
      </c>
      <c r="N115" s="37">
        <v>0</v>
      </c>
      <c r="O115" s="37">
        <v>1</v>
      </c>
    </row>
    <row r="116" s="37" customFormat="1" spans="1:15">
      <c r="A116" s="71">
        <v>115</v>
      </c>
      <c r="B116" s="7">
        <v>16</v>
      </c>
      <c r="C116" s="71">
        <v>73</v>
      </c>
      <c r="D116" s="71"/>
      <c r="E116" s="7">
        <f>LOOKUP(use_fish!B116,base_fish!A:A,base_fish!C:C)+_xlfn.IFNA(INDEX(activity!F:F,MATCH(use_fish!C116,activity!A:A,0)),0)</f>
        <v>45</v>
      </c>
      <c r="F116" s="7">
        <f t="shared" si="16"/>
        <v>0.0222222222222222</v>
      </c>
      <c r="G116" s="7" t="s">
        <v>243</v>
      </c>
      <c r="H116" s="72" t="str">
        <f>INDEX(base_fish!E:E,MATCH(use_fish!B116,base_fish!A:A,0))&amp;_xlfn.IFNA("+"&amp;INDEX(activity!G:G,MATCH(use_fish!C116,activity!A:A,0)),"")</f>
        <v>巨大燕鱼+临时活动</v>
      </c>
      <c r="I116" s="7">
        <f>LOOKUP(use_fish!B116,base_fish!A:A,base_fish!F:F)+_xlfn.IFNA(INDEX(activity!F:F,MATCH(use_fish!C116,activity!A:A,0)),0)</f>
        <v>45</v>
      </c>
      <c r="J116" s="37">
        <v>1</v>
      </c>
      <c r="K116" s="37">
        <v>0</v>
      </c>
      <c r="L116" s="37">
        <f t="shared" si="17"/>
        <v>45</v>
      </c>
      <c r="M116" s="37">
        <v>1</v>
      </c>
      <c r="N116" s="37">
        <v>0</v>
      </c>
      <c r="O116" s="37">
        <v>1</v>
      </c>
    </row>
    <row r="117" s="37" customFormat="1" spans="1:15">
      <c r="A117" s="71">
        <v>116</v>
      </c>
      <c r="B117" s="7">
        <v>17</v>
      </c>
      <c r="C117" s="71">
        <v>73</v>
      </c>
      <c r="D117" s="71"/>
      <c r="E117" s="7">
        <f>LOOKUP(use_fish!B117,base_fish!A:A,base_fish!C:C)+_xlfn.IFNA(INDEX(activity!F:F,MATCH(use_fish!C117,activity!A:A,0)),0)</f>
        <v>50</v>
      </c>
      <c r="F117" s="7">
        <f t="shared" si="16"/>
        <v>0.02</v>
      </c>
      <c r="G117" s="7" t="s">
        <v>243</v>
      </c>
      <c r="H117" s="72" t="str">
        <f>INDEX(base_fish!E:E,MATCH(use_fish!B117,base_fish!A:A,0))&amp;_xlfn.IFNA("+"&amp;INDEX(activity!G:G,MATCH(use_fish!C117,activity!A:A,0)),"")</f>
        <v>魔鬼鱼+临时活动</v>
      </c>
      <c r="I117" s="7">
        <f>LOOKUP(use_fish!B117,base_fish!A:A,base_fish!F:F)+_xlfn.IFNA(INDEX(activity!F:F,MATCH(use_fish!C117,activity!A:A,0)),0)</f>
        <v>50</v>
      </c>
      <c r="J117" s="37">
        <v>1</v>
      </c>
      <c r="K117" s="37">
        <v>0</v>
      </c>
      <c r="L117" s="37">
        <f t="shared" si="17"/>
        <v>50</v>
      </c>
      <c r="M117" s="37">
        <v>1</v>
      </c>
      <c r="N117" s="37">
        <v>0</v>
      </c>
      <c r="O117" s="37">
        <v>1</v>
      </c>
    </row>
    <row r="118" s="37" customFormat="1" spans="1:15">
      <c r="A118" s="71">
        <v>117</v>
      </c>
      <c r="B118" s="7">
        <v>18</v>
      </c>
      <c r="C118" s="71">
        <v>73</v>
      </c>
      <c r="D118" s="71"/>
      <c r="E118" s="7">
        <f>LOOKUP(use_fish!B118,base_fish!A:A,base_fish!C:C)+_xlfn.IFNA(INDEX(activity!F:F,MATCH(use_fish!C118,activity!A:A,0)),0)</f>
        <v>70</v>
      </c>
      <c r="F118" s="7">
        <f t="shared" si="16"/>
        <v>0.0142857142857143</v>
      </c>
      <c r="G118" s="7" t="s">
        <v>243</v>
      </c>
      <c r="H118" s="72" t="str">
        <f>INDEX(base_fish!E:E,MATCH(use_fish!B118,base_fish!A:A,0))&amp;_xlfn.IFNA("+"&amp;INDEX(activity!G:G,MATCH(use_fish!C118,activity!A:A,0)),"")</f>
        <v>虎鲸+临时活动</v>
      </c>
      <c r="I118" s="7">
        <f>LOOKUP(use_fish!B118,base_fish!A:A,base_fish!F:F)+_xlfn.IFNA(INDEX(activity!F:F,MATCH(use_fish!C118,activity!A:A,0)),0)</f>
        <v>70</v>
      </c>
      <c r="J118" s="37">
        <v>1</v>
      </c>
      <c r="K118" s="37">
        <v>0</v>
      </c>
      <c r="L118" s="37">
        <f t="shared" si="17"/>
        <v>70</v>
      </c>
      <c r="M118" s="37">
        <v>1</v>
      </c>
      <c r="N118" s="37">
        <v>0</v>
      </c>
      <c r="O118" s="37">
        <v>1</v>
      </c>
    </row>
    <row r="119" s="37" customFormat="1" spans="1:15">
      <c r="A119" s="71">
        <v>118</v>
      </c>
      <c r="B119" s="71">
        <v>60</v>
      </c>
      <c r="C119" s="71">
        <v>70</v>
      </c>
      <c r="D119" s="71"/>
      <c r="E119" s="7">
        <f>LOOKUP(use_fish!B119,base_fish!A:A,base_fish!C:C)+_xlfn.IFNA(INDEX(activity!F:F,MATCH(use_fish!C119,activity!A:A,0)),0)</f>
        <v>75</v>
      </c>
      <c r="F119" s="7">
        <f t="shared" si="16"/>
        <v>0.0133333333333333</v>
      </c>
      <c r="G119" s="7" t="s">
        <v>243</v>
      </c>
      <c r="H119" s="72" t="str">
        <f>INDEX(base_fish!E:E,MATCH(use_fish!B119,base_fish!A:A,0))&amp;_xlfn.IFNA("+"&amp;INDEX(activity!G:G,MATCH(use_fish!C119,activity!A:A,0)),"")</f>
        <v>礼盒boss+临时活动</v>
      </c>
      <c r="I119" s="7">
        <f>LOOKUP(use_fish!B119,base_fish!A:A,base_fish!F:F)+_xlfn.IFNA(INDEX(activity!F:F,MATCH(use_fish!C119,activity!A:A,0)),0)</f>
        <v>75</v>
      </c>
      <c r="J119" s="37">
        <v>1</v>
      </c>
      <c r="K119" s="37">
        <v>0</v>
      </c>
      <c r="L119" s="37">
        <f t="shared" si="17"/>
        <v>75</v>
      </c>
      <c r="M119" s="37">
        <v>1</v>
      </c>
      <c r="N119" s="37">
        <v>0</v>
      </c>
      <c r="O119" s="37">
        <v>1</v>
      </c>
    </row>
    <row r="120" s="37" customFormat="1" spans="1:15">
      <c r="A120" s="71">
        <v>119</v>
      </c>
      <c r="B120" s="71">
        <v>60</v>
      </c>
      <c r="C120" s="71">
        <v>71</v>
      </c>
      <c r="D120" s="71"/>
      <c r="E120" s="7">
        <f>LOOKUP(use_fish!B120,base_fish!A:A,base_fish!C:C)+_xlfn.IFNA(INDEX(activity!F:F,MATCH(use_fish!C120,activity!A:A,0)),0)</f>
        <v>150</v>
      </c>
      <c r="F120" s="7">
        <f t="shared" si="16"/>
        <v>0.00666666666666667</v>
      </c>
      <c r="G120" s="7" t="s">
        <v>243</v>
      </c>
      <c r="H120" s="72" t="str">
        <f>INDEX(base_fish!E:E,MATCH(use_fish!B120,base_fish!A:A,0))&amp;_xlfn.IFNA("+"&amp;INDEX(activity!G:G,MATCH(use_fish!C120,activity!A:A,0)),"")</f>
        <v>礼盒boss+临时活动</v>
      </c>
      <c r="I120" s="7">
        <f>LOOKUP(use_fish!B120,base_fish!A:A,base_fish!F:F)+_xlfn.IFNA(INDEX(activity!F:F,MATCH(use_fish!C120,activity!A:A,0)),0)</f>
        <v>150</v>
      </c>
      <c r="J120" s="37">
        <v>1</v>
      </c>
      <c r="K120" s="37">
        <v>0</v>
      </c>
      <c r="L120" s="37">
        <f t="shared" si="17"/>
        <v>150</v>
      </c>
      <c r="M120" s="37">
        <v>1</v>
      </c>
      <c r="N120" s="37">
        <v>0</v>
      </c>
      <c r="O120" s="37">
        <v>1</v>
      </c>
    </row>
    <row r="121" s="37" customFormat="1" spans="1:15">
      <c r="A121" s="71">
        <v>120</v>
      </c>
      <c r="B121" s="71">
        <v>60</v>
      </c>
      <c r="C121" s="71">
        <v>72</v>
      </c>
      <c r="D121" s="71"/>
      <c r="E121" s="7">
        <f>LOOKUP(use_fish!B121,base_fish!A:A,base_fish!C:C)+_xlfn.IFNA(INDEX(activity!F:F,MATCH(use_fish!C121,activity!A:A,0)),0)</f>
        <v>250</v>
      </c>
      <c r="F121" s="7">
        <f t="shared" si="16"/>
        <v>0.004</v>
      </c>
      <c r="G121" s="7" t="s">
        <v>243</v>
      </c>
      <c r="H121" s="72" t="str">
        <f>INDEX(base_fish!E:E,MATCH(use_fish!B121,base_fish!A:A,0))&amp;_xlfn.IFNA("+"&amp;INDEX(activity!G:G,MATCH(use_fish!C121,activity!A:A,0)),"")</f>
        <v>礼盒boss+临时活动</v>
      </c>
      <c r="I121" s="7">
        <f>LOOKUP(use_fish!B121,base_fish!A:A,base_fish!F:F)+_xlfn.IFNA(INDEX(activity!F:F,MATCH(use_fish!C121,activity!A:A,0)),0)</f>
        <v>250</v>
      </c>
      <c r="J121" s="37">
        <v>1</v>
      </c>
      <c r="K121" s="37">
        <v>0</v>
      </c>
      <c r="L121" s="37">
        <f t="shared" si="17"/>
        <v>250</v>
      </c>
      <c r="M121" s="37">
        <v>1</v>
      </c>
      <c r="N121" s="37">
        <v>0</v>
      </c>
      <c r="O121" s="37">
        <v>1</v>
      </c>
    </row>
    <row r="122" s="32" customFormat="1" spans="1:15">
      <c r="A122" s="45">
        <v>121</v>
      </c>
      <c r="B122" s="45">
        <v>20</v>
      </c>
      <c r="C122" s="45">
        <v>26</v>
      </c>
      <c r="D122" s="45" t="s">
        <v>244</v>
      </c>
      <c r="E122" s="46">
        <v>65</v>
      </c>
      <c r="F122" s="46">
        <f t="shared" si="16"/>
        <v>0.0153846153846154</v>
      </c>
      <c r="G122" s="46" t="s">
        <v>243</v>
      </c>
      <c r="H122" s="47" t="str">
        <f>INDEX(base_fish!E:E,MATCH(use_fish!B122,base_fish!A:A,0))&amp;_xlfn.IFNA("+"&amp;INDEX(activity!G:G,MATCH(use_fish!C122,activity!A:A,0)),"")</f>
        <v>黄金灯笼鱼+彩贝-场次1</v>
      </c>
      <c r="I122" s="46">
        <v>60</v>
      </c>
      <c r="J122" s="32">
        <v>1</v>
      </c>
      <c r="K122" s="32">
        <f>LOOKUP(use_fish!B122,base_fish!A:A,base_fish!G:G)</f>
        <v>0</v>
      </c>
      <c r="L122" s="32">
        <f t="shared" si="17"/>
        <v>60</v>
      </c>
      <c r="M122" s="32">
        <v>1</v>
      </c>
      <c r="N122" s="32">
        <v>0</v>
      </c>
      <c r="O122" s="32">
        <v>2</v>
      </c>
    </row>
    <row r="123" s="32" customFormat="1" spans="1:15">
      <c r="A123" s="45">
        <v>122</v>
      </c>
      <c r="B123" s="45">
        <v>22</v>
      </c>
      <c r="C123" s="45">
        <v>26</v>
      </c>
      <c r="D123" s="45" t="s">
        <v>245</v>
      </c>
      <c r="E123" s="46">
        <v>65</v>
      </c>
      <c r="F123" s="46">
        <f t="shared" si="16"/>
        <v>0.0153846153846154</v>
      </c>
      <c r="G123" s="46" t="s">
        <v>243</v>
      </c>
      <c r="H123" s="47" t="str">
        <f>INDEX(base_fish!E:E,MATCH(use_fish!B123,base_fish!A:A,0))&amp;_xlfn.IFNA("+"&amp;INDEX(activity!G:G,MATCH(use_fish!C123,activity!A:A,0)),"")</f>
        <v>黄金狮子鱼+彩贝-场次1</v>
      </c>
      <c r="I123" s="46">
        <v>60</v>
      </c>
      <c r="J123" s="32">
        <v>1</v>
      </c>
      <c r="K123" s="32">
        <f>LOOKUP(use_fish!B123,base_fish!A:A,base_fish!G:G)</f>
        <v>0</v>
      </c>
      <c r="L123" s="32">
        <f t="shared" si="17"/>
        <v>60</v>
      </c>
      <c r="M123" s="32">
        <v>1</v>
      </c>
      <c r="N123" s="32">
        <v>0</v>
      </c>
      <c r="O123" s="32">
        <v>2</v>
      </c>
    </row>
    <row r="124" s="32" customFormat="1" spans="1:15">
      <c r="A124" s="45">
        <v>123</v>
      </c>
      <c r="B124" s="45">
        <v>23</v>
      </c>
      <c r="C124" s="45">
        <v>26</v>
      </c>
      <c r="D124" s="45" t="s">
        <v>246</v>
      </c>
      <c r="E124" s="46">
        <v>65</v>
      </c>
      <c r="F124" s="46">
        <f t="shared" si="16"/>
        <v>0.0153846153846154</v>
      </c>
      <c r="G124" s="46" t="s">
        <v>243</v>
      </c>
      <c r="H124" s="47" t="str">
        <f>INDEX(base_fish!E:E,MATCH(use_fish!B124,base_fish!A:A,0))&amp;_xlfn.IFNA("+"&amp;INDEX(activity!G:G,MATCH(use_fish!C124,activity!A:A,0)),"")</f>
        <v>黄金海龟+彩贝-场次1</v>
      </c>
      <c r="I124" s="46">
        <v>60</v>
      </c>
      <c r="J124" s="32">
        <v>1</v>
      </c>
      <c r="K124" s="32">
        <f>LOOKUP(use_fish!B124,base_fish!A:A,base_fish!G:G)</f>
        <v>0</v>
      </c>
      <c r="L124" s="32">
        <f t="shared" si="17"/>
        <v>60</v>
      </c>
      <c r="M124" s="32">
        <v>1</v>
      </c>
      <c r="N124" s="32">
        <v>0</v>
      </c>
      <c r="O124" s="32">
        <v>2</v>
      </c>
    </row>
    <row r="125" s="32" customFormat="1" spans="1:15">
      <c r="A125" s="45">
        <v>124</v>
      </c>
      <c r="B125" s="45">
        <v>25</v>
      </c>
      <c r="C125" s="45">
        <v>26</v>
      </c>
      <c r="D125" s="45" t="s">
        <v>244</v>
      </c>
      <c r="E125" s="46">
        <v>86</v>
      </c>
      <c r="F125" s="46">
        <f t="shared" si="16"/>
        <v>0.0116279069767442</v>
      </c>
      <c r="G125" s="46" t="s">
        <v>243</v>
      </c>
      <c r="H125" s="47" t="str">
        <f>INDEX(base_fish!E:E,MATCH(use_fish!B125,base_fish!A:A,0))&amp;_xlfn.IFNA("+"&amp;INDEX(activity!G:G,MATCH(use_fish!C125,activity!A:A,0)),"")</f>
        <v>金蟾+彩贝-场次1</v>
      </c>
      <c r="I125" s="46">
        <v>80</v>
      </c>
      <c r="J125" s="32">
        <v>1</v>
      </c>
      <c r="K125" s="32">
        <f>LOOKUP(use_fish!B125,base_fish!A:A,base_fish!G:G)</f>
        <v>0</v>
      </c>
      <c r="L125" s="32">
        <f t="shared" si="17"/>
        <v>80</v>
      </c>
      <c r="M125" s="32">
        <v>1</v>
      </c>
      <c r="N125" s="32">
        <v>0</v>
      </c>
      <c r="O125" s="32">
        <v>2</v>
      </c>
    </row>
    <row r="126" s="32" customFormat="1" spans="1:15">
      <c r="A126" s="45">
        <v>125</v>
      </c>
      <c r="B126" s="45">
        <v>26</v>
      </c>
      <c r="C126" s="45">
        <v>26</v>
      </c>
      <c r="D126" s="45" t="s">
        <v>244</v>
      </c>
      <c r="E126" s="46">
        <v>107</v>
      </c>
      <c r="F126" s="46">
        <f t="shared" si="16"/>
        <v>0.00934579439252336</v>
      </c>
      <c r="G126" s="46" t="s">
        <v>243</v>
      </c>
      <c r="H126" s="47" t="str">
        <f>INDEX(base_fish!E:E,MATCH(use_fish!B126,base_fish!A:A,0))&amp;_xlfn.IFNA("+"&amp;INDEX(activity!G:G,MATCH(use_fish!C126,activity!A:A,0)),"")</f>
        <v>大金鲨+彩贝-场次1</v>
      </c>
      <c r="I126" s="46">
        <v>100</v>
      </c>
      <c r="J126" s="32">
        <v>1</v>
      </c>
      <c r="K126" s="32">
        <f>LOOKUP(use_fish!B126,base_fish!A:A,base_fish!G:G)</f>
        <v>0</v>
      </c>
      <c r="L126" s="32">
        <f t="shared" si="17"/>
        <v>100</v>
      </c>
      <c r="M126" s="32">
        <v>1</v>
      </c>
      <c r="N126" s="32">
        <v>0</v>
      </c>
      <c r="O126" s="32">
        <v>2</v>
      </c>
    </row>
    <row r="127" s="32" customFormat="1" spans="1:15">
      <c r="A127" s="45">
        <v>126</v>
      </c>
      <c r="B127" s="45">
        <v>27</v>
      </c>
      <c r="C127" s="45">
        <v>26</v>
      </c>
      <c r="D127" s="45" t="s">
        <v>245</v>
      </c>
      <c r="E127" s="46">
        <v>107</v>
      </c>
      <c r="F127" s="46">
        <f t="shared" si="16"/>
        <v>0.00934579439252336</v>
      </c>
      <c r="G127" s="46" t="s">
        <v>243</v>
      </c>
      <c r="H127" s="47" t="str">
        <f>INDEX(base_fish!E:E,MATCH(use_fish!B127,base_fish!A:A,0))&amp;_xlfn.IFNA("+"&amp;INDEX(activity!G:G,MATCH(use_fish!C127,activity!A:A,0)),"")</f>
        <v>黄金锤头鲨+彩贝-场次1</v>
      </c>
      <c r="I127" s="46">
        <v>100</v>
      </c>
      <c r="J127" s="32">
        <v>1</v>
      </c>
      <c r="K127" s="32">
        <f>LOOKUP(use_fish!B127,base_fish!A:A,base_fish!G:G)</f>
        <v>0</v>
      </c>
      <c r="L127" s="32">
        <f t="shared" si="17"/>
        <v>100</v>
      </c>
      <c r="M127" s="32">
        <v>1</v>
      </c>
      <c r="N127" s="32">
        <v>0</v>
      </c>
      <c r="O127" s="32">
        <v>2</v>
      </c>
    </row>
    <row r="128" s="38" customFormat="1" spans="1:15">
      <c r="A128" s="45">
        <v>127</v>
      </c>
      <c r="B128" s="73">
        <v>20</v>
      </c>
      <c r="C128" s="73">
        <v>27</v>
      </c>
      <c r="D128" s="73" t="s">
        <v>244</v>
      </c>
      <c r="E128" s="74">
        <v>69</v>
      </c>
      <c r="F128" s="74">
        <f t="shared" ref="F128:F133" si="19">1/E128</f>
        <v>0.0144927536231884</v>
      </c>
      <c r="G128" s="74" t="s">
        <v>243</v>
      </c>
      <c r="H128" s="75" t="str">
        <f>INDEX(base_fish!E:E,MATCH(use_fish!B128,base_fish!A:A,0))&amp;_xlfn.IFNA("+"&amp;INDEX(activity!G:G,MATCH(use_fish!C128,activity!A:A,0)),"")</f>
        <v>黄金灯笼鱼+彩贝-场次2</v>
      </c>
      <c r="I128" s="74">
        <v>60</v>
      </c>
      <c r="J128" s="38">
        <v>1</v>
      </c>
      <c r="K128" s="38">
        <f>LOOKUP(use_fish!B128,base_fish!A:A,base_fish!G:G)</f>
        <v>0</v>
      </c>
      <c r="L128" s="38">
        <f t="shared" ref="L128:L133" si="20">I128</f>
        <v>60</v>
      </c>
      <c r="M128" s="38">
        <v>1</v>
      </c>
      <c r="N128" s="38">
        <v>0</v>
      </c>
      <c r="O128" s="38">
        <v>2</v>
      </c>
    </row>
    <row r="129" s="38" customFormat="1" spans="1:15">
      <c r="A129" s="45">
        <v>128</v>
      </c>
      <c r="B129" s="73">
        <v>22</v>
      </c>
      <c r="C129" s="73">
        <v>27</v>
      </c>
      <c r="D129" s="73" t="s">
        <v>245</v>
      </c>
      <c r="E129" s="74">
        <v>69</v>
      </c>
      <c r="F129" s="74">
        <f t="shared" si="19"/>
        <v>0.0144927536231884</v>
      </c>
      <c r="G129" s="74" t="s">
        <v>243</v>
      </c>
      <c r="H129" s="75" t="str">
        <f>INDEX(base_fish!E:E,MATCH(use_fish!B129,base_fish!A:A,0))&amp;_xlfn.IFNA("+"&amp;INDEX(activity!G:G,MATCH(use_fish!C129,activity!A:A,0)),"")</f>
        <v>黄金狮子鱼+彩贝-场次2</v>
      </c>
      <c r="I129" s="74">
        <v>60</v>
      </c>
      <c r="J129" s="38">
        <v>1</v>
      </c>
      <c r="K129" s="38">
        <f>LOOKUP(use_fish!B129,base_fish!A:A,base_fish!G:G)</f>
        <v>0</v>
      </c>
      <c r="L129" s="38">
        <f t="shared" si="20"/>
        <v>60</v>
      </c>
      <c r="M129" s="38">
        <v>1</v>
      </c>
      <c r="N129" s="38">
        <v>0</v>
      </c>
      <c r="O129" s="38">
        <v>2</v>
      </c>
    </row>
    <row r="130" s="38" customFormat="1" spans="1:15">
      <c r="A130" s="45">
        <v>129</v>
      </c>
      <c r="B130" s="73">
        <v>23</v>
      </c>
      <c r="C130" s="73">
        <v>27</v>
      </c>
      <c r="D130" s="73" t="s">
        <v>246</v>
      </c>
      <c r="E130" s="74">
        <v>69</v>
      </c>
      <c r="F130" s="74">
        <f t="shared" si="19"/>
        <v>0.0144927536231884</v>
      </c>
      <c r="G130" s="74" t="s">
        <v>243</v>
      </c>
      <c r="H130" s="75" t="str">
        <f>INDEX(base_fish!E:E,MATCH(use_fish!B130,base_fish!A:A,0))&amp;_xlfn.IFNA("+"&amp;INDEX(activity!G:G,MATCH(use_fish!C130,activity!A:A,0)),"")</f>
        <v>黄金海龟+彩贝-场次2</v>
      </c>
      <c r="I130" s="74">
        <v>60</v>
      </c>
      <c r="J130" s="38">
        <v>1</v>
      </c>
      <c r="K130" s="38">
        <f>LOOKUP(use_fish!B130,base_fish!A:A,base_fish!G:G)</f>
        <v>0</v>
      </c>
      <c r="L130" s="38">
        <f t="shared" si="20"/>
        <v>60</v>
      </c>
      <c r="M130" s="38">
        <v>1</v>
      </c>
      <c r="N130" s="38">
        <v>0</v>
      </c>
      <c r="O130" s="38">
        <v>2</v>
      </c>
    </row>
    <row r="131" s="38" customFormat="1" spans="1:15">
      <c r="A131" s="45">
        <v>130</v>
      </c>
      <c r="B131" s="73">
        <v>25</v>
      </c>
      <c r="C131" s="73">
        <v>27</v>
      </c>
      <c r="D131" s="73" t="s">
        <v>244</v>
      </c>
      <c r="E131" s="74">
        <v>90</v>
      </c>
      <c r="F131" s="74">
        <f t="shared" si="19"/>
        <v>0.0111111111111111</v>
      </c>
      <c r="G131" s="74" t="s">
        <v>243</v>
      </c>
      <c r="H131" s="75" t="str">
        <f>INDEX(base_fish!E:E,MATCH(use_fish!B131,base_fish!A:A,0))&amp;_xlfn.IFNA("+"&amp;INDEX(activity!G:G,MATCH(use_fish!C131,activity!A:A,0)),"")</f>
        <v>金蟾+彩贝-场次2</v>
      </c>
      <c r="I131" s="74">
        <v>80</v>
      </c>
      <c r="J131" s="38">
        <v>1</v>
      </c>
      <c r="K131" s="38">
        <f>LOOKUP(use_fish!B131,base_fish!A:A,base_fish!G:G)</f>
        <v>0</v>
      </c>
      <c r="L131" s="38">
        <f t="shared" si="20"/>
        <v>80</v>
      </c>
      <c r="M131" s="38">
        <v>1</v>
      </c>
      <c r="N131" s="38">
        <v>0</v>
      </c>
      <c r="O131" s="38">
        <v>2</v>
      </c>
    </row>
    <row r="132" s="38" customFormat="1" spans="1:15">
      <c r="A132" s="45">
        <v>131</v>
      </c>
      <c r="B132" s="73">
        <v>26</v>
      </c>
      <c r="C132" s="73">
        <v>27</v>
      </c>
      <c r="D132" s="73" t="s">
        <v>244</v>
      </c>
      <c r="E132" s="74">
        <v>111</v>
      </c>
      <c r="F132" s="74">
        <f t="shared" si="19"/>
        <v>0.00900900900900901</v>
      </c>
      <c r="G132" s="74" t="s">
        <v>243</v>
      </c>
      <c r="H132" s="75" t="str">
        <f>INDEX(base_fish!E:E,MATCH(use_fish!B132,base_fish!A:A,0))&amp;_xlfn.IFNA("+"&amp;INDEX(activity!G:G,MATCH(use_fish!C132,activity!A:A,0)),"")</f>
        <v>大金鲨+彩贝-场次2</v>
      </c>
      <c r="I132" s="74">
        <v>100</v>
      </c>
      <c r="J132" s="38">
        <v>1</v>
      </c>
      <c r="K132" s="38">
        <f>LOOKUP(use_fish!B132,base_fish!A:A,base_fish!G:G)</f>
        <v>0</v>
      </c>
      <c r="L132" s="38">
        <f t="shared" si="20"/>
        <v>100</v>
      </c>
      <c r="M132" s="38">
        <v>1</v>
      </c>
      <c r="N132" s="38">
        <v>0</v>
      </c>
      <c r="O132" s="38">
        <v>2</v>
      </c>
    </row>
    <row r="133" s="38" customFormat="1" spans="1:15">
      <c r="A133" s="45">
        <v>132</v>
      </c>
      <c r="B133" s="73">
        <v>27</v>
      </c>
      <c r="C133" s="73">
        <v>27</v>
      </c>
      <c r="D133" s="73" t="s">
        <v>245</v>
      </c>
      <c r="E133" s="74">
        <v>111</v>
      </c>
      <c r="F133" s="74">
        <f t="shared" si="19"/>
        <v>0.00900900900900901</v>
      </c>
      <c r="G133" s="74" t="s">
        <v>243</v>
      </c>
      <c r="H133" s="75" t="str">
        <f>INDEX(base_fish!E:E,MATCH(use_fish!B133,base_fish!A:A,0))&amp;_xlfn.IFNA("+"&amp;INDEX(activity!G:G,MATCH(use_fish!C133,activity!A:A,0)),"")</f>
        <v>黄金锤头鲨+彩贝-场次2</v>
      </c>
      <c r="I133" s="74">
        <v>100</v>
      </c>
      <c r="J133" s="38">
        <v>1</v>
      </c>
      <c r="K133" s="38">
        <f>LOOKUP(use_fish!B133,base_fish!A:A,base_fish!G:G)</f>
        <v>0</v>
      </c>
      <c r="L133" s="38">
        <f t="shared" si="20"/>
        <v>100</v>
      </c>
      <c r="M133" s="38">
        <v>1</v>
      </c>
      <c r="N133" s="38">
        <v>0</v>
      </c>
      <c r="O133" s="38">
        <v>2</v>
      </c>
    </row>
    <row r="134" s="32" customFormat="1" spans="1:15">
      <c r="A134" s="45">
        <v>133</v>
      </c>
      <c r="B134" s="45">
        <v>20</v>
      </c>
      <c r="C134" s="45">
        <v>40</v>
      </c>
      <c r="D134" s="45" t="s">
        <v>244</v>
      </c>
      <c r="E134" s="46">
        <v>65</v>
      </c>
      <c r="F134" s="46">
        <f t="shared" ref="F134:F139" si="21">1/E134</f>
        <v>0.0153846153846154</v>
      </c>
      <c r="G134" s="46" t="s">
        <v>243</v>
      </c>
      <c r="H134" s="47" t="str">
        <f>INDEX(base_fish!E:E,MATCH(use_fish!B134,base_fish!A:A,0))&amp;_xlfn.IFNA("+"&amp;INDEX(activity!G:G,MATCH(use_fish!C134,activity!A:A,0)),"")</f>
        <v>黄金灯笼鱼+彩贝-场次3</v>
      </c>
      <c r="I134" s="46">
        <v>60</v>
      </c>
      <c r="J134" s="32">
        <v>1</v>
      </c>
      <c r="K134" s="32">
        <f>LOOKUP(use_fish!B134,base_fish!A:A,base_fish!G:G)</f>
        <v>0</v>
      </c>
      <c r="L134" s="32">
        <f t="shared" ref="L134:L139" si="22">I134</f>
        <v>60</v>
      </c>
      <c r="M134" s="32">
        <v>1</v>
      </c>
      <c r="N134" s="32">
        <v>0</v>
      </c>
      <c r="O134" s="32">
        <v>2</v>
      </c>
    </row>
    <row r="135" s="32" customFormat="1" spans="1:15">
      <c r="A135" s="45">
        <v>134</v>
      </c>
      <c r="B135" s="45">
        <v>22</v>
      </c>
      <c r="C135" s="45">
        <v>40</v>
      </c>
      <c r="D135" s="45" t="s">
        <v>245</v>
      </c>
      <c r="E135" s="46">
        <v>65</v>
      </c>
      <c r="F135" s="46">
        <f t="shared" si="21"/>
        <v>0.0153846153846154</v>
      </c>
      <c r="G135" s="46" t="s">
        <v>243</v>
      </c>
      <c r="H135" s="47" t="str">
        <f>INDEX(base_fish!E:E,MATCH(use_fish!B135,base_fish!A:A,0))&amp;_xlfn.IFNA("+"&amp;INDEX(activity!G:G,MATCH(use_fish!C135,activity!A:A,0)),"")</f>
        <v>黄金狮子鱼+彩贝-场次3</v>
      </c>
      <c r="I135" s="46">
        <v>60</v>
      </c>
      <c r="J135" s="32">
        <v>1</v>
      </c>
      <c r="K135" s="32">
        <f>LOOKUP(use_fish!B135,base_fish!A:A,base_fish!G:G)</f>
        <v>0</v>
      </c>
      <c r="L135" s="32">
        <f t="shared" si="22"/>
        <v>60</v>
      </c>
      <c r="M135" s="32">
        <v>1</v>
      </c>
      <c r="N135" s="32">
        <v>0</v>
      </c>
      <c r="O135" s="32">
        <v>2</v>
      </c>
    </row>
    <row r="136" s="32" customFormat="1" spans="1:15">
      <c r="A136" s="45">
        <v>135</v>
      </c>
      <c r="B136" s="45">
        <v>23</v>
      </c>
      <c r="C136" s="45">
        <v>40</v>
      </c>
      <c r="D136" s="45" t="s">
        <v>246</v>
      </c>
      <c r="E136" s="46">
        <v>65</v>
      </c>
      <c r="F136" s="46">
        <f t="shared" si="21"/>
        <v>0.0153846153846154</v>
      </c>
      <c r="G136" s="46" t="s">
        <v>243</v>
      </c>
      <c r="H136" s="47" t="str">
        <f>INDEX(base_fish!E:E,MATCH(use_fish!B136,base_fish!A:A,0))&amp;_xlfn.IFNA("+"&amp;INDEX(activity!G:G,MATCH(use_fish!C136,activity!A:A,0)),"")</f>
        <v>黄金海龟+彩贝-场次3</v>
      </c>
      <c r="I136" s="46">
        <v>60</v>
      </c>
      <c r="J136" s="32">
        <v>1</v>
      </c>
      <c r="K136" s="32">
        <f>LOOKUP(use_fish!B136,base_fish!A:A,base_fish!G:G)</f>
        <v>0</v>
      </c>
      <c r="L136" s="32">
        <f t="shared" si="22"/>
        <v>60</v>
      </c>
      <c r="M136" s="32">
        <v>1</v>
      </c>
      <c r="N136" s="32">
        <v>0</v>
      </c>
      <c r="O136" s="32">
        <v>2</v>
      </c>
    </row>
    <row r="137" s="32" customFormat="1" spans="1:15">
      <c r="A137" s="45">
        <v>136</v>
      </c>
      <c r="B137" s="45">
        <v>25</v>
      </c>
      <c r="C137" s="45">
        <v>40</v>
      </c>
      <c r="D137" s="45" t="s">
        <v>244</v>
      </c>
      <c r="E137" s="46">
        <v>86</v>
      </c>
      <c r="F137" s="46">
        <f t="shared" si="21"/>
        <v>0.0116279069767442</v>
      </c>
      <c r="G137" s="46" t="s">
        <v>243</v>
      </c>
      <c r="H137" s="47" t="str">
        <f>INDEX(base_fish!E:E,MATCH(use_fish!B137,base_fish!A:A,0))&amp;_xlfn.IFNA("+"&amp;INDEX(activity!G:G,MATCH(use_fish!C137,activity!A:A,0)),"")</f>
        <v>金蟾+彩贝-场次3</v>
      </c>
      <c r="I137" s="46">
        <v>80</v>
      </c>
      <c r="J137" s="32">
        <v>1</v>
      </c>
      <c r="K137" s="32">
        <f>LOOKUP(use_fish!B137,base_fish!A:A,base_fish!G:G)</f>
        <v>0</v>
      </c>
      <c r="L137" s="32">
        <f t="shared" si="22"/>
        <v>80</v>
      </c>
      <c r="M137" s="32">
        <v>1</v>
      </c>
      <c r="N137" s="32">
        <v>0</v>
      </c>
      <c r="O137" s="32">
        <v>2</v>
      </c>
    </row>
    <row r="138" s="32" customFormat="1" spans="1:15">
      <c r="A138" s="45">
        <v>137</v>
      </c>
      <c r="B138" s="45">
        <v>26</v>
      </c>
      <c r="C138" s="45">
        <v>40</v>
      </c>
      <c r="D138" s="45" t="s">
        <v>244</v>
      </c>
      <c r="E138" s="46">
        <v>107</v>
      </c>
      <c r="F138" s="46">
        <f t="shared" si="21"/>
        <v>0.00934579439252336</v>
      </c>
      <c r="G138" s="46" t="s">
        <v>243</v>
      </c>
      <c r="H138" s="47" t="str">
        <f>INDEX(base_fish!E:E,MATCH(use_fish!B138,base_fish!A:A,0))&amp;_xlfn.IFNA("+"&amp;INDEX(activity!G:G,MATCH(use_fish!C138,activity!A:A,0)),"")</f>
        <v>大金鲨+彩贝-场次3</v>
      </c>
      <c r="I138" s="46">
        <v>100</v>
      </c>
      <c r="J138" s="32">
        <v>1</v>
      </c>
      <c r="K138" s="32">
        <f>LOOKUP(use_fish!B138,base_fish!A:A,base_fish!G:G)</f>
        <v>0</v>
      </c>
      <c r="L138" s="32">
        <f t="shared" si="22"/>
        <v>100</v>
      </c>
      <c r="M138" s="32">
        <v>1</v>
      </c>
      <c r="N138" s="32">
        <v>0</v>
      </c>
      <c r="O138" s="32">
        <v>2</v>
      </c>
    </row>
    <row r="139" s="32" customFormat="1" spans="1:15">
      <c r="A139" s="45">
        <v>138</v>
      </c>
      <c r="B139" s="45">
        <v>27</v>
      </c>
      <c r="C139" s="45">
        <v>40</v>
      </c>
      <c r="D139" s="45" t="s">
        <v>245</v>
      </c>
      <c r="E139" s="46">
        <v>107</v>
      </c>
      <c r="F139" s="46">
        <f t="shared" si="21"/>
        <v>0.00934579439252336</v>
      </c>
      <c r="G139" s="46" t="s">
        <v>243</v>
      </c>
      <c r="H139" s="47" t="str">
        <f>INDEX(base_fish!E:E,MATCH(use_fish!B139,base_fish!A:A,0))&amp;_xlfn.IFNA("+"&amp;INDEX(activity!G:G,MATCH(use_fish!C139,activity!A:A,0)),"")</f>
        <v>黄金锤头鲨+彩贝-场次3</v>
      </c>
      <c r="I139" s="46">
        <v>100</v>
      </c>
      <c r="J139" s="32">
        <v>1</v>
      </c>
      <c r="K139" s="32">
        <f>LOOKUP(use_fish!B139,base_fish!A:A,base_fish!G:G)</f>
        <v>0</v>
      </c>
      <c r="L139" s="32">
        <f t="shared" si="22"/>
        <v>100</v>
      </c>
      <c r="M139" s="32">
        <v>1</v>
      </c>
      <c r="N139" s="32">
        <v>0</v>
      </c>
      <c r="O139" s="32">
        <v>2</v>
      </c>
    </row>
    <row r="140" s="38" customFormat="1" spans="1:15">
      <c r="A140" s="45">
        <v>139</v>
      </c>
      <c r="B140" s="73">
        <v>20</v>
      </c>
      <c r="C140" s="73">
        <v>41</v>
      </c>
      <c r="D140" s="73" t="s">
        <v>244</v>
      </c>
      <c r="E140" s="74">
        <v>65</v>
      </c>
      <c r="F140" s="74">
        <f t="shared" ref="F140:F154" si="23">1/E140</f>
        <v>0.0153846153846154</v>
      </c>
      <c r="G140" s="74" t="s">
        <v>243</v>
      </c>
      <c r="H140" s="75" t="str">
        <f>INDEX(base_fish!E:E,MATCH(use_fish!B140,base_fish!A:A,0))&amp;_xlfn.IFNA("+"&amp;INDEX(activity!G:G,MATCH(use_fish!C140,activity!A:A,0)),"")</f>
        <v>黄金灯笼鱼+彩贝-场次4</v>
      </c>
      <c r="I140" s="74">
        <v>60</v>
      </c>
      <c r="J140" s="38">
        <v>1</v>
      </c>
      <c r="K140" s="38">
        <f>LOOKUP(use_fish!B140,base_fish!A:A,base_fish!G:G)</f>
        <v>0</v>
      </c>
      <c r="L140" s="38">
        <f t="shared" ref="L140:L154" si="24">I140</f>
        <v>60</v>
      </c>
      <c r="M140" s="38">
        <v>1</v>
      </c>
      <c r="N140" s="38">
        <v>0</v>
      </c>
      <c r="O140" s="38">
        <v>2</v>
      </c>
    </row>
    <row r="141" s="38" customFormat="1" spans="1:15">
      <c r="A141" s="45">
        <v>140</v>
      </c>
      <c r="B141" s="73">
        <v>22</v>
      </c>
      <c r="C141" s="73">
        <v>41</v>
      </c>
      <c r="D141" s="73" t="s">
        <v>245</v>
      </c>
      <c r="E141" s="74">
        <v>65</v>
      </c>
      <c r="F141" s="74">
        <f t="shared" si="23"/>
        <v>0.0153846153846154</v>
      </c>
      <c r="G141" s="74" t="s">
        <v>243</v>
      </c>
      <c r="H141" s="75" t="str">
        <f>INDEX(base_fish!E:E,MATCH(use_fish!B141,base_fish!A:A,0))&amp;_xlfn.IFNA("+"&amp;INDEX(activity!G:G,MATCH(use_fish!C141,activity!A:A,0)),"")</f>
        <v>黄金狮子鱼+彩贝-场次4</v>
      </c>
      <c r="I141" s="74">
        <v>60</v>
      </c>
      <c r="J141" s="38">
        <v>1</v>
      </c>
      <c r="K141" s="38">
        <f>LOOKUP(use_fish!B141,base_fish!A:A,base_fish!G:G)</f>
        <v>0</v>
      </c>
      <c r="L141" s="38">
        <f t="shared" si="24"/>
        <v>60</v>
      </c>
      <c r="M141" s="38">
        <v>1</v>
      </c>
      <c r="N141" s="38">
        <v>0</v>
      </c>
      <c r="O141" s="38">
        <v>2</v>
      </c>
    </row>
    <row r="142" s="38" customFormat="1" spans="1:15">
      <c r="A142" s="45">
        <v>141</v>
      </c>
      <c r="B142" s="73">
        <v>23</v>
      </c>
      <c r="C142" s="73">
        <v>41</v>
      </c>
      <c r="D142" s="73" t="s">
        <v>246</v>
      </c>
      <c r="E142" s="74">
        <v>65</v>
      </c>
      <c r="F142" s="74">
        <f t="shared" si="23"/>
        <v>0.0153846153846154</v>
      </c>
      <c r="G142" s="74" t="s">
        <v>243</v>
      </c>
      <c r="H142" s="75" t="str">
        <f>INDEX(base_fish!E:E,MATCH(use_fish!B142,base_fish!A:A,0))&amp;_xlfn.IFNA("+"&amp;INDEX(activity!G:G,MATCH(use_fish!C142,activity!A:A,0)),"")</f>
        <v>黄金海龟+彩贝-场次4</v>
      </c>
      <c r="I142" s="74">
        <v>60</v>
      </c>
      <c r="J142" s="38">
        <v>1</v>
      </c>
      <c r="K142" s="38">
        <f>LOOKUP(use_fish!B142,base_fish!A:A,base_fish!G:G)</f>
        <v>0</v>
      </c>
      <c r="L142" s="38">
        <f t="shared" si="24"/>
        <v>60</v>
      </c>
      <c r="M142" s="38">
        <v>1</v>
      </c>
      <c r="N142" s="38">
        <v>0</v>
      </c>
      <c r="O142" s="38">
        <v>2</v>
      </c>
    </row>
    <row r="143" s="38" customFormat="1" spans="1:15">
      <c r="A143" s="45">
        <v>142</v>
      </c>
      <c r="B143" s="73">
        <v>25</v>
      </c>
      <c r="C143" s="73">
        <v>41</v>
      </c>
      <c r="D143" s="73" t="s">
        <v>244</v>
      </c>
      <c r="E143" s="74">
        <v>86</v>
      </c>
      <c r="F143" s="74">
        <f t="shared" si="23"/>
        <v>0.0116279069767442</v>
      </c>
      <c r="G143" s="74" t="s">
        <v>243</v>
      </c>
      <c r="H143" s="75" t="str">
        <f>INDEX(base_fish!E:E,MATCH(use_fish!B143,base_fish!A:A,0))&amp;_xlfn.IFNA("+"&amp;INDEX(activity!G:G,MATCH(use_fish!C143,activity!A:A,0)),"")</f>
        <v>金蟾+彩贝-场次4</v>
      </c>
      <c r="I143" s="74">
        <v>80</v>
      </c>
      <c r="J143" s="38">
        <v>1</v>
      </c>
      <c r="K143" s="38">
        <f>LOOKUP(use_fish!B143,base_fish!A:A,base_fish!G:G)</f>
        <v>0</v>
      </c>
      <c r="L143" s="38">
        <f t="shared" si="24"/>
        <v>80</v>
      </c>
      <c r="M143" s="38">
        <v>1</v>
      </c>
      <c r="N143" s="38">
        <v>0</v>
      </c>
      <c r="O143" s="38">
        <v>2</v>
      </c>
    </row>
    <row r="144" s="38" customFormat="1" spans="1:15">
      <c r="A144" s="45">
        <v>143</v>
      </c>
      <c r="B144" s="73">
        <v>26</v>
      </c>
      <c r="C144" s="73">
        <v>41</v>
      </c>
      <c r="D144" s="73" t="s">
        <v>244</v>
      </c>
      <c r="E144" s="74">
        <v>107</v>
      </c>
      <c r="F144" s="74">
        <f t="shared" si="23"/>
        <v>0.00934579439252336</v>
      </c>
      <c r="G144" s="74" t="s">
        <v>243</v>
      </c>
      <c r="H144" s="75" t="str">
        <f>INDEX(base_fish!E:E,MATCH(use_fish!B144,base_fish!A:A,0))&amp;_xlfn.IFNA("+"&amp;INDEX(activity!G:G,MATCH(use_fish!C144,activity!A:A,0)),"")</f>
        <v>大金鲨+彩贝-场次4</v>
      </c>
      <c r="I144" s="74">
        <v>100</v>
      </c>
      <c r="J144" s="38">
        <v>1</v>
      </c>
      <c r="K144" s="38">
        <f>LOOKUP(use_fish!B144,base_fish!A:A,base_fish!G:G)</f>
        <v>0</v>
      </c>
      <c r="L144" s="38">
        <f t="shared" si="24"/>
        <v>100</v>
      </c>
      <c r="M144" s="38">
        <v>1</v>
      </c>
      <c r="N144" s="38">
        <v>0</v>
      </c>
      <c r="O144" s="38">
        <v>2</v>
      </c>
    </row>
    <row r="145" s="38" customFormat="1" spans="1:15">
      <c r="A145" s="45">
        <v>144</v>
      </c>
      <c r="B145" s="73">
        <v>27</v>
      </c>
      <c r="C145" s="73">
        <v>41</v>
      </c>
      <c r="D145" s="73" t="s">
        <v>245</v>
      </c>
      <c r="E145" s="74">
        <v>107</v>
      </c>
      <c r="F145" s="74">
        <f t="shared" si="23"/>
        <v>0.00934579439252336</v>
      </c>
      <c r="G145" s="74" t="s">
        <v>243</v>
      </c>
      <c r="H145" s="75" t="str">
        <f>INDEX(base_fish!E:E,MATCH(use_fish!B145,base_fish!A:A,0))&amp;_xlfn.IFNA("+"&amp;INDEX(activity!G:G,MATCH(use_fish!C145,activity!A:A,0)),"")</f>
        <v>黄金锤头鲨+彩贝-场次4</v>
      </c>
      <c r="I145" s="74">
        <v>100</v>
      </c>
      <c r="J145" s="38">
        <v>1</v>
      </c>
      <c r="K145" s="38">
        <f>LOOKUP(use_fish!B145,base_fish!A:A,base_fish!G:G)</f>
        <v>0</v>
      </c>
      <c r="L145" s="38">
        <f t="shared" si="24"/>
        <v>100</v>
      </c>
      <c r="M145" s="38">
        <v>1</v>
      </c>
      <c r="N145" s="38">
        <v>0</v>
      </c>
      <c r="O145" s="38">
        <v>2</v>
      </c>
    </row>
    <row r="146" spans="1:15">
      <c r="A146" s="52">
        <v>145</v>
      </c>
      <c r="B146" s="12">
        <v>13</v>
      </c>
      <c r="C146" s="52">
        <v>77</v>
      </c>
      <c r="D146" s="52"/>
      <c r="E146" s="7">
        <f>LOOKUP(use_fish!B146,base_fish!A:A,base_fish!C:C)+_xlfn.IFNA(INDEX(activity!F:F,MATCH(use_fish!C146,activity!A:A,0)),0)</f>
        <v>30</v>
      </c>
      <c r="F146" s="12">
        <f t="shared" si="23"/>
        <v>0.0333333333333333</v>
      </c>
      <c r="G146" s="12" t="s">
        <v>243</v>
      </c>
      <c r="H146" s="53" t="str">
        <f>INDEX(base_fish!E:E,MATCH(use_fish!B146,base_fish!A:A,0))&amp;_xlfn.IFNA("+"&amp;INDEX(activity!G:G,MATCH(use_fish!C146,activity!A:A,0)),"")</f>
        <v>蝴蝶鱼+临时活动</v>
      </c>
      <c r="I146" s="12">
        <f>LOOKUP(use_fish!B146,base_fish!A:A,base_fish!F:F)+_xlfn.IFNA(INDEX(activity!F:F,MATCH(use_fish!C146,activity!A:A,0)),0)</f>
        <v>30</v>
      </c>
      <c r="J146" s="25">
        <v>1</v>
      </c>
      <c r="K146" s="25">
        <f>LOOKUP(use_fish!B146,base_fish!A:A,base_fish!G:G)</f>
        <v>0</v>
      </c>
      <c r="L146" s="25">
        <f t="shared" si="24"/>
        <v>30</v>
      </c>
      <c r="M146" s="25">
        <v>1</v>
      </c>
      <c r="N146" s="25">
        <v>0</v>
      </c>
      <c r="O146" s="25">
        <v>1</v>
      </c>
    </row>
    <row r="147" spans="1:15">
      <c r="A147" s="52">
        <v>146</v>
      </c>
      <c r="B147" s="12">
        <v>14</v>
      </c>
      <c r="C147" s="52">
        <v>77</v>
      </c>
      <c r="D147" s="52"/>
      <c r="E147" s="7">
        <f>LOOKUP(use_fish!B147,base_fish!A:A,base_fish!C:C)+_xlfn.IFNA(INDEX(activity!F:F,MATCH(use_fish!C147,activity!A:A,0)),0)</f>
        <v>35</v>
      </c>
      <c r="F147" s="12">
        <f t="shared" si="23"/>
        <v>0.0285714285714286</v>
      </c>
      <c r="G147" s="12" t="s">
        <v>243</v>
      </c>
      <c r="H147" s="53" t="str">
        <f>INDEX(base_fish!E:E,MATCH(use_fish!B147,base_fish!A:A,0))&amp;_xlfn.IFNA("+"&amp;INDEX(activity!G:G,MATCH(use_fish!C147,activity!A:A,0)),"")</f>
        <v>巨大小丑鱼+临时活动</v>
      </c>
      <c r="I147" s="12">
        <f>LOOKUP(use_fish!B147,base_fish!A:A,base_fish!F:F)+_xlfn.IFNA(INDEX(activity!F:F,MATCH(use_fish!C147,activity!A:A,0)),0)</f>
        <v>35</v>
      </c>
      <c r="J147" s="25">
        <v>1</v>
      </c>
      <c r="K147" s="25">
        <f>LOOKUP(use_fish!B147,base_fish!A:A,base_fish!G:G)</f>
        <v>0</v>
      </c>
      <c r="L147" s="25">
        <f t="shared" si="24"/>
        <v>35</v>
      </c>
      <c r="M147" s="25">
        <v>1</v>
      </c>
      <c r="N147" s="25">
        <v>0</v>
      </c>
      <c r="O147" s="25">
        <v>1</v>
      </c>
    </row>
    <row r="148" spans="1:15">
      <c r="A148" s="52">
        <v>147</v>
      </c>
      <c r="B148" s="12">
        <v>15</v>
      </c>
      <c r="C148" s="52">
        <v>77</v>
      </c>
      <c r="D148" s="52"/>
      <c r="E148" s="7">
        <f>LOOKUP(use_fish!B148,base_fish!A:A,base_fish!C:C)+_xlfn.IFNA(INDEX(activity!F:F,MATCH(use_fish!C148,activity!A:A,0)),0)</f>
        <v>40</v>
      </c>
      <c r="F148" s="12">
        <f t="shared" si="23"/>
        <v>0.025</v>
      </c>
      <c r="G148" s="12" t="s">
        <v>243</v>
      </c>
      <c r="H148" s="53" t="str">
        <f>INDEX(base_fish!E:E,MATCH(use_fish!B148,base_fish!A:A,0))&amp;_xlfn.IFNA("+"&amp;INDEX(activity!G:G,MATCH(use_fish!C148,activity!A:A,0)),"")</f>
        <v>巨大灯笼鱼+临时活动</v>
      </c>
      <c r="I148" s="12">
        <f>LOOKUP(use_fish!B148,base_fish!A:A,base_fish!F:F)+_xlfn.IFNA(INDEX(activity!F:F,MATCH(use_fish!C148,activity!A:A,0)),0)</f>
        <v>40</v>
      </c>
      <c r="J148" s="25">
        <v>1</v>
      </c>
      <c r="K148" s="25">
        <f>LOOKUP(use_fish!B148,base_fish!A:A,base_fish!G:G)</f>
        <v>0</v>
      </c>
      <c r="L148" s="25">
        <f t="shared" si="24"/>
        <v>40</v>
      </c>
      <c r="M148" s="25">
        <v>1</v>
      </c>
      <c r="N148" s="25">
        <v>0</v>
      </c>
      <c r="O148" s="25">
        <v>1</v>
      </c>
    </row>
    <row r="149" spans="1:15">
      <c r="A149" s="52">
        <v>148</v>
      </c>
      <c r="B149" s="12">
        <v>16</v>
      </c>
      <c r="C149" s="52">
        <v>77</v>
      </c>
      <c r="D149" s="52"/>
      <c r="E149" s="7">
        <f>LOOKUP(use_fish!B149,base_fish!A:A,base_fish!C:C)+_xlfn.IFNA(INDEX(activity!F:F,MATCH(use_fish!C149,activity!A:A,0)),0)</f>
        <v>45</v>
      </c>
      <c r="F149" s="12">
        <f t="shared" si="23"/>
        <v>0.0222222222222222</v>
      </c>
      <c r="G149" s="12" t="s">
        <v>243</v>
      </c>
      <c r="H149" s="53" t="str">
        <f>INDEX(base_fish!E:E,MATCH(use_fish!B149,base_fish!A:A,0))&amp;_xlfn.IFNA("+"&amp;INDEX(activity!G:G,MATCH(use_fish!C149,activity!A:A,0)),"")</f>
        <v>巨大燕鱼+临时活动</v>
      </c>
      <c r="I149" s="12">
        <f>LOOKUP(use_fish!B149,base_fish!A:A,base_fish!F:F)+_xlfn.IFNA(INDEX(activity!F:F,MATCH(use_fish!C149,activity!A:A,0)),0)</f>
        <v>45</v>
      </c>
      <c r="J149" s="25">
        <v>1</v>
      </c>
      <c r="K149" s="25">
        <f>LOOKUP(use_fish!B149,base_fish!A:A,base_fish!G:G)</f>
        <v>0</v>
      </c>
      <c r="L149" s="25">
        <f t="shared" si="24"/>
        <v>45</v>
      </c>
      <c r="M149" s="25">
        <v>1</v>
      </c>
      <c r="N149" s="25">
        <v>0</v>
      </c>
      <c r="O149" s="25">
        <v>1</v>
      </c>
    </row>
    <row r="150" spans="1:15">
      <c r="A150" s="52">
        <v>149</v>
      </c>
      <c r="B150" s="12">
        <v>17</v>
      </c>
      <c r="C150" s="52">
        <v>77</v>
      </c>
      <c r="D150" s="52"/>
      <c r="E150" s="7">
        <f>LOOKUP(use_fish!B150,base_fish!A:A,base_fish!C:C)+_xlfn.IFNA(INDEX(activity!F:F,MATCH(use_fish!C150,activity!A:A,0)),0)</f>
        <v>50</v>
      </c>
      <c r="F150" s="12">
        <f t="shared" si="23"/>
        <v>0.02</v>
      </c>
      <c r="G150" s="12" t="s">
        <v>243</v>
      </c>
      <c r="H150" s="53" t="str">
        <f>INDEX(base_fish!E:E,MATCH(use_fish!B150,base_fish!A:A,0))&amp;_xlfn.IFNA("+"&amp;INDEX(activity!G:G,MATCH(use_fish!C150,activity!A:A,0)),"")</f>
        <v>魔鬼鱼+临时活动</v>
      </c>
      <c r="I150" s="12">
        <f>LOOKUP(use_fish!B150,base_fish!A:A,base_fish!F:F)+_xlfn.IFNA(INDEX(activity!F:F,MATCH(use_fish!C150,activity!A:A,0)),0)</f>
        <v>50</v>
      </c>
      <c r="J150" s="25">
        <v>1</v>
      </c>
      <c r="K150" s="25">
        <f>LOOKUP(use_fish!B150,base_fish!A:A,base_fish!G:G)</f>
        <v>0</v>
      </c>
      <c r="L150" s="25">
        <f t="shared" si="24"/>
        <v>50</v>
      </c>
      <c r="M150" s="25">
        <v>1</v>
      </c>
      <c r="N150" s="25">
        <v>0</v>
      </c>
      <c r="O150" s="25">
        <v>1</v>
      </c>
    </row>
    <row r="151" spans="1:15">
      <c r="A151" s="52">
        <v>150</v>
      </c>
      <c r="B151" s="12">
        <v>18</v>
      </c>
      <c r="C151" s="52">
        <v>77</v>
      </c>
      <c r="D151" s="52"/>
      <c r="E151" s="7">
        <f>LOOKUP(use_fish!B151,base_fish!A:A,base_fish!C:C)+_xlfn.IFNA(INDEX(activity!F:F,MATCH(use_fish!C151,activity!A:A,0)),0)</f>
        <v>70</v>
      </c>
      <c r="F151" s="12">
        <f t="shared" si="23"/>
        <v>0.0142857142857143</v>
      </c>
      <c r="G151" s="12" t="s">
        <v>243</v>
      </c>
      <c r="H151" s="53" t="str">
        <f>INDEX(base_fish!E:E,MATCH(use_fish!B151,base_fish!A:A,0))&amp;_xlfn.IFNA("+"&amp;INDEX(activity!G:G,MATCH(use_fish!C151,activity!A:A,0)),"")</f>
        <v>虎鲸+临时活动</v>
      </c>
      <c r="I151" s="12">
        <f>LOOKUP(use_fish!B151,base_fish!A:A,base_fish!F:F)+_xlfn.IFNA(INDEX(activity!F:F,MATCH(use_fish!C151,activity!A:A,0)),0)</f>
        <v>70</v>
      </c>
      <c r="J151" s="25">
        <v>1</v>
      </c>
      <c r="K151" s="25">
        <f>LOOKUP(use_fish!B151,base_fish!A:A,base_fish!G:G)</f>
        <v>0</v>
      </c>
      <c r="L151" s="25">
        <f t="shared" si="24"/>
        <v>70</v>
      </c>
      <c r="M151" s="25">
        <v>1</v>
      </c>
      <c r="N151" s="25">
        <v>0</v>
      </c>
      <c r="O151" s="25">
        <v>1</v>
      </c>
    </row>
    <row r="152" spans="1:15">
      <c r="A152" s="52">
        <v>151</v>
      </c>
      <c r="B152" s="52">
        <v>61</v>
      </c>
      <c r="C152" s="52">
        <v>74</v>
      </c>
      <c r="D152" s="52"/>
      <c r="E152" s="7">
        <f>LOOKUP(use_fish!B152,base_fish!A:A,base_fish!C:C)+_xlfn.IFNA(INDEX(activity!F:F,MATCH(use_fish!C152,activity!A:A,0)),0)</f>
        <v>250</v>
      </c>
      <c r="F152" s="12">
        <f t="shared" si="23"/>
        <v>0.004</v>
      </c>
      <c r="G152" s="12" t="s">
        <v>243</v>
      </c>
      <c r="H152" s="53" t="str">
        <f>INDEX(base_fish!E:E,MATCH(use_fish!B152,base_fish!A:A,0))&amp;_xlfn.IFNA("+"&amp;INDEX(activity!G:G,MATCH(use_fish!C152,activity!A:A,0)),"")</f>
        <v>活动boss+临时活动</v>
      </c>
      <c r="I152" s="12">
        <f>LOOKUP(use_fish!B152,base_fish!A:A,base_fish!F:F)+_xlfn.IFNA(INDEX(activity!F:F,MATCH(use_fish!C152,activity!A:A,0)),0)</f>
        <v>250</v>
      </c>
      <c r="J152" s="25">
        <v>1</v>
      </c>
      <c r="K152" s="25">
        <f>LOOKUP(use_fish!B152,base_fish!A:A,base_fish!G:G)</f>
        <v>0</v>
      </c>
      <c r="L152" s="25">
        <f t="shared" si="24"/>
        <v>250</v>
      </c>
      <c r="M152" s="25">
        <v>1</v>
      </c>
      <c r="N152" s="25">
        <v>1</v>
      </c>
      <c r="O152" s="25">
        <v>1</v>
      </c>
    </row>
    <row r="153" spans="1:15">
      <c r="A153" s="52">
        <v>152</v>
      </c>
      <c r="B153" s="52">
        <v>61</v>
      </c>
      <c r="C153" s="52">
        <v>75</v>
      </c>
      <c r="D153" s="52"/>
      <c r="E153" s="7">
        <f>LOOKUP(use_fish!B153,base_fish!A:A,base_fish!C:C)+_xlfn.IFNA(INDEX(activity!F:F,MATCH(use_fish!C153,activity!A:A,0)),0)</f>
        <v>350</v>
      </c>
      <c r="F153" s="12">
        <f t="shared" si="23"/>
        <v>0.00285714285714286</v>
      </c>
      <c r="G153" s="12" t="s">
        <v>243</v>
      </c>
      <c r="H153" s="53" t="str">
        <f>INDEX(base_fish!E:E,MATCH(use_fish!B153,base_fish!A:A,0))&amp;_xlfn.IFNA("+"&amp;INDEX(activity!G:G,MATCH(use_fish!C153,activity!A:A,0)),"")</f>
        <v>活动boss+临时活动</v>
      </c>
      <c r="I153" s="12">
        <f>LOOKUP(use_fish!B153,base_fish!A:A,base_fish!F:F)+_xlfn.IFNA(INDEX(activity!F:F,MATCH(use_fish!C153,activity!A:A,0)),0)</f>
        <v>350</v>
      </c>
      <c r="J153" s="25">
        <v>1</v>
      </c>
      <c r="K153" s="25">
        <f>LOOKUP(use_fish!B153,base_fish!A:A,base_fish!G:G)</f>
        <v>0</v>
      </c>
      <c r="L153" s="25">
        <f t="shared" si="24"/>
        <v>350</v>
      </c>
      <c r="M153" s="25">
        <v>1</v>
      </c>
      <c r="N153" s="25">
        <v>1</v>
      </c>
      <c r="O153" s="25">
        <v>1</v>
      </c>
    </row>
    <row r="154" spans="1:15">
      <c r="A154" s="52">
        <v>153</v>
      </c>
      <c r="B154" s="52">
        <v>61</v>
      </c>
      <c r="C154" s="52">
        <v>76</v>
      </c>
      <c r="D154" s="52"/>
      <c r="E154" s="7">
        <f>LOOKUP(use_fish!B154,base_fish!A:A,base_fish!C:C)+_xlfn.IFNA(INDEX(activity!F:F,MATCH(use_fish!C154,activity!A:A,0)),0)</f>
        <v>450</v>
      </c>
      <c r="F154" s="12">
        <f t="shared" si="23"/>
        <v>0.00222222222222222</v>
      </c>
      <c r="G154" s="12" t="s">
        <v>243</v>
      </c>
      <c r="H154" s="53" t="str">
        <f>INDEX(base_fish!E:E,MATCH(use_fish!B154,base_fish!A:A,0))&amp;_xlfn.IFNA("+"&amp;INDEX(activity!G:G,MATCH(use_fish!C154,activity!A:A,0)),"")</f>
        <v>活动boss+临时活动</v>
      </c>
      <c r="I154" s="12">
        <f>LOOKUP(use_fish!B154,base_fish!A:A,base_fish!F:F)+_xlfn.IFNA(INDEX(activity!F:F,MATCH(use_fish!C154,activity!A:A,0)),0)</f>
        <v>450</v>
      </c>
      <c r="J154" s="25">
        <v>1</v>
      </c>
      <c r="K154" s="25">
        <f>LOOKUP(use_fish!B154,base_fish!A:A,base_fish!G:G)</f>
        <v>0</v>
      </c>
      <c r="L154" s="25">
        <f t="shared" si="24"/>
        <v>450</v>
      </c>
      <c r="M154" s="25">
        <v>1</v>
      </c>
      <c r="N154" s="25">
        <v>1</v>
      </c>
      <c r="O154" s="25">
        <v>1</v>
      </c>
    </row>
    <row r="155" spans="1:15">
      <c r="A155" s="66">
        <v>154</v>
      </c>
      <c r="B155" s="6">
        <v>13</v>
      </c>
      <c r="C155" s="66">
        <v>81</v>
      </c>
      <c r="D155" s="66"/>
      <c r="E155" s="6">
        <f>LOOKUP(use_fish!B155,base_fish!A:A,base_fish!C:C)+_xlfn.IFNA(INDEX(activity!F:F,MATCH(use_fish!C155,activity!A:A,0)),0)</f>
        <v>30</v>
      </c>
      <c r="F155" s="6">
        <f t="shared" ref="F155:F163" si="25">1/E155</f>
        <v>0.0333333333333333</v>
      </c>
      <c r="G155" s="6" t="s">
        <v>243</v>
      </c>
      <c r="H155" s="67" t="str">
        <f>INDEX(base_fish!E:E,MATCH(use_fish!B155,base_fish!A:A,0))&amp;_xlfn.IFNA("+"&amp;INDEX(activity!G:G,MATCH(use_fish!C155,activity!A:A,0)),"")</f>
        <v>蝴蝶鱼+临时活动</v>
      </c>
      <c r="I155" s="6">
        <f>LOOKUP(use_fish!B155,base_fish!A:A,base_fish!F:F)+_xlfn.IFNA(INDEX(activity!F:F,MATCH(use_fish!C155,activity!A:A,0)),0)</f>
        <v>30</v>
      </c>
      <c r="J155" s="15">
        <v>1</v>
      </c>
      <c r="K155" s="15">
        <f>LOOKUP(use_fish!B155,base_fish!A:A,base_fish!G:G)</f>
        <v>0</v>
      </c>
      <c r="L155" s="15">
        <f t="shared" ref="L155:L163" si="26">I155</f>
        <v>30</v>
      </c>
      <c r="M155" s="15">
        <v>1</v>
      </c>
      <c r="N155" s="15">
        <v>0</v>
      </c>
      <c r="O155" s="15">
        <v>1</v>
      </c>
    </row>
    <row r="156" spans="1:15">
      <c r="A156" s="66">
        <v>155</v>
      </c>
      <c r="B156" s="6">
        <v>14</v>
      </c>
      <c r="C156" s="66">
        <v>81</v>
      </c>
      <c r="D156" s="66"/>
      <c r="E156" s="6">
        <f>LOOKUP(use_fish!B156,base_fish!A:A,base_fish!C:C)+_xlfn.IFNA(INDEX(activity!F:F,MATCH(use_fish!C156,activity!A:A,0)),0)</f>
        <v>35</v>
      </c>
      <c r="F156" s="6">
        <f t="shared" si="25"/>
        <v>0.0285714285714286</v>
      </c>
      <c r="G156" s="6" t="s">
        <v>243</v>
      </c>
      <c r="H156" s="67" t="str">
        <f>INDEX(base_fish!E:E,MATCH(use_fish!B156,base_fish!A:A,0))&amp;_xlfn.IFNA("+"&amp;INDEX(activity!G:G,MATCH(use_fish!C156,activity!A:A,0)),"")</f>
        <v>巨大小丑鱼+临时活动</v>
      </c>
      <c r="I156" s="6">
        <f>LOOKUP(use_fish!B156,base_fish!A:A,base_fish!F:F)+_xlfn.IFNA(INDEX(activity!F:F,MATCH(use_fish!C156,activity!A:A,0)),0)</f>
        <v>35</v>
      </c>
      <c r="J156" s="15">
        <v>1</v>
      </c>
      <c r="K156" s="15">
        <f>LOOKUP(use_fish!B156,base_fish!A:A,base_fish!G:G)</f>
        <v>0</v>
      </c>
      <c r="L156" s="15">
        <f t="shared" si="26"/>
        <v>35</v>
      </c>
      <c r="M156" s="15">
        <v>1</v>
      </c>
      <c r="N156" s="15">
        <v>0</v>
      </c>
      <c r="O156" s="15">
        <v>1</v>
      </c>
    </row>
    <row r="157" spans="1:15">
      <c r="A157" s="66">
        <v>156</v>
      </c>
      <c r="B157" s="6">
        <v>15</v>
      </c>
      <c r="C157" s="66">
        <v>81</v>
      </c>
      <c r="D157" s="66"/>
      <c r="E157" s="6">
        <f>LOOKUP(use_fish!B157,base_fish!A:A,base_fish!C:C)+_xlfn.IFNA(INDEX(activity!F:F,MATCH(use_fish!C157,activity!A:A,0)),0)</f>
        <v>40</v>
      </c>
      <c r="F157" s="6">
        <f t="shared" si="25"/>
        <v>0.025</v>
      </c>
      <c r="G157" s="6" t="s">
        <v>243</v>
      </c>
      <c r="H157" s="67" t="str">
        <f>INDEX(base_fish!E:E,MATCH(use_fish!B157,base_fish!A:A,0))&amp;_xlfn.IFNA("+"&amp;INDEX(activity!G:G,MATCH(use_fish!C157,activity!A:A,0)),"")</f>
        <v>巨大灯笼鱼+临时活动</v>
      </c>
      <c r="I157" s="6">
        <f>LOOKUP(use_fish!B157,base_fish!A:A,base_fish!F:F)+_xlfn.IFNA(INDEX(activity!F:F,MATCH(use_fish!C157,activity!A:A,0)),0)</f>
        <v>40</v>
      </c>
      <c r="J157" s="15">
        <v>1</v>
      </c>
      <c r="K157" s="15">
        <f>LOOKUP(use_fish!B157,base_fish!A:A,base_fish!G:G)</f>
        <v>0</v>
      </c>
      <c r="L157" s="15">
        <f t="shared" si="26"/>
        <v>40</v>
      </c>
      <c r="M157" s="15">
        <v>1</v>
      </c>
      <c r="N157" s="15">
        <v>0</v>
      </c>
      <c r="O157" s="15">
        <v>1</v>
      </c>
    </row>
    <row r="158" spans="1:15">
      <c r="A158" s="66">
        <v>157</v>
      </c>
      <c r="B158" s="6">
        <v>16</v>
      </c>
      <c r="C158" s="66">
        <v>81</v>
      </c>
      <c r="D158" s="66"/>
      <c r="E158" s="6">
        <f>LOOKUP(use_fish!B158,base_fish!A:A,base_fish!C:C)+_xlfn.IFNA(INDEX(activity!F:F,MATCH(use_fish!C158,activity!A:A,0)),0)</f>
        <v>45</v>
      </c>
      <c r="F158" s="6">
        <f t="shared" si="25"/>
        <v>0.0222222222222222</v>
      </c>
      <c r="G158" s="6" t="s">
        <v>243</v>
      </c>
      <c r="H158" s="67" t="str">
        <f>INDEX(base_fish!E:E,MATCH(use_fish!B158,base_fish!A:A,0))&amp;_xlfn.IFNA("+"&amp;INDEX(activity!G:G,MATCH(use_fish!C158,activity!A:A,0)),"")</f>
        <v>巨大燕鱼+临时活动</v>
      </c>
      <c r="I158" s="6">
        <f>LOOKUP(use_fish!B158,base_fish!A:A,base_fish!F:F)+_xlfn.IFNA(INDEX(activity!F:F,MATCH(use_fish!C158,activity!A:A,0)),0)</f>
        <v>45</v>
      </c>
      <c r="J158" s="15">
        <v>1</v>
      </c>
      <c r="K158" s="15">
        <f>LOOKUP(use_fish!B158,base_fish!A:A,base_fish!G:G)</f>
        <v>0</v>
      </c>
      <c r="L158" s="15">
        <f t="shared" si="26"/>
        <v>45</v>
      </c>
      <c r="M158" s="15">
        <v>1</v>
      </c>
      <c r="N158" s="15">
        <v>0</v>
      </c>
      <c r="O158" s="15">
        <v>1</v>
      </c>
    </row>
    <row r="159" spans="1:15">
      <c r="A159" s="66">
        <v>158</v>
      </c>
      <c r="B159" s="6">
        <v>17</v>
      </c>
      <c r="C159" s="66">
        <v>81</v>
      </c>
      <c r="D159" s="66"/>
      <c r="E159" s="6">
        <f>LOOKUP(use_fish!B159,base_fish!A:A,base_fish!C:C)+_xlfn.IFNA(INDEX(activity!F:F,MATCH(use_fish!C159,activity!A:A,0)),0)</f>
        <v>50</v>
      </c>
      <c r="F159" s="6">
        <f t="shared" si="25"/>
        <v>0.02</v>
      </c>
      <c r="G159" s="6" t="s">
        <v>243</v>
      </c>
      <c r="H159" s="67" t="str">
        <f>INDEX(base_fish!E:E,MATCH(use_fish!B159,base_fish!A:A,0))&amp;_xlfn.IFNA("+"&amp;INDEX(activity!G:G,MATCH(use_fish!C159,activity!A:A,0)),"")</f>
        <v>魔鬼鱼+临时活动</v>
      </c>
      <c r="I159" s="6">
        <f>LOOKUP(use_fish!B159,base_fish!A:A,base_fish!F:F)+_xlfn.IFNA(INDEX(activity!F:F,MATCH(use_fish!C159,activity!A:A,0)),0)</f>
        <v>50</v>
      </c>
      <c r="J159" s="15">
        <v>1</v>
      </c>
      <c r="K159" s="15">
        <f>LOOKUP(use_fish!B159,base_fish!A:A,base_fish!G:G)</f>
        <v>0</v>
      </c>
      <c r="L159" s="15">
        <f t="shared" si="26"/>
        <v>50</v>
      </c>
      <c r="M159" s="15">
        <v>1</v>
      </c>
      <c r="N159" s="15">
        <v>0</v>
      </c>
      <c r="O159" s="15">
        <v>1</v>
      </c>
    </row>
    <row r="160" spans="1:15">
      <c r="A160" s="66">
        <v>159</v>
      </c>
      <c r="B160" s="6">
        <v>18</v>
      </c>
      <c r="C160" s="66">
        <v>81</v>
      </c>
      <c r="D160" s="66"/>
      <c r="E160" s="6">
        <f>LOOKUP(use_fish!B160,base_fish!A:A,base_fish!C:C)+_xlfn.IFNA(INDEX(activity!F:F,MATCH(use_fish!C160,activity!A:A,0)),0)</f>
        <v>70</v>
      </c>
      <c r="F160" s="6">
        <f t="shared" si="25"/>
        <v>0.0142857142857143</v>
      </c>
      <c r="G160" s="6" t="s">
        <v>243</v>
      </c>
      <c r="H160" s="67" t="str">
        <f>INDEX(base_fish!E:E,MATCH(use_fish!B160,base_fish!A:A,0))&amp;_xlfn.IFNA("+"&amp;INDEX(activity!G:G,MATCH(use_fish!C160,activity!A:A,0)),"")</f>
        <v>虎鲸+临时活动</v>
      </c>
      <c r="I160" s="6">
        <f>LOOKUP(use_fish!B160,base_fish!A:A,base_fish!F:F)+_xlfn.IFNA(INDEX(activity!F:F,MATCH(use_fish!C160,activity!A:A,0)),0)</f>
        <v>70</v>
      </c>
      <c r="J160" s="15">
        <v>1</v>
      </c>
      <c r="K160" s="15">
        <f>LOOKUP(use_fish!B160,base_fish!A:A,base_fish!G:G)</f>
        <v>0</v>
      </c>
      <c r="L160" s="15">
        <f t="shared" si="26"/>
        <v>70</v>
      </c>
      <c r="M160" s="15">
        <v>1</v>
      </c>
      <c r="N160" s="15">
        <v>0</v>
      </c>
      <c r="O160" s="15">
        <v>1</v>
      </c>
    </row>
    <row r="161" spans="1:15">
      <c r="A161" s="66">
        <v>160</v>
      </c>
      <c r="B161" s="66">
        <v>61</v>
      </c>
      <c r="C161" s="66">
        <v>78</v>
      </c>
      <c r="D161" s="66"/>
      <c r="E161" s="6">
        <f>LOOKUP(use_fish!B161,base_fish!A:A,base_fish!C:C)+_xlfn.IFNA(INDEX(activity!F:F,MATCH(use_fish!C161,activity!A:A,0)),0)</f>
        <v>250</v>
      </c>
      <c r="F161" s="6">
        <f t="shared" si="25"/>
        <v>0.004</v>
      </c>
      <c r="G161" s="6" t="s">
        <v>243</v>
      </c>
      <c r="H161" s="67" t="str">
        <f>INDEX(base_fish!E:E,MATCH(use_fish!B161,base_fish!A:A,0))&amp;_xlfn.IFNA("+"&amp;INDEX(activity!G:G,MATCH(use_fish!C161,activity!A:A,0)),"")</f>
        <v>活动boss+临时活动</v>
      </c>
      <c r="I161" s="6">
        <f>LOOKUP(use_fish!B161,base_fish!A:A,base_fish!F:F)+_xlfn.IFNA(INDEX(activity!F:F,MATCH(use_fish!C161,activity!A:A,0)),0)</f>
        <v>250</v>
      </c>
      <c r="J161" s="15">
        <v>1</v>
      </c>
      <c r="K161" s="15">
        <f>LOOKUP(use_fish!B161,base_fish!A:A,base_fish!G:G)</f>
        <v>0</v>
      </c>
      <c r="L161" s="15">
        <f t="shared" si="26"/>
        <v>250</v>
      </c>
      <c r="M161" s="15">
        <v>1</v>
      </c>
      <c r="N161" s="15">
        <v>1</v>
      </c>
      <c r="O161" s="15">
        <v>1</v>
      </c>
    </row>
    <row r="162" spans="1:15">
      <c r="A162" s="66">
        <v>161</v>
      </c>
      <c r="B162" s="66">
        <v>61</v>
      </c>
      <c r="C162" s="66">
        <v>79</v>
      </c>
      <c r="D162" s="66"/>
      <c r="E162" s="6">
        <f>LOOKUP(use_fish!B162,base_fish!A:A,base_fish!C:C)+_xlfn.IFNA(INDEX(activity!F:F,MATCH(use_fish!C162,activity!A:A,0)),0)</f>
        <v>350</v>
      </c>
      <c r="F162" s="6">
        <f t="shared" si="25"/>
        <v>0.00285714285714286</v>
      </c>
      <c r="G162" s="6" t="s">
        <v>243</v>
      </c>
      <c r="H162" s="67" t="str">
        <f>INDEX(base_fish!E:E,MATCH(use_fish!B162,base_fish!A:A,0))&amp;_xlfn.IFNA("+"&amp;INDEX(activity!G:G,MATCH(use_fish!C162,activity!A:A,0)),"")</f>
        <v>活动boss+临时活动</v>
      </c>
      <c r="I162" s="6">
        <f>LOOKUP(use_fish!B162,base_fish!A:A,base_fish!F:F)+_xlfn.IFNA(INDEX(activity!F:F,MATCH(use_fish!C162,activity!A:A,0)),0)</f>
        <v>350</v>
      </c>
      <c r="J162" s="15">
        <v>1</v>
      </c>
      <c r="K162" s="15">
        <f>LOOKUP(use_fish!B162,base_fish!A:A,base_fish!G:G)</f>
        <v>0</v>
      </c>
      <c r="L162" s="15">
        <f t="shared" si="26"/>
        <v>350</v>
      </c>
      <c r="M162" s="15">
        <v>1</v>
      </c>
      <c r="N162" s="15">
        <v>1</v>
      </c>
      <c r="O162" s="15">
        <v>1</v>
      </c>
    </row>
    <row r="163" spans="1:15">
      <c r="A163" s="66">
        <v>162</v>
      </c>
      <c r="B163" s="66">
        <v>61</v>
      </c>
      <c r="C163" s="66">
        <v>80</v>
      </c>
      <c r="D163" s="66"/>
      <c r="E163" s="6">
        <f>LOOKUP(use_fish!B163,base_fish!A:A,base_fish!C:C)+_xlfn.IFNA(INDEX(activity!F:F,MATCH(use_fish!C163,activity!A:A,0)),0)</f>
        <v>450</v>
      </c>
      <c r="F163" s="6">
        <f t="shared" si="25"/>
        <v>0.00222222222222222</v>
      </c>
      <c r="G163" s="6" t="s">
        <v>243</v>
      </c>
      <c r="H163" s="67" t="str">
        <f>INDEX(base_fish!E:E,MATCH(use_fish!B163,base_fish!A:A,0))&amp;_xlfn.IFNA("+"&amp;INDEX(activity!G:G,MATCH(use_fish!C163,activity!A:A,0)),"")</f>
        <v>活动boss+临时活动</v>
      </c>
      <c r="I163" s="6">
        <f>LOOKUP(use_fish!B163,base_fish!A:A,base_fish!F:F)+_xlfn.IFNA(INDEX(activity!F:F,MATCH(use_fish!C163,activity!A:A,0)),0)</f>
        <v>450</v>
      </c>
      <c r="J163" s="15">
        <v>1</v>
      </c>
      <c r="K163" s="15">
        <f>LOOKUP(use_fish!B163,base_fish!A:A,base_fish!G:G)</f>
        <v>0</v>
      </c>
      <c r="L163" s="15">
        <f t="shared" si="26"/>
        <v>450</v>
      </c>
      <c r="M163" s="15">
        <v>1</v>
      </c>
      <c r="N163" s="15">
        <v>1</v>
      </c>
      <c r="O163" s="15">
        <v>1</v>
      </c>
    </row>
    <row r="164" s="28" customFormat="1" spans="1:15">
      <c r="A164" s="76">
        <v>163</v>
      </c>
      <c r="B164" s="77">
        <v>13</v>
      </c>
      <c r="C164" s="76">
        <v>85</v>
      </c>
      <c r="D164" s="76"/>
      <c r="E164" s="77">
        <f>LOOKUP(use_fish!B164,base_fish!A:A,base_fish!C:C)+_xlfn.IFNA(INDEX(activity!F:F,MATCH(use_fish!C164,activity!A:A,0)),0)</f>
        <v>30</v>
      </c>
      <c r="F164" s="77">
        <f t="shared" ref="F164:F173" si="27">1/E164</f>
        <v>0.0333333333333333</v>
      </c>
      <c r="G164" s="77" t="s">
        <v>243</v>
      </c>
      <c r="H164" s="78" t="str">
        <f>INDEX(base_fish!E:E,MATCH(use_fish!B164,base_fish!A:A,0))&amp;_xlfn.IFNA("+"&amp;INDEX(activity!G:G,MATCH(use_fish!C164,activity!A:A,0)),"")</f>
        <v>蝴蝶鱼+临时活动</v>
      </c>
      <c r="I164" s="77">
        <f>LOOKUP(use_fish!B164,base_fish!A:A,base_fish!F:F)+_xlfn.IFNA(INDEX(activity!F:F,MATCH(use_fish!C164,activity!A:A,0)),0)</f>
        <v>30</v>
      </c>
      <c r="J164" s="28">
        <v>1</v>
      </c>
      <c r="K164" s="28">
        <f>LOOKUP(use_fish!B164,base_fish!A:A,base_fish!G:G)</f>
        <v>0</v>
      </c>
      <c r="L164" s="28">
        <f t="shared" ref="L164:L174" si="28">I164</f>
        <v>30</v>
      </c>
      <c r="M164" s="28">
        <v>1</v>
      </c>
      <c r="N164" s="28">
        <v>0</v>
      </c>
      <c r="O164" s="28">
        <v>1</v>
      </c>
    </row>
    <row r="165" s="28" customFormat="1" spans="1:15">
      <c r="A165" s="76">
        <v>164</v>
      </c>
      <c r="B165" s="77">
        <v>14</v>
      </c>
      <c r="C165" s="76">
        <v>85</v>
      </c>
      <c r="D165" s="76"/>
      <c r="E165" s="77">
        <f>LOOKUP(use_fish!B165,base_fish!A:A,base_fish!C:C)+_xlfn.IFNA(INDEX(activity!F:F,MATCH(use_fish!C165,activity!A:A,0)),0)</f>
        <v>35</v>
      </c>
      <c r="F165" s="77">
        <f t="shared" si="27"/>
        <v>0.0285714285714286</v>
      </c>
      <c r="G165" s="77" t="s">
        <v>243</v>
      </c>
      <c r="H165" s="78" t="str">
        <f>INDEX(base_fish!E:E,MATCH(use_fish!B165,base_fish!A:A,0))&amp;_xlfn.IFNA("+"&amp;INDEX(activity!G:G,MATCH(use_fish!C165,activity!A:A,0)),"")</f>
        <v>巨大小丑鱼+临时活动</v>
      </c>
      <c r="I165" s="77">
        <f>LOOKUP(use_fish!B165,base_fish!A:A,base_fish!F:F)+_xlfn.IFNA(INDEX(activity!F:F,MATCH(use_fish!C165,activity!A:A,0)),0)</f>
        <v>35</v>
      </c>
      <c r="J165" s="28">
        <v>1</v>
      </c>
      <c r="K165" s="28">
        <f>LOOKUP(use_fish!B165,base_fish!A:A,base_fish!G:G)</f>
        <v>0</v>
      </c>
      <c r="L165" s="28">
        <f t="shared" si="28"/>
        <v>35</v>
      </c>
      <c r="M165" s="28">
        <v>1</v>
      </c>
      <c r="N165" s="28">
        <v>0</v>
      </c>
      <c r="O165" s="28">
        <v>1</v>
      </c>
    </row>
    <row r="166" s="28" customFormat="1" spans="1:15">
      <c r="A166" s="76">
        <v>165</v>
      </c>
      <c r="B166" s="77">
        <v>15</v>
      </c>
      <c r="C166" s="76">
        <v>85</v>
      </c>
      <c r="D166" s="76"/>
      <c r="E166" s="77">
        <f>LOOKUP(use_fish!B166,base_fish!A:A,base_fish!C:C)+_xlfn.IFNA(INDEX(activity!F:F,MATCH(use_fish!C166,activity!A:A,0)),0)</f>
        <v>40</v>
      </c>
      <c r="F166" s="77">
        <f t="shared" si="27"/>
        <v>0.025</v>
      </c>
      <c r="G166" s="77" t="s">
        <v>243</v>
      </c>
      <c r="H166" s="78" t="str">
        <f>INDEX(base_fish!E:E,MATCH(use_fish!B166,base_fish!A:A,0))&amp;_xlfn.IFNA("+"&amp;INDEX(activity!G:G,MATCH(use_fish!C166,activity!A:A,0)),"")</f>
        <v>巨大灯笼鱼+临时活动</v>
      </c>
      <c r="I166" s="77">
        <f>LOOKUP(use_fish!B166,base_fish!A:A,base_fish!F:F)+_xlfn.IFNA(INDEX(activity!F:F,MATCH(use_fish!C166,activity!A:A,0)),0)</f>
        <v>40</v>
      </c>
      <c r="J166" s="28">
        <v>1</v>
      </c>
      <c r="K166" s="28">
        <f>LOOKUP(use_fish!B166,base_fish!A:A,base_fish!G:G)</f>
        <v>0</v>
      </c>
      <c r="L166" s="28">
        <f t="shared" si="28"/>
        <v>40</v>
      </c>
      <c r="M166" s="28">
        <v>1</v>
      </c>
      <c r="N166" s="28">
        <v>0</v>
      </c>
      <c r="O166" s="28">
        <v>1</v>
      </c>
    </row>
    <row r="167" s="28" customFormat="1" spans="1:15">
      <c r="A167" s="76">
        <v>166</v>
      </c>
      <c r="B167" s="77">
        <v>16</v>
      </c>
      <c r="C167" s="76">
        <v>85</v>
      </c>
      <c r="D167" s="76"/>
      <c r="E167" s="77">
        <f>LOOKUP(use_fish!B167,base_fish!A:A,base_fish!C:C)+_xlfn.IFNA(INDEX(activity!F:F,MATCH(use_fish!C167,activity!A:A,0)),0)</f>
        <v>45</v>
      </c>
      <c r="F167" s="77">
        <f t="shared" si="27"/>
        <v>0.0222222222222222</v>
      </c>
      <c r="G167" s="77" t="s">
        <v>243</v>
      </c>
      <c r="H167" s="78" t="str">
        <f>INDEX(base_fish!E:E,MATCH(use_fish!B167,base_fish!A:A,0))&amp;_xlfn.IFNA("+"&amp;INDEX(activity!G:G,MATCH(use_fish!C167,activity!A:A,0)),"")</f>
        <v>巨大燕鱼+临时活动</v>
      </c>
      <c r="I167" s="77">
        <f>LOOKUP(use_fish!B167,base_fish!A:A,base_fish!F:F)+_xlfn.IFNA(INDEX(activity!F:F,MATCH(use_fish!C167,activity!A:A,0)),0)</f>
        <v>45</v>
      </c>
      <c r="J167" s="28">
        <v>1</v>
      </c>
      <c r="K167" s="28">
        <f>LOOKUP(use_fish!B167,base_fish!A:A,base_fish!G:G)</f>
        <v>0</v>
      </c>
      <c r="L167" s="28">
        <f t="shared" si="28"/>
        <v>45</v>
      </c>
      <c r="M167" s="28">
        <v>1</v>
      </c>
      <c r="N167" s="28">
        <v>0</v>
      </c>
      <c r="O167" s="28">
        <v>1</v>
      </c>
    </row>
    <row r="168" s="28" customFormat="1" spans="1:15">
      <c r="A168" s="76">
        <v>167</v>
      </c>
      <c r="B168" s="77">
        <v>17</v>
      </c>
      <c r="C168" s="76">
        <v>85</v>
      </c>
      <c r="D168" s="76"/>
      <c r="E168" s="77">
        <f>LOOKUP(use_fish!B168,base_fish!A:A,base_fish!C:C)+_xlfn.IFNA(INDEX(activity!F:F,MATCH(use_fish!C168,activity!A:A,0)),0)</f>
        <v>50</v>
      </c>
      <c r="F168" s="77">
        <f t="shared" si="27"/>
        <v>0.02</v>
      </c>
      <c r="G168" s="77" t="s">
        <v>243</v>
      </c>
      <c r="H168" s="78" t="str">
        <f>INDEX(base_fish!E:E,MATCH(use_fish!B168,base_fish!A:A,0))&amp;_xlfn.IFNA("+"&amp;INDEX(activity!G:G,MATCH(use_fish!C168,activity!A:A,0)),"")</f>
        <v>魔鬼鱼+临时活动</v>
      </c>
      <c r="I168" s="77">
        <f>LOOKUP(use_fish!B168,base_fish!A:A,base_fish!F:F)+_xlfn.IFNA(INDEX(activity!F:F,MATCH(use_fish!C168,activity!A:A,0)),0)</f>
        <v>50</v>
      </c>
      <c r="J168" s="28">
        <v>1</v>
      </c>
      <c r="K168" s="28">
        <f>LOOKUP(use_fish!B168,base_fish!A:A,base_fish!G:G)</f>
        <v>0</v>
      </c>
      <c r="L168" s="28">
        <f t="shared" si="28"/>
        <v>50</v>
      </c>
      <c r="M168" s="28">
        <v>1</v>
      </c>
      <c r="N168" s="28">
        <v>0</v>
      </c>
      <c r="O168" s="28">
        <v>1</v>
      </c>
    </row>
    <row r="169" s="28" customFormat="1" spans="1:15">
      <c r="A169" s="76">
        <v>168</v>
      </c>
      <c r="B169" s="77">
        <v>18</v>
      </c>
      <c r="C169" s="76">
        <v>85</v>
      </c>
      <c r="D169" s="76"/>
      <c r="E169" s="77">
        <f>LOOKUP(use_fish!B169,base_fish!A:A,base_fish!C:C)+_xlfn.IFNA(INDEX(activity!F:F,MATCH(use_fish!C169,activity!A:A,0)),0)</f>
        <v>70</v>
      </c>
      <c r="F169" s="77">
        <f t="shared" si="27"/>
        <v>0.0142857142857143</v>
      </c>
      <c r="G169" s="77" t="s">
        <v>243</v>
      </c>
      <c r="H169" s="78" t="str">
        <f>INDEX(base_fish!E:E,MATCH(use_fish!B169,base_fish!A:A,0))&amp;_xlfn.IFNA("+"&amp;INDEX(activity!G:G,MATCH(use_fish!C169,activity!A:A,0)),"")</f>
        <v>虎鲸+临时活动</v>
      </c>
      <c r="I169" s="77">
        <f>LOOKUP(use_fish!B169,base_fish!A:A,base_fish!F:F)+_xlfn.IFNA(INDEX(activity!F:F,MATCH(use_fish!C169,activity!A:A,0)),0)</f>
        <v>70</v>
      </c>
      <c r="J169" s="28">
        <v>1</v>
      </c>
      <c r="K169" s="28">
        <f>LOOKUP(use_fish!B169,base_fish!A:A,base_fish!G:G)</f>
        <v>0</v>
      </c>
      <c r="L169" s="28">
        <f t="shared" si="28"/>
        <v>70</v>
      </c>
      <c r="M169" s="28">
        <v>1</v>
      </c>
      <c r="N169" s="28">
        <v>0</v>
      </c>
      <c r="O169" s="28">
        <v>1</v>
      </c>
    </row>
    <row r="170" s="28" customFormat="1" spans="1:15">
      <c r="A170" s="76">
        <v>169</v>
      </c>
      <c r="B170" s="76">
        <v>61</v>
      </c>
      <c r="C170" s="76">
        <v>82</v>
      </c>
      <c r="D170" s="76"/>
      <c r="E170" s="77">
        <f>LOOKUP(use_fish!B170,base_fish!A:A,base_fish!C:C)+_xlfn.IFNA(INDEX(activity!F:F,MATCH(use_fish!C170,activity!A:A,0)),0)</f>
        <v>250</v>
      </c>
      <c r="F170" s="77">
        <f t="shared" si="27"/>
        <v>0.004</v>
      </c>
      <c r="G170" s="77" t="s">
        <v>243</v>
      </c>
      <c r="H170" s="78" t="str">
        <f>INDEX(base_fish!E:E,MATCH(use_fish!B170,base_fish!A:A,0))&amp;_xlfn.IFNA("+"&amp;INDEX(activity!G:G,MATCH(use_fish!C170,activity!A:A,0)),"")</f>
        <v>活动boss+临时活动</v>
      </c>
      <c r="I170" s="77">
        <f>LOOKUP(use_fish!B170,base_fish!A:A,base_fish!F:F)+_xlfn.IFNA(INDEX(activity!F:F,MATCH(use_fish!C170,activity!A:A,0)),0)</f>
        <v>250</v>
      </c>
      <c r="J170" s="28">
        <v>1</v>
      </c>
      <c r="K170" s="28">
        <f>LOOKUP(use_fish!B170,base_fish!A:A,base_fish!G:G)</f>
        <v>0</v>
      </c>
      <c r="L170" s="28">
        <f t="shared" si="28"/>
        <v>250</v>
      </c>
      <c r="M170" s="28">
        <v>1</v>
      </c>
      <c r="N170" s="28">
        <v>1</v>
      </c>
      <c r="O170" s="28">
        <v>1</v>
      </c>
    </row>
    <row r="171" s="28" customFormat="1" spans="1:15">
      <c r="A171" s="76">
        <v>170</v>
      </c>
      <c r="B171" s="76">
        <v>61</v>
      </c>
      <c r="C171" s="76">
        <v>83</v>
      </c>
      <c r="D171" s="76"/>
      <c r="E171" s="77">
        <f>LOOKUP(use_fish!B171,base_fish!A:A,base_fish!C:C)+_xlfn.IFNA(INDEX(activity!F:F,MATCH(use_fish!C171,activity!A:A,0)),0)</f>
        <v>350</v>
      </c>
      <c r="F171" s="77">
        <f t="shared" si="27"/>
        <v>0.00285714285714286</v>
      </c>
      <c r="G171" s="77" t="s">
        <v>243</v>
      </c>
      <c r="H171" s="78" t="str">
        <f>INDEX(base_fish!E:E,MATCH(use_fish!B171,base_fish!A:A,0))&amp;_xlfn.IFNA("+"&amp;INDEX(activity!G:G,MATCH(use_fish!C171,activity!A:A,0)),"")</f>
        <v>活动boss+临时活动</v>
      </c>
      <c r="I171" s="77">
        <f>LOOKUP(use_fish!B171,base_fish!A:A,base_fish!F:F)+_xlfn.IFNA(INDEX(activity!F:F,MATCH(use_fish!C171,activity!A:A,0)),0)</f>
        <v>350</v>
      </c>
      <c r="J171" s="28">
        <v>1</v>
      </c>
      <c r="K171" s="28">
        <f>LOOKUP(use_fish!B171,base_fish!A:A,base_fish!G:G)</f>
        <v>0</v>
      </c>
      <c r="L171" s="28">
        <f t="shared" si="28"/>
        <v>350</v>
      </c>
      <c r="M171" s="28">
        <v>1</v>
      </c>
      <c r="N171" s="28">
        <v>1</v>
      </c>
      <c r="O171" s="28">
        <v>1</v>
      </c>
    </row>
    <row r="172" s="28" customFormat="1" spans="1:15">
      <c r="A172" s="76">
        <v>171</v>
      </c>
      <c r="B172" s="76">
        <v>61</v>
      </c>
      <c r="C172" s="76">
        <v>84</v>
      </c>
      <c r="D172" s="76"/>
      <c r="E172" s="77">
        <f>LOOKUP(use_fish!B172,base_fish!A:A,base_fish!C:C)+_xlfn.IFNA(INDEX(activity!F:F,MATCH(use_fish!C172,activity!A:A,0)),0)</f>
        <v>450</v>
      </c>
      <c r="F172" s="77">
        <f t="shared" si="27"/>
        <v>0.00222222222222222</v>
      </c>
      <c r="G172" s="77" t="s">
        <v>243</v>
      </c>
      <c r="H172" s="78" t="str">
        <f>INDEX(base_fish!E:E,MATCH(use_fish!B172,base_fish!A:A,0))&amp;_xlfn.IFNA("+"&amp;INDEX(activity!G:G,MATCH(use_fish!C172,activity!A:A,0)),"")</f>
        <v>活动boss+临时活动</v>
      </c>
      <c r="I172" s="77">
        <f>LOOKUP(use_fish!B172,base_fish!A:A,base_fish!F:F)+_xlfn.IFNA(INDEX(activity!F:F,MATCH(use_fish!C172,activity!A:A,0)),0)</f>
        <v>450</v>
      </c>
      <c r="J172" s="28">
        <v>1</v>
      </c>
      <c r="K172" s="28">
        <f>LOOKUP(use_fish!B172,base_fish!A:A,base_fish!G:G)</f>
        <v>0</v>
      </c>
      <c r="L172" s="28">
        <f t="shared" si="28"/>
        <v>450</v>
      </c>
      <c r="M172" s="28">
        <v>1</v>
      </c>
      <c r="N172" s="28">
        <v>1</v>
      </c>
      <c r="O172" s="28">
        <v>1</v>
      </c>
    </row>
    <row r="173" s="16" customFormat="1" spans="1:15">
      <c r="A173" s="23">
        <v>172</v>
      </c>
      <c r="B173" s="23">
        <v>62</v>
      </c>
      <c r="C173" s="23">
        <v>86</v>
      </c>
      <c r="D173" s="23"/>
      <c r="E173" s="64">
        <f>LOOKUP(use_fish!B173,base_fish!A:A,base_fish!C:C)+_xlfn.IFNA(INDEX(activity!F:F,MATCH(use_fish!C173,activity!A:A,0)),0)</f>
        <v>200</v>
      </c>
      <c r="F173" s="68">
        <f t="shared" si="27"/>
        <v>0.005</v>
      </c>
      <c r="G173" s="68" t="s">
        <v>243</v>
      </c>
      <c r="H173" s="69" t="str">
        <f>INDEX(base_fish!E:E,MATCH(use_fish!B173,base_fish!A:A,0))&amp;_xlfn.IFNA("+"&amp;INDEX(activity!G:G,MATCH(use_fish!C173,activity!A:A,0)),"")</f>
        <v>红包鱼+红包</v>
      </c>
      <c r="I173" s="68">
        <f>LOOKUP(use_fish!B173,base_fish!A:A,base_fish!F:F)+_xlfn.IFNA(INDEX(activity!F:F,MATCH(use_fish!C173,activity!A:A,0)),0)</f>
        <v>200</v>
      </c>
      <c r="J173" s="16">
        <v>1</v>
      </c>
      <c r="K173" s="16">
        <v>0</v>
      </c>
      <c r="L173" s="16">
        <v>200</v>
      </c>
      <c r="M173" s="16">
        <v>1</v>
      </c>
      <c r="N173" s="16">
        <v>1</v>
      </c>
      <c r="O173" s="16">
        <v>1</v>
      </c>
    </row>
    <row r="174" s="16" customFormat="1" spans="1:15">
      <c r="A174" s="23">
        <v>173</v>
      </c>
      <c r="B174" s="23">
        <v>62</v>
      </c>
      <c r="C174" s="23"/>
      <c r="D174" s="70" t="s">
        <v>255</v>
      </c>
      <c r="E174" s="64">
        <v>0</v>
      </c>
      <c r="F174" s="68">
        <v>0</v>
      </c>
      <c r="G174" s="68" t="s">
        <v>243</v>
      </c>
      <c r="H174" s="69" t="str">
        <f>INDEX(base_fish!E:E,MATCH(use_fish!B174,base_fish!A:A,0))&amp;_xlfn.IFNA("+"&amp;INDEX(activity!G:G,MATCH(use_fish!C174,activity!A:A,0)),"")</f>
        <v>红包鱼</v>
      </c>
      <c r="I174" s="68">
        <f>LOOKUP(use_fish!B174,base_fish!A:A,base_fish!F:F)+_xlfn.IFNA(INDEX(activity!F:F,MATCH(use_fish!C174,activity!A:A,0)),0)</f>
        <v>0</v>
      </c>
      <c r="J174" s="16">
        <v>1</v>
      </c>
      <c r="K174" s="16">
        <v>0</v>
      </c>
      <c r="L174" s="16">
        <f t="shared" si="28"/>
        <v>0</v>
      </c>
      <c r="M174" s="16">
        <v>1</v>
      </c>
      <c r="N174" s="16">
        <v>1</v>
      </c>
      <c r="O174" s="16">
        <v>1</v>
      </c>
    </row>
    <row r="175" s="32" customFormat="1" spans="1:15">
      <c r="A175" s="45">
        <v>174</v>
      </c>
      <c r="B175" s="45">
        <v>63</v>
      </c>
      <c r="C175" s="45"/>
      <c r="D175" s="45" t="s">
        <v>245</v>
      </c>
      <c r="E175" s="46">
        <v>126</v>
      </c>
      <c r="F175" s="46">
        <f>1/E175</f>
        <v>0.00793650793650794</v>
      </c>
      <c r="G175" s="46" t="s">
        <v>243</v>
      </c>
      <c r="H175" s="47" t="s">
        <v>256</v>
      </c>
      <c r="I175" s="46">
        <v>120</v>
      </c>
      <c r="J175" s="32">
        <v>1</v>
      </c>
      <c r="K175" s="32">
        <v>0</v>
      </c>
      <c r="L175" s="32">
        <v>120</v>
      </c>
      <c r="M175" s="32">
        <v>1</v>
      </c>
      <c r="N175" s="32">
        <v>0</v>
      </c>
      <c r="O175" s="32">
        <v>2</v>
      </c>
    </row>
    <row r="176" s="32" customFormat="1" spans="1:15">
      <c r="A176" s="45">
        <v>175</v>
      </c>
      <c r="B176" s="45">
        <v>64</v>
      </c>
      <c r="C176" s="45"/>
      <c r="D176" s="45" t="s">
        <v>257</v>
      </c>
      <c r="E176" s="46">
        <v>126</v>
      </c>
      <c r="F176" s="46">
        <f t="shared" ref="F176:F180" si="29">1/E176</f>
        <v>0.00793650793650794</v>
      </c>
      <c r="G176" s="46" t="s">
        <v>243</v>
      </c>
      <c r="H176" s="47" t="s">
        <v>258</v>
      </c>
      <c r="I176" s="46">
        <v>120</v>
      </c>
      <c r="J176" s="32">
        <v>1</v>
      </c>
      <c r="K176" s="32">
        <v>0</v>
      </c>
      <c r="L176" s="32">
        <v>120</v>
      </c>
      <c r="M176" s="32">
        <v>1</v>
      </c>
      <c r="N176" s="32">
        <v>0</v>
      </c>
      <c r="O176" s="32">
        <v>2</v>
      </c>
    </row>
    <row r="177" s="32" customFormat="1" spans="1:15">
      <c r="A177" s="45">
        <v>176</v>
      </c>
      <c r="B177" s="45">
        <v>65</v>
      </c>
      <c r="C177" s="45"/>
      <c r="D177" s="45" t="s">
        <v>259</v>
      </c>
      <c r="E177" s="46">
        <v>126</v>
      </c>
      <c r="F177" s="46">
        <f t="shared" si="29"/>
        <v>0.00793650793650794</v>
      </c>
      <c r="G177" s="46" t="s">
        <v>243</v>
      </c>
      <c r="H177" s="47" t="s">
        <v>260</v>
      </c>
      <c r="I177" s="46">
        <v>120</v>
      </c>
      <c r="J177" s="32">
        <v>1</v>
      </c>
      <c r="K177" s="32">
        <v>0</v>
      </c>
      <c r="L177" s="32">
        <v>120</v>
      </c>
      <c r="M177" s="32">
        <v>1</v>
      </c>
      <c r="N177" s="32">
        <v>0</v>
      </c>
      <c r="O177" s="32">
        <v>2</v>
      </c>
    </row>
    <row r="178" s="32" customFormat="1" spans="1:15">
      <c r="A178" s="45">
        <v>177</v>
      </c>
      <c r="B178" s="45">
        <v>66</v>
      </c>
      <c r="C178" s="45"/>
      <c r="D178" s="45" t="s">
        <v>245</v>
      </c>
      <c r="E178" s="46">
        <v>168</v>
      </c>
      <c r="F178" s="46">
        <f t="shared" si="29"/>
        <v>0.00595238095238095</v>
      </c>
      <c r="G178" s="46" t="s">
        <v>243</v>
      </c>
      <c r="H178" s="47" t="s">
        <v>261</v>
      </c>
      <c r="I178" s="46">
        <v>160</v>
      </c>
      <c r="J178" s="32">
        <v>1</v>
      </c>
      <c r="K178" s="32">
        <v>0</v>
      </c>
      <c r="L178" s="32">
        <v>160</v>
      </c>
      <c r="M178" s="32">
        <v>1</v>
      </c>
      <c r="N178" s="32">
        <v>0</v>
      </c>
      <c r="O178" s="32">
        <v>2</v>
      </c>
    </row>
    <row r="179" s="32" customFormat="1" spans="1:15">
      <c r="A179" s="45">
        <v>178</v>
      </c>
      <c r="B179" s="45">
        <v>67</v>
      </c>
      <c r="C179" s="45"/>
      <c r="D179" s="45" t="s">
        <v>257</v>
      </c>
      <c r="E179" s="46">
        <v>210</v>
      </c>
      <c r="F179" s="46">
        <f t="shared" si="29"/>
        <v>0.00476190476190476</v>
      </c>
      <c r="G179" s="46" t="s">
        <v>243</v>
      </c>
      <c r="H179" s="47" t="s">
        <v>262</v>
      </c>
      <c r="I179" s="46">
        <v>200</v>
      </c>
      <c r="J179" s="32">
        <v>1</v>
      </c>
      <c r="K179" s="32">
        <v>0</v>
      </c>
      <c r="L179" s="32">
        <v>200</v>
      </c>
      <c r="M179" s="32">
        <v>1</v>
      </c>
      <c r="N179" s="32">
        <v>0</v>
      </c>
      <c r="O179" s="32">
        <v>2</v>
      </c>
    </row>
    <row r="180" s="32" customFormat="1" spans="1:15">
      <c r="A180" s="45">
        <v>179</v>
      </c>
      <c r="B180" s="45">
        <v>68</v>
      </c>
      <c r="C180" s="45"/>
      <c r="D180" s="45" t="s">
        <v>257</v>
      </c>
      <c r="E180" s="46">
        <v>210</v>
      </c>
      <c r="F180" s="46">
        <f t="shared" si="29"/>
        <v>0.00476190476190476</v>
      </c>
      <c r="G180" s="46" t="s">
        <v>243</v>
      </c>
      <c r="H180" s="47" t="s">
        <v>263</v>
      </c>
      <c r="I180" s="46">
        <v>200</v>
      </c>
      <c r="J180" s="32">
        <v>1</v>
      </c>
      <c r="K180" s="32">
        <v>0</v>
      </c>
      <c r="L180" s="32">
        <v>200</v>
      </c>
      <c r="M180" s="32">
        <v>1</v>
      </c>
      <c r="N180" s="32">
        <v>0</v>
      </c>
      <c r="O180" s="32">
        <v>2</v>
      </c>
    </row>
    <row r="181" s="32" customFormat="1" spans="1:15">
      <c r="A181" s="45">
        <v>180</v>
      </c>
      <c r="B181" s="45">
        <v>20</v>
      </c>
      <c r="C181" s="45">
        <v>87</v>
      </c>
      <c r="D181" s="45" t="s">
        <v>244</v>
      </c>
      <c r="E181" s="46">
        <v>73</v>
      </c>
      <c r="F181" s="46">
        <v>0.0158730158730159</v>
      </c>
      <c r="G181" s="46" t="s">
        <v>243</v>
      </c>
      <c r="H181" s="69" t="str">
        <f>INDEX(base_fish!E:E,MATCH(use_fish!B181,base_fish!A:A,0))&amp;_xlfn.IFNA("+"&amp;INDEX(activity!G:G,MATCH(use_fish!C181,activity!A:A,0)),"")</f>
        <v>黄金灯笼鱼+金龙币</v>
      </c>
      <c r="I181" s="46">
        <v>60</v>
      </c>
      <c r="J181" s="32">
        <v>1</v>
      </c>
      <c r="K181" s="32">
        <v>0</v>
      </c>
      <c r="L181" s="32">
        <v>60</v>
      </c>
      <c r="M181" s="32">
        <v>1</v>
      </c>
      <c r="N181" s="32">
        <v>0</v>
      </c>
      <c r="O181" s="32">
        <v>2</v>
      </c>
    </row>
    <row r="182" s="32" customFormat="1" spans="1:15">
      <c r="A182" s="45">
        <v>181</v>
      </c>
      <c r="B182" s="45">
        <v>22</v>
      </c>
      <c r="C182" s="45">
        <v>87</v>
      </c>
      <c r="D182" s="45" t="s">
        <v>245</v>
      </c>
      <c r="E182" s="46">
        <v>73</v>
      </c>
      <c r="F182" s="46">
        <v>0.0158730158730159</v>
      </c>
      <c r="G182" s="46" t="s">
        <v>243</v>
      </c>
      <c r="H182" s="69" t="str">
        <f>INDEX(base_fish!E:E,MATCH(use_fish!B182,base_fish!A:A,0))&amp;_xlfn.IFNA("+"&amp;INDEX(activity!G:G,MATCH(use_fish!C182,activity!A:A,0)),"")</f>
        <v>黄金狮子鱼+金龙币</v>
      </c>
      <c r="I182" s="46">
        <v>60</v>
      </c>
      <c r="J182" s="32">
        <v>1</v>
      </c>
      <c r="K182" s="32">
        <v>0</v>
      </c>
      <c r="L182" s="32">
        <v>60</v>
      </c>
      <c r="M182" s="32">
        <v>1</v>
      </c>
      <c r="N182" s="32">
        <v>0</v>
      </c>
      <c r="O182" s="32">
        <v>2</v>
      </c>
    </row>
    <row r="183" s="32" customFormat="1" spans="1:15">
      <c r="A183" s="45">
        <v>182</v>
      </c>
      <c r="B183" s="45">
        <v>23</v>
      </c>
      <c r="C183" s="45">
        <v>87</v>
      </c>
      <c r="D183" s="45" t="s">
        <v>246</v>
      </c>
      <c r="E183" s="46">
        <v>73</v>
      </c>
      <c r="F183" s="46">
        <v>0.0158730158730159</v>
      </c>
      <c r="G183" s="46" t="s">
        <v>243</v>
      </c>
      <c r="H183" s="69" t="str">
        <f>INDEX(base_fish!E:E,MATCH(use_fish!B183,base_fish!A:A,0))&amp;_xlfn.IFNA("+"&amp;INDEX(activity!G:G,MATCH(use_fish!C183,activity!A:A,0)),"")</f>
        <v>黄金海龟+金龙币</v>
      </c>
      <c r="I183" s="46">
        <v>60</v>
      </c>
      <c r="J183" s="32">
        <v>1</v>
      </c>
      <c r="K183" s="32">
        <v>0</v>
      </c>
      <c r="L183" s="32">
        <v>60</v>
      </c>
      <c r="M183" s="32">
        <v>1</v>
      </c>
      <c r="N183" s="32">
        <v>0</v>
      </c>
      <c r="O183" s="32">
        <v>2</v>
      </c>
    </row>
    <row r="184" s="32" customFormat="1" spans="1:15">
      <c r="A184" s="45">
        <v>183</v>
      </c>
      <c r="B184" s="45">
        <v>25</v>
      </c>
      <c r="C184" s="45">
        <v>87</v>
      </c>
      <c r="D184" s="45" t="s">
        <v>244</v>
      </c>
      <c r="E184" s="46">
        <v>74</v>
      </c>
      <c r="F184" s="46">
        <v>0.0119047619047619</v>
      </c>
      <c r="G184" s="46" t="s">
        <v>243</v>
      </c>
      <c r="H184" s="69" t="str">
        <f>INDEX(base_fish!E:E,MATCH(use_fish!B184,base_fish!A:A,0))&amp;_xlfn.IFNA("+"&amp;INDEX(activity!G:G,MATCH(use_fish!C184,activity!A:A,0)),"")</f>
        <v>金蟾+金龙币</v>
      </c>
      <c r="I184" s="46">
        <v>80</v>
      </c>
      <c r="J184" s="32">
        <v>1</v>
      </c>
      <c r="K184" s="32">
        <v>0</v>
      </c>
      <c r="L184" s="32">
        <v>80</v>
      </c>
      <c r="M184" s="32">
        <v>1</v>
      </c>
      <c r="N184" s="32">
        <v>0</v>
      </c>
      <c r="O184" s="32">
        <v>2</v>
      </c>
    </row>
    <row r="185" s="32" customFormat="1" spans="1:15">
      <c r="A185" s="45">
        <v>184</v>
      </c>
      <c r="B185" s="45">
        <v>26</v>
      </c>
      <c r="C185" s="45">
        <v>87</v>
      </c>
      <c r="D185" s="45" t="s">
        <v>244</v>
      </c>
      <c r="E185" s="46">
        <v>115</v>
      </c>
      <c r="F185" s="46">
        <v>0.00952380952380952</v>
      </c>
      <c r="G185" s="46" t="s">
        <v>243</v>
      </c>
      <c r="H185" s="69" t="str">
        <f>INDEX(base_fish!E:E,MATCH(use_fish!B185,base_fish!A:A,0))&amp;_xlfn.IFNA("+"&amp;INDEX(activity!G:G,MATCH(use_fish!C185,activity!A:A,0)),"")</f>
        <v>大金鲨+金龙币</v>
      </c>
      <c r="I185" s="46">
        <v>100</v>
      </c>
      <c r="J185" s="32">
        <v>1</v>
      </c>
      <c r="K185" s="32">
        <v>0</v>
      </c>
      <c r="L185" s="32">
        <v>100</v>
      </c>
      <c r="M185" s="32">
        <v>1</v>
      </c>
      <c r="N185" s="32">
        <v>0</v>
      </c>
      <c r="O185" s="32">
        <v>2</v>
      </c>
    </row>
    <row r="186" s="32" customFormat="1" spans="1:15">
      <c r="A186" s="45">
        <v>185</v>
      </c>
      <c r="B186" s="45">
        <v>27</v>
      </c>
      <c r="C186" s="45">
        <v>87</v>
      </c>
      <c r="D186" s="45" t="s">
        <v>245</v>
      </c>
      <c r="E186" s="46">
        <v>115</v>
      </c>
      <c r="F186" s="46">
        <v>0.00952380952380952</v>
      </c>
      <c r="G186" s="46" t="s">
        <v>243</v>
      </c>
      <c r="H186" s="69" t="str">
        <f>INDEX(base_fish!E:E,MATCH(use_fish!B186,base_fish!A:A,0))&amp;_xlfn.IFNA("+"&amp;INDEX(activity!G:G,MATCH(use_fish!C186,activity!A:A,0)),"")</f>
        <v>黄金锤头鲨+金龙币</v>
      </c>
      <c r="I186" s="46">
        <v>100</v>
      </c>
      <c r="J186" s="32">
        <v>1</v>
      </c>
      <c r="K186" s="32">
        <v>0</v>
      </c>
      <c r="L186" s="32">
        <v>100</v>
      </c>
      <c r="M186" s="32">
        <v>1</v>
      </c>
      <c r="N186" s="32">
        <v>0</v>
      </c>
      <c r="O186" s="32">
        <v>2</v>
      </c>
    </row>
    <row r="187" spans="1:15">
      <c r="A187" s="45">
        <v>186</v>
      </c>
      <c r="B187" s="2">
        <v>61</v>
      </c>
      <c r="C187" s="2">
        <v>88</v>
      </c>
      <c r="D187" s="79" t="s">
        <v>264</v>
      </c>
      <c r="E187" s="77">
        <v>350</v>
      </c>
      <c r="F187">
        <f>1/E187</f>
        <v>0.00285714285714286</v>
      </c>
      <c r="G187" s="46" t="s">
        <v>243</v>
      </c>
      <c r="H187" s="69" t="str">
        <f>INDEX(base_fish!E:E,MATCH(use_fish!B187,base_fish!A:A,0))&amp;_xlfn.IFNA("+"&amp;INDEX(activity!G:G,MATCH(use_fish!C187,activity!A:A,0)),"")</f>
        <v>活动boss+临时活动</v>
      </c>
      <c r="I187">
        <v>300</v>
      </c>
      <c r="J187">
        <v>1</v>
      </c>
      <c r="K187">
        <v>1</v>
      </c>
      <c r="L187">
        <v>300</v>
      </c>
      <c r="M187" s="32">
        <v>1</v>
      </c>
      <c r="N187" s="32">
        <v>1</v>
      </c>
      <c r="O187">
        <v>1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K90"/>
  <sheetViews>
    <sheetView tabSelected="1" zoomScale="115" zoomScaleNormal="115" workbookViewId="0">
      <pane ySplit="1" topLeftCell="A67" activePane="bottomLeft" state="frozen"/>
      <selection/>
      <selection pane="bottomLeft" activeCell="C94" sqref="C94"/>
    </sheetView>
  </sheetViews>
  <sheetFormatPr defaultColWidth="8.625" defaultRowHeight="14.25"/>
  <cols>
    <col min="2" max="2" width="13" customWidth="1"/>
    <col min="3" max="3" width="60.875" customWidth="1"/>
    <col min="4" max="5" width="16.125" style="2" customWidth="1"/>
    <col min="6" max="7" width="15.125" customWidth="1"/>
    <col min="9" max="9" width="41" customWidth="1"/>
    <col min="11" max="11" width="12.125" customWidth="1"/>
  </cols>
  <sheetData>
    <row r="1" s="1" customFormat="1" ht="48.75" customHeight="1" spans="1:11">
      <c r="A1" s="1" t="s">
        <v>265</v>
      </c>
      <c r="B1" s="1" t="s">
        <v>266</v>
      </c>
      <c r="C1" s="1" t="s">
        <v>267</v>
      </c>
      <c r="D1" s="1" t="s">
        <v>268</v>
      </c>
      <c r="E1" s="1" t="s">
        <v>269</v>
      </c>
      <c r="F1" s="1" t="s">
        <v>270</v>
      </c>
      <c r="G1" s="1" t="s">
        <v>271</v>
      </c>
      <c r="H1" s="1" t="s">
        <v>272</v>
      </c>
      <c r="I1" s="1" t="s">
        <v>272</v>
      </c>
      <c r="K1" s="1" t="s">
        <v>273</v>
      </c>
    </row>
    <row r="2" spans="1:11">
      <c r="A2">
        <v>1</v>
      </c>
      <c r="B2">
        <v>1</v>
      </c>
      <c r="C2" t="s">
        <v>106</v>
      </c>
      <c r="D2" s="3">
        <v>0</v>
      </c>
      <c r="E2" s="3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274</v>
      </c>
      <c r="K2" t="s">
        <v>275</v>
      </c>
    </row>
    <row r="3" spans="1:11">
      <c r="A3">
        <v>2</v>
      </c>
      <c r="B3">
        <v>2</v>
      </c>
      <c r="C3" t="s">
        <v>276</v>
      </c>
      <c r="D3" s="3">
        <v>0</v>
      </c>
      <c r="E3" s="3">
        <v>0</v>
      </c>
      <c r="F3">
        <v>63</v>
      </c>
      <c r="G3" t="str">
        <f t="shared" si="0"/>
        <v>威力提升</v>
      </c>
      <c r="H3">
        <v>2</v>
      </c>
      <c r="I3" t="s">
        <v>277</v>
      </c>
      <c r="K3" s="22">
        <v>0.1</v>
      </c>
    </row>
    <row r="4" spans="1:9">
      <c r="A4">
        <v>3</v>
      </c>
      <c r="B4">
        <v>3</v>
      </c>
      <c r="C4" t="s">
        <v>276</v>
      </c>
      <c r="D4" s="3">
        <v>0</v>
      </c>
      <c r="E4" s="3">
        <v>0</v>
      </c>
      <c r="F4">
        <v>63</v>
      </c>
      <c r="G4" t="str">
        <f t="shared" si="0"/>
        <v>暴击时刻</v>
      </c>
      <c r="H4">
        <v>3</v>
      </c>
      <c r="I4" t="s">
        <v>278</v>
      </c>
    </row>
    <row r="5" spans="1:9">
      <c r="A5">
        <v>4</v>
      </c>
      <c r="B5">
        <v>4</v>
      </c>
      <c r="C5" t="s">
        <v>68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279</v>
      </c>
    </row>
    <row r="6" spans="1:9">
      <c r="A6">
        <v>5</v>
      </c>
      <c r="B6">
        <v>5</v>
      </c>
      <c r="C6" t="s">
        <v>280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281</v>
      </c>
    </row>
    <row r="7" spans="1:9">
      <c r="A7">
        <v>6</v>
      </c>
      <c r="B7">
        <v>4</v>
      </c>
      <c r="C7" t="s">
        <v>68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282</v>
      </c>
    </row>
    <row r="8" spans="1:9">
      <c r="A8">
        <v>7</v>
      </c>
      <c r="B8">
        <v>1</v>
      </c>
      <c r="C8" t="s">
        <v>280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283</v>
      </c>
    </row>
    <row r="9" spans="1:9">
      <c r="A9">
        <v>8</v>
      </c>
      <c r="B9">
        <v>4</v>
      </c>
      <c r="C9" t="s">
        <v>123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284</v>
      </c>
    </row>
    <row r="10" spans="1:9">
      <c r="A10">
        <v>9</v>
      </c>
      <c r="B10">
        <v>5</v>
      </c>
      <c r="C10" t="s">
        <v>106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27</v>
      </c>
    </row>
    <row r="11" spans="1:9">
      <c r="A11">
        <v>10</v>
      </c>
      <c r="B11">
        <v>5</v>
      </c>
      <c r="C11" t="s">
        <v>143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285</v>
      </c>
    </row>
    <row r="12" spans="1:9">
      <c r="A12">
        <v>11</v>
      </c>
      <c r="B12">
        <v>7</v>
      </c>
      <c r="C12" t="s">
        <v>23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286</v>
      </c>
    </row>
    <row r="13" spans="1:9">
      <c r="A13">
        <v>12</v>
      </c>
      <c r="B13">
        <v>7</v>
      </c>
      <c r="C13" t="s">
        <v>23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287</v>
      </c>
    </row>
    <row r="14" spans="1:9">
      <c r="A14">
        <v>13</v>
      </c>
      <c r="B14">
        <v>8</v>
      </c>
      <c r="C14" t="s">
        <v>23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288</v>
      </c>
    </row>
    <row r="15" spans="1:9">
      <c r="A15">
        <v>14</v>
      </c>
      <c r="B15">
        <v>8</v>
      </c>
      <c r="C15" t="s">
        <v>23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289</v>
      </c>
    </row>
    <row r="16" spans="1:9">
      <c r="A16">
        <v>15</v>
      </c>
      <c r="B16">
        <v>9</v>
      </c>
      <c r="C16" t="s">
        <v>290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291</v>
      </c>
    </row>
    <row r="17" spans="1:9">
      <c r="A17">
        <v>16</v>
      </c>
      <c r="B17">
        <v>9</v>
      </c>
      <c r="C17" t="s">
        <v>290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292</v>
      </c>
    </row>
    <row r="18" spans="1:9">
      <c r="A18">
        <v>17</v>
      </c>
      <c r="B18">
        <v>10</v>
      </c>
      <c r="C18" s="107" t="s">
        <v>293</v>
      </c>
      <c r="D18" s="4">
        <v>0</v>
      </c>
      <c r="E18" s="4">
        <v>0</v>
      </c>
      <c r="F18">
        <v>150</v>
      </c>
      <c r="G18" t="s">
        <v>294</v>
      </c>
      <c r="H18">
        <v>22</v>
      </c>
      <c r="I18" t="s">
        <v>295</v>
      </c>
    </row>
    <row r="19" spans="1:9">
      <c r="A19">
        <v>18</v>
      </c>
      <c r="B19">
        <v>18</v>
      </c>
      <c r="C19" t="s">
        <v>296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297</v>
      </c>
    </row>
    <row r="20" spans="1:9">
      <c r="A20">
        <v>19</v>
      </c>
      <c r="B20">
        <v>17</v>
      </c>
      <c r="C20" s="18" t="s">
        <v>298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299</v>
      </c>
    </row>
    <row r="21" spans="1:9">
      <c r="A21">
        <v>20</v>
      </c>
      <c r="B21">
        <v>19</v>
      </c>
      <c r="C21" t="s">
        <v>23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300</v>
      </c>
    </row>
    <row r="22" spans="1:9">
      <c r="A22">
        <v>21</v>
      </c>
      <c r="B22">
        <v>20</v>
      </c>
      <c r="C22" s="18" t="s">
        <v>301</v>
      </c>
      <c r="D22" s="4">
        <v>0</v>
      </c>
      <c r="E22" s="4">
        <v>0</v>
      </c>
      <c r="F22">
        <v>50</v>
      </c>
      <c r="G22" t="s">
        <v>302</v>
      </c>
      <c r="H22">
        <v>26</v>
      </c>
      <c r="I22" t="s">
        <v>303</v>
      </c>
    </row>
    <row r="23" spans="1:9">
      <c r="A23">
        <v>22</v>
      </c>
      <c r="B23">
        <v>20</v>
      </c>
      <c r="C23" s="18" t="s">
        <v>304</v>
      </c>
      <c r="D23" s="4">
        <v>0</v>
      </c>
      <c r="E23" s="4">
        <v>0</v>
      </c>
      <c r="F23">
        <v>150</v>
      </c>
      <c r="G23" t="s">
        <v>305</v>
      </c>
      <c r="H23">
        <v>27</v>
      </c>
      <c r="I23" t="s">
        <v>306</v>
      </c>
    </row>
    <row r="24" spans="1:9">
      <c r="A24">
        <v>23</v>
      </c>
      <c r="B24">
        <v>20</v>
      </c>
      <c r="C24" s="18" t="s">
        <v>307</v>
      </c>
      <c r="D24" s="4">
        <v>0</v>
      </c>
      <c r="E24" s="4">
        <v>0</v>
      </c>
      <c r="F24">
        <v>250</v>
      </c>
      <c r="G24" t="s">
        <v>308</v>
      </c>
      <c r="H24">
        <v>28</v>
      </c>
      <c r="I24" t="s">
        <v>309</v>
      </c>
    </row>
    <row r="25" spans="1:9">
      <c r="A25">
        <v>24</v>
      </c>
      <c r="B25">
        <v>20</v>
      </c>
      <c r="C25" s="18" t="s">
        <v>310</v>
      </c>
      <c r="D25" s="4">
        <v>0</v>
      </c>
      <c r="E25" s="4">
        <v>0</v>
      </c>
      <c r="F25">
        <v>450</v>
      </c>
      <c r="G25" t="s">
        <v>311</v>
      </c>
      <c r="H25">
        <v>29</v>
      </c>
      <c r="I25" t="s">
        <v>312</v>
      </c>
    </row>
    <row r="26" spans="1:9">
      <c r="A26">
        <v>25</v>
      </c>
      <c r="B26">
        <v>21</v>
      </c>
      <c r="C26" s="18" t="s">
        <v>313</v>
      </c>
      <c r="D26" s="4">
        <v>0</v>
      </c>
      <c r="E26" s="4">
        <v>1</v>
      </c>
      <c r="F26">
        <v>5</v>
      </c>
      <c r="G26" t="s">
        <v>314</v>
      </c>
      <c r="H26">
        <v>30</v>
      </c>
      <c r="I26" t="s">
        <v>315</v>
      </c>
    </row>
    <row r="27" spans="1:9">
      <c r="A27">
        <v>26</v>
      </c>
      <c r="B27">
        <v>21</v>
      </c>
      <c r="C27" s="18" t="s">
        <v>316</v>
      </c>
      <c r="D27" s="4">
        <v>0</v>
      </c>
      <c r="E27" s="4">
        <v>1</v>
      </c>
      <c r="F27">
        <v>2</v>
      </c>
      <c r="G27" t="s">
        <v>317</v>
      </c>
      <c r="H27">
        <v>31</v>
      </c>
      <c r="I27" t="s">
        <v>318</v>
      </c>
    </row>
    <row r="28" spans="1:9">
      <c r="A28">
        <v>27</v>
      </c>
      <c r="B28">
        <v>21</v>
      </c>
      <c r="C28" s="18" t="s">
        <v>319</v>
      </c>
      <c r="D28" s="4">
        <v>0</v>
      </c>
      <c r="E28" s="4">
        <v>1</v>
      </c>
      <c r="F28">
        <v>6</v>
      </c>
      <c r="G28" t="s">
        <v>320</v>
      </c>
      <c r="H28">
        <v>32</v>
      </c>
      <c r="I28" t="s">
        <v>321</v>
      </c>
    </row>
    <row r="29" spans="1:9">
      <c r="A29">
        <v>28</v>
      </c>
      <c r="B29">
        <v>22</v>
      </c>
      <c r="C29" s="18" t="s">
        <v>322</v>
      </c>
      <c r="D29" s="4">
        <v>0</v>
      </c>
      <c r="E29" s="4">
        <v>0</v>
      </c>
      <c r="F29">
        <v>100</v>
      </c>
      <c r="G29" t="s">
        <v>323</v>
      </c>
      <c r="H29">
        <v>33</v>
      </c>
      <c r="I29" t="s">
        <v>324</v>
      </c>
    </row>
    <row r="30" spans="1:9">
      <c r="A30">
        <v>29</v>
      </c>
      <c r="B30">
        <v>23</v>
      </c>
      <c r="C30" t="s">
        <v>325</v>
      </c>
      <c r="D30" s="3">
        <v>0</v>
      </c>
      <c r="E30" s="3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326</v>
      </c>
    </row>
    <row r="31" spans="1:9">
      <c r="A31">
        <v>30</v>
      </c>
      <c r="B31">
        <v>24</v>
      </c>
      <c r="C31" s="18" t="s">
        <v>327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328</v>
      </c>
    </row>
    <row r="32" spans="1:9">
      <c r="A32">
        <v>31</v>
      </c>
      <c r="B32">
        <v>25</v>
      </c>
      <c r="C32" t="s">
        <v>329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330</v>
      </c>
    </row>
    <row r="33" spans="1:9">
      <c r="A33">
        <v>32</v>
      </c>
      <c r="B33">
        <v>28</v>
      </c>
      <c r="C33" s="18" t="s">
        <v>329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331</v>
      </c>
    </row>
    <row r="34" spans="1:9">
      <c r="A34">
        <v>33</v>
      </c>
      <c r="B34">
        <v>29</v>
      </c>
      <c r="C34" t="s">
        <v>332</v>
      </c>
      <c r="D34" s="4">
        <v>0</v>
      </c>
      <c r="E34" s="4">
        <v>0</v>
      </c>
      <c r="F34">
        <v>300</v>
      </c>
      <c r="G34" t="s">
        <v>312</v>
      </c>
      <c r="H34">
        <v>42</v>
      </c>
      <c r="I34" t="s">
        <v>333</v>
      </c>
    </row>
    <row r="35" spans="1:9">
      <c r="A35">
        <v>34</v>
      </c>
      <c r="B35">
        <v>30</v>
      </c>
      <c r="C35" s="18" t="s">
        <v>193</v>
      </c>
      <c r="D35" s="4">
        <v>0</v>
      </c>
      <c r="E35" s="4">
        <v>0</v>
      </c>
      <c r="F35">
        <v>150</v>
      </c>
      <c r="G35" t="s">
        <v>315</v>
      </c>
      <c r="H35">
        <v>43</v>
      </c>
      <c r="I35" t="s">
        <v>334</v>
      </c>
    </row>
    <row r="36" spans="1:9">
      <c r="A36">
        <v>35</v>
      </c>
      <c r="B36">
        <v>31</v>
      </c>
      <c r="C36" t="s">
        <v>335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336</v>
      </c>
    </row>
    <row r="37" spans="1:9">
      <c r="A37">
        <v>36</v>
      </c>
      <c r="B37">
        <v>32</v>
      </c>
      <c r="C37" s="18" t="s">
        <v>337</v>
      </c>
      <c r="D37" s="4">
        <v>0</v>
      </c>
      <c r="E37" s="4">
        <v>0</v>
      </c>
      <c r="F37">
        <v>300</v>
      </c>
      <c r="G37" t="s">
        <v>321</v>
      </c>
      <c r="H37">
        <v>45</v>
      </c>
      <c r="I37" t="s">
        <v>338</v>
      </c>
    </row>
    <row r="38" spans="1:9">
      <c r="A38">
        <v>37</v>
      </c>
      <c r="B38">
        <v>33</v>
      </c>
      <c r="C38" t="s">
        <v>56</v>
      </c>
      <c r="D38" s="4">
        <v>0</v>
      </c>
      <c r="E38" s="4">
        <v>0</v>
      </c>
      <c r="F38">
        <v>200</v>
      </c>
      <c r="G38" t="s">
        <v>324</v>
      </c>
      <c r="H38">
        <v>46</v>
      </c>
      <c r="I38" t="s">
        <v>339</v>
      </c>
    </row>
    <row r="39" spans="1:9">
      <c r="A39">
        <v>38</v>
      </c>
      <c r="B39">
        <v>38</v>
      </c>
      <c r="C39" t="s">
        <v>340</v>
      </c>
      <c r="D39" s="4">
        <v>0</v>
      </c>
      <c r="E39" s="4">
        <v>0</v>
      </c>
      <c r="F39">
        <v>250</v>
      </c>
      <c r="G39" t="s">
        <v>341</v>
      </c>
      <c r="H39">
        <v>47</v>
      </c>
      <c r="I39" t="s">
        <v>342</v>
      </c>
    </row>
    <row r="40" spans="1:7">
      <c r="A40">
        <v>39</v>
      </c>
      <c r="B40">
        <v>39</v>
      </c>
      <c r="C40" t="s">
        <v>340</v>
      </c>
      <c r="D40" s="4">
        <v>0</v>
      </c>
      <c r="E40" s="4">
        <v>0</v>
      </c>
      <c r="F40">
        <v>250</v>
      </c>
      <c r="G40" t="s">
        <v>328</v>
      </c>
    </row>
    <row r="41" spans="1:7">
      <c r="A41">
        <v>40</v>
      </c>
      <c r="B41">
        <v>21</v>
      </c>
      <c r="C41" s="18" t="s">
        <v>343</v>
      </c>
      <c r="D41" s="4">
        <v>0</v>
      </c>
      <c r="E41" s="4">
        <v>1</v>
      </c>
      <c r="F41">
        <v>2</v>
      </c>
      <c r="G41" t="s">
        <v>344</v>
      </c>
    </row>
    <row r="42" spans="1:7">
      <c r="A42">
        <v>41</v>
      </c>
      <c r="B42">
        <v>21</v>
      </c>
      <c r="C42" s="18" t="s">
        <v>345</v>
      </c>
      <c r="D42" s="4">
        <v>0</v>
      </c>
      <c r="E42" s="4">
        <v>1</v>
      </c>
      <c r="F42">
        <v>2</v>
      </c>
      <c r="G42" t="s">
        <v>346</v>
      </c>
    </row>
    <row r="43" spans="1:7">
      <c r="A43">
        <v>42</v>
      </c>
      <c r="B43">
        <v>4</v>
      </c>
      <c r="C43" s="19">
        <v>30</v>
      </c>
      <c r="D43" s="4">
        <v>0</v>
      </c>
      <c r="E43" s="4">
        <v>0</v>
      </c>
      <c r="F43">
        <v>30</v>
      </c>
      <c r="G43" t="s">
        <v>279</v>
      </c>
    </row>
    <row r="44" spans="1:7">
      <c r="A44">
        <v>43</v>
      </c>
      <c r="B44">
        <v>5</v>
      </c>
      <c r="C44" s="19">
        <v>50</v>
      </c>
      <c r="D44" s="4">
        <v>0</v>
      </c>
      <c r="E44" s="4">
        <v>0</v>
      </c>
      <c r="F44">
        <v>50</v>
      </c>
      <c r="G44" t="s">
        <v>281</v>
      </c>
    </row>
    <row r="45" s="14" customFormat="1" spans="1:7">
      <c r="A45" s="14">
        <v>44</v>
      </c>
      <c r="B45" s="14">
        <v>9</v>
      </c>
      <c r="C45" s="14" t="s">
        <v>347</v>
      </c>
      <c r="D45" s="4" t="s">
        <v>348</v>
      </c>
      <c r="E45" s="4">
        <v>1</v>
      </c>
      <c r="F45" s="14">
        <v>200</v>
      </c>
      <c r="G45" s="14" t="s">
        <v>27</v>
      </c>
    </row>
    <row r="46" s="14" customFormat="1" spans="1:7">
      <c r="A46" s="14">
        <v>45</v>
      </c>
      <c r="B46" s="14">
        <v>9</v>
      </c>
      <c r="C46" s="14" t="s">
        <v>349</v>
      </c>
      <c r="D46" s="4">
        <v>1</v>
      </c>
      <c r="E46" s="4">
        <v>1</v>
      </c>
      <c r="F46" s="14">
        <v>60</v>
      </c>
      <c r="G46" s="14" t="s">
        <v>27</v>
      </c>
    </row>
    <row r="47" s="14" customFormat="1" spans="1:7">
      <c r="A47" s="14">
        <v>46</v>
      </c>
      <c r="B47" s="14">
        <v>9</v>
      </c>
      <c r="C47" s="14" t="s">
        <v>350</v>
      </c>
      <c r="D47" s="4">
        <v>1</v>
      </c>
      <c r="E47" s="4">
        <v>1</v>
      </c>
      <c r="F47" s="14">
        <v>40</v>
      </c>
      <c r="G47" s="14" t="s">
        <v>27</v>
      </c>
    </row>
    <row r="48" s="14" customFormat="1" spans="1:7">
      <c r="A48" s="14">
        <v>47</v>
      </c>
      <c r="B48" s="14">
        <v>9</v>
      </c>
      <c r="C48" s="14" t="s">
        <v>351</v>
      </c>
      <c r="D48" s="4">
        <v>1</v>
      </c>
      <c r="E48" s="4">
        <v>1</v>
      </c>
      <c r="F48" s="14">
        <v>30</v>
      </c>
      <c r="G48" s="14" t="s">
        <v>27</v>
      </c>
    </row>
    <row r="49" s="14" customFormat="1" spans="1:7">
      <c r="A49" s="14">
        <v>48</v>
      </c>
      <c r="B49" s="14">
        <v>9</v>
      </c>
      <c r="C49" s="14" t="s">
        <v>352</v>
      </c>
      <c r="D49" s="4">
        <v>1</v>
      </c>
      <c r="E49" s="4">
        <v>1</v>
      </c>
      <c r="F49" s="14">
        <v>20</v>
      </c>
      <c r="G49" s="14" t="s">
        <v>27</v>
      </c>
    </row>
    <row r="50" spans="1:7">
      <c r="A50" s="14">
        <v>49</v>
      </c>
      <c r="B50" s="14">
        <v>9</v>
      </c>
      <c r="C50" s="14" t="s">
        <v>353</v>
      </c>
      <c r="D50" s="4">
        <v>0</v>
      </c>
      <c r="E50" s="4">
        <v>1</v>
      </c>
      <c r="F50" s="14">
        <v>75</v>
      </c>
      <c r="G50" s="14" t="s">
        <v>27</v>
      </c>
    </row>
    <row r="51" spans="1:7">
      <c r="A51" s="14">
        <v>50</v>
      </c>
      <c r="B51" s="14">
        <v>9</v>
      </c>
      <c r="C51" s="14" t="s">
        <v>354</v>
      </c>
      <c r="D51" s="4">
        <v>0</v>
      </c>
      <c r="E51" s="4">
        <v>1</v>
      </c>
      <c r="F51" s="14">
        <v>150</v>
      </c>
      <c r="G51" s="14" t="s">
        <v>27</v>
      </c>
    </row>
    <row r="52" spans="1:7">
      <c r="A52" s="14">
        <v>51</v>
      </c>
      <c r="B52" s="14">
        <v>9</v>
      </c>
      <c r="C52" s="14" t="s">
        <v>355</v>
      </c>
      <c r="D52" s="4">
        <v>0</v>
      </c>
      <c r="E52" s="4">
        <v>1</v>
      </c>
      <c r="F52" s="14">
        <v>250</v>
      </c>
      <c r="G52" s="14" t="s">
        <v>27</v>
      </c>
    </row>
    <row r="53" spans="1:7">
      <c r="A53" s="14">
        <v>52</v>
      </c>
      <c r="B53" s="14">
        <v>9</v>
      </c>
      <c r="C53" s="14" t="s">
        <v>349</v>
      </c>
      <c r="D53" s="4">
        <v>1</v>
      </c>
      <c r="E53" s="4">
        <v>1</v>
      </c>
      <c r="F53" s="14">
        <v>60</v>
      </c>
      <c r="G53" s="14" t="s">
        <v>27</v>
      </c>
    </row>
    <row r="54" spans="1:7">
      <c r="A54" s="14">
        <v>53</v>
      </c>
      <c r="B54" s="14">
        <v>9</v>
      </c>
      <c r="C54" s="14" t="s">
        <v>350</v>
      </c>
      <c r="D54" s="4">
        <v>1</v>
      </c>
      <c r="E54" s="4">
        <v>1</v>
      </c>
      <c r="F54" s="14">
        <v>40</v>
      </c>
      <c r="G54" s="14" t="s">
        <v>27</v>
      </c>
    </row>
    <row r="55" spans="1:7">
      <c r="A55" s="14">
        <v>54</v>
      </c>
      <c r="B55" s="14">
        <v>9</v>
      </c>
      <c r="C55" s="14" t="s">
        <v>351</v>
      </c>
      <c r="D55" s="4">
        <v>1</v>
      </c>
      <c r="E55" s="4">
        <v>1</v>
      </c>
      <c r="F55" s="14">
        <v>30</v>
      </c>
      <c r="G55" s="14" t="s">
        <v>27</v>
      </c>
    </row>
    <row r="56" spans="1:7">
      <c r="A56" s="14">
        <v>55</v>
      </c>
      <c r="B56" s="14">
        <v>9</v>
      </c>
      <c r="C56" s="14" t="s">
        <v>352</v>
      </c>
      <c r="D56" s="4">
        <v>1</v>
      </c>
      <c r="E56" s="4">
        <v>1</v>
      </c>
      <c r="F56" s="14">
        <v>20</v>
      </c>
      <c r="G56" s="14" t="s">
        <v>27</v>
      </c>
    </row>
    <row r="57" spans="1:7">
      <c r="A57" s="20">
        <v>56</v>
      </c>
      <c r="B57" s="20">
        <v>9</v>
      </c>
      <c r="C57" s="20" t="s">
        <v>356</v>
      </c>
      <c r="D57" s="21">
        <v>0</v>
      </c>
      <c r="E57" s="21">
        <v>1</v>
      </c>
      <c r="F57" s="20">
        <v>75</v>
      </c>
      <c r="G57" s="20" t="s">
        <v>27</v>
      </c>
    </row>
    <row r="58" spans="1:7">
      <c r="A58" s="20">
        <v>57</v>
      </c>
      <c r="B58" s="20">
        <v>9</v>
      </c>
      <c r="C58" s="20" t="s">
        <v>357</v>
      </c>
      <c r="D58" s="21">
        <v>0</v>
      </c>
      <c r="E58" s="21">
        <v>1</v>
      </c>
      <c r="F58" s="20">
        <v>150</v>
      </c>
      <c r="G58" s="20" t="s">
        <v>27</v>
      </c>
    </row>
    <row r="59" spans="1:7">
      <c r="A59" s="20">
        <v>58</v>
      </c>
      <c r="B59" s="20">
        <v>9</v>
      </c>
      <c r="C59" s="20" t="s">
        <v>358</v>
      </c>
      <c r="D59" s="21">
        <v>0</v>
      </c>
      <c r="E59" s="21">
        <v>1</v>
      </c>
      <c r="F59" s="20">
        <v>250</v>
      </c>
      <c r="G59" s="20" t="s">
        <v>27</v>
      </c>
    </row>
    <row r="60" spans="1:7">
      <c r="A60" s="20">
        <v>59</v>
      </c>
      <c r="B60" s="20">
        <v>9</v>
      </c>
      <c r="C60" s="20" t="s">
        <v>359</v>
      </c>
      <c r="D60" s="21">
        <v>1</v>
      </c>
      <c r="E60" s="21">
        <v>1</v>
      </c>
      <c r="F60" s="20">
        <v>10</v>
      </c>
      <c r="G60" s="20" t="s">
        <v>27</v>
      </c>
    </row>
    <row r="61" spans="1:7">
      <c r="A61">
        <v>60</v>
      </c>
      <c r="B61">
        <v>40</v>
      </c>
      <c r="C61" s="18" t="s">
        <v>360</v>
      </c>
      <c r="D61" s="4">
        <v>0</v>
      </c>
      <c r="E61" s="4">
        <v>1</v>
      </c>
      <c r="F61">
        <v>1000000</v>
      </c>
      <c r="G61" t="s">
        <v>361</v>
      </c>
    </row>
    <row r="62" spans="1:7">
      <c r="A62">
        <v>61</v>
      </c>
      <c r="B62">
        <v>41</v>
      </c>
      <c r="C62" s="18" t="s">
        <v>362</v>
      </c>
      <c r="D62" s="4">
        <v>0</v>
      </c>
      <c r="E62" s="4">
        <v>1</v>
      </c>
      <c r="F62">
        <v>5000000</v>
      </c>
      <c r="G62" t="s">
        <v>363</v>
      </c>
    </row>
    <row r="63" spans="1:7">
      <c r="A63">
        <v>62</v>
      </c>
      <c r="B63">
        <v>42</v>
      </c>
      <c r="C63" s="18" t="s">
        <v>364</v>
      </c>
      <c r="D63" s="4">
        <v>0</v>
      </c>
      <c r="E63" s="4">
        <v>1</v>
      </c>
      <c r="F63">
        <v>10000000</v>
      </c>
      <c r="G63" t="s">
        <v>365</v>
      </c>
    </row>
    <row r="64" spans="1:7">
      <c r="A64">
        <v>63</v>
      </c>
      <c r="B64">
        <v>46</v>
      </c>
      <c r="C64" s="18" t="s">
        <v>366</v>
      </c>
      <c r="D64" s="4">
        <v>0</v>
      </c>
      <c r="E64" s="4">
        <v>1</v>
      </c>
      <c r="F64">
        <v>50000000</v>
      </c>
      <c r="G64" t="s">
        <v>367</v>
      </c>
    </row>
    <row r="65" spans="1:7">
      <c r="A65">
        <v>64</v>
      </c>
      <c r="B65">
        <v>47</v>
      </c>
      <c r="C65" s="18" t="s">
        <v>368</v>
      </c>
      <c r="D65" s="4">
        <v>0</v>
      </c>
      <c r="E65" s="4">
        <v>1</v>
      </c>
      <c r="F65">
        <v>100000000</v>
      </c>
      <c r="G65" t="s">
        <v>369</v>
      </c>
    </row>
    <row r="66" s="15" customFormat="1" spans="1:7">
      <c r="A66" s="15">
        <v>65</v>
      </c>
      <c r="B66" s="20">
        <v>9</v>
      </c>
      <c r="C66" s="20" t="s">
        <v>370</v>
      </c>
      <c r="D66" s="21">
        <v>0</v>
      </c>
      <c r="E66" s="21">
        <v>1</v>
      </c>
      <c r="F66" s="20">
        <v>75</v>
      </c>
      <c r="G66" s="20" t="s">
        <v>27</v>
      </c>
    </row>
    <row r="67" spans="1:7">
      <c r="A67">
        <v>66</v>
      </c>
      <c r="B67" s="20">
        <v>9</v>
      </c>
      <c r="C67" s="20" t="s">
        <v>371</v>
      </c>
      <c r="D67" s="21">
        <v>0</v>
      </c>
      <c r="E67" s="21">
        <v>1</v>
      </c>
      <c r="F67" s="20">
        <v>150</v>
      </c>
      <c r="G67" s="20" t="s">
        <v>27</v>
      </c>
    </row>
    <row r="68" spans="1:7">
      <c r="A68">
        <v>67</v>
      </c>
      <c r="B68" s="20">
        <v>9</v>
      </c>
      <c r="C68" s="20" t="s">
        <v>372</v>
      </c>
      <c r="D68" s="21">
        <v>0</v>
      </c>
      <c r="E68" s="21">
        <v>1</v>
      </c>
      <c r="F68" s="20">
        <v>250</v>
      </c>
      <c r="G68" s="20" t="s">
        <v>27</v>
      </c>
    </row>
    <row r="69" spans="1:7">
      <c r="A69">
        <v>68</v>
      </c>
      <c r="B69" s="20">
        <v>9</v>
      </c>
      <c r="C69" s="20" t="s">
        <v>373</v>
      </c>
      <c r="D69" s="21">
        <v>1</v>
      </c>
      <c r="E69" s="21">
        <v>1</v>
      </c>
      <c r="F69" s="20">
        <v>10</v>
      </c>
      <c r="G69" s="20" t="s">
        <v>27</v>
      </c>
    </row>
    <row r="70" s="16" customFormat="1" spans="1:7">
      <c r="A70">
        <v>69</v>
      </c>
      <c r="B70" s="16">
        <v>9</v>
      </c>
      <c r="C70" s="16" t="s">
        <v>374</v>
      </c>
      <c r="D70" s="23">
        <v>1</v>
      </c>
      <c r="E70" s="23">
        <v>1</v>
      </c>
      <c r="F70" s="16">
        <v>75</v>
      </c>
      <c r="G70" s="16" t="s">
        <v>375</v>
      </c>
    </row>
    <row r="71" s="17" customFormat="1" spans="1:7">
      <c r="A71">
        <v>70</v>
      </c>
      <c r="B71" s="17">
        <v>9</v>
      </c>
      <c r="C71" s="17" t="s">
        <v>376</v>
      </c>
      <c r="D71" s="24">
        <v>0</v>
      </c>
      <c r="E71" s="24">
        <v>1</v>
      </c>
      <c r="F71" s="17">
        <v>75</v>
      </c>
      <c r="G71" s="17" t="s">
        <v>27</v>
      </c>
    </row>
    <row r="72" s="17" customFormat="1" spans="1:7">
      <c r="A72">
        <v>71</v>
      </c>
      <c r="B72" s="17">
        <v>9</v>
      </c>
      <c r="C72" s="17" t="s">
        <v>377</v>
      </c>
      <c r="D72" s="24">
        <v>0</v>
      </c>
      <c r="E72" s="24">
        <v>1</v>
      </c>
      <c r="F72" s="17">
        <v>150</v>
      </c>
      <c r="G72" s="17" t="s">
        <v>27</v>
      </c>
    </row>
    <row r="73" s="17" customFormat="1" spans="1:7">
      <c r="A73">
        <v>72</v>
      </c>
      <c r="B73" s="17">
        <v>9</v>
      </c>
      <c r="C73" s="17" t="s">
        <v>378</v>
      </c>
      <c r="D73" s="24">
        <v>0</v>
      </c>
      <c r="E73" s="24">
        <v>1</v>
      </c>
      <c r="F73" s="17">
        <v>250</v>
      </c>
      <c r="G73" s="17" t="s">
        <v>27</v>
      </c>
    </row>
    <row r="74" s="17" customFormat="1" spans="1:7">
      <c r="A74">
        <v>73</v>
      </c>
      <c r="B74" s="17">
        <v>9</v>
      </c>
      <c r="C74" s="17" t="s">
        <v>379</v>
      </c>
      <c r="D74" s="24">
        <v>1</v>
      </c>
      <c r="E74" s="24">
        <v>1</v>
      </c>
      <c r="F74" s="17">
        <v>10</v>
      </c>
      <c r="G74" s="17" t="s">
        <v>27</v>
      </c>
    </row>
    <row r="75" spans="1:7">
      <c r="A75">
        <v>74</v>
      </c>
      <c r="B75" s="25">
        <v>9</v>
      </c>
      <c r="C75" s="25" t="s">
        <v>380</v>
      </c>
      <c r="D75" s="26">
        <v>0</v>
      </c>
      <c r="E75" s="26">
        <v>1</v>
      </c>
      <c r="F75" s="25">
        <v>250</v>
      </c>
      <c r="G75" s="25" t="s">
        <v>27</v>
      </c>
    </row>
    <row r="76" spans="1:7">
      <c r="A76">
        <v>75</v>
      </c>
      <c r="B76" s="25">
        <v>9</v>
      </c>
      <c r="C76" s="25" t="s">
        <v>381</v>
      </c>
      <c r="D76" s="26">
        <v>0</v>
      </c>
      <c r="E76" s="26">
        <v>1</v>
      </c>
      <c r="F76" s="25">
        <v>350</v>
      </c>
      <c r="G76" s="25" t="s">
        <v>27</v>
      </c>
    </row>
    <row r="77" spans="1:7">
      <c r="A77">
        <v>76</v>
      </c>
      <c r="B77" s="25">
        <v>9</v>
      </c>
      <c r="C77" s="25" t="s">
        <v>382</v>
      </c>
      <c r="D77" s="26">
        <v>0</v>
      </c>
      <c r="E77" s="26">
        <v>1</v>
      </c>
      <c r="F77" s="25">
        <v>450</v>
      </c>
      <c r="G77" s="25" t="s">
        <v>27</v>
      </c>
    </row>
    <row r="78" spans="1:7">
      <c r="A78">
        <v>77</v>
      </c>
      <c r="B78" s="25">
        <v>9</v>
      </c>
      <c r="C78" s="25" t="s">
        <v>383</v>
      </c>
      <c r="D78" s="26">
        <v>1</v>
      </c>
      <c r="E78" s="26">
        <v>1</v>
      </c>
      <c r="F78" s="25">
        <v>10</v>
      </c>
      <c r="G78" s="25" t="s">
        <v>27</v>
      </c>
    </row>
    <row r="79" s="14" customFormat="1" spans="1:7">
      <c r="A79">
        <v>78</v>
      </c>
      <c r="B79" s="15">
        <v>9</v>
      </c>
      <c r="C79" s="15" t="s">
        <v>384</v>
      </c>
      <c r="D79" s="27">
        <v>0</v>
      </c>
      <c r="E79" s="27">
        <v>1</v>
      </c>
      <c r="F79" s="15">
        <v>250</v>
      </c>
      <c r="G79" s="15" t="s">
        <v>27</v>
      </c>
    </row>
    <row r="80" s="14" customFormat="1" spans="1:7">
      <c r="A80">
        <v>79</v>
      </c>
      <c r="B80" s="15">
        <v>9</v>
      </c>
      <c r="C80" s="15" t="s">
        <v>385</v>
      </c>
      <c r="D80" s="27">
        <v>0</v>
      </c>
      <c r="E80" s="27">
        <v>1</v>
      </c>
      <c r="F80" s="15">
        <v>350</v>
      </c>
      <c r="G80" s="15" t="s">
        <v>27</v>
      </c>
    </row>
    <row r="81" s="14" customFormat="1" spans="1:7">
      <c r="A81">
        <v>80</v>
      </c>
      <c r="B81" s="15">
        <v>9</v>
      </c>
      <c r="C81" s="15" t="s">
        <v>386</v>
      </c>
      <c r="D81" s="27">
        <v>0</v>
      </c>
      <c r="E81" s="27">
        <v>1</v>
      </c>
      <c r="F81" s="15">
        <v>450</v>
      </c>
      <c r="G81" s="15" t="s">
        <v>27</v>
      </c>
    </row>
    <row r="82" s="14" customFormat="1" spans="1:7">
      <c r="A82">
        <v>81</v>
      </c>
      <c r="B82" s="15">
        <v>9</v>
      </c>
      <c r="C82" s="15" t="s">
        <v>387</v>
      </c>
      <c r="D82" s="27">
        <v>1</v>
      </c>
      <c r="E82" s="27">
        <v>1</v>
      </c>
      <c r="F82" s="15">
        <v>10</v>
      </c>
      <c r="G82" s="15" t="s">
        <v>27</v>
      </c>
    </row>
    <row r="83" s="14" customFormat="1" spans="1:7">
      <c r="A83">
        <v>82</v>
      </c>
      <c r="B83" s="28">
        <v>9</v>
      </c>
      <c r="C83" s="28" t="s">
        <v>388</v>
      </c>
      <c r="D83" s="29">
        <v>0</v>
      </c>
      <c r="E83" s="29">
        <v>1</v>
      </c>
      <c r="F83" s="28">
        <v>250</v>
      </c>
      <c r="G83" s="28" t="s">
        <v>27</v>
      </c>
    </row>
    <row r="84" s="14" customFormat="1" spans="1:7">
      <c r="A84">
        <v>83</v>
      </c>
      <c r="B84" s="28">
        <v>9</v>
      </c>
      <c r="C84" s="28" t="s">
        <v>389</v>
      </c>
      <c r="D84" s="29">
        <v>0</v>
      </c>
      <c r="E84" s="29">
        <v>1</v>
      </c>
      <c r="F84" s="28">
        <v>350</v>
      </c>
      <c r="G84" s="28" t="s">
        <v>27</v>
      </c>
    </row>
    <row r="85" s="14" customFormat="1" spans="1:7">
      <c r="A85">
        <v>84</v>
      </c>
      <c r="B85" s="28">
        <v>9</v>
      </c>
      <c r="C85" s="28" t="s">
        <v>390</v>
      </c>
      <c r="D85" s="29">
        <v>0</v>
      </c>
      <c r="E85" s="29">
        <v>1</v>
      </c>
      <c r="F85" s="28">
        <v>450</v>
      </c>
      <c r="G85" s="28" t="s">
        <v>27</v>
      </c>
    </row>
    <row r="86" s="14" customFormat="1" spans="1:7">
      <c r="A86">
        <v>85</v>
      </c>
      <c r="B86" s="28">
        <v>9</v>
      </c>
      <c r="C86" s="28" t="s">
        <v>391</v>
      </c>
      <c r="D86" s="29">
        <v>1</v>
      </c>
      <c r="E86" s="29">
        <v>1</v>
      </c>
      <c r="F86" s="28">
        <v>10</v>
      </c>
      <c r="G86" s="28" t="s">
        <v>27</v>
      </c>
    </row>
    <row r="87" s="16" customFormat="1" spans="1:7">
      <c r="A87">
        <v>86</v>
      </c>
      <c r="B87" s="16">
        <v>9</v>
      </c>
      <c r="C87" s="16" t="s">
        <v>392</v>
      </c>
      <c r="D87" s="23">
        <v>1</v>
      </c>
      <c r="E87" s="23">
        <v>1</v>
      </c>
      <c r="F87" s="16">
        <v>200</v>
      </c>
      <c r="G87" s="16" t="s">
        <v>282</v>
      </c>
    </row>
    <row r="88" s="14" customFormat="1" spans="1:7">
      <c r="A88" s="14">
        <v>87</v>
      </c>
      <c r="B88" s="28">
        <v>9</v>
      </c>
      <c r="C88" s="16" t="s">
        <v>393</v>
      </c>
      <c r="D88" s="4">
        <v>0</v>
      </c>
      <c r="E88" s="4">
        <v>1</v>
      </c>
      <c r="F88" s="28">
        <v>10</v>
      </c>
      <c r="G88" s="28" t="s">
        <v>394</v>
      </c>
    </row>
    <row r="89" s="14" customFormat="1" spans="1:7">
      <c r="A89" s="14">
        <v>88</v>
      </c>
      <c r="B89" s="14">
        <v>9</v>
      </c>
      <c r="C89" s="14" t="s">
        <v>395</v>
      </c>
      <c r="D89" s="4">
        <v>0</v>
      </c>
      <c r="E89" s="4">
        <v>1</v>
      </c>
      <c r="F89" s="14">
        <v>50</v>
      </c>
      <c r="G89" s="28" t="s">
        <v>27</v>
      </c>
    </row>
    <row r="90" s="14" customFormat="1" spans="4:5">
      <c r="D90" s="4"/>
      <c r="E90" s="4"/>
    </row>
  </sheetData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D18"/>
  <sheetViews>
    <sheetView workbookViewId="0">
      <selection activeCell="C37" sqref="C37"/>
    </sheetView>
  </sheetViews>
  <sheetFormatPr defaultColWidth="8.625" defaultRowHeight="14.25" outlineLevelCol="3"/>
  <cols>
    <col min="2" max="2" width="13" customWidth="1"/>
    <col min="3" max="3" width="11.375" customWidth="1"/>
    <col min="4" max="4" width="15.125" customWidth="1"/>
  </cols>
  <sheetData>
    <row r="1" s="1" customFormat="1" ht="48.75" customHeight="1" spans="1:4">
      <c r="A1" s="1" t="s">
        <v>265</v>
      </c>
      <c r="B1" s="1" t="s">
        <v>396</v>
      </c>
      <c r="C1" s="1" t="s">
        <v>397</v>
      </c>
      <c r="D1" s="1" t="s">
        <v>270</v>
      </c>
    </row>
    <row r="2" spans="1:4">
      <c r="A2">
        <v>1</v>
      </c>
      <c r="B2">
        <v>450</v>
      </c>
      <c r="C2">
        <v>1</v>
      </c>
      <c r="D2">
        <v>500000</v>
      </c>
    </row>
    <row r="3" spans="1:4">
      <c r="A3">
        <v>2</v>
      </c>
      <c r="B3">
        <v>450</v>
      </c>
      <c r="C3">
        <v>1</v>
      </c>
      <c r="D3">
        <v>5000000</v>
      </c>
    </row>
    <row r="4" spans="1:4">
      <c r="A4">
        <v>3</v>
      </c>
      <c r="B4">
        <v>450</v>
      </c>
      <c r="C4">
        <v>1</v>
      </c>
      <c r="D4">
        <v>50000000</v>
      </c>
    </row>
    <row r="18" spans="3:3">
      <c r="C18" s="13"/>
    </row>
  </sheetData>
  <pageMargins left="0.7" right="0.7" top="0.75" bottom="0.75" header="0.3" footer="0.3"/>
  <pageSetup paperSize="9" orientation="portrait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H69"/>
  <sheetViews>
    <sheetView workbookViewId="0">
      <pane ySplit="1" topLeftCell="A50" activePane="bottomLeft" state="frozen"/>
      <selection/>
      <selection pane="bottomLeft" activeCell="A62" sqref="A62"/>
    </sheetView>
  </sheetViews>
  <sheetFormatPr defaultColWidth="8.625" defaultRowHeight="14.25" outlineLevelCol="7"/>
  <cols>
    <col min="1" max="1" width="17.625" style="3" customWidth="1"/>
    <col min="2" max="2" width="20.375" style="3" customWidth="1"/>
    <col min="3" max="3" width="14.875" style="3" customWidth="1"/>
    <col min="4" max="4" width="23.125" style="3" customWidth="1"/>
    <col min="5" max="5" width="11.625" style="3" customWidth="1"/>
    <col min="6" max="6" width="15.5" style="3" customWidth="1"/>
    <col min="7" max="16384" width="8.625" style="3"/>
  </cols>
  <sheetData>
    <row r="1" s="1" customFormat="1" ht="48.75" customHeight="1" spans="1:7">
      <c r="A1" s="1" t="s">
        <v>398</v>
      </c>
      <c r="B1" s="1" t="s">
        <v>399</v>
      </c>
      <c r="C1" s="1" t="s">
        <v>7</v>
      </c>
      <c r="D1" s="1" t="s">
        <v>234</v>
      </c>
      <c r="E1" s="1" t="s">
        <v>400</v>
      </c>
      <c r="F1" s="1" t="s">
        <v>401</v>
      </c>
      <c r="G1" s="8" t="s">
        <v>9</v>
      </c>
    </row>
    <row r="2" s="5" customFormat="1" spans="1:7">
      <c r="A2" s="5">
        <v>1</v>
      </c>
      <c r="B2" s="5">
        <v>1</v>
      </c>
      <c r="C2" s="5">
        <v>2</v>
      </c>
      <c r="D2" s="5">
        <f>IF(C2,1/C2,0)</f>
        <v>0.5</v>
      </c>
      <c r="E2" s="9" t="s">
        <v>402</v>
      </c>
      <c r="F2" s="5">
        <f>C2</f>
        <v>2</v>
      </c>
      <c r="G2" s="5">
        <v>0</v>
      </c>
    </row>
    <row r="3" s="5" customFormat="1" spans="1:7">
      <c r="A3" s="5">
        <v>2</v>
      </c>
      <c r="B3" s="5">
        <v>1</v>
      </c>
      <c r="C3" s="5">
        <v>2</v>
      </c>
      <c r="D3" s="5">
        <f t="shared" ref="D3:D35" si="0">IF(C3,1/C3,0)</f>
        <v>0.5</v>
      </c>
      <c r="E3" s="9" t="s">
        <v>403</v>
      </c>
      <c r="F3" s="5">
        <f t="shared" ref="F3:F37" si="1">C3</f>
        <v>2</v>
      </c>
      <c r="G3" s="5">
        <v>0</v>
      </c>
    </row>
    <row r="4" s="5" customFormat="1" spans="1:7">
      <c r="A4" s="5">
        <v>3</v>
      </c>
      <c r="B4" s="5">
        <v>1</v>
      </c>
      <c r="C4" s="5">
        <v>3</v>
      </c>
      <c r="D4" s="5">
        <f t="shared" si="0"/>
        <v>0.333333333333333</v>
      </c>
      <c r="E4" s="9" t="s">
        <v>404</v>
      </c>
      <c r="F4" s="5">
        <f t="shared" si="1"/>
        <v>3</v>
      </c>
      <c r="G4" s="5">
        <v>0</v>
      </c>
    </row>
    <row r="5" s="5" customFormat="1" spans="1:7">
      <c r="A5" s="5">
        <v>4</v>
      </c>
      <c r="B5" s="5">
        <v>1</v>
      </c>
      <c r="C5" s="5">
        <v>4</v>
      </c>
      <c r="D5" s="5">
        <f t="shared" si="0"/>
        <v>0.25</v>
      </c>
      <c r="E5" s="9" t="s">
        <v>405</v>
      </c>
      <c r="F5" s="5">
        <f t="shared" si="1"/>
        <v>4</v>
      </c>
      <c r="G5" s="5">
        <v>0</v>
      </c>
    </row>
    <row r="6" s="5" customFormat="1" spans="1:7">
      <c r="A6" s="5">
        <v>5</v>
      </c>
      <c r="B6" s="5">
        <v>1</v>
      </c>
      <c r="C6" s="5">
        <v>5</v>
      </c>
      <c r="D6" s="5">
        <f t="shared" si="0"/>
        <v>0.2</v>
      </c>
      <c r="E6" s="9" t="s">
        <v>406</v>
      </c>
      <c r="F6" s="5">
        <f t="shared" si="1"/>
        <v>5</v>
      </c>
      <c r="G6" s="5">
        <v>0</v>
      </c>
    </row>
    <row r="7" s="5" customFormat="1" spans="1:7">
      <c r="A7" s="5">
        <v>6</v>
      </c>
      <c r="B7" s="5">
        <v>1</v>
      </c>
      <c r="C7" s="5">
        <v>6</v>
      </c>
      <c r="D7" s="5">
        <f t="shared" si="0"/>
        <v>0.166666666666667</v>
      </c>
      <c r="E7" s="9" t="s">
        <v>407</v>
      </c>
      <c r="F7" s="5">
        <f t="shared" si="1"/>
        <v>6</v>
      </c>
      <c r="G7" s="5">
        <v>0</v>
      </c>
    </row>
    <row r="8" s="5" customFormat="1" spans="1:7">
      <c r="A8" s="5">
        <v>7</v>
      </c>
      <c r="B8" s="5">
        <v>1</v>
      </c>
      <c r="C8" s="5">
        <v>7</v>
      </c>
      <c r="D8" s="5">
        <f t="shared" si="0"/>
        <v>0.142857142857143</v>
      </c>
      <c r="E8" s="9" t="s">
        <v>408</v>
      </c>
      <c r="F8" s="5">
        <f t="shared" si="1"/>
        <v>7</v>
      </c>
      <c r="G8" s="5">
        <v>0</v>
      </c>
    </row>
    <row r="9" s="5" customFormat="1" spans="1:7">
      <c r="A9" s="5">
        <v>8</v>
      </c>
      <c r="B9" s="5">
        <v>1</v>
      </c>
      <c r="C9" s="5">
        <v>8</v>
      </c>
      <c r="D9" s="5">
        <f t="shared" si="0"/>
        <v>0.125</v>
      </c>
      <c r="E9" s="9" t="s">
        <v>409</v>
      </c>
      <c r="F9" s="5">
        <f t="shared" si="1"/>
        <v>8</v>
      </c>
      <c r="G9" s="5">
        <v>0</v>
      </c>
    </row>
    <row r="10" s="5" customFormat="1" spans="1:7">
      <c r="A10" s="5">
        <v>9</v>
      </c>
      <c r="B10" s="5">
        <v>1</v>
      </c>
      <c r="C10" s="5">
        <v>10</v>
      </c>
      <c r="D10" s="5">
        <f t="shared" si="0"/>
        <v>0.1</v>
      </c>
      <c r="E10" s="9" t="s">
        <v>410</v>
      </c>
      <c r="F10" s="5">
        <f t="shared" si="1"/>
        <v>10</v>
      </c>
      <c r="G10" s="5">
        <v>0</v>
      </c>
    </row>
    <row r="11" s="5" customFormat="1" spans="1:7">
      <c r="A11" s="5">
        <v>10</v>
      </c>
      <c r="B11" s="5">
        <v>1</v>
      </c>
      <c r="C11" s="5">
        <v>12</v>
      </c>
      <c r="D11" s="5">
        <f t="shared" si="0"/>
        <v>0.0833333333333333</v>
      </c>
      <c r="E11" s="9" t="s">
        <v>411</v>
      </c>
      <c r="F11" s="5">
        <f t="shared" si="1"/>
        <v>12</v>
      </c>
      <c r="G11" s="5">
        <v>0</v>
      </c>
    </row>
    <row r="12" s="5" customFormat="1" spans="1:7">
      <c r="A12" s="5">
        <v>11</v>
      </c>
      <c r="B12" s="5">
        <v>1</v>
      </c>
      <c r="C12" s="5">
        <v>15</v>
      </c>
      <c r="D12" s="5">
        <f t="shared" si="0"/>
        <v>0.0666666666666667</v>
      </c>
      <c r="E12" s="9" t="s">
        <v>412</v>
      </c>
      <c r="F12" s="5">
        <f t="shared" si="1"/>
        <v>15</v>
      </c>
      <c r="G12" s="5">
        <v>0</v>
      </c>
    </row>
    <row r="13" s="5" customFormat="1" spans="1:7">
      <c r="A13" s="5">
        <v>12</v>
      </c>
      <c r="B13" s="5">
        <v>1</v>
      </c>
      <c r="C13" s="5">
        <v>18</v>
      </c>
      <c r="D13" s="5">
        <f t="shared" si="0"/>
        <v>0.0555555555555556</v>
      </c>
      <c r="E13" s="9" t="s">
        <v>413</v>
      </c>
      <c r="F13" s="5">
        <f t="shared" si="1"/>
        <v>18</v>
      </c>
      <c r="G13" s="5">
        <v>0</v>
      </c>
    </row>
    <row r="14" s="5" customFormat="1" spans="1:7">
      <c r="A14" s="5">
        <v>13</v>
      </c>
      <c r="B14" s="5">
        <v>1</v>
      </c>
      <c r="C14" s="5">
        <v>20</v>
      </c>
      <c r="D14" s="5">
        <f t="shared" si="0"/>
        <v>0.05</v>
      </c>
      <c r="E14" s="9" t="s">
        <v>414</v>
      </c>
      <c r="F14" s="5">
        <f t="shared" si="1"/>
        <v>20</v>
      </c>
      <c r="G14" s="5">
        <v>0</v>
      </c>
    </row>
    <row r="15" s="5" customFormat="1" spans="1:7">
      <c r="A15" s="5">
        <v>14</v>
      </c>
      <c r="B15" s="5">
        <v>1</v>
      </c>
      <c r="C15" s="5">
        <v>25</v>
      </c>
      <c r="D15" s="5">
        <f t="shared" si="0"/>
        <v>0.04</v>
      </c>
      <c r="E15" s="9" t="s">
        <v>415</v>
      </c>
      <c r="F15" s="5">
        <f t="shared" si="1"/>
        <v>25</v>
      </c>
      <c r="G15" s="5">
        <v>0</v>
      </c>
    </row>
    <row r="16" s="5" customFormat="1" spans="1:7">
      <c r="A16" s="5">
        <v>15</v>
      </c>
      <c r="B16" s="5">
        <v>1</v>
      </c>
      <c r="C16" s="5">
        <v>30</v>
      </c>
      <c r="D16" s="5">
        <f t="shared" si="0"/>
        <v>0.0333333333333333</v>
      </c>
      <c r="E16" s="9" t="s">
        <v>416</v>
      </c>
      <c r="F16" s="5">
        <f t="shared" si="1"/>
        <v>30</v>
      </c>
      <c r="G16" s="5">
        <v>0</v>
      </c>
    </row>
    <row r="17" s="5" customFormat="1" spans="1:8">
      <c r="A17" s="5">
        <v>16</v>
      </c>
      <c r="B17" s="5">
        <v>1</v>
      </c>
      <c r="C17" s="5">
        <v>35</v>
      </c>
      <c r="D17" s="5">
        <f t="shared" si="0"/>
        <v>0.0285714285714286</v>
      </c>
      <c r="E17" s="9" t="s">
        <v>417</v>
      </c>
      <c r="F17" s="5">
        <f t="shared" si="1"/>
        <v>35</v>
      </c>
      <c r="G17" s="5">
        <v>0</v>
      </c>
      <c r="H17" s="5" t="s">
        <v>418</v>
      </c>
    </row>
    <row r="18" s="5" customFormat="1" spans="1:7">
      <c r="A18" s="5">
        <v>17</v>
      </c>
      <c r="B18" s="5">
        <v>1</v>
      </c>
      <c r="C18" s="5">
        <v>40</v>
      </c>
      <c r="D18" s="5">
        <f t="shared" si="0"/>
        <v>0.025</v>
      </c>
      <c r="E18" s="9" t="s">
        <v>419</v>
      </c>
      <c r="F18" s="5">
        <f t="shared" si="1"/>
        <v>40</v>
      </c>
      <c r="G18" s="5">
        <v>0</v>
      </c>
    </row>
    <row r="19" s="5" customFormat="1" spans="1:7">
      <c r="A19" s="5">
        <v>18</v>
      </c>
      <c r="B19" s="5">
        <v>1</v>
      </c>
      <c r="C19" s="5">
        <v>60</v>
      </c>
      <c r="D19" s="5">
        <f t="shared" si="0"/>
        <v>0.0166666666666667</v>
      </c>
      <c r="E19" s="9" t="s">
        <v>420</v>
      </c>
      <c r="F19" s="5">
        <f t="shared" si="1"/>
        <v>60</v>
      </c>
      <c r="G19" s="5">
        <v>0</v>
      </c>
    </row>
    <row r="20" s="5" customFormat="1" spans="1:7">
      <c r="A20" s="5">
        <v>19</v>
      </c>
      <c r="B20" s="5">
        <v>1</v>
      </c>
      <c r="C20" s="5">
        <v>0</v>
      </c>
      <c r="D20" s="5">
        <f t="shared" si="0"/>
        <v>0</v>
      </c>
      <c r="E20" s="10" t="s">
        <v>421</v>
      </c>
      <c r="F20" s="5">
        <f t="shared" si="1"/>
        <v>0</v>
      </c>
      <c r="G20" s="5">
        <v>0</v>
      </c>
    </row>
    <row r="21" s="5" customFormat="1" spans="1:7">
      <c r="A21" s="5">
        <v>20</v>
      </c>
      <c r="B21" s="5">
        <v>1</v>
      </c>
      <c r="C21" s="5">
        <v>60</v>
      </c>
      <c r="D21" s="5">
        <f t="shared" si="0"/>
        <v>0.0166666666666667</v>
      </c>
      <c r="E21" s="9" t="s">
        <v>256</v>
      </c>
      <c r="F21" s="5">
        <f t="shared" si="1"/>
        <v>60</v>
      </c>
      <c r="G21" s="5">
        <v>0</v>
      </c>
    </row>
    <row r="22" s="5" customFormat="1" spans="1:7">
      <c r="A22" s="5">
        <v>21</v>
      </c>
      <c r="B22" s="5">
        <v>1</v>
      </c>
      <c r="C22" s="5">
        <v>0</v>
      </c>
      <c r="D22" s="5">
        <f t="shared" si="0"/>
        <v>0</v>
      </c>
      <c r="E22" s="9" t="s">
        <v>422</v>
      </c>
      <c r="F22" s="5">
        <f t="shared" si="1"/>
        <v>0</v>
      </c>
      <c r="G22" s="5">
        <v>0</v>
      </c>
    </row>
    <row r="23" s="5" customFormat="1" spans="1:7">
      <c r="A23" s="5">
        <v>22</v>
      </c>
      <c r="B23" s="5">
        <v>1</v>
      </c>
      <c r="C23" s="5">
        <v>60</v>
      </c>
      <c r="D23" s="5">
        <f t="shared" si="0"/>
        <v>0.0166666666666667</v>
      </c>
      <c r="E23" s="9" t="s">
        <v>258</v>
      </c>
      <c r="F23" s="5">
        <f t="shared" si="1"/>
        <v>60</v>
      </c>
      <c r="G23" s="5">
        <v>0</v>
      </c>
    </row>
    <row r="24" s="5" customFormat="1" spans="1:7">
      <c r="A24" s="5">
        <v>23</v>
      </c>
      <c r="B24" s="5">
        <v>1</v>
      </c>
      <c r="C24" s="5">
        <v>60</v>
      </c>
      <c r="D24" s="5">
        <f t="shared" si="0"/>
        <v>0.0166666666666667</v>
      </c>
      <c r="E24" s="9" t="s">
        <v>260</v>
      </c>
      <c r="F24" s="5">
        <f t="shared" si="1"/>
        <v>60</v>
      </c>
      <c r="G24" s="5">
        <v>0</v>
      </c>
    </row>
    <row r="25" s="5" customFormat="1" spans="1:7">
      <c r="A25" s="5">
        <v>24</v>
      </c>
      <c r="B25" s="5">
        <v>1</v>
      </c>
      <c r="C25" s="5" t="s">
        <v>61</v>
      </c>
      <c r="D25" s="5" t="s">
        <v>62</v>
      </c>
      <c r="E25" s="9" t="s">
        <v>423</v>
      </c>
      <c r="F25" s="5" t="s">
        <v>61</v>
      </c>
      <c r="G25" s="5">
        <v>0</v>
      </c>
    </row>
    <row r="26" s="5" customFormat="1" spans="1:7">
      <c r="A26" s="5">
        <v>25</v>
      </c>
      <c r="B26" s="5">
        <v>1</v>
      </c>
      <c r="C26" s="5">
        <v>80</v>
      </c>
      <c r="D26" s="5">
        <f t="shared" si="0"/>
        <v>0.0125</v>
      </c>
      <c r="E26" s="9" t="s">
        <v>261</v>
      </c>
      <c r="F26" s="5">
        <f t="shared" si="1"/>
        <v>80</v>
      </c>
      <c r="G26" s="5">
        <v>0</v>
      </c>
    </row>
    <row r="27" s="5" customFormat="1" spans="1:7">
      <c r="A27" s="5">
        <v>26</v>
      </c>
      <c r="B27" s="5">
        <v>1</v>
      </c>
      <c r="C27" s="5">
        <v>100</v>
      </c>
      <c r="D27" s="5">
        <f t="shared" si="0"/>
        <v>0.01</v>
      </c>
      <c r="E27" s="9" t="s">
        <v>262</v>
      </c>
      <c r="F27" s="5">
        <f t="shared" si="1"/>
        <v>100</v>
      </c>
      <c r="G27" s="5">
        <v>0</v>
      </c>
    </row>
    <row r="28" s="5" customFormat="1" spans="1:7">
      <c r="A28" s="5">
        <v>27</v>
      </c>
      <c r="B28" s="5">
        <v>1</v>
      </c>
      <c r="C28" s="5">
        <v>100</v>
      </c>
      <c r="D28" s="5">
        <f t="shared" si="0"/>
        <v>0.01</v>
      </c>
      <c r="E28" s="9" t="s">
        <v>263</v>
      </c>
      <c r="F28" s="5">
        <f t="shared" si="1"/>
        <v>100</v>
      </c>
      <c r="G28" s="5">
        <v>0</v>
      </c>
    </row>
    <row r="29" s="5" customFormat="1" spans="1:7">
      <c r="A29" s="5">
        <v>28</v>
      </c>
      <c r="B29" s="5">
        <v>1</v>
      </c>
      <c r="C29" s="5">
        <v>0</v>
      </c>
      <c r="D29" s="5">
        <f t="shared" si="0"/>
        <v>0</v>
      </c>
      <c r="E29" s="5" t="s">
        <v>424</v>
      </c>
      <c r="F29" s="5">
        <f t="shared" si="1"/>
        <v>0</v>
      </c>
      <c r="G29" s="5">
        <v>0</v>
      </c>
    </row>
    <row r="30" s="5" customFormat="1" spans="1:7">
      <c r="A30" s="5">
        <v>29</v>
      </c>
      <c r="B30" s="5">
        <v>1</v>
      </c>
      <c r="C30" s="5">
        <v>0</v>
      </c>
      <c r="D30" s="5">
        <f t="shared" si="0"/>
        <v>0</v>
      </c>
      <c r="E30" s="10" t="s">
        <v>425</v>
      </c>
      <c r="F30" s="5">
        <f t="shared" si="1"/>
        <v>0</v>
      </c>
      <c r="G30" s="5">
        <v>0</v>
      </c>
    </row>
    <row r="31" s="5" customFormat="1" spans="1:7">
      <c r="A31" s="5">
        <v>30</v>
      </c>
      <c r="B31" s="5">
        <v>1</v>
      </c>
      <c r="C31" s="5">
        <v>0</v>
      </c>
      <c r="D31" s="5">
        <f t="shared" si="0"/>
        <v>0</v>
      </c>
      <c r="E31" s="10" t="s">
        <v>426</v>
      </c>
      <c r="F31" s="5">
        <f t="shared" si="1"/>
        <v>0</v>
      </c>
      <c r="G31" s="5">
        <v>0</v>
      </c>
    </row>
    <row r="32" s="5" customFormat="1" spans="1:7">
      <c r="A32" s="5">
        <v>31</v>
      </c>
      <c r="B32" s="5">
        <v>1</v>
      </c>
      <c r="C32" s="5">
        <v>0</v>
      </c>
      <c r="D32" s="5">
        <f t="shared" si="0"/>
        <v>0</v>
      </c>
      <c r="E32" s="10" t="s">
        <v>427</v>
      </c>
      <c r="F32" s="5">
        <f t="shared" si="1"/>
        <v>0</v>
      </c>
      <c r="G32" s="5">
        <v>0</v>
      </c>
    </row>
    <row r="33" s="5" customFormat="1" spans="1:7">
      <c r="A33" s="5">
        <v>32</v>
      </c>
      <c r="B33" s="5">
        <v>1</v>
      </c>
      <c r="C33" s="5">
        <v>0</v>
      </c>
      <c r="D33" s="5">
        <f t="shared" si="0"/>
        <v>0</v>
      </c>
      <c r="E33" s="5" t="s">
        <v>428</v>
      </c>
      <c r="F33" s="5">
        <f t="shared" si="1"/>
        <v>0</v>
      </c>
      <c r="G33" s="5">
        <v>0</v>
      </c>
    </row>
    <row r="34" s="5" customFormat="1" spans="1:7">
      <c r="A34" s="5">
        <v>33</v>
      </c>
      <c r="B34" s="5">
        <v>1</v>
      </c>
      <c r="C34" s="5">
        <v>0</v>
      </c>
      <c r="D34" s="5">
        <f t="shared" si="0"/>
        <v>0</v>
      </c>
      <c r="E34" s="5" t="s">
        <v>429</v>
      </c>
      <c r="F34" s="5">
        <f t="shared" si="1"/>
        <v>0</v>
      </c>
      <c r="G34" s="5">
        <v>0</v>
      </c>
    </row>
    <row r="35" s="5" customFormat="1" spans="1:7">
      <c r="A35" s="5">
        <v>34</v>
      </c>
      <c r="B35" s="5">
        <v>1</v>
      </c>
      <c r="C35" s="5">
        <v>0</v>
      </c>
      <c r="D35" s="5">
        <f t="shared" si="0"/>
        <v>0</v>
      </c>
      <c r="E35" s="5" t="s">
        <v>324</v>
      </c>
      <c r="F35" s="5">
        <v>0</v>
      </c>
      <c r="G35" s="5">
        <v>0</v>
      </c>
    </row>
    <row r="36" s="5" customFormat="1" spans="1:7">
      <c r="A36" s="5">
        <v>35</v>
      </c>
      <c r="B36" s="5">
        <v>1</v>
      </c>
      <c r="C36" s="5">
        <v>0</v>
      </c>
      <c r="D36" s="5">
        <f t="shared" ref="D36" si="2">IF(C36,1/C36,0)</f>
        <v>0</v>
      </c>
      <c r="E36" s="9" t="s">
        <v>430</v>
      </c>
      <c r="F36" s="5">
        <f t="shared" si="1"/>
        <v>0</v>
      </c>
      <c r="G36" s="5">
        <v>0</v>
      </c>
    </row>
    <row r="37" s="5" customFormat="1" spans="1:7">
      <c r="A37" s="5">
        <v>36</v>
      </c>
      <c r="B37" s="5">
        <v>1</v>
      </c>
      <c r="C37" s="5">
        <v>0</v>
      </c>
      <c r="D37" s="5">
        <f t="shared" ref="D37:D57" si="3">IF(C37,1/C37,0)</f>
        <v>0</v>
      </c>
      <c r="E37" s="9" t="s">
        <v>321</v>
      </c>
      <c r="F37" s="5">
        <f t="shared" si="1"/>
        <v>0</v>
      </c>
      <c r="G37" s="5">
        <v>0</v>
      </c>
    </row>
    <row r="38" s="5" customFormat="1" spans="1:7">
      <c r="A38" s="5">
        <v>37</v>
      </c>
      <c r="B38" s="5">
        <v>1</v>
      </c>
      <c r="C38" s="5">
        <v>0</v>
      </c>
      <c r="D38" s="5">
        <f t="shared" si="3"/>
        <v>0</v>
      </c>
      <c r="E38" s="5" t="s">
        <v>431</v>
      </c>
      <c r="F38" s="5">
        <f t="shared" ref="F38:F51" si="4">C38</f>
        <v>0</v>
      </c>
      <c r="G38" s="5">
        <v>0</v>
      </c>
    </row>
    <row r="39" s="5" customFormat="1" spans="1:7">
      <c r="A39" s="5">
        <v>38</v>
      </c>
      <c r="B39" s="5">
        <v>1</v>
      </c>
      <c r="C39" s="5">
        <v>100</v>
      </c>
      <c r="D39" s="5">
        <f t="shared" si="3"/>
        <v>0.01</v>
      </c>
      <c r="E39" s="5" t="s">
        <v>432</v>
      </c>
      <c r="F39" s="5">
        <f t="shared" si="4"/>
        <v>100</v>
      </c>
      <c r="G39" s="5">
        <v>0</v>
      </c>
    </row>
    <row r="40" s="5" customFormat="1" spans="1:7">
      <c r="A40" s="5">
        <v>39</v>
      </c>
      <c r="B40" s="5">
        <v>1</v>
      </c>
      <c r="C40" s="5">
        <v>100</v>
      </c>
      <c r="D40" s="5">
        <f t="shared" si="3"/>
        <v>0.01</v>
      </c>
      <c r="E40" s="5" t="s">
        <v>433</v>
      </c>
      <c r="F40" s="5">
        <f t="shared" si="4"/>
        <v>100</v>
      </c>
      <c r="G40" s="5">
        <v>0</v>
      </c>
    </row>
    <row r="41" s="5" customFormat="1" spans="1:7">
      <c r="A41" s="5">
        <v>40</v>
      </c>
      <c r="B41" s="5">
        <v>1</v>
      </c>
      <c r="C41" s="5">
        <v>300</v>
      </c>
      <c r="D41" s="5">
        <f t="shared" si="3"/>
        <v>0.00333333333333333</v>
      </c>
      <c r="E41" s="5" t="s">
        <v>434</v>
      </c>
      <c r="F41" s="5">
        <f t="shared" si="4"/>
        <v>300</v>
      </c>
      <c r="G41" s="5">
        <v>0</v>
      </c>
    </row>
    <row r="42" s="5" customFormat="1" spans="1:7">
      <c r="A42" s="5">
        <v>41</v>
      </c>
      <c r="B42" s="5">
        <v>1</v>
      </c>
      <c r="C42" s="5">
        <v>200</v>
      </c>
      <c r="D42" s="5">
        <f t="shared" si="3"/>
        <v>0.005</v>
      </c>
      <c r="E42" s="5" t="s">
        <v>435</v>
      </c>
      <c r="F42" s="5">
        <f t="shared" si="4"/>
        <v>200</v>
      </c>
      <c r="G42" s="5">
        <v>0</v>
      </c>
    </row>
    <row r="43" s="5" customFormat="1" spans="1:7">
      <c r="A43" s="5">
        <v>42</v>
      </c>
      <c r="B43" s="5">
        <v>1</v>
      </c>
      <c r="C43" s="5">
        <v>0</v>
      </c>
      <c r="D43" s="5">
        <f t="shared" si="3"/>
        <v>0</v>
      </c>
      <c r="E43" s="5" t="s">
        <v>436</v>
      </c>
      <c r="F43" s="5">
        <f t="shared" si="4"/>
        <v>0</v>
      </c>
      <c r="G43" s="5">
        <v>0</v>
      </c>
    </row>
    <row r="44" s="5" customFormat="1" spans="1:7">
      <c r="A44" s="5">
        <v>43</v>
      </c>
      <c r="B44" s="5">
        <v>1</v>
      </c>
      <c r="C44" s="5">
        <v>200</v>
      </c>
      <c r="D44" s="5">
        <f t="shared" si="3"/>
        <v>0.005</v>
      </c>
      <c r="E44" s="5" t="s">
        <v>437</v>
      </c>
      <c r="F44" s="5">
        <f t="shared" si="4"/>
        <v>200</v>
      </c>
      <c r="G44" s="5">
        <v>0</v>
      </c>
    </row>
    <row r="45" s="5" customFormat="1" spans="1:7">
      <c r="A45" s="5">
        <v>44</v>
      </c>
      <c r="B45" s="5">
        <v>1</v>
      </c>
      <c r="C45" s="5">
        <v>0</v>
      </c>
      <c r="D45" s="5">
        <f t="shared" si="3"/>
        <v>0</v>
      </c>
      <c r="E45" s="5" t="s">
        <v>438</v>
      </c>
      <c r="F45" s="5">
        <f t="shared" si="4"/>
        <v>0</v>
      </c>
      <c r="G45" s="5">
        <v>0</v>
      </c>
    </row>
    <row r="46" s="5" customFormat="1" spans="1:7">
      <c r="A46" s="5">
        <v>45</v>
      </c>
      <c r="B46" s="5">
        <v>1</v>
      </c>
      <c r="C46" s="5">
        <v>0</v>
      </c>
      <c r="D46" s="5">
        <f t="shared" si="3"/>
        <v>0</v>
      </c>
      <c r="E46" s="5" t="s">
        <v>439</v>
      </c>
      <c r="F46" s="5">
        <f t="shared" si="4"/>
        <v>0</v>
      </c>
      <c r="G46" s="5">
        <v>0</v>
      </c>
    </row>
    <row r="47" s="5" customFormat="1" spans="1:7">
      <c r="A47" s="5">
        <v>46</v>
      </c>
      <c r="B47" s="5">
        <v>1</v>
      </c>
      <c r="C47" s="5">
        <v>200</v>
      </c>
      <c r="D47" s="5">
        <f t="shared" si="3"/>
        <v>0.005</v>
      </c>
      <c r="E47" s="5" t="s">
        <v>261</v>
      </c>
      <c r="F47" s="5">
        <f t="shared" si="4"/>
        <v>200</v>
      </c>
      <c r="G47" s="5">
        <v>0</v>
      </c>
    </row>
    <row r="48" s="5" customFormat="1" spans="1:7">
      <c r="A48" s="5">
        <v>47</v>
      </c>
      <c r="B48" s="5">
        <v>1</v>
      </c>
      <c r="C48" s="5">
        <v>150</v>
      </c>
      <c r="D48" s="5">
        <f t="shared" si="3"/>
        <v>0.00666666666666667</v>
      </c>
      <c r="E48" s="5" t="s">
        <v>440</v>
      </c>
      <c r="F48" s="5">
        <f t="shared" si="4"/>
        <v>150</v>
      </c>
      <c r="G48" s="5">
        <v>0</v>
      </c>
    </row>
    <row r="49" s="5" customFormat="1" spans="1:7">
      <c r="A49" s="5">
        <v>48</v>
      </c>
      <c r="B49" s="5">
        <v>1</v>
      </c>
      <c r="C49" s="5">
        <v>250</v>
      </c>
      <c r="D49" s="5">
        <f t="shared" si="3"/>
        <v>0.004</v>
      </c>
      <c r="E49" s="5" t="s">
        <v>441</v>
      </c>
      <c r="F49" s="5">
        <f t="shared" si="4"/>
        <v>250</v>
      </c>
      <c r="G49" s="5">
        <v>0</v>
      </c>
    </row>
    <row r="50" s="5" customFormat="1" spans="1:7">
      <c r="A50" s="5">
        <v>49</v>
      </c>
      <c r="B50" s="5">
        <v>1</v>
      </c>
      <c r="C50" s="5">
        <v>200</v>
      </c>
      <c r="D50" s="5">
        <f t="shared" si="3"/>
        <v>0.005</v>
      </c>
      <c r="E50" s="5" t="s">
        <v>442</v>
      </c>
      <c r="F50" s="5">
        <f t="shared" si="4"/>
        <v>200</v>
      </c>
      <c r="G50" s="5">
        <v>0</v>
      </c>
    </row>
    <row r="51" spans="1:7">
      <c r="A51" s="3">
        <v>50</v>
      </c>
      <c r="B51" s="3">
        <v>1</v>
      </c>
      <c r="C51" s="3">
        <v>0</v>
      </c>
      <c r="D51" s="3">
        <f t="shared" si="3"/>
        <v>0</v>
      </c>
      <c r="E51" s="3" t="s">
        <v>253</v>
      </c>
      <c r="F51" s="3">
        <f t="shared" si="4"/>
        <v>0</v>
      </c>
      <c r="G51" s="3">
        <v>0</v>
      </c>
    </row>
    <row r="52" spans="1:7">
      <c r="A52" s="11">
        <v>51</v>
      </c>
      <c r="B52" s="11">
        <v>1</v>
      </c>
      <c r="C52" s="11">
        <v>200</v>
      </c>
      <c r="D52" s="11">
        <f t="shared" si="3"/>
        <v>0.005</v>
      </c>
      <c r="E52" s="11" t="s">
        <v>443</v>
      </c>
      <c r="F52" s="11">
        <v>200</v>
      </c>
      <c r="G52" s="11">
        <v>0</v>
      </c>
    </row>
    <row r="53" spans="1:7">
      <c r="A53" s="3">
        <v>52</v>
      </c>
      <c r="B53" s="3">
        <v>1</v>
      </c>
      <c r="C53" s="3">
        <v>0</v>
      </c>
      <c r="D53" s="3">
        <f t="shared" si="3"/>
        <v>0</v>
      </c>
      <c r="E53" s="3" t="s">
        <v>444</v>
      </c>
      <c r="F53" s="3">
        <v>0</v>
      </c>
      <c r="G53" s="3">
        <v>0</v>
      </c>
    </row>
    <row r="54" spans="1:7">
      <c r="A54" s="3">
        <v>53</v>
      </c>
      <c r="B54" s="3">
        <v>1</v>
      </c>
      <c r="C54" s="3">
        <v>0</v>
      </c>
      <c r="D54" s="3">
        <f t="shared" si="3"/>
        <v>0</v>
      </c>
      <c r="E54" s="9" t="s">
        <v>414</v>
      </c>
      <c r="F54" s="3">
        <v>0</v>
      </c>
      <c r="G54" s="3">
        <v>0</v>
      </c>
    </row>
    <row r="55" spans="1:7">
      <c r="A55" s="3">
        <v>54</v>
      </c>
      <c r="B55" s="3">
        <v>1</v>
      </c>
      <c r="C55" s="3">
        <v>0</v>
      </c>
      <c r="D55" s="3">
        <f t="shared" si="3"/>
        <v>0</v>
      </c>
      <c r="E55" s="9" t="s">
        <v>416</v>
      </c>
      <c r="F55" s="3">
        <v>0</v>
      </c>
      <c r="G55" s="3">
        <v>0</v>
      </c>
    </row>
    <row r="56" spans="1:7">
      <c r="A56" s="3">
        <v>55</v>
      </c>
      <c r="B56" s="3">
        <v>1</v>
      </c>
      <c r="C56" s="3">
        <v>0</v>
      </c>
      <c r="D56" s="3">
        <f t="shared" si="3"/>
        <v>0</v>
      </c>
      <c r="E56" s="9" t="s">
        <v>419</v>
      </c>
      <c r="F56" s="3">
        <v>0</v>
      </c>
      <c r="G56" s="3">
        <v>0</v>
      </c>
    </row>
    <row r="57" spans="1:7">
      <c r="A57" s="3">
        <v>56</v>
      </c>
      <c r="B57" s="3">
        <v>1</v>
      </c>
      <c r="C57" s="3">
        <v>0</v>
      </c>
      <c r="D57" s="3">
        <f t="shared" si="3"/>
        <v>0</v>
      </c>
      <c r="E57" s="9" t="s">
        <v>420</v>
      </c>
      <c r="F57" s="3">
        <v>0</v>
      </c>
      <c r="G57" s="3">
        <v>0</v>
      </c>
    </row>
    <row r="58" spans="1:7">
      <c r="A58" s="3">
        <v>57</v>
      </c>
      <c r="B58" s="3">
        <v>1</v>
      </c>
      <c r="C58" s="3">
        <v>0</v>
      </c>
      <c r="D58" s="3">
        <v>0</v>
      </c>
      <c r="E58" s="3" t="s">
        <v>445</v>
      </c>
      <c r="F58" s="3">
        <v>0</v>
      </c>
      <c r="G58" s="3">
        <v>0</v>
      </c>
    </row>
    <row r="59" s="6" customFormat="1" spans="1:7">
      <c r="A59" s="6">
        <v>58</v>
      </c>
      <c r="B59" s="6">
        <v>1</v>
      </c>
      <c r="C59" s="6">
        <v>0</v>
      </c>
      <c r="D59" s="6">
        <v>0</v>
      </c>
      <c r="E59" s="6" t="s">
        <v>446</v>
      </c>
      <c r="F59" s="6">
        <v>0</v>
      </c>
      <c r="G59" s="6">
        <v>0</v>
      </c>
    </row>
    <row r="60" spans="1:7">
      <c r="A60" s="3">
        <v>59</v>
      </c>
      <c r="B60" s="3">
        <v>1</v>
      </c>
      <c r="C60" s="3">
        <v>0</v>
      </c>
      <c r="D60" s="3">
        <v>0</v>
      </c>
      <c r="E60" s="3" t="s">
        <v>375</v>
      </c>
      <c r="F60" s="3">
        <v>0</v>
      </c>
      <c r="G60" s="3">
        <v>0</v>
      </c>
    </row>
    <row r="61" s="7" customFormat="1" spans="1:7">
      <c r="A61" s="7">
        <v>60</v>
      </c>
      <c r="B61" s="7">
        <v>1</v>
      </c>
      <c r="C61" s="7">
        <v>0</v>
      </c>
      <c r="D61" s="7">
        <v>0</v>
      </c>
      <c r="E61" s="7" t="s">
        <v>447</v>
      </c>
      <c r="F61" s="7">
        <v>0</v>
      </c>
      <c r="G61" s="7">
        <v>0</v>
      </c>
    </row>
    <row r="62" spans="1:7">
      <c r="A62" s="12">
        <v>61</v>
      </c>
      <c r="B62" s="12">
        <v>1</v>
      </c>
      <c r="C62" s="12">
        <v>0</v>
      </c>
      <c r="D62" s="12">
        <v>0</v>
      </c>
      <c r="E62" s="12" t="s">
        <v>448</v>
      </c>
      <c r="F62" s="12">
        <v>0</v>
      </c>
      <c r="G62" s="12">
        <v>0</v>
      </c>
    </row>
    <row r="63" spans="1:7">
      <c r="A63" s="3">
        <v>62</v>
      </c>
      <c r="B63" s="3">
        <v>1</v>
      </c>
      <c r="C63" s="3">
        <v>0</v>
      </c>
      <c r="D63" s="3">
        <v>0</v>
      </c>
      <c r="E63" s="3" t="s">
        <v>449</v>
      </c>
      <c r="F63" s="3">
        <v>0</v>
      </c>
      <c r="G63" s="3">
        <v>0</v>
      </c>
    </row>
    <row r="64" s="5" customFormat="1" spans="1:7">
      <c r="A64" s="3">
        <v>63</v>
      </c>
      <c r="B64" s="5">
        <v>1</v>
      </c>
      <c r="C64" s="5">
        <v>120</v>
      </c>
      <c r="D64" s="5">
        <f>1/C64</f>
        <v>0.00833333333333333</v>
      </c>
      <c r="E64" s="9" t="s">
        <v>256</v>
      </c>
      <c r="F64" s="5">
        <f>C64</f>
        <v>120</v>
      </c>
      <c r="G64" s="5">
        <v>0</v>
      </c>
    </row>
    <row r="65" s="5" customFormat="1" spans="1:7">
      <c r="A65" s="3">
        <v>64</v>
      </c>
      <c r="B65" s="5">
        <v>1</v>
      </c>
      <c r="C65" s="5">
        <v>120</v>
      </c>
      <c r="D65" s="5">
        <f t="shared" ref="D65:D69" si="5">1/C65</f>
        <v>0.00833333333333333</v>
      </c>
      <c r="E65" s="9" t="s">
        <v>258</v>
      </c>
      <c r="F65" s="5">
        <f t="shared" ref="F65:F69" si="6">C65</f>
        <v>120</v>
      </c>
      <c r="G65" s="5">
        <v>0</v>
      </c>
    </row>
    <row r="66" s="5" customFormat="1" spans="1:7">
      <c r="A66" s="3">
        <v>65</v>
      </c>
      <c r="B66" s="5">
        <v>1</v>
      </c>
      <c r="C66" s="5">
        <v>120</v>
      </c>
      <c r="D66" s="5">
        <f t="shared" si="5"/>
        <v>0.00833333333333333</v>
      </c>
      <c r="E66" s="9" t="s">
        <v>260</v>
      </c>
      <c r="F66" s="5">
        <f t="shared" si="6"/>
        <v>120</v>
      </c>
      <c r="G66" s="5">
        <v>0</v>
      </c>
    </row>
    <row r="67" s="5" customFormat="1" spans="1:7">
      <c r="A67" s="3">
        <v>66</v>
      </c>
      <c r="B67" s="5">
        <v>1</v>
      </c>
      <c r="C67" s="5">
        <v>160</v>
      </c>
      <c r="D67" s="5">
        <f t="shared" si="5"/>
        <v>0.00625</v>
      </c>
      <c r="E67" s="9" t="s">
        <v>261</v>
      </c>
      <c r="F67" s="5">
        <f t="shared" si="6"/>
        <v>160</v>
      </c>
      <c r="G67" s="5">
        <v>0</v>
      </c>
    </row>
    <row r="68" s="5" customFormat="1" spans="1:7">
      <c r="A68" s="3">
        <v>67</v>
      </c>
      <c r="B68" s="5">
        <v>1</v>
      </c>
      <c r="C68" s="5">
        <v>200</v>
      </c>
      <c r="D68" s="5">
        <f t="shared" si="5"/>
        <v>0.005</v>
      </c>
      <c r="E68" s="9" t="s">
        <v>262</v>
      </c>
      <c r="F68" s="5">
        <f t="shared" si="6"/>
        <v>200</v>
      </c>
      <c r="G68" s="5">
        <v>0</v>
      </c>
    </row>
    <row r="69" s="5" customFormat="1" spans="1:7">
      <c r="A69" s="3">
        <v>68</v>
      </c>
      <c r="B69" s="5">
        <v>1</v>
      </c>
      <c r="C69" s="5">
        <v>200</v>
      </c>
      <c r="D69" s="5">
        <f t="shared" si="5"/>
        <v>0.005</v>
      </c>
      <c r="E69" s="9" t="s">
        <v>263</v>
      </c>
      <c r="F69" s="5">
        <f t="shared" si="6"/>
        <v>200</v>
      </c>
      <c r="G69" s="5">
        <v>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C109"/>
  <sheetViews>
    <sheetView topLeftCell="A70" workbookViewId="0">
      <selection activeCell="E97" sqref="E97"/>
    </sheetView>
  </sheetViews>
  <sheetFormatPr defaultColWidth="8.625" defaultRowHeight="14.25" outlineLevelCol="2"/>
  <cols>
    <col min="1" max="1" width="17.625" style="3" customWidth="1"/>
    <col min="2" max="2" width="26.375" style="3" customWidth="1"/>
    <col min="3" max="16384" width="8.625" style="3"/>
  </cols>
  <sheetData>
    <row r="1" ht="38.25" customHeight="1" spans="1:3">
      <c r="A1" s="1" t="s">
        <v>450</v>
      </c>
      <c r="B1" s="1" t="s">
        <v>451</v>
      </c>
      <c r="C1" s="1" t="s">
        <v>452</v>
      </c>
    </row>
    <row r="2" spans="1:3">
      <c r="A2" s="3">
        <v>1</v>
      </c>
      <c r="B2" s="3">
        <v>300</v>
      </c>
      <c r="C2" s="3">
        <v>1</v>
      </c>
    </row>
    <row r="3" spans="1:3">
      <c r="A3" s="3">
        <v>2</v>
      </c>
      <c r="B3" s="3">
        <v>300</v>
      </c>
      <c r="C3" s="3">
        <v>1</v>
      </c>
    </row>
    <row r="4" spans="1:3">
      <c r="A4" s="3">
        <v>3</v>
      </c>
      <c r="B4" s="3">
        <v>300</v>
      </c>
      <c r="C4" s="3">
        <v>1</v>
      </c>
    </row>
    <row r="5" spans="1:3">
      <c r="A5" s="3">
        <v>4</v>
      </c>
      <c r="B5" s="3">
        <v>300</v>
      </c>
      <c r="C5" s="3">
        <v>1</v>
      </c>
    </row>
    <row r="6" spans="1:3">
      <c r="A6" s="3">
        <v>5</v>
      </c>
      <c r="B6" s="3">
        <v>300</v>
      </c>
      <c r="C6" s="3">
        <v>1</v>
      </c>
    </row>
    <row r="7" spans="1:3">
      <c r="A7" s="3">
        <v>6</v>
      </c>
      <c r="B7" s="3">
        <v>300</v>
      </c>
      <c r="C7" s="3">
        <v>1</v>
      </c>
    </row>
    <row r="8" spans="1:3">
      <c r="A8" s="3">
        <v>7</v>
      </c>
      <c r="B8" s="3">
        <v>300</v>
      </c>
      <c r="C8" s="3">
        <v>2</v>
      </c>
    </row>
    <row r="9" spans="1:3">
      <c r="A9" s="3">
        <v>8</v>
      </c>
      <c r="B9" s="3">
        <v>300</v>
      </c>
      <c r="C9" s="3">
        <v>2</v>
      </c>
    </row>
    <row r="10" spans="1:3">
      <c r="A10" s="3">
        <v>9</v>
      </c>
      <c r="B10" s="3">
        <v>300</v>
      </c>
      <c r="C10" s="3">
        <v>2</v>
      </c>
    </row>
    <row r="11" spans="1:3">
      <c r="A11" s="3">
        <v>10</v>
      </c>
      <c r="B11" s="3">
        <v>300</v>
      </c>
      <c r="C11" s="3">
        <v>2</v>
      </c>
    </row>
    <row r="12" spans="1:3">
      <c r="A12" s="3">
        <v>11</v>
      </c>
      <c r="B12" s="3">
        <v>300</v>
      </c>
      <c r="C12" s="3">
        <v>2</v>
      </c>
    </row>
    <row r="13" spans="1:3">
      <c r="A13" s="3">
        <v>12</v>
      </c>
      <c r="B13" s="3">
        <v>300</v>
      </c>
      <c r="C13" s="3">
        <v>2</v>
      </c>
    </row>
    <row r="14" spans="1:3">
      <c r="A14" s="3">
        <v>13</v>
      </c>
      <c r="B14" s="3">
        <v>300</v>
      </c>
      <c r="C14" s="3">
        <v>2</v>
      </c>
    </row>
    <row r="15" spans="1:3">
      <c r="A15" s="3">
        <v>14</v>
      </c>
      <c r="B15" s="3">
        <v>300</v>
      </c>
      <c r="C15" s="3">
        <v>3</v>
      </c>
    </row>
    <row r="16" spans="1:3">
      <c r="A16" s="3">
        <v>15</v>
      </c>
      <c r="B16" s="3">
        <v>300</v>
      </c>
      <c r="C16" s="3">
        <v>3</v>
      </c>
    </row>
    <row r="17" spans="1:3">
      <c r="A17" s="3">
        <v>16</v>
      </c>
      <c r="B17" s="3">
        <v>300</v>
      </c>
      <c r="C17" s="3">
        <v>3</v>
      </c>
    </row>
    <row r="18" spans="1:3">
      <c r="A18" s="3">
        <v>17</v>
      </c>
      <c r="B18" s="3">
        <v>300</v>
      </c>
      <c r="C18" s="3">
        <v>3</v>
      </c>
    </row>
    <row r="19" spans="1:3">
      <c r="A19" s="3">
        <v>18</v>
      </c>
      <c r="B19" s="3">
        <v>300</v>
      </c>
      <c r="C19" s="3">
        <v>3</v>
      </c>
    </row>
    <row r="20" spans="1:3">
      <c r="A20" s="3">
        <v>19</v>
      </c>
      <c r="B20" s="3">
        <v>300</v>
      </c>
      <c r="C20" s="3">
        <v>3</v>
      </c>
    </row>
    <row r="21" spans="1:3">
      <c r="A21" s="3">
        <v>20</v>
      </c>
      <c r="B21" s="3">
        <v>300</v>
      </c>
      <c r="C21" s="3">
        <v>3</v>
      </c>
    </row>
    <row r="22" spans="1:3">
      <c r="A22" s="3">
        <v>21</v>
      </c>
      <c r="B22" s="3">
        <v>300</v>
      </c>
      <c r="C22" s="3">
        <v>4</v>
      </c>
    </row>
    <row r="23" spans="1:3">
      <c r="A23" s="3">
        <v>22</v>
      </c>
      <c r="B23" s="3">
        <v>300</v>
      </c>
      <c r="C23" s="3">
        <v>4</v>
      </c>
    </row>
    <row r="24" spans="1:3">
      <c r="A24" s="3">
        <v>23</v>
      </c>
      <c r="B24" s="3">
        <v>300</v>
      </c>
      <c r="C24" s="3">
        <v>4</v>
      </c>
    </row>
    <row r="25" spans="1:3">
      <c r="A25" s="3">
        <v>24</v>
      </c>
      <c r="B25" s="3">
        <v>300</v>
      </c>
      <c r="C25" s="3">
        <v>4</v>
      </c>
    </row>
    <row r="26" spans="1:3">
      <c r="A26" s="3">
        <v>25</v>
      </c>
      <c r="B26" s="3">
        <v>300</v>
      </c>
      <c r="C26" s="3">
        <v>4</v>
      </c>
    </row>
    <row r="27" spans="1:3">
      <c r="A27" s="3">
        <v>26</v>
      </c>
      <c r="B27" s="3">
        <v>300</v>
      </c>
      <c r="C27" s="3">
        <v>4</v>
      </c>
    </row>
    <row r="28" spans="1:3">
      <c r="A28" s="3">
        <v>27</v>
      </c>
      <c r="B28" s="3">
        <v>300</v>
      </c>
      <c r="C28" s="3">
        <v>4</v>
      </c>
    </row>
    <row r="29" spans="1:3">
      <c r="A29" s="3">
        <v>28</v>
      </c>
      <c r="B29" s="3">
        <v>300</v>
      </c>
      <c r="C29" s="3">
        <v>4</v>
      </c>
    </row>
    <row r="30" spans="1:2">
      <c r="A30" s="3">
        <v>29</v>
      </c>
      <c r="B30" s="3">
        <v>300</v>
      </c>
    </row>
    <row r="31" spans="1:2">
      <c r="A31" s="3">
        <v>30</v>
      </c>
      <c r="B31" s="3">
        <v>300</v>
      </c>
    </row>
    <row r="32" spans="1:2">
      <c r="A32" s="3">
        <v>31</v>
      </c>
      <c r="B32" s="3">
        <v>300</v>
      </c>
    </row>
    <row r="33" spans="1:2">
      <c r="A33" s="3">
        <v>32</v>
      </c>
      <c r="B33" s="3">
        <v>300</v>
      </c>
    </row>
    <row r="34" spans="1:2">
      <c r="A34" s="3">
        <v>33</v>
      </c>
      <c r="B34" s="3">
        <v>300</v>
      </c>
    </row>
    <row r="35" spans="1:2">
      <c r="A35" s="3">
        <v>34</v>
      </c>
      <c r="B35" s="3">
        <v>300</v>
      </c>
    </row>
    <row r="36" spans="1:2">
      <c r="A36" s="3">
        <v>35</v>
      </c>
      <c r="B36" s="3">
        <v>300</v>
      </c>
    </row>
    <row r="37" spans="1:2">
      <c r="A37" s="3">
        <v>36</v>
      </c>
      <c r="B37" s="3">
        <v>300</v>
      </c>
    </row>
    <row r="38" spans="1:2">
      <c r="A38" s="3">
        <v>37</v>
      </c>
      <c r="B38" s="3">
        <v>300</v>
      </c>
    </row>
    <row r="39" spans="1:2">
      <c r="A39" s="3">
        <v>38</v>
      </c>
      <c r="B39" s="3">
        <v>300</v>
      </c>
    </row>
    <row r="40" spans="1:2">
      <c r="A40" s="3">
        <v>39</v>
      </c>
      <c r="B40" s="3">
        <v>300</v>
      </c>
    </row>
    <row r="41" spans="1:2">
      <c r="A41" s="3">
        <v>40</v>
      </c>
      <c r="B41" s="3">
        <v>300</v>
      </c>
    </row>
    <row r="42" spans="1:2">
      <c r="A42" s="3">
        <v>41</v>
      </c>
      <c r="B42" s="3">
        <v>300</v>
      </c>
    </row>
    <row r="43" spans="1:2">
      <c r="A43" s="3">
        <v>42</v>
      </c>
      <c r="B43" s="3">
        <v>300</v>
      </c>
    </row>
    <row r="44" spans="1:2">
      <c r="A44" s="3">
        <v>43</v>
      </c>
      <c r="B44" s="3">
        <v>300</v>
      </c>
    </row>
    <row r="45" spans="1:2">
      <c r="A45" s="3">
        <v>44</v>
      </c>
      <c r="B45" s="3">
        <v>300</v>
      </c>
    </row>
    <row r="46" spans="1:2">
      <c r="A46" s="3">
        <v>45</v>
      </c>
      <c r="B46" s="3">
        <v>300</v>
      </c>
    </row>
    <row r="47" spans="1:2">
      <c r="A47" s="3">
        <v>46</v>
      </c>
      <c r="B47" s="3">
        <v>300</v>
      </c>
    </row>
    <row r="48" spans="1:2">
      <c r="A48" s="3">
        <v>47</v>
      </c>
      <c r="B48" s="3">
        <v>300</v>
      </c>
    </row>
    <row r="49" spans="1:2">
      <c r="A49" s="3">
        <v>48</v>
      </c>
      <c r="B49" s="3">
        <v>800</v>
      </c>
    </row>
    <row r="50" spans="1:2">
      <c r="A50" s="3">
        <v>49</v>
      </c>
      <c r="B50" s="3">
        <v>500</v>
      </c>
    </row>
    <row r="51" spans="1:2">
      <c r="A51" s="3">
        <v>50</v>
      </c>
      <c r="B51" s="3">
        <v>500</v>
      </c>
    </row>
    <row r="52" spans="1:2">
      <c r="A52" s="3">
        <v>51</v>
      </c>
      <c r="B52" s="3">
        <v>500</v>
      </c>
    </row>
    <row r="53" spans="1:2">
      <c r="A53" s="3">
        <v>52</v>
      </c>
      <c r="B53" s="3">
        <v>500</v>
      </c>
    </row>
    <row r="54" spans="1:2">
      <c r="A54" s="3">
        <v>53</v>
      </c>
      <c r="B54" s="3">
        <v>500</v>
      </c>
    </row>
    <row r="55" spans="1:2">
      <c r="A55" s="3">
        <v>54</v>
      </c>
      <c r="B55" s="3">
        <v>500</v>
      </c>
    </row>
    <row r="56" spans="1:2">
      <c r="A56" s="3">
        <v>55</v>
      </c>
      <c r="B56" s="3">
        <v>500</v>
      </c>
    </row>
    <row r="57" spans="1:2">
      <c r="A57" s="3">
        <v>56</v>
      </c>
      <c r="B57" s="3">
        <v>500</v>
      </c>
    </row>
    <row r="58" spans="1:2">
      <c r="A58" s="3">
        <v>57</v>
      </c>
      <c r="B58" s="3">
        <v>500</v>
      </c>
    </row>
    <row r="59" spans="1:2">
      <c r="A59" s="3">
        <v>58</v>
      </c>
      <c r="B59" s="3">
        <v>500</v>
      </c>
    </row>
    <row r="60" spans="1:2">
      <c r="A60" s="3">
        <v>59</v>
      </c>
      <c r="B60" s="3">
        <v>500</v>
      </c>
    </row>
    <row r="61" spans="1:2">
      <c r="A61" s="3">
        <v>60</v>
      </c>
      <c r="B61" s="3">
        <v>500</v>
      </c>
    </row>
    <row r="62" spans="1:2">
      <c r="A62" s="3">
        <v>61</v>
      </c>
      <c r="B62" s="3">
        <v>500</v>
      </c>
    </row>
    <row r="63" spans="1:2">
      <c r="A63" s="3">
        <v>62</v>
      </c>
      <c r="B63" s="3">
        <v>500</v>
      </c>
    </row>
    <row r="64" spans="1:2">
      <c r="A64" s="3">
        <v>63</v>
      </c>
      <c r="B64" s="3">
        <v>500</v>
      </c>
    </row>
    <row r="65" spans="1:2">
      <c r="A65" s="3">
        <v>64</v>
      </c>
      <c r="B65" s="3">
        <v>500</v>
      </c>
    </row>
    <row r="66" spans="1:2">
      <c r="A66" s="3">
        <v>65</v>
      </c>
      <c r="B66" s="3">
        <v>500</v>
      </c>
    </row>
    <row r="67" spans="1:2">
      <c r="A67" s="3">
        <v>66</v>
      </c>
      <c r="B67" s="3">
        <v>500</v>
      </c>
    </row>
    <row r="68" spans="1:2">
      <c r="A68" s="3">
        <v>67</v>
      </c>
      <c r="B68" s="3">
        <v>500</v>
      </c>
    </row>
    <row r="69" spans="1:2">
      <c r="A69" s="3">
        <v>68</v>
      </c>
      <c r="B69" s="3">
        <v>500</v>
      </c>
    </row>
    <row r="70" spans="1:2">
      <c r="A70" s="3">
        <v>69</v>
      </c>
      <c r="B70" s="3">
        <v>500</v>
      </c>
    </row>
    <row r="71" spans="1:2">
      <c r="A71" s="3">
        <v>70</v>
      </c>
      <c r="B71" s="3">
        <v>500</v>
      </c>
    </row>
    <row r="72" spans="1:2">
      <c r="A72" s="3">
        <v>71</v>
      </c>
      <c r="B72" s="3">
        <v>500</v>
      </c>
    </row>
    <row r="73" spans="1:2">
      <c r="A73" s="3">
        <v>72</v>
      </c>
      <c r="B73" s="3">
        <v>500</v>
      </c>
    </row>
    <row r="74" spans="1:2">
      <c r="A74" s="3">
        <v>73</v>
      </c>
      <c r="B74" s="3">
        <v>500</v>
      </c>
    </row>
    <row r="75" spans="1:2">
      <c r="A75" s="3">
        <v>74</v>
      </c>
      <c r="B75" s="3">
        <v>500</v>
      </c>
    </row>
    <row r="76" spans="1:2">
      <c r="A76" s="3">
        <v>75</v>
      </c>
      <c r="B76" s="3">
        <v>500</v>
      </c>
    </row>
    <row r="77" spans="1:2">
      <c r="A77" s="3">
        <v>76</v>
      </c>
      <c r="B77" s="3">
        <v>500</v>
      </c>
    </row>
    <row r="78" spans="1:2">
      <c r="A78" s="3">
        <v>77</v>
      </c>
      <c r="B78" s="3">
        <v>500</v>
      </c>
    </row>
    <row r="79" spans="1:2">
      <c r="A79" s="3">
        <v>78</v>
      </c>
      <c r="B79" s="3">
        <v>500</v>
      </c>
    </row>
    <row r="80" spans="1:2">
      <c r="A80" s="3">
        <v>79</v>
      </c>
      <c r="B80" s="3">
        <v>500</v>
      </c>
    </row>
    <row r="81" spans="1:2">
      <c r="A81" s="3">
        <v>80</v>
      </c>
      <c r="B81" s="3">
        <v>500</v>
      </c>
    </row>
    <row r="82" spans="1:2">
      <c r="A82" s="3">
        <v>81</v>
      </c>
      <c r="B82" s="3">
        <v>500</v>
      </c>
    </row>
    <row r="83" spans="1:2">
      <c r="A83" s="3">
        <v>82</v>
      </c>
      <c r="B83" s="3">
        <v>500</v>
      </c>
    </row>
    <row r="84" spans="1:2">
      <c r="A84" s="3">
        <v>83</v>
      </c>
      <c r="B84" s="3">
        <v>500</v>
      </c>
    </row>
    <row r="85" spans="1:2">
      <c r="A85" s="3">
        <v>84</v>
      </c>
      <c r="B85" s="3">
        <v>500</v>
      </c>
    </row>
    <row r="86" spans="1:2">
      <c r="A86" s="3">
        <v>85</v>
      </c>
      <c r="B86" s="3">
        <v>500</v>
      </c>
    </row>
    <row r="87" spans="1:2">
      <c r="A87" s="3">
        <v>86</v>
      </c>
      <c r="B87" s="3">
        <v>500</v>
      </c>
    </row>
    <row r="88" spans="1:2">
      <c r="A88" s="3">
        <v>87</v>
      </c>
      <c r="B88" s="3">
        <v>500</v>
      </c>
    </row>
    <row r="89" spans="1:2">
      <c r="A89" s="3">
        <v>88</v>
      </c>
      <c r="B89" s="3">
        <v>500</v>
      </c>
    </row>
    <row r="90" spans="1:2">
      <c r="A90" s="3">
        <v>89</v>
      </c>
      <c r="B90" s="3">
        <v>500</v>
      </c>
    </row>
    <row r="91" spans="1:2">
      <c r="A91" s="3">
        <v>90</v>
      </c>
      <c r="B91" s="3">
        <v>500</v>
      </c>
    </row>
    <row r="92" spans="1:2">
      <c r="A92" s="3">
        <v>91</v>
      </c>
      <c r="B92" s="3">
        <v>500</v>
      </c>
    </row>
    <row r="93" spans="1:2">
      <c r="A93" s="3">
        <v>92</v>
      </c>
      <c r="B93" s="3">
        <v>500</v>
      </c>
    </row>
    <row r="94" spans="1:2">
      <c r="A94" s="3">
        <v>93</v>
      </c>
      <c r="B94" s="3">
        <v>500</v>
      </c>
    </row>
    <row r="95" spans="1:2">
      <c r="A95" s="3">
        <v>94</v>
      </c>
      <c r="B95" s="3">
        <v>500</v>
      </c>
    </row>
    <row r="96" spans="1:2">
      <c r="A96" s="3">
        <v>95</v>
      </c>
      <c r="B96" s="3">
        <v>500</v>
      </c>
    </row>
    <row r="97" spans="1:2">
      <c r="A97" s="3">
        <v>96</v>
      </c>
      <c r="B97" s="3">
        <v>500</v>
      </c>
    </row>
    <row r="98" spans="1:2">
      <c r="A98" s="3">
        <v>97</v>
      </c>
      <c r="B98" s="3">
        <v>500</v>
      </c>
    </row>
    <row r="99" spans="1:2">
      <c r="A99" s="3">
        <v>98</v>
      </c>
      <c r="B99" s="3">
        <v>500</v>
      </c>
    </row>
    <row r="100" spans="1:2">
      <c r="A100" s="3">
        <v>99</v>
      </c>
      <c r="B100" s="3">
        <v>500</v>
      </c>
    </row>
    <row r="101" spans="1:2">
      <c r="A101" s="3">
        <v>100</v>
      </c>
      <c r="B101" s="3">
        <v>500</v>
      </c>
    </row>
    <row r="102" spans="1:2">
      <c r="A102" s="3">
        <v>101</v>
      </c>
      <c r="B102" s="3">
        <v>500</v>
      </c>
    </row>
    <row r="103" spans="1:2">
      <c r="A103" s="3">
        <v>102</v>
      </c>
      <c r="B103" s="3">
        <v>500</v>
      </c>
    </row>
    <row r="104" spans="1:2">
      <c r="A104" s="3">
        <v>103</v>
      </c>
      <c r="B104" s="3">
        <v>500</v>
      </c>
    </row>
    <row r="105" spans="1:2">
      <c r="A105" s="3">
        <v>104</v>
      </c>
      <c r="B105" s="3">
        <v>500</v>
      </c>
    </row>
    <row r="106" spans="1:2">
      <c r="A106" s="3">
        <v>11001</v>
      </c>
      <c r="B106" s="3">
        <v>500</v>
      </c>
    </row>
    <row r="107" spans="1:2">
      <c r="A107" s="3">
        <v>11002</v>
      </c>
      <c r="B107" s="3">
        <v>500</v>
      </c>
    </row>
    <row r="108" spans="1:2">
      <c r="A108" s="3">
        <v>11003</v>
      </c>
      <c r="B108" s="3">
        <v>500</v>
      </c>
    </row>
    <row r="109" spans="1:2">
      <c r="A109" s="3">
        <v>11004</v>
      </c>
      <c r="B109" s="3">
        <v>500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XFD6"/>
  <sheetViews>
    <sheetView workbookViewId="0">
      <selection activeCell="B6" sqref="B6"/>
    </sheetView>
  </sheetViews>
  <sheetFormatPr defaultColWidth="8.875" defaultRowHeight="14.25" outlineLevelRow="5"/>
  <cols>
    <col min="2" max="2" width="9.875" customWidth="1"/>
  </cols>
  <sheetData>
    <row r="1" spans="1:16384">
      <c r="A1" s="1" t="s">
        <v>453</v>
      </c>
      <c r="B1" s="1" t="s">
        <v>454</v>
      </c>
      <c r="C1" s="1" t="s">
        <v>455</v>
      </c>
      <c r="D1" s="1" t="s">
        <v>456</v>
      </c>
      <c r="XFD1" s="1"/>
    </row>
    <row r="2" spans="1:4">
      <c r="A2">
        <v>1</v>
      </c>
      <c r="B2" t="s">
        <v>457</v>
      </c>
      <c r="C2">
        <v>10</v>
      </c>
      <c r="D2">
        <v>0</v>
      </c>
    </row>
    <row r="3" spans="1:4">
      <c r="A3">
        <v>2</v>
      </c>
      <c r="B3" t="s">
        <v>458</v>
      </c>
      <c r="C3">
        <v>20</v>
      </c>
      <c r="D3">
        <v>0</v>
      </c>
    </row>
    <row r="4" spans="1:4">
      <c r="A4">
        <v>3</v>
      </c>
      <c r="B4" t="s">
        <v>459</v>
      </c>
      <c r="C4">
        <v>15</v>
      </c>
      <c r="D4">
        <v>0</v>
      </c>
    </row>
    <row r="5" spans="1:4">
      <c r="A5">
        <v>4</v>
      </c>
      <c r="B5" t="s">
        <v>460</v>
      </c>
      <c r="C5">
        <v>15</v>
      </c>
      <c r="D5">
        <v>0</v>
      </c>
    </row>
    <row r="6" spans="1:4">
      <c r="A6">
        <v>5</v>
      </c>
      <c r="B6" t="s">
        <v>461</v>
      </c>
      <c r="C6">
        <v>15</v>
      </c>
      <c r="D6">
        <v>0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XFD7"/>
  <sheetViews>
    <sheetView workbookViewId="0">
      <selection activeCell="C4" sqref="C4"/>
    </sheetView>
  </sheetViews>
  <sheetFormatPr defaultColWidth="9" defaultRowHeight="14.25" outlineLevelRow="6"/>
  <cols>
    <col min="1" max="1" width="9" style="2"/>
    <col min="2" max="2" width="14.625" style="2" customWidth="1"/>
    <col min="3" max="3" width="17.625" style="2" customWidth="1"/>
    <col min="4" max="4" width="22.375" style="2" customWidth="1"/>
    <col min="5" max="5" width="19.125" customWidth="1"/>
    <col min="6" max="6" width="17.125" style="2" customWidth="1"/>
    <col min="7" max="16384" width="9" style="2"/>
  </cols>
  <sheetData>
    <row r="1" ht="36" customHeight="1" spans="1:16384">
      <c r="A1" s="1" t="s">
        <v>462</v>
      </c>
      <c r="B1" s="1" t="s">
        <v>463</v>
      </c>
      <c r="C1" s="1" t="s">
        <v>273</v>
      </c>
      <c r="G1" s="1"/>
      <c r="H1" s="1"/>
      <c r="I1" s="1"/>
      <c r="J1" s="1"/>
      <c r="XFD1" s="1"/>
    </row>
    <row r="2" ht="18.75" customHeight="1" spans="1:3">
      <c r="A2" s="3">
        <v>1</v>
      </c>
      <c r="B2" s="3" t="s">
        <v>464</v>
      </c>
      <c r="C2" s="3"/>
    </row>
    <row r="3" spans="1:3">
      <c r="A3" s="3">
        <v>2</v>
      </c>
      <c r="B3" s="3" t="s">
        <v>465</v>
      </c>
      <c r="C3" s="3" t="s">
        <v>466</v>
      </c>
    </row>
    <row r="4" spans="1:3">
      <c r="A4" s="3">
        <v>3</v>
      </c>
      <c r="B4" s="3" t="s">
        <v>467</v>
      </c>
      <c r="C4" s="3" t="s">
        <v>468</v>
      </c>
    </row>
    <row r="5" spans="1:6">
      <c r="A5" s="3"/>
      <c r="B5" s="3"/>
      <c r="C5" s="3"/>
      <c r="D5" s="3"/>
      <c r="F5" s="3"/>
    </row>
    <row r="6" spans="1:6">
      <c r="A6" s="3"/>
      <c r="B6" s="3"/>
      <c r="C6" s="3"/>
      <c r="D6" s="3"/>
      <c r="F6" s="3"/>
    </row>
    <row r="7" spans="1:6">
      <c r="A7" s="3"/>
      <c r="B7" s="3"/>
      <c r="C7" s="3"/>
      <c r="D7" s="3"/>
      <c r="F7" s="3"/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XFD4"/>
  <sheetViews>
    <sheetView workbookViewId="0">
      <selection activeCell="F3" sqref="F3"/>
    </sheetView>
  </sheetViews>
  <sheetFormatPr defaultColWidth="8.875" defaultRowHeight="14.25" outlineLevelRow="3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="2" customFormat="1" ht="36" customHeight="1" spans="1:16384">
      <c r="A1" s="1" t="s">
        <v>453</v>
      </c>
      <c r="B1" s="1" t="s">
        <v>469</v>
      </c>
      <c r="C1" s="1" t="s">
        <v>470</v>
      </c>
      <c r="D1" s="1" t="s">
        <v>471</v>
      </c>
      <c r="E1" s="1" t="s">
        <v>472</v>
      </c>
      <c r="F1" s="1" t="s">
        <v>273</v>
      </c>
      <c r="G1" s="1"/>
      <c r="H1" s="1"/>
      <c r="I1" s="1"/>
      <c r="J1" s="1"/>
      <c r="XFD1" s="1"/>
    </row>
    <row r="2" ht="37.5" customHeight="1" spans="1:6">
      <c r="A2" s="3">
        <v>1</v>
      </c>
      <c r="B2" s="3">
        <v>1</v>
      </c>
      <c r="C2" s="3" t="s">
        <v>473</v>
      </c>
      <c r="D2" s="3">
        <v>0</v>
      </c>
      <c r="E2" s="3"/>
      <c r="F2" t="s">
        <v>474</v>
      </c>
    </row>
    <row r="3" ht="39" customHeight="1" spans="1:6">
      <c r="A3" s="3">
        <v>2</v>
      </c>
      <c r="B3" s="3">
        <v>1</v>
      </c>
      <c r="C3" s="3" t="s">
        <v>475</v>
      </c>
      <c r="D3" s="3">
        <v>1</v>
      </c>
      <c r="E3" s="3" t="s">
        <v>476</v>
      </c>
      <c r="F3" t="s">
        <v>477</v>
      </c>
    </row>
    <row r="4" ht="63.75" customHeight="1" spans="1:6">
      <c r="A4" s="3">
        <v>3</v>
      </c>
      <c r="B4" s="3">
        <v>1</v>
      </c>
      <c r="C4" s="3" t="s">
        <v>475</v>
      </c>
      <c r="D4" s="3">
        <v>0</v>
      </c>
      <c r="E4" s="4" t="s">
        <v>478</v>
      </c>
      <c r="F4" t="s">
        <v>479</v>
      </c>
    </row>
  </sheetData>
  <pageMargins left="0.7" right="0.7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2"/>
  <sheetViews>
    <sheetView workbookViewId="0">
      <selection activeCell="C11" sqref="C11"/>
    </sheetView>
  </sheetViews>
  <sheetFormatPr defaultColWidth="9" defaultRowHeight="14.25" outlineLevelRow="1" outlineLevelCol="2"/>
  <cols>
    <col min="2" max="2" width="26.125" customWidth="1"/>
    <col min="3" max="3" width="27.625" customWidth="1"/>
  </cols>
  <sheetData>
    <row r="1" spans="1:3">
      <c r="A1" s="1" t="s">
        <v>480</v>
      </c>
      <c r="B1" s="1" t="s">
        <v>481</v>
      </c>
      <c r="C1" t="s">
        <v>273</v>
      </c>
    </row>
    <row r="2" spans="1:3">
      <c r="A2">
        <v>1</v>
      </c>
      <c r="B2" t="s">
        <v>482</v>
      </c>
      <c r="C2" t="s">
        <v>483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杨浩梦想家</cp:lastModifiedBy>
  <dcterms:created xsi:type="dcterms:W3CDTF">2015-06-05T18:19:00Z</dcterms:created>
  <dcterms:modified xsi:type="dcterms:W3CDTF">2021-06-24T03:05:26Z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1095558441164E3199E347753A3D1884</vt:lpwstr>
  </property>
  <property fmtid="{D5CDD505-2E9C-101B-9397-08002B2CF9AE}" pid="3" name="KSOProductBuildVer">
    <vt:lpwstr>2052-11.1.0.10495</vt:lpwstr>
  </property>
</Properties>
</file>