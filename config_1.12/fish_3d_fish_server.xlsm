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1" i="7" l="1"/>
  <c r="I171" i="7"/>
  <c r="J171" i="7"/>
  <c r="H172" i="7"/>
  <c r="I172" i="7"/>
  <c r="J172" i="7"/>
  <c r="H173" i="7"/>
  <c r="I173" i="7"/>
  <c r="J173" i="7"/>
  <c r="H174" i="7"/>
  <c r="I174" i="7"/>
  <c r="J174" i="7"/>
  <c r="H175" i="7"/>
  <c r="I175" i="7"/>
  <c r="J175" i="7"/>
  <c r="H176" i="7"/>
  <c r="I176" i="7"/>
  <c r="J176" i="7"/>
  <c r="H177" i="7"/>
  <c r="I177" i="7"/>
  <c r="J177" i="7"/>
  <c r="H178" i="7"/>
  <c r="I178" i="7"/>
  <c r="J178" i="7"/>
  <c r="H179" i="7"/>
  <c r="I179" i="7"/>
  <c r="J179" i="7"/>
  <c r="L155" i="14"/>
  <c r="L156" i="14"/>
  <c r="L157" i="14"/>
  <c r="L158" i="14"/>
  <c r="L159" i="14"/>
  <c r="L160" i="14"/>
  <c r="L161" i="14"/>
  <c r="L162" i="14"/>
  <c r="L163" i="14"/>
  <c r="K155" i="14"/>
  <c r="K156" i="14"/>
  <c r="K157" i="14"/>
  <c r="K158" i="14"/>
  <c r="K159" i="14"/>
  <c r="K160" i="14"/>
  <c r="K161" i="14"/>
  <c r="K162" i="14"/>
  <c r="K163" i="14"/>
  <c r="I155" i="14"/>
  <c r="I156" i="14"/>
  <c r="I157" i="14"/>
  <c r="I158" i="14"/>
  <c r="I159" i="14"/>
  <c r="I160" i="14"/>
  <c r="I161" i="14"/>
  <c r="I162" i="14"/>
  <c r="I163" i="14"/>
  <c r="H155" i="14"/>
  <c r="H156" i="14"/>
  <c r="H157" i="14"/>
  <c r="H158" i="14"/>
  <c r="H159" i="14"/>
  <c r="H160" i="14"/>
  <c r="H161" i="14"/>
  <c r="H162" i="14"/>
  <c r="H163" i="14"/>
  <c r="F155" i="14"/>
  <c r="F156" i="14"/>
  <c r="F157" i="14"/>
  <c r="F158" i="14"/>
  <c r="F159" i="14"/>
  <c r="F160" i="14"/>
  <c r="F161" i="14"/>
  <c r="F162" i="14"/>
  <c r="F163" i="14"/>
  <c r="E155" i="14"/>
  <c r="E156" i="14"/>
  <c r="E157" i="14"/>
  <c r="E158" i="14"/>
  <c r="E159" i="14"/>
  <c r="E160" i="14"/>
  <c r="E161" i="14"/>
  <c r="E162" i="14"/>
  <c r="E163" i="14"/>
  <c r="G82" i="5"/>
  <c r="G81" i="5"/>
  <c r="G80" i="5"/>
  <c r="G79" i="5"/>
  <c r="E154" i="14" l="1"/>
  <c r="H170" i="7" s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3" i="7"/>
  <c r="K146" i="14"/>
  <c r="J162" i="7" s="1"/>
  <c r="K147" i="14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J170" i="7" s="1"/>
  <c r="I146" i="14"/>
  <c r="L146" i="14" s="1"/>
  <c r="I147" i="14"/>
  <c r="I163" i="7" s="1"/>
  <c r="I148" i="14"/>
  <c r="I164" i="7" s="1"/>
  <c r="I149" i="14"/>
  <c r="I165" i="7" s="1"/>
  <c r="I150" i="14"/>
  <c r="L150" i="14" s="1"/>
  <c r="I151" i="14"/>
  <c r="I167" i="7" s="1"/>
  <c r="I152" i="14"/>
  <c r="I168" i="7" s="1"/>
  <c r="I153" i="14"/>
  <c r="I169" i="7" s="1"/>
  <c r="I154" i="14"/>
  <c r="L154" i="14" s="1"/>
  <c r="H146" i="14"/>
  <c r="H147" i="14"/>
  <c r="H148" i="14"/>
  <c r="H149" i="14"/>
  <c r="H150" i="14"/>
  <c r="H151" i="14"/>
  <c r="H152" i="14"/>
  <c r="H153" i="14"/>
  <c r="H154" i="14"/>
  <c r="F153" i="14"/>
  <c r="F154" i="14"/>
  <c r="F150" i="14" l="1"/>
  <c r="F146" i="14"/>
  <c r="L149" i="14"/>
  <c r="H167" i="7"/>
  <c r="F149" i="14"/>
  <c r="I166" i="7"/>
  <c r="I170" i="7"/>
  <c r="L153" i="14"/>
  <c r="I162" i="7"/>
  <c r="H163" i="7"/>
  <c r="L152" i="14"/>
  <c r="L148" i="14"/>
  <c r="H164" i="7"/>
  <c r="H168" i="7"/>
  <c r="L151" i="14"/>
  <c r="L147" i="14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I99" i="7"/>
  <c r="L83" i="14"/>
  <c r="L30" i="14" l="1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<sst xmlns="http://schemas.openxmlformats.org/spreadsheetml/2006/main" count="757" uniqueCount="490">
  <si>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</si>
  <si>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</si>
  <si>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</si>
  <si>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</si>
  <si>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</si>
  <si>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</si>
  <si>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</si>
  <si>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</si>
  <si>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</si>
  <si>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</si>
  <si>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</si>
  <si>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</si>
  <si>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</si>
  <si>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</si>
  <si>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</si>
  <si>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</si>
  <si>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</si>
  <si>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</si>
  <si>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</si>
  <si>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</si>
  <si>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</si>
  <si>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</si>
  <si>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</si>
  <si>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</si>
  <si>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</si>
  <si>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</si>
  <si>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</si>
  <si>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</si>
  <si>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</si>
  <si>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</si>
  <si>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</si>
  <si>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</si>
  <si>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</si>
  <si>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</si>
  <si>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</si>
  <si>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</si>
  <si>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</si>
  <si>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</si>
  <si>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</si>
  <si>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</si>
  <si>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</si>
  <si>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</si>
  <si>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</si>
  <si>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</si>
  <si>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</si>
  <si>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</si>
  <si>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</si>
  <si>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</si>
  <si>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</si>
  <si>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</si>
  <si>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</si>
  <si>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</si>
  <si>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</si>
  <si>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</si>
  <si>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</si>
  <si>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</si>
  <si>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</si>
  <si>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</si>
  <si>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</si>
  <si>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</si>
  <si>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</si>
  <si>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</si>
  <si>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</si>
  <si>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</si>
  <si>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</si>
  <si>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</si>
  <si>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</si>
  <si>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</si>
  <si>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</si>
  <si>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</si>
  <si>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</si>
  <si>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</si>
  <si>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</si>
  <si>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</si>
  <si>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</si>
  <si>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</si>
  <si>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</si>
  <si>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</si>
  <si>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</si>
  <si>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</si>
  <si>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</si>
  <si>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</si>
  <si>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</si>
  <si>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</si>
  <si>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</si>
  <si>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</si>
  <si>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</si>
  <si>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</si>
  <si>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</si>
  <si>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</si>
  <si>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</si>
  <si>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</si>
  <si>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</si>
  <si>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</si>
  <si>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</si>
  <si>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</si>
  <si>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</si>
  <si>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</si>
  <si>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</si>
  <si>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</si>
  <si>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</si>
  <si>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</si>
  <si>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</si>
  <si>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</si>
  <si>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</si>
  <si>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</si>
  <si>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</si>
  <si>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</si>
  <si>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</si>
  <si>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</si>
  <si>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</si>
  <si>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</si>
  <si>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</si>
  <si>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</si>
  <si>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</si>
  <si>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</si>
  <si>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</si>
  <si>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</si>
  <si>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</si>
  <si>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</si>
  <si>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</si>
  <si>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</si>
  <si>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</si>
  <si>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</si>
  <si>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</si>
  <si>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</si>
  <si>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</si>
  <si>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</si>
  <si>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</si>
  <si>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</si>
  <si>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</si>
  <si>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</si>
  <si>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</si>
  <si>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</si>
  <si>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</si>
  <si>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</si>
  <si>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</si>
  <si>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</si>
  <si>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</si>
  <si>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</si>
  <si>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</si>
  <si>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</si>
  <si>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</si>
  <si>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</si>
  <si>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</si>
  <si>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</si>
  <si>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</si>
  <si>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</si>
  <si>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</si>
  <si>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</si>
  <si>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</si>
  <si>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</si>
  <si>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</si>
  <si>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</si>
  <si>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</si>
  <si>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</si>
  <si>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</si>
  <si>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</si>
  <si>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</si>
  <si>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</si>
  <si>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</si>
  <si>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</si>
  <si>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</si>
  <si>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</si>
  <si>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</si>
  <si>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</si>
  <si>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</si>
  <si>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</si>
  <si>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</si>
  <si>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</si>
  <si>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</si>
  <si>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</si>
  <si>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</si>
  <si>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</si>
  <si>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</si>
  <si>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</si>
  <si>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</si>
  <si>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</si>
  <si>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</si>
  <si>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</si>
  <si>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</si>
  <si>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</si>
  <si>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</si>
  <si>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</si>
  <si>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</si>
  <si>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</si>
  <si>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</si>
  <si>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</si>
  <si>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</si>
  <si>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</si>
  <si>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</si>
  <si>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</si>
  <si>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</si>
  <si>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</si>
  <si>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</si>
  <si>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</si>
  <si>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</si>
  <si>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</si>
  <si>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</si>
  <si>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</si>
  <si>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</si>
  <si>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</si>
  <si>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</si>
  <si>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</si>
  <si>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</si>
  <si>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</si>
  <si>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</si>
  <si>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</si>
  <si>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</si>
  <si>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</si>
  <si>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</si>
  <si>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</si>
  <si>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</si>
  <si>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</si>
  <si>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</si>
  <si>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</si>
  <si>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</si>
  <si>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</si>
  <si>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</si>
  <si>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</si>
  <si>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</si>
  <si>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</si>
  <si>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</si>
  <si>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</si>
  <si>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</si>
  <si>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</si>
  <si>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</si>
  <si>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</si>
  <si>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</si>
  <si>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</si>
  <si>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</si>
  <si>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</si>
  <si>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</si>
  <si>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</si>
  <si>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</si>
  <si>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</si>
  <si>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</si>
  <si>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</si>
  <si>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</si>
  <si>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</si>
  <si>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</si>
  <si>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</si>
  <si>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</si>
  <si>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</si>
  <si>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</si>
  <si>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</si>
  <si>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</si>
  <si>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</si>
  <si>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</si>
  <si>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</si>
  <si>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</si>
  <si>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</si>
  <si>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</si>
  <si>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</si>
  <si>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</si>
  <si>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</si>
  <si>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</si>
  <si>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</si>
  <si>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</si>
  <si>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</si>
  <si>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</si>
  <si>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</si>
  <si>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</si>
  <si>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</si>
  <si>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</si>
  <si>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</si>
  <si>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</si>
  <si>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</si>
  <si>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</si>
  <si>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</si>
  <si>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</si>
  <si>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</si>
  <si>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</si>
  <si>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</si>
  <si>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</si>
  <si>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</si>
  <si>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</si>
  <si>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</si>
  <si>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</si>
  <si>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</si>
  <si>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</si>
  <si>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</si>
  <si>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</si>
  <si>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</si>
  <si>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</si>
  <si>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</si>
  <si>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</si>
  <si>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</si>
  <si>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</si>
  <si>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</si>
  <si>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</si>
  <si>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</si>
  <si>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</si>
  <si>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</si>
  <si>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</si>
  <si>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</si>
  <si>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</si>
  <si>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</si>
  <si>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</si>
  <si>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</si>
  <si>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</si>
  <si>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</si>
  <si>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</si>
  <si>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</si>
  <si>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</si>
  <si>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</si>
  <si>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</si>
  <si>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</si>
  <si>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</si>
  <si>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</si>
  <si>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</si>
  <si>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</si>
  <si>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</si>
  <si>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</si>
  <si>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</si>
  <si>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</si>
  <si>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</si>
  <si>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</si>
  <si>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</si>
  <si>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</si>
  <si>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</si>
  <si>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</si>
  <si>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</si>
  <si>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</si>
  <si>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</si>
  <si>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</si>
  <si>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</si>
  <si>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</si>
  <si>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</si>
  <si>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</si>
  <si>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</si>
  <si>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</si>
  <si>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</si>
  <si>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</si>
  <si>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</si>
  <si>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</si>
  <si>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</si>
  <si>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</si>
  <si>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</si>
  <si>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</si>
  <si>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</si>
  <si>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</si>
  <si>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</si>
  <si>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</si>
  <si>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</si>
  <si>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</si>
  <si>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</si>
  <si>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</si>
  <si>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</si>
  <si>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</si>
  <si>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</si>
  <si>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</si>
  <si>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</si>
  <si>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</si>
  <si>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</si>
  <si>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</si>
  <si>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</si>
  <si>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</si>
  <si>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</si>
  <si>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</si>
  <si>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</si>
  <si>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</si>
  <si>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</si>
  <si>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</si>
  <si>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</si>
  <si>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</si>
  <si>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</si>
  <si>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</si>
  <si>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</si>
  <si>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</si>
  <si>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</si>
  <si>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</si>
  <si>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</si>
  <si>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</si>
  <si>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</si>
  <si>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</si>
  <si>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</si>
  <si>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</si>
  <si>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</si>
  <si>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</si>
  <si>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</si>
  <si>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</si>
  <si>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</si>
  <si>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</si>
  <si>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</si>
  <si>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</si>
  <si>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</si>
  <si>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</si>
  <si>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</si>
  <si>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</si>
  <si>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</si>
  <si>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</si>
  <si>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</si>
  <si>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</si>
  <si>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</si>
  <si>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</si>
  <si>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</si>
  <si>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</si>
  <si>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</si>
  <si>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</si>
  <si>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</si>
  <si>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</si>
  <si>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</si>
  <si>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</si>
  <si>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</si>
  <si>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</si>
  <si>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</si>
  <si>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</si>
  <si>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</si>
  <si>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</si>
  <si>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</si>
  <si>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</si>
  <si>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</si>
  <si>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</si>
  <si>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</si>
  <si>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</si>
  <si>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</si>
  <si>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</si>
  <si>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</si>
  <si>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</si>
  <si>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</si>
  <si>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</si>
  <si>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</si>
  <si>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</si>
  <si>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</si>
  <si>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</si>
  <si>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</si>
  <si>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</si>
  <si>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</si>
  <si>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</si>
  <si>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</si>
  <si>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</si>
  <si>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</si>
  <si>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</si>
  <si>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</si>
  <si>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</si>
  <si>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</si>
  <si>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</si>
  <si>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</si>
  <si>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</si>
  <si>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</si>
  <si>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</si>
  <si>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</si>
  <si>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</si>
  <si>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</si>
  <si>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</si>
  <si>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</si>
  <si>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</si>
  <si>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</si>
  <si>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</si>
  <si>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</si>
  <si>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</si>
  <si>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</si>
  <si>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</si>
  <si>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</si>
  <si>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</si>
  <si>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</si>
  <si>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</si>
  <si>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</si>
  <si>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</si>
  <si>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</si>
  <si>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</si>
  <si>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</si>
  <si>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</si>
  <si>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</si>
  <si>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</si>
  <si>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</si>
  <si>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</si>
  <si>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</si>
  <si>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</si>
  <si>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</si>
  <si>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星星boss</t>
    <phoneticPr fontId="1" type="noConversion"/>
  </si>
  <si>
    <t>"prop_qdlb_xx",0,0.1,0.2</t>
    <phoneticPr fontId="1" type="noConversion"/>
  </si>
  <si>
    <t>"prop_qdlb_xx",0,0.2,0.3</t>
  </si>
  <si>
    <t>"prop_qdlb_xx",0,0.3,0.4</t>
  </si>
  <si>
    <t>"prop_qdlb_xx",1,0.01,</t>
  </si>
  <si>
    <t>小丑boss</t>
    <phoneticPr fontId="1" type="noConversion"/>
  </si>
  <si>
    <t>0,0,0.1,0.2</t>
    <phoneticPr fontId="1" type="noConversion"/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</si>
  <si>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</si>
  <si>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</si>
  <si>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</si>
  <si>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170,</t>
    <phoneticPr fontId="1" type="noConversion"/>
  </si>
  <si>
    <t>171,</t>
  </si>
  <si>
    <t>172,</t>
  </si>
  <si>
    <t>173,</t>
  </si>
  <si>
    <t>174,</t>
  </si>
  <si>
    <t>175,</t>
  </si>
  <si>
    <t>176,</t>
  </si>
  <si>
    <t>177,</t>
  </si>
  <si>
    <t>178,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</si>
</sst>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80"/>
  <sheetViews>
    <sheetView tabSelected="1" workbookViewId="0">
      <pane ySplit="1" topLeftCell="A158" activePane="bottomLeft" state="frozen"/>
      <selection pane="bottomLeft" activeCell="G181" sqref="G181:G18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55">
        <v>170</v>
      </c>
      <c r="B171" s="55">
        <v>1</v>
      </c>
      <c r="C171" s="55" t="s">
        <v>481</v>
      </c>
      <c r="H171" s="55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150</v>
      </c>
      <c r="I171" s="55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150</v>
      </c>
      <c r="J171" s="13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Q171" s="82">
        <v>154</v>
      </c>
    </row>
    <row r="172" spans="1:17" s="55" customFormat="1" x14ac:dyDescent="0.2">
      <c r="A172" s="55">
        <v>171</v>
      </c>
      <c r="B172" s="55">
        <v>1</v>
      </c>
      <c r="C172" s="55" t="s">
        <v>482</v>
      </c>
      <c r="H172" s="55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250</v>
      </c>
      <c r="I172" s="55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250</v>
      </c>
      <c r="J172" s="13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Q172" s="82">
        <v>155</v>
      </c>
    </row>
    <row r="173" spans="1:17" s="55" customFormat="1" x14ac:dyDescent="0.2">
      <c r="A173" s="55">
        <v>172</v>
      </c>
      <c r="B173" s="55">
        <v>1</v>
      </c>
      <c r="C173" s="55" t="s">
        <v>483</v>
      </c>
      <c r="H173" s="55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350</v>
      </c>
      <c r="I173" s="55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350</v>
      </c>
      <c r="J173" s="13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Q173" s="82">
        <v>156</v>
      </c>
    </row>
    <row r="174" spans="1:17" s="55" customFormat="1" x14ac:dyDescent="0.2">
      <c r="A174" s="55">
        <v>173</v>
      </c>
      <c r="B174" s="55">
        <v>1</v>
      </c>
      <c r="C174" s="55" t="s">
        <v>484</v>
      </c>
      <c r="H174" s="55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30</v>
      </c>
      <c r="I174" s="55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30</v>
      </c>
      <c r="J174" s="13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Q174" s="82">
        <v>157</v>
      </c>
    </row>
    <row r="175" spans="1:17" s="55" customFormat="1" x14ac:dyDescent="0.2">
      <c r="A175" s="55">
        <v>174</v>
      </c>
      <c r="B175" s="55">
        <v>1</v>
      </c>
      <c r="C175" s="55" t="s">
        <v>485</v>
      </c>
      <c r="H175" s="55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35</v>
      </c>
      <c r="I175" s="55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35</v>
      </c>
      <c r="J175" s="13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Q175" s="82">
        <v>158</v>
      </c>
    </row>
    <row r="176" spans="1:17" s="55" customFormat="1" x14ac:dyDescent="0.2">
      <c r="A176" s="55">
        <v>175</v>
      </c>
      <c r="B176" s="55">
        <v>1</v>
      </c>
      <c r="C176" s="55" t="s">
        <v>486</v>
      </c>
      <c r="H176" s="55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40</v>
      </c>
      <c r="I176" s="55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40</v>
      </c>
      <c r="J176" s="13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Q176" s="82">
        <v>159</v>
      </c>
    </row>
    <row r="177" spans="1:17" s="55" customFormat="1" x14ac:dyDescent="0.2">
      <c r="A177" s="55">
        <v>176</v>
      </c>
      <c r="B177" s="55">
        <v>1</v>
      </c>
      <c r="C177" s="55" t="s">
        <v>487</v>
      </c>
      <c r="H177" s="55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45</v>
      </c>
      <c r="I177" s="55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45</v>
      </c>
      <c r="J177" s="13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Q177" s="82">
        <v>160</v>
      </c>
    </row>
    <row r="178" spans="1:17" s="55" customFormat="1" x14ac:dyDescent="0.2">
      <c r="A178" s="55">
        <v>177</v>
      </c>
      <c r="B178" s="55">
        <v>1</v>
      </c>
      <c r="C178" s="55" t="s">
        <v>488</v>
      </c>
      <c r="H178" s="55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50</v>
      </c>
      <c r="I178" s="55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50</v>
      </c>
      <c r="J178" s="13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Q178" s="82">
        <v>161</v>
      </c>
    </row>
    <row r="179" spans="1:17" s="55" customFormat="1" x14ac:dyDescent="0.2">
      <c r="A179" s="55">
        <v>178</v>
      </c>
      <c r="B179" s="55">
        <v>1</v>
      </c>
      <c r="C179" s="55" t="s">
        <v>489</v>
      </c>
      <c r="H179" s="55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70</v>
      </c>
      <c r="I179" s="55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70</v>
      </c>
      <c r="J179" s="13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Q179" s="82">
        <v>162</v>
      </c>
    </row>
    <row r="180" spans="1:17" s="55" customFormat="1" x14ac:dyDescent="0.2"/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9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9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80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80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63"/>
  <sheetViews>
    <sheetView zoomScaleNormal="100" workbookViewId="0">
      <pane ySplit="1" topLeftCell="A134" activePane="bottomLeft" state="frozen"/>
      <selection pane="bottomLeft" activeCell="A155" sqref="A155:A163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63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63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星星boss+临时活动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星星boss+临时活动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星星boss+临时活动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1</v>
      </c>
      <c r="O154" s="29">
        <v>1</v>
      </c>
    </row>
    <row r="155" spans="1:15" s="55" customFormat="1" x14ac:dyDescent="0.2">
      <c r="A155" s="12">
        <v>154</v>
      </c>
      <c r="B155" s="12">
        <v>63</v>
      </c>
      <c r="C155" s="12">
        <v>78</v>
      </c>
      <c r="D155" s="12"/>
      <c r="E155" s="13">
        <f>LOOKUP(use_fish!B155,base_fish!A:A,base_fish!C:C)+_xlfn.IFNA(INDEX(activity!F:F,MATCH(use_fish!C155,activity!A:A,0)),0)</f>
        <v>150</v>
      </c>
      <c r="F155" s="13">
        <f t="shared" si="23"/>
        <v>6.6666666666666671E-3</v>
      </c>
      <c r="G155" s="13" t="s">
        <v>22</v>
      </c>
      <c r="H155" s="81" t="str">
        <f>INDEX(base_fish!E:E,MATCH(use_fish!B155,base_fish!A:A,0))&amp;_xlfn.IFNA("+"&amp;INDEX(activity!G:G,MATCH(use_fish!C155,activity!A:A,0)),"")</f>
        <v>小丑boss+临时活动</v>
      </c>
      <c r="I155" s="13">
        <f>LOOKUP(use_fish!B155,base_fish!A:A,base_fish!F:F)+_xlfn.IFNA(INDEX(activity!F:F,MATCH(use_fish!C155,activity!A:A,0)),0)</f>
        <v>150</v>
      </c>
      <c r="J155" s="55">
        <v>1</v>
      </c>
      <c r="K155" s="55">
        <f>LOOKUP(use_fish!B155,base_fish!A:A,base_fish!G:G)</f>
        <v>0</v>
      </c>
      <c r="L155" s="55">
        <f t="shared" si="24"/>
        <v>150</v>
      </c>
      <c r="M155" s="55">
        <v>1</v>
      </c>
      <c r="N155" s="55">
        <v>1</v>
      </c>
      <c r="O155" s="55">
        <v>1</v>
      </c>
    </row>
    <row r="156" spans="1:15" s="55" customFormat="1" x14ac:dyDescent="0.2">
      <c r="A156" s="12">
        <v>155</v>
      </c>
      <c r="B156" s="12">
        <v>63</v>
      </c>
      <c r="C156" s="12">
        <v>79</v>
      </c>
      <c r="D156" s="12"/>
      <c r="E156" s="13">
        <f>LOOKUP(use_fish!B156,base_fish!A:A,base_fish!C:C)+_xlfn.IFNA(INDEX(activity!F:F,MATCH(use_fish!C156,activity!A:A,0)),0)</f>
        <v>250</v>
      </c>
      <c r="F156" s="13">
        <f t="shared" si="23"/>
        <v>4.0000000000000001E-3</v>
      </c>
      <c r="G156" s="13" t="s">
        <v>22</v>
      </c>
      <c r="H156" s="81" t="str">
        <f>INDEX(base_fish!E:E,MATCH(use_fish!B156,base_fish!A:A,0))&amp;_xlfn.IFNA("+"&amp;INDEX(activity!G:G,MATCH(use_fish!C156,activity!A:A,0)),"")</f>
        <v>小丑boss+临时活动</v>
      </c>
      <c r="I156" s="13">
        <f>LOOKUP(use_fish!B156,base_fish!A:A,base_fish!F:F)+_xlfn.IFNA(INDEX(activity!F:F,MATCH(use_fish!C156,activity!A:A,0)),0)</f>
        <v>250</v>
      </c>
      <c r="J156" s="55">
        <v>1</v>
      </c>
      <c r="K156" s="55">
        <f>LOOKUP(use_fish!B156,base_fish!A:A,base_fish!G:G)</f>
        <v>0</v>
      </c>
      <c r="L156" s="55">
        <f t="shared" si="24"/>
        <v>250</v>
      </c>
      <c r="M156" s="55">
        <v>1</v>
      </c>
      <c r="N156" s="55">
        <v>1</v>
      </c>
      <c r="O156" s="55">
        <v>1</v>
      </c>
    </row>
    <row r="157" spans="1:15" s="55" customFormat="1" x14ac:dyDescent="0.2">
      <c r="A157" s="12">
        <v>156</v>
      </c>
      <c r="B157" s="12">
        <v>63</v>
      </c>
      <c r="C157" s="12">
        <v>80</v>
      </c>
      <c r="D157" s="12"/>
      <c r="E157" s="13">
        <f>LOOKUP(use_fish!B157,base_fish!A:A,base_fish!C:C)+_xlfn.IFNA(INDEX(activity!F:F,MATCH(use_fish!C157,activity!A:A,0)),0)</f>
        <v>350</v>
      </c>
      <c r="F157" s="13">
        <f t="shared" si="23"/>
        <v>2.8571428571428571E-3</v>
      </c>
      <c r="G157" s="13" t="s">
        <v>22</v>
      </c>
      <c r="H157" s="81" t="str">
        <f>INDEX(base_fish!E:E,MATCH(use_fish!B157,base_fish!A:A,0))&amp;_xlfn.IFNA("+"&amp;INDEX(activity!G:G,MATCH(use_fish!C157,activity!A:A,0)),"")</f>
        <v>小丑boss+临时活动</v>
      </c>
      <c r="I157" s="13">
        <f>LOOKUP(use_fish!B157,base_fish!A:A,base_fish!F:F)+_xlfn.IFNA(INDEX(activity!F:F,MATCH(use_fish!C157,activity!A:A,0)),0)</f>
        <v>350</v>
      </c>
      <c r="J157" s="55">
        <v>1</v>
      </c>
      <c r="K157" s="55">
        <f>LOOKUP(use_fish!B157,base_fish!A:A,base_fish!G:G)</f>
        <v>0</v>
      </c>
      <c r="L157" s="55">
        <f t="shared" si="24"/>
        <v>350</v>
      </c>
      <c r="M157" s="55">
        <v>1</v>
      </c>
      <c r="N157" s="55">
        <v>1</v>
      </c>
      <c r="O157" s="55">
        <v>1</v>
      </c>
    </row>
    <row r="158" spans="1:15" s="55" customFormat="1" x14ac:dyDescent="0.2">
      <c r="A158" s="12">
        <v>157</v>
      </c>
      <c r="B158" s="13">
        <v>13</v>
      </c>
      <c r="C158" s="12">
        <v>81</v>
      </c>
      <c r="D158" s="12"/>
      <c r="E158" s="13">
        <f>LOOKUP(use_fish!B158,base_fish!A:A,base_fish!C:C)+_xlfn.IFNA(INDEX(activity!F:F,MATCH(use_fish!C158,activity!A:A,0)),0)</f>
        <v>30</v>
      </c>
      <c r="F158" s="13">
        <f t="shared" si="23"/>
        <v>3.3333333333333333E-2</v>
      </c>
      <c r="G158" s="13" t="s">
        <v>22</v>
      </c>
      <c r="H158" s="81" t="str">
        <f>INDEX(base_fish!E:E,MATCH(use_fish!B158,base_fish!A:A,0))&amp;_xlfn.IFNA("+"&amp;INDEX(activity!G:G,MATCH(use_fish!C158,activity!A:A,0)),"")</f>
        <v>蝴蝶鱼+临时活动</v>
      </c>
      <c r="I158" s="13">
        <f>LOOKUP(use_fish!B158,base_fish!A:A,base_fish!F:F)+_xlfn.IFNA(INDEX(activity!F:F,MATCH(use_fish!C158,activity!A:A,0)),0)</f>
        <v>30</v>
      </c>
      <c r="J158" s="55">
        <v>1</v>
      </c>
      <c r="K158" s="55">
        <f>LOOKUP(use_fish!B158,base_fish!A:A,base_fish!G:G)</f>
        <v>0</v>
      </c>
      <c r="L158" s="55">
        <f t="shared" si="24"/>
        <v>30</v>
      </c>
      <c r="M158" s="55">
        <v>1</v>
      </c>
      <c r="N158" s="55">
        <v>0</v>
      </c>
      <c r="O158" s="55">
        <v>1</v>
      </c>
    </row>
    <row r="159" spans="1:15" s="55" customFormat="1" x14ac:dyDescent="0.2">
      <c r="A159" s="12">
        <v>158</v>
      </c>
      <c r="B159" s="13">
        <v>14</v>
      </c>
      <c r="C159" s="12">
        <v>81</v>
      </c>
      <c r="D159" s="12"/>
      <c r="E159" s="13">
        <f>LOOKUP(use_fish!B159,base_fish!A:A,base_fish!C:C)+_xlfn.IFNA(INDEX(activity!F:F,MATCH(use_fish!C159,activity!A:A,0)),0)</f>
        <v>35</v>
      </c>
      <c r="F159" s="13">
        <f t="shared" si="23"/>
        <v>2.8571428571428571E-2</v>
      </c>
      <c r="G159" s="13" t="s">
        <v>22</v>
      </c>
      <c r="H159" s="81" t="str">
        <f>INDEX(base_fish!E:E,MATCH(use_fish!B159,base_fish!A:A,0))&amp;_xlfn.IFNA("+"&amp;INDEX(activity!G:G,MATCH(use_fish!C159,activity!A:A,0)),"")</f>
        <v>巨大小丑鱼+临时活动</v>
      </c>
      <c r="I159" s="13">
        <f>LOOKUP(use_fish!B159,base_fish!A:A,base_fish!F:F)+_xlfn.IFNA(INDEX(activity!F:F,MATCH(use_fish!C159,activity!A:A,0)),0)</f>
        <v>35</v>
      </c>
      <c r="J159" s="55">
        <v>1</v>
      </c>
      <c r="K159" s="55">
        <f>LOOKUP(use_fish!B159,base_fish!A:A,base_fish!G:G)</f>
        <v>0</v>
      </c>
      <c r="L159" s="55">
        <f t="shared" si="24"/>
        <v>35</v>
      </c>
      <c r="M159" s="55">
        <v>1</v>
      </c>
      <c r="N159" s="55">
        <v>0</v>
      </c>
      <c r="O159" s="55">
        <v>1</v>
      </c>
    </row>
    <row r="160" spans="1:15" s="55" customFormat="1" x14ac:dyDescent="0.2">
      <c r="A160" s="12">
        <v>159</v>
      </c>
      <c r="B160" s="13">
        <v>15</v>
      </c>
      <c r="C160" s="12">
        <v>81</v>
      </c>
      <c r="D160" s="12"/>
      <c r="E160" s="13">
        <f>LOOKUP(use_fish!B160,base_fish!A:A,base_fish!C:C)+_xlfn.IFNA(INDEX(activity!F:F,MATCH(use_fish!C160,activity!A:A,0)),0)</f>
        <v>40</v>
      </c>
      <c r="F160" s="13">
        <f t="shared" si="23"/>
        <v>2.5000000000000001E-2</v>
      </c>
      <c r="G160" s="13" t="s">
        <v>22</v>
      </c>
      <c r="H160" s="81" t="str">
        <f>INDEX(base_fish!E:E,MATCH(use_fish!B160,base_fish!A:A,0))&amp;_xlfn.IFNA("+"&amp;INDEX(activity!G:G,MATCH(use_fish!C160,activity!A:A,0)),"")</f>
        <v>巨大灯笼鱼+临时活动</v>
      </c>
      <c r="I160" s="13">
        <f>LOOKUP(use_fish!B160,base_fish!A:A,base_fish!F:F)+_xlfn.IFNA(INDEX(activity!F:F,MATCH(use_fish!C160,activity!A:A,0)),0)</f>
        <v>40</v>
      </c>
      <c r="J160" s="55">
        <v>1</v>
      </c>
      <c r="K160" s="55">
        <f>LOOKUP(use_fish!B160,base_fish!A:A,base_fish!G:G)</f>
        <v>0</v>
      </c>
      <c r="L160" s="55">
        <f t="shared" si="24"/>
        <v>40</v>
      </c>
      <c r="M160" s="55">
        <v>1</v>
      </c>
      <c r="N160" s="55">
        <v>0</v>
      </c>
      <c r="O160" s="55">
        <v>1</v>
      </c>
    </row>
    <row r="161" spans="1:15" s="55" customFormat="1" x14ac:dyDescent="0.2">
      <c r="A161" s="12">
        <v>160</v>
      </c>
      <c r="B161" s="13">
        <v>16</v>
      </c>
      <c r="C161" s="12">
        <v>81</v>
      </c>
      <c r="D161" s="12"/>
      <c r="E161" s="13">
        <f>LOOKUP(use_fish!B161,base_fish!A:A,base_fish!C:C)+_xlfn.IFNA(INDEX(activity!F:F,MATCH(use_fish!C161,activity!A:A,0)),0)</f>
        <v>45</v>
      </c>
      <c r="F161" s="13">
        <f t="shared" si="23"/>
        <v>2.2222222222222223E-2</v>
      </c>
      <c r="G161" s="13" t="s">
        <v>22</v>
      </c>
      <c r="H161" s="81" t="str">
        <f>INDEX(base_fish!E:E,MATCH(use_fish!B161,base_fish!A:A,0))&amp;_xlfn.IFNA("+"&amp;INDEX(activity!G:G,MATCH(use_fish!C161,activity!A:A,0)),"")</f>
        <v>巨大燕鱼+临时活动</v>
      </c>
      <c r="I161" s="13">
        <f>LOOKUP(use_fish!B161,base_fish!A:A,base_fish!F:F)+_xlfn.IFNA(INDEX(activity!F:F,MATCH(use_fish!C161,activity!A:A,0)),0)</f>
        <v>45</v>
      </c>
      <c r="J161" s="55">
        <v>1</v>
      </c>
      <c r="K161" s="55">
        <f>LOOKUP(use_fish!B161,base_fish!A:A,base_fish!G:G)</f>
        <v>0</v>
      </c>
      <c r="L161" s="55">
        <f t="shared" si="24"/>
        <v>45</v>
      </c>
      <c r="M161" s="55">
        <v>1</v>
      </c>
      <c r="N161" s="55">
        <v>0</v>
      </c>
      <c r="O161" s="55">
        <v>1</v>
      </c>
    </row>
    <row r="162" spans="1:15" s="55" customFormat="1" x14ac:dyDescent="0.2">
      <c r="A162" s="12">
        <v>161</v>
      </c>
      <c r="B162" s="13">
        <v>17</v>
      </c>
      <c r="C162" s="12">
        <v>81</v>
      </c>
      <c r="D162" s="12"/>
      <c r="E162" s="13">
        <f>LOOKUP(use_fish!B162,base_fish!A:A,base_fish!C:C)+_xlfn.IFNA(INDEX(activity!F:F,MATCH(use_fish!C162,activity!A:A,0)),0)</f>
        <v>50</v>
      </c>
      <c r="F162" s="13">
        <f t="shared" si="23"/>
        <v>0.02</v>
      </c>
      <c r="G162" s="13" t="s">
        <v>22</v>
      </c>
      <c r="H162" s="81" t="str">
        <f>INDEX(base_fish!E:E,MATCH(use_fish!B162,base_fish!A:A,0))&amp;_xlfn.IFNA("+"&amp;INDEX(activity!G:G,MATCH(use_fish!C162,activity!A:A,0)),"")</f>
        <v>魔鬼鱼+临时活动</v>
      </c>
      <c r="I162" s="13">
        <f>LOOKUP(use_fish!B162,base_fish!A:A,base_fish!F:F)+_xlfn.IFNA(INDEX(activity!F:F,MATCH(use_fish!C162,activity!A:A,0)),0)</f>
        <v>50</v>
      </c>
      <c r="J162" s="55">
        <v>1</v>
      </c>
      <c r="K162" s="55">
        <f>LOOKUP(use_fish!B162,base_fish!A:A,base_fish!G:G)</f>
        <v>0</v>
      </c>
      <c r="L162" s="55">
        <f t="shared" si="24"/>
        <v>50</v>
      </c>
      <c r="M162" s="55">
        <v>1</v>
      </c>
      <c r="N162" s="55">
        <v>0</v>
      </c>
      <c r="O162" s="55">
        <v>1</v>
      </c>
    </row>
    <row r="163" spans="1:15" s="55" customFormat="1" x14ac:dyDescent="0.2">
      <c r="A163" s="12">
        <v>162</v>
      </c>
      <c r="B163" s="13">
        <v>18</v>
      </c>
      <c r="C163" s="12">
        <v>81</v>
      </c>
      <c r="D163" s="12"/>
      <c r="E163" s="13">
        <f>LOOKUP(use_fish!B163,base_fish!A:A,base_fish!C:C)+_xlfn.IFNA(INDEX(activity!F:F,MATCH(use_fish!C163,activity!A:A,0)),0)</f>
        <v>70</v>
      </c>
      <c r="F163" s="13">
        <f t="shared" si="23"/>
        <v>1.4285714285714285E-2</v>
      </c>
      <c r="G163" s="13" t="s">
        <v>22</v>
      </c>
      <c r="H163" s="81" t="str">
        <f>INDEX(base_fish!E:E,MATCH(use_fish!B163,base_fish!A:A,0))&amp;_xlfn.IFNA("+"&amp;INDEX(activity!G:G,MATCH(use_fish!C163,activity!A:A,0)),"")</f>
        <v>虎鲸+临时活动</v>
      </c>
      <c r="I163" s="13">
        <f>LOOKUP(use_fish!B163,base_fish!A:A,base_fish!F:F)+_xlfn.IFNA(INDEX(activity!F:F,MATCH(use_fish!C163,activity!A:A,0)),0)</f>
        <v>70</v>
      </c>
      <c r="J163" s="55">
        <v>1</v>
      </c>
      <c r="K163" s="55">
        <f>LOOKUP(use_fish!B163,base_fish!A:A,base_fish!G:G)</f>
        <v>0</v>
      </c>
      <c r="L163" s="55">
        <f t="shared" si="24"/>
        <v>70</v>
      </c>
      <c r="M163" s="55">
        <v>1</v>
      </c>
      <c r="N163" s="55">
        <v>0</v>
      </c>
      <c r="O163" s="5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2"/>
  <sheetViews>
    <sheetView zoomScale="130" zoomScaleNormal="130" workbookViewId="0">
      <pane ySplit="1" topLeftCell="A62" activePane="bottomLeft" state="frozen"/>
      <selection pane="bottomLeft" activeCell="A79" sqref="A79:A8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473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475</v>
      </c>
      <c r="D78" s="80">
        <v>1</v>
      </c>
      <c r="E78" s="80">
        <v>1</v>
      </c>
      <c r="F78" s="29">
        <v>10</v>
      </c>
      <c r="G78" s="29" t="s">
        <v>88</v>
      </c>
    </row>
    <row r="79" spans="1:7" x14ac:dyDescent="0.2">
      <c r="A79" s="55">
        <v>78</v>
      </c>
      <c r="B79" s="55">
        <v>9</v>
      </c>
      <c r="C79" s="55" t="s">
        <v>477</v>
      </c>
      <c r="D79" s="12">
        <v>0</v>
      </c>
      <c r="E79" s="12">
        <v>1</v>
      </c>
      <c r="F79" s="55">
        <v>150</v>
      </c>
      <c r="G79" s="55" t="str">
        <f t="shared" ref="G79:G82" si="2">LOOKUP(B79,H:H,I:I)</f>
        <v>临时活动</v>
      </c>
    </row>
    <row r="80" spans="1:7" x14ac:dyDescent="0.2">
      <c r="A80" s="55">
        <v>79</v>
      </c>
      <c r="B80" s="55">
        <v>9</v>
      </c>
      <c r="C80" s="55" t="s">
        <v>478</v>
      </c>
      <c r="D80" s="12">
        <v>0</v>
      </c>
      <c r="E80" s="12">
        <v>1</v>
      </c>
      <c r="F80" s="55">
        <v>250</v>
      </c>
      <c r="G80" s="55" t="str">
        <f t="shared" si="2"/>
        <v>临时活动</v>
      </c>
    </row>
    <row r="81" spans="1:7" x14ac:dyDescent="0.2">
      <c r="A81" s="55">
        <v>80</v>
      </c>
      <c r="B81" s="55">
        <v>9</v>
      </c>
      <c r="C81" s="55" t="s">
        <v>479</v>
      </c>
      <c r="D81" s="12">
        <v>0</v>
      </c>
      <c r="E81" s="12">
        <v>1</v>
      </c>
      <c r="F81" s="55">
        <v>350</v>
      </c>
      <c r="G81" s="55" t="str">
        <f t="shared" si="2"/>
        <v>临时活动</v>
      </c>
    </row>
    <row r="82" spans="1:7" x14ac:dyDescent="0.2">
      <c r="A82" s="55">
        <v>81</v>
      </c>
      <c r="B82" s="55">
        <v>9</v>
      </c>
      <c r="C82" s="55" t="s">
        <v>480</v>
      </c>
      <c r="D82" s="3">
        <v>1</v>
      </c>
      <c r="E82" s="3">
        <v>1</v>
      </c>
      <c r="F82" s="55">
        <v>10</v>
      </c>
      <c r="G82" s="55" t="str">
        <f t="shared" si="2"/>
        <v>临时活动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4"/>
  <sheetViews>
    <sheetView zoomScaleNormal="100" workbookViewId="0">
      <pane ySplit="1" topLeftCell="A38" activePane="bottomLeft" state="frozen"/>
      <selection pane="bottomLeft" activeCell="F68" sqref="F6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471</v>
      </c>
      <c r="F63" s="30">
        <v>0</v>
      </c>
      <c r="G63" s="30">
        <v>0</v>
      </c>
    </row>
    <row r="64" spans="1:7" x14ac:dyDescent="0.2">
      <c r="A64" s="2">
        <v>63</v>
      </c>
      <c r="B64" s="2">
        <v>1</v>
      </c>
      <c r="C64" s="2">
        <v>0</v>
      </c>
      <c r="D64" s="2">
        <v>0</v>
      </c>
      <c r="E64" s="2" t="s">
        <v>476</v>
      </c>
      <c r="F64" s="2">
        <v>0</v>
      </c>
      <c r="G64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2020-12-28T09:51:46Z</dcterms:modified>
</cp:coreProperties>
</file>