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0" i="7" l="1"/>
  <c r="H169" i="7"/>
  <c r="H168" i="7"/>
  <c r="H167" i="7"/>
  <c r="H166" i="7"/>
  <c r="H165" i="7"/>
  <c r="H164" i="7"/>
  <c r="H163" i="7"/>
  <c r="H162" i="7"/>
  <c r="E154" i="14"/>
  <c r="E153" i="14"/>
  <c r="E152" i="14"/>
  <c r="F152" i="14" s="1"/>
  <c r="E151" i="14"/>
  <c r="F151" i="14" s="1"/>
  <c r="E150" i="14"/>
  <c r="E149" i="14"/>
  <c r="E148" i="14"/>
  <c r="F148" i="14" s="1"/>
  <c r="E147" i="14"/>
  <c r="F147" i="14" s="1"/>
  <c r="E146" i="14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2" i="7"/>
  <c r="J163" i="7"/>
  <c r="J164" i="7"/>
  <c r="J165" i="7"/>
  <c r="J166" i="7"/>
  <c r="J167" i="7"/>
  <c r="J168" i="7"/>
  <c r="J169" i="7"/>
  <c r="J170" i="7"/>
  <c r="I162" i="7"/>
  <c r="I163" i="7"/>
  <c r="I164" i="7"/>
  <c r="I165" i="7"/>
  <c r="I166" i="7"/>
  <c r="I167" i="7"/>
  <c r="I168" i="7"/>
  <c r="I169" i="7"/>
  <c r="I170" i="7"/>
  <c r="L146" i="14"/>
  <c r="L147" i="14"/>
  <c r="L148" i="14"/>
  <c r="L149" i="14"/>
  <c r="L150" i="14"/>
  <c r="L151" i="14"/>
  <c r="L152" i="14"/>
  <c r="L153" i="14"/>
  <c r="L154" i="14"/>
  <c r="K146" i="14"/>
  <c r="K147" i="14"/>
  <c r="K148" i="14"/>
  <c r="K149" i="14"/>
  <c r="K150" i="14"/>
  <c r="K151" i="14"/>
  <c r="K152" i="14"/>
  <c r="K153" i="14"/>
  <c r="K154" i="14"/>
  <c r="I146" i="14"/>
  <c r="I147" i="14"/>
  <c r="I148" i="14"/>
  <c r="I149" i="14"/>
  <c r="I150" i="14"/>
  <c r="I151" i="14"/>
  <c r="I152" i="14"/>
  <c r="I153" i="14"/>
  <c r="I154" i="14"/>
  <c r="H146" i="14"/>
  <c r="H147" i="14"/>
  <c r="H148" i="14"/>
  <c r="H149" i="14"/>
  <c r="H150" i="14"/>
  <c r="H151" i="14"/>
  <c r="H152" i="14"/>
  <c r="H153" i="14"/>
  <c r="H154" i="14"/>
  <c r="F146" i="14"/>
  <c r="F149" i="14"/>
  <c r="F150" i="14"/>
  <c r="F153" i="14"/>
  <c r="F154" i="14"/>
  <c r="I138" i="7" l="1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H53" i="7"/>
  <c r="L17" i="14"/>
  <c r="F52" i="14" l="1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<sst xmlns="http://schemas.openxmlformats.org/spreadsheetml/2006/main" count="733" uniqueCount="475">
  <si>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</si>
  <si>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</si>
  <si>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</si>
  <si>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</si>
  <si>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</si>
  <si>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</si>
  <si>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</si>
  <si>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</si>
  <si>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</si>
  <si>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</si>
  <si>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</si>
  <si>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</si>
  <si>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</si>
  <si>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</si>
  <si>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</si>
  <si>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</si>
  <si>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</si>
  <si>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</si>
  <si>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</si>
  <si>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</si>
  <si>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</si>
  <si>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</si>
  <si>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</si>
  <si>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</si>
  <si>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</si>
  <si>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</si>
  <si>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</si>
  <si>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</si>
  <si>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</si>
  <si>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</si>
  <si>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</si>
  <si>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</si>
  <si>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</si>
  <si>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</si>
  <si>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</si>
  <si>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</si>
  <si>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</si>
  <si>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</si>
  <si>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</si>
  <si>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</si>
  <si>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</si>
  <si>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</si>
  <si>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</si>
  <si>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</si>
  <si>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</si>
  <si>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</si>
  <si>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</si>
  <si>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</si>
  <si>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</si>
  <si>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</si>
  <si>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</si>
  <si>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</si>
  <si>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</si>
  <si>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</si>
  <si>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</si>
  <si>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</si>
  <si>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</si>
  <si>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</si>
  <si>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</si>
  <si>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</si>
  <si>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</si>
  <si>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</si>
  <si>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</si>
  <si>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</si>
  <si>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</si>
  <si>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</si>
  <si>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</si>
  <si>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</si>
  <si>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</si>
  <si>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</si>
  <si>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</si>
  <si>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</si>
  <si>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</si>
  <si>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</si>
  <si>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</si>
  <si>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</si>
  <si>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</si>
  <si>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</si>
  <si>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</si>
  <si>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</si>
  <si>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</si>
  <si>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</si>
  <si>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</si>
  <si>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</si>
  <si>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</si>
  <si>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</si>
  <si>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</si>
  <si>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</si>
  <si>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</si>
  <si>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</si>
  <si>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</si>
  <si>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</si>
  <si>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</si>
  <si>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</si>
  <si>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</si>
  <si>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</si>
  <si>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</si>
  <si>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</si>
  <si>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</si>
  <si>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</si>
  <si>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</si>
  <si>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</si>
  <si>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</si>
  <si>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</si>
  <si>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</si>
  <si>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</si>
  <si>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</si>
  <si>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</si>
  <si>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</si>
  <si>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</si>
  <si>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</si>
  <si>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</si>
  <si>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</si>
  <si>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</si>
  <si>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</si>
  <si>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</si>
  <si>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</si>
  <si>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</si>
  <si>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</si>
  <si>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</si>
  <si>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</si>
  <si>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</si>
  <si>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</si>
  <si>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</si>
  <si>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</si>
  <si>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</si>
  <si>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</si>
  <si>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</si>
  <si>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</si>
  <si>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</si>
  <si>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</si>
  <si>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</si>
  <si>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</si>
  <si>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</si>
  <si>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</si>
  <si>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</si>
  <si>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</si>
  <si>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</si>
  <si>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</si>
  <si>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</si>
  <si>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</si>
  <si>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</si>
  <si>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</si>
  <si>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</si>
  <si>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</si>
  <si>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</si>
  <si>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</si>
  <si>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</si>
  <si>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</si>
  <si>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</si>
  <si>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</si>
  <si>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</si>
  <si>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</si>
  <si>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</si>
  <si>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</si>
  <si>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</si>
  <si>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</si>
  <si>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</si>
  <si>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</si>
  <si>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</si>
  <si>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</si>
  <si>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</si>
  <si>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</si>
  <si>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</si>
  <si>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</si>
  <si>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</si>
  <si>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</si>
  <si>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</si>
  <si>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</si>
  <si>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</si>
  <si>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</si>
  <si>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</si>
  <si>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</si>
  <si>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</si>
  <si>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</si>
  <si>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</si>
  <si>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</si>
  <si>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</si>
  <si>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</si>
  <si>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</si>
  <si>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</si>
  <si>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</si>
  <si>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</si>
  <si>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</si>
  <si>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</si>
  <si>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</si>
  <si>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</si>
  <si>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</si>
  <si>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</si>
  <si>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</si>
  <si>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</si>
  <si>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</si>
  <si>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</si>
  <si>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</si>
  <si>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</si>
  <si>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</si>
  <si>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</si>
  <si>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</si>
  <si>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</si>
  <si>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</si>
  <si>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</si>
  <si>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</si>
  <si>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</si>
  <si>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</si>
  <si>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</si>
  <si>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</si>
  <si>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</si>
  <si>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</si>
  <si>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</si>
  <si>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</si>
  <si>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</si>
  <si>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</si>
  <si>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</si>
  <si>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</si>
  <si>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</si>
  <si>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</si>
  <si>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</si>
  <si>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</si>
  <si>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</si>
  <si>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</si>
  <si>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</si>
  <si>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</si>
  <si>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</si>
  <si>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</si>
  <si>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</si>
  <si>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</si>
  <si>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</si>
  <si>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</si>
  <si>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</si>
  <si>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</si>
  <si>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</si>
  <si>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</si>
  <si>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</si>
  <si>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</si>
  <si>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</si>
  <si>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</si>
  <si>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</si>
  <si>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</si>
  <si>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</si>
  <si>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</si>
  <si>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</si>
  <si>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</si>
  <si>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</si>
  <si>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</si>
  <si>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</si>
  <si>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</si>
  <si>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</si>
  <si>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</si>
  <si>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</si>
  <si>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</si>
  <si>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</si>
  <si>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</si>
  <si>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</si>
  <si>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</si>
  <si>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</si>
  <si>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</si>
  <si>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</si>
  <si>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</si>
  <si>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</si>
  <si>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</si>
  <si>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</si>
  <si>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</si>
  <si>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</si>
  <si>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</si>
  <si>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</si>
  <si>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</si>
  <si>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</si>
  <si>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</si>
  <si>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</si>
  <si>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</si>
  <si>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</si>
  <si>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</si>
  <si>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</si>
  <si>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</si>
  <si>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</si>
  <si>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</si>
  <si>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</si>
  <si>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</si>
  <si>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</si>
  <si>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</si>
  <si>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</si>
  <si>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</si>
  <si>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</si>
  <si>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</si>
  <si>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</si>
  <si>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</si>
  <si>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</si>
  <si>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</si>
  <si>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</si>
  <si>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</si>
  <si>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</si>
  <si>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</si>
  <si>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</si>
  <si>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</si>
  <si>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</si>
  <si>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</si>
  <si>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</si>
  <si>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</si>
  <si>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</si>
  <si>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</si>
  <si>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</si>
  <si>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</si>
  <si>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</si>
  <si>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</si>
  <si>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</si>
  <si>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</si>
  <si>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</si>
  <si>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</si>
  <si>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</si>
  <si>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</si>
  <si>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</si>
  <si>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</si>
  <si>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</si>
  <si>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</si>
  <si>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</si>
  <si>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</si>
  <si>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</si>
  <si>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</si>
  <si>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</si>
  <si>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</si>
  <si>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</si>
  <si>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</si>
  <si>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</si>
  <si>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</si>
  <si>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</si>
  <si>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</si>
  <si>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</si>
  <si>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</si>
  <si>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</si>
  <si>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</si>
  <si>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</si>
  <si>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</si>
  <si>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</si>
  <si>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</si>
  <si>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</si>
  <si>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</si>
  <si>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</si>
  <si>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</si>
  <si>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</si>
  <si>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</si>
  <si>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</si>
  <si>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</si>
  <si>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</si>
  <si>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</si>
  <si>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</si>
  <si>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</si>
  <si>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</si>
  <si>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</si>
  <si>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</si>
  <si>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</si>
  <si>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</si>
  <si>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</si>
  <si>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</si>
  <si>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</si>
  <si>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</si>
  <si>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</si>
  <si>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</si>
  <si>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</si>
  <si>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</si>
  <si>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</si>
  <si>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</si>
  <si>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</si>
  <si>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</si>
  <si>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</si>
  <si>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</si>
  <si>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</si>
  <si>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</si>
  <si>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</si>
  <si>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</si>
  <si>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</si>
  <si>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</si>
  <si>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</si>
  <si>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</si>
  <si>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</si>
  <si>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</si>
  <si>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</si>
  <si>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</si>
  <si>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</si>
  <si>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</si>
  <si>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</si>
  <si>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</si>
  <si>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</si>
  <si>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</si>
  <si>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</si>
  <si>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</si>
  <si>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</si>
  <si>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</si>
  <si>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</si>
  <si>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</si>
  <si>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</si>
  <si>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</si>
  <si>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</si>
  <si>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</si>
  <si>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</si>
  <si>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</si>
  <si>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</si>
  <si>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</si>
  <si>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</si>
  <si>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</si>
  <si>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</si>
  <si>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</si>
  <si>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</si>
  <si>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</si>
  <si>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</si>
  <si>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</si>
  <si>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</si>
  <si>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</si>
  <si>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</si>
  <si>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</si>
  <si>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</si>
  <si>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</si>
  <si>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</si>
  <si>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</si>
  <si>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</si>
  <si>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</si>
  <si>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</si>
  <si>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</si>
  <si>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</si>
  <si>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</si>
  <si>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</si>
  <si>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</si>
  <si>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</si>
  <si>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</si>
  <si>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</si>
  <si>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</si>
  <si>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</si>
  <si>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</si>
  <si>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</si>
  <si>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</si>
  <si>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</si>
  <si>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</si>
  <si>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</si>
  <si>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</si>
  <si>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</si>
  <si>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</si>
  <si>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</si>
  <si>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</si>
  <si>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</si>
  <si>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</si>
  <si>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</si>
  <si>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</si>
  <si>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</si>
  <si>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</si>
  <si>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</si>
  <si>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</si>
  <si>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</si>
  <si>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</si>
  <si>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</si>
  <si>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</si>
  <si>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</si>
  <si>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</si>
  <si>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</si>
  <si>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</si>
  <si>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</si>
  <si>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</si>
  <si>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</si>
  <si>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</si>
  <si>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</si>
  <si>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</si>
  <si>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</si>
  <si>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</si>
  <si>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</si>
  <si>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</si>
  <si>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</si>
  <si>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</si>
  <si>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</si>
  <si>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</si>
  <si>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</si>
  <si>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</si>
  <si>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</si>
  <si>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"prop_sd_lh",0,0.05,0.1</t>
  </si>
  <si>
    <t>"prop_sd_lh",0,0.1,0.2</t>
  </si>
  <si>
    <t>"prop_sd_lh",0,0.2,0.3</t>
  </si>
  <si>
    <t>"prop_sd_lh",1,0.01,</t>
  </si>
  <si>
    <t>袜子boss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</si>
</sst>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71" sqref="G17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75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75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150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150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250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250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H156" sqref="H156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75</v>
      </c>
      <c r="F152" s="30">
        <f t="shared" si="23"/>
        <v>1.3333333333333334E-2</v>
      </c>
      <c r="G152" s="30" t="s">
        <v>22</v>
      </c>
      <c r="H152" s="31" t="str">
        <f>INDEX(base_fish!E:E,MATCH(use_fish!B152,base_fish!A:A,0))&amp;_xlfn.IFNA("+"&amp;INDEX(activity!G:G,MATCH(use_fish!C152,activity!A:A,0)),"")</f>
        <v>袜子boss+临时活动</v>
      </c>
      <c r="I152" s="30">
        <f>LOOKUP(use_fish!B152,base_fish!A:A,base_fish!F:F)+_xlfn.IFNA(INDEX(activity!F:F,MATCH(use_fish!C152,activity!A:A,0)),0)</f>
        <v>75</v>
      </c>
      <c r="J152" s="29">
        <v>1</v>
      </c>
      <c r="K152" s="29">
        <f>LOOKUP(use_fish!B152,base_fish!A:A,base_fish!G:G)</f>
        <v>0</v>
      </c>
      <c r="L152" s="29">
        <f t="shared" si="24"/>
        <v>75</v>
      </c>
      <c r="M152" s="29">
        <v>1</v>
      </c>
      <c r="N152" s="29">
        <v>0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150</v>
      </c>
      <c r="F153" s="30">
        <f t="shared" si="23"/>
        <v>6.6666666666666671E-3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袜子boss+临时活动</v>
      </c>
      <c r="I153" s="30">
        <f>LOOKUP(use_fish!B153,base_fish!A:A,base_fish!F:F)+_xlfn.IFNA(INDEX(activity!F:F,MATCH(use_fish!C153,activity!A:A,0)),0)</f>
        <v>150</v>
      </c>
      <c r="J153" s="29">
        <v>1</v>
      </c>
      <c r="K153" s="29">
        <f>LOOKUP(use_fish!B153,base_fish!A:A,base_fish!G:G)</f>
        <v>0</v>
      </c>
      <c r="L153" s="29">
        <f t="shared" si="24"/>
        <v>150</v>
      </c>
      <c r="M153" s="29">
        <v>1</v>
      </c>
      <c r="N153" s="29">
        <v>0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250</v>
      </c>
      <c r="F154" s="30">
        <f t="shared" si="23"/>
        <v>4.0000000000000001E-3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袜子boss+临时活动</v>
      </c>
      <c r="I154" s="30">
        <f>LOOKUP(use_fish!B154,base_fish!A:A,base_fish!F:F)+_xlfn.IFNA(INDEX(activity!F:F,MATCH(use_fish!C154,activity!A:A,0)),0)</f>
        <v>250</v>
      </c>
      <c r="J154" s="29">
        <v>1</v>
      </c>
      <c r="K154" s="29">
        <f>LOOKUP(use_fish!B154,base_fish!A:A,base_fish!G:G)</f>
        <v>0</v>
      </c>
      <c r="L154" s="29">
        <f t="shared" si="24"/>
        <v>250</v>
      </c>
      <c r="M154" s="29">
        <v>1</v>
      </c>
      <c r="N154" s="29">
        <v>0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20" activePane="bottomLeft" state="frozen"/>
      <selection pane="bottomLeft" activeCell="E26" sqref="E26:E2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470</v>
      </c>
      <c r="D75" s="80">
        <v>0</v>
      </c>
      <c r="E75" s="80">
        <v>1</v>
      </c>
      <c r="F75" s="29">
        <v>75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471</v>
      </c>
      <c r="D76" s="80">
        <v>0</v>
      </c>
      <c r="E76" s="80">
        <v>1</v>
      </c>
      <c r="F76" s="29">
        <v>150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250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2"/>
  <sheetViews>
    <sheetView zoomScaleNormal="100" workbookViewId="0">
      <pane ySplit="1" topLeftCell="A38" activePane="bottomLeft" state="frozen"/>
      <selection pane="bottomLeft" activeCell="E62" sqref="E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474</v>
      </c>
      <c r="F62" s="30">
        <v>0</v>
      </c>
      <c r="G62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2020-12-10T02:53:59Z</dcterms:modified>
</cp:coreProperties>
</file>