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9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5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2" r:id="rId15"/>
    <sheet name="box_fish_award" sheetId="33" r:id="rId16"/>
    <sheet name="match_award" sheetId="36" r:id="rId17"/>
    <sheet name="ue_event_map" sheetId="37" r:id="rId18"/>
    <sheet name="summon_fish" sheetId="39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1" l="1"/>
  <c r="J149" i="14"/>
  <c r="G149" i="14"/>
  <c r="E149" i="14"/>
  <c r="J148" i="14"/>
  <c r="G148" i="14"/>
  <c r="E148" i="14"/>
  <c r="J147" i="14"/>
  <c r="G147" i="14"/>
  <c r="E147" i="14"/>
  <c r="J146" i="14"/>
  <c r="G146" i="14"/>
  <c r="E146" i="14"/>
  <c r="J175" i="7"/>
  <c r="H175" i="7"/>
  <c r="J174" i="7"/>
  <c r="H174" i="7"/>
  <c r="J173" i="7"/>
  <c r="H173" i="7"/>
  <c r="J172" i="7"/>
  <c r="H172" i="7"/>
  <c r="D30" i="1" l="1"/>
  <c r="J145" i="14"/>
  <c r="G145" i="14"/>
  <c r="E145" i="14"/>
  <c r="J144" i="14"/>
  <c r="G144" i="14"/>
  <c r="E144" i="14"/>
  <c r="J143" i="14"/>
  <c r="G143" i="14"/>
  <c r="E143" i="14"/>
  <c r="J142" i="14"/>
  <c r="G142" i="14"/>
  <c r="E142" i="14"/>
  <c r="J171" i="7"/>
  <c r="H171" i="7"/>
  <c r="J170" i="7"/>
  <c r="H170" i="7"/>
  <c r="J169" i="7"/>
  <c r="H169" i="7"/>
  <c r="J168" i="7"/>
  <c r="H168" i="7"/>
  <c r="H126" i="14" l="1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25" i="14"/>
  <c r="J146" i="7" l="1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51" i="7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25" i="14"/>
  <c r="M123" i="14" l="1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G21" i="5" l="1"/>
  <c r="G20" i="5"/>
  <c r="G19" i="5"/>
  <c r="G18" i="5"/>
  <c r="G138" i="14" l="1"/>
  <c r="G139" i="14"/>
  <c r="G137" i="14"/>
  <c r="G140" i="14"/>
  <c r="G141" i="14"/>
  <c r="G130" i="14"/>
  <c r="G134" i="14"/>
  <c r="G133" i="14"/>
  <c r="G131" i="14"/>
  <c r="G135" i="14"/>
  <c r="G132" i="14"/>
  <c r="G136" i="14"/>
  <c r="G126" i="14"/>
  <c r="G125" i="14"/>
  <c r="G127" i="14"/>
  <c r="G129" i="14"/>
  <c r="G128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E128" i="14" l="1"/>
  <c r="H154" i="7"/>
  <c r="E132" i="14"/>
  <c r="H158" i="7"/>
  <c r="E136" i="14"/>
  <c r="H162" i="7"/>
  <c r="E140" i="14"/>
  <c r="H166" i="7"/>
  <c r="E127" i="14"/>
  <c r="H153" i="7"/>
  <c r="E131" i="14"/>
  <c r="H157" i="7"/>
  <c r="E135" i="14"/>
  <c r="H161" i="7"/>
  <c r="E141" i="14"/>
  <c r="H167" i="7"/>
  <c r="E126" i="14"/>
  <c r="H152" i="7"/>
  <c r="E130" i="14"/>
  <c r="H156" i="7"/>
  <c r="E134" i="14"/>
  <c r="H160" i="7"/>
  <c r="E138" i="14"/>
  <c r="H164" i="7"/>
  <c r="E125" i="14"/>
  <c r="H151" i="7"/>
  <c r="E129" i="14"/>
  <c r="H155" i="7"/>
  <c r="E133" i="14"/>
  <c r="H159" i="7"/>
  <c r="E137" i="14"/>
  <c r="H163" i="7"/>
  <c r="E139" i="14"/>
  <c r="H165" i="7"/>
  <c r="H3" i="14"/>
  <c r="H4" i="14"/>
  <c r="I6" i="7" s="1"/>
  <c r="H5" i="14"/>
  <c r="H6" i="14"/>
  <c r="K6" i="14" s="1"/>
  <c r="H7" i="14"/>
  <c r="H8" i="14"/>
  <c r="I16" i="7" s="1"/>
  <c r="H9" i="14"/>
  <c r="H10" i="14"/>
  <c r="K10" i="14" s="1"/>
  <c r="H11" i="14"/>
  <c r="H12" i="14"/>
  <c r="K12" i="14" s="1"/>
  <c r="H13" i="14"/>
  <c r="H14" i="14"/>
  <c r="K14" i="14" s="1"/>
  <c r="H15" i="14"/>
  <c r="H16" i="14"/>
  <c r="I30" i="7" s="1"/>
  <c r="H17" i="14"/>
  <c r="H18" i="14"/>
  <c r="K18" i="14" s="1"/>
  <c r="H19" i="14"/>
  <c r="H20" i="14"/>
  <c r="K20" i="14" s="1"/>
  <c r="H21" i="14"/>
  <c r="H22" i="14"/>
  <c r="K22" i="14" s="1"/>
  <c r="H23" i="14"/>
  <c r="H24" i="14"/>
  <c r="I38" i="7" s="1"/>
  <c r="H25" i="14"/>
  <c r="H26" i="14"/>
  <c r="K26" i="14" s="1"/>
  <c r="H27" i="14"/>
  <c r="H28" i="14"/>
  <c r="K28" i="14" s="1"/>
  <c r="H29" i="14"/>
  <c r="H30" i="14"/>
  <c r="K30" i="14" s="1"/>
  <c r="H31" i="14"/>
  <c r="H32" i="14"/>
  <c r="I46" i="7" s="1"/>
  <c r="H33" i="14"/>
  <c r="H34" i="14"/>
  <c r="K34" i="14" s="1"/>
  <c r="H35" i="14"/>
  <c r="H36" i="14"/>
  <c r="K36" i="14" s="1"/>
  <c r="H37" i="14"/>
  <c r="H38" i="14"/>
  <c r="K38" i="14" s="1"/>
  <c r="H39" i="14"/>
  <c r="H40" i="14"/>
  <c r="I54" i="7" s="1"/>
  <c r="H41" i="14"/>
  <c r="H42" i="14"/>
  <c r="K42" i="14" s="1"/>
  <c r="H43" i="14"/>
  <c r="H44" i="14"/>
  <c r="K44" i="14" s="1"/>
  <c r="H45" i="14"/>
  <c r="H46" i="14"/>
  <c r="K46" i="14" s="1"/>
  <c r="H47" i="14"/>
  <c r="H48" i="14"/>
  <c r="I62" i="7" s="1"/>
  <c r="H49" i="14"/>
  <c r="H50" i="14"/>
  <c r="K50" i="14" s="1"/>
  <c r="H51" i="14"/>
  <c r="H52" i="14"/>
  <c r="K52" i="14" s="1"/>
  <c r="H53" i="14"/>
  <c r="H54" i="14"/>
  <c r="K54" i="14" s="1"/>
  <c r="H55" i="14"/>
  <c r="H56" i="14"/>
  <c r="I70" i="7" s="1"/>
  <c r="H57" i="14"/>
  <c r="H58" i="14"/>
  <c r="K58" i="14" s="1"/>
  <c r="H59" i="14"/>
  <c r="H60" i="14"/>
  <c r="K60" i="14" s="1"/>
  <c r="H61" i="14"/>
  <c r="H62" i="14"/>
  <c r="K62" i="14" s="1"/>
  <c r="H63" i="14"/>
  <c r="H64" i="14"/>
  <c r="I78" i="7" s="1"/>
  <c r="H65" i="14"/>
  <c r="H66" i="14"/>
  <c r="K66" i="14" s="1"/>
  <c r="H67" i="14"/>
  <c r="H68" i="14"/>
  <c r="K68" i="14" s="1"/>
  <c r="H69" i="14"/>
  <c r="H70" i="14"/>
  <c r="K70" i="14" s="1"/>
  <c r="H71" i="14"/>
  <c r="H72" i="14"/>
  <c r="I86" i="7" s="1"/>
  <c r="H73" i="14"/>
  <c r="H74" i="14"/>
  <c r="K74" i="14" s="1"/>
  <c r="H75" i="14"/>
  <c r="H76" i="14"/>
  <c r="K76" i="14" s="1"/>
  <c r="H77" i="14"/>
  <c r="H78" i="14"/>
  <c r="K78" i="14" s="1"/>
  <c r="H79" i="14"/>
  <c r="H80" i="14"/>
  <c r="I94" i="7" s="1"/>
  <c r="H81" i="14"/>
  <c r="H82" i="14"/>
  <c r="K82" i="14" s="1"/>
  <c r="H83" i="14"/>
  <c r="H84" i="14"/>
  <c r="K84" i="14" s="1"/>
  <c r="H85" i="14"/>
  <c r="H86" i="14"/>
  <c r="K86" i="14" s="1"/>
  <c r="H87" i="14"/>
  <c r="H88" i="14"/>
  <c r="I102" i="7" s="1"/>
  <c r="H89" i="14"/>
  <c r="H90" i="14"/>
  <c r="K90" i="14" s="1"/>
  <c r="H91" i="14"/>
  <c r="H92" i="14"/>
  <c r="K92" i="14" s="1"/>
  <c r="H93" i="14"/>
  <c r="H94" i="14"/>
  <c r="K94" i="14" s="1"/>
  <c r="H95" i="14"/>
  <c r="H96" i="14"/>
  <c r="I110" i="7" s="1"/>
  <c r="H97" i="14"/>
  <c r="H98" i="14"/>
  <c r="K98" i="14" s="1"/>
  <c r="H99" i="14"/>
  <c r="H100" i="14"/>
  <c r="K100" i="14" s="1"/>
  <c r="H101" i="14"/>
  <c r="H102" i="14"/>
  <c r="K102" i="14" s="1"/>
  <c r="H103" i="14"/>
  <c r="H104" i="14"/>
  <c r="I131" i="7" s="1"/>
  <c r="H105" i="14"/>
  <c r="H106" i="14"/>
  <c r="K106" i="14" s="1"/>
  <c r="H107" i="14"/>
  <c r="H108" i="14"/>
  <c r="K108" i="14" s="1"/>
  <c r="H109" i="14"/>
  <c r="H110" i="14"/>
  <c r="K110" i="14" s="1"/>
  <c r="H111" i="14"/>
  <c r="H112" i="14"/>
  <c r="K112" i="14" s="1"/>
  <c r="H113" i="14"/>
  <c r="H114" i="14"/>
  <c r="K114" i="14" s="1"/>
  <c r="H115" i="14"/>
  <c r="H116" i="14"/>
  <c r="K116" i="14" s="1"/>
  <c r="H117" i="14"/>
  <c r="H118" i="14"/>
  <c r="K118" i="14" s="1"/>
  <c r="H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9" i="14"/>
  <c r="G34" i="14"/>
  <c r="G41" i="14"/>
  <c r="G50" i="14"/>
  <c r="G60" i="14"/>
  <c r="G69" i="14"/>
  <c r="G77" i="14"/>
  <c r="G87" i="14"/>
  <c r="G122" i="14"/>
  <c r="G123" i="14"/>
  <c r="G2" i="14"/>
  <c r="D3" i="14"/>
  <c r="H4" i="7" s="1"/>
  <c r="D4" i="14"/>
  <c r="D5" i="14"/>
  <c r="H13" i="7" s="1"/>
  <c r="D6" i="14"/>
  <c r="D7" i="14"/>
  <c r="H15" i="7" s="1"/>
  <c r="D8" i="14"/>
  <c r="D9" i="14"/>
  <c r="H23" i="7" s="1"/>
  <c r="D10" i="14"/>
  <c r="H24" i="7" s="1"/>
  <c r="D11" i="14"/>
  <c r="D12" i="14"/>
  <c r="D13" i="14"/>
  <c r="E13" i="14" s="1"/>
  <c r="D14" i="14"/>
  <c r="E14" i="14" s="1"/>
  <c r="D15" i="14"/>
  <c r="E15" i="14" s="1"/>
  <c r="D16" i="14"/>
  <c r="D17" i="14"/>
  <c r="H31" i="7" s="1"/>
  <c r="D18" i="14"/>
  <c r="H32" i="7" s="1"/>
  <c r="D19" i="14"/>
  <c r="E19" i="14" s="1"/>
  <c r="D20" i="14"/>
  <c r="D21" i="14"/>
  <c r="H35" i="7" s="1"/>
  <c r="D22" i="14"/>
  <c r="E22" i="14" s="1"/>
  <c r="D23" i="14"/>
  <c r="E23" i="14" s="1"/>
  <c r="D24" i="14"/>
  <c r="D25" i="14"/>
  <c r="E25" i="14" s="1"/>
  <c r="D26" i="14"/>
  <c r="E26" i="14" s="1"/>
  <c r="D27" i="14"/>
  <c r="E27" i="14" s="1"/>
  <c r="D28" i="14"/>
  <c r="D29" i="14"/>
  <c r="E29" i="14" s="1"/>
  <c r="D30" i="14"/>
  <c r="H44" i="7" s="1"/>
  <c r="D31" i="14"/>
  <c r="E31" i="14" s="1"/>
  <c r="D32" i="14"/>
  <c r="D33" i="14"/>
  <c r="H47" i="7" s="1"/>
  <c r="D34" i="14"/>
  <c r="H48" i="7" s="1"/>
  <c r="D35" i="14"/>
  <c r="E35" i="14" s="1"/>
  <c r="D36" i="14"/>
  <c r="D37" i="14"/>
  <c r="H51" i="7" s="1"/>
  <c r="D38" i="14"/>
  <c r="H52" i="7" s="1"/>
  <c r="D39" i="14"/>
  <c r="E39" i="14" s="1"/>
  <c r="D40" i="14"/>
  <c r="D41" i="14"/>
  <c r="E41" i="14" s="1"/>
  <c r="D42" i="14"/>
  <c r="E42" i="14" s="1"/>
  <c r="D43" i="14"/>
  <c r="E43" i="14" s="1"/>
  <c r="D44" i="14"/>
  <c r="D45" i="14"/>
  <c r="E45" i="14" s="1"/>
  <c r="D46" i="14"/>
  <c r="H60" i="7" s="1"/>
  <c r="D47" i="14"/>
  <c r="E47" i="14" s="1"/>
  <c r="D48" i="14"/>
  <c r="D49" i="14"/>
  <c r="H63" i="7" s="1"/>
  <c r="D50" i="14"/>
  <c r="E50" i="14" s="1"/>
  <c r="D51" i="14"/>
  <c r="E51" i="14" s="1"/>
  <c r="D52" i="14"/>
  <c r="D53" i="14"/>
  <c r="H67" i="7" s="1"/>
  <c r="D54" i="14"/>
  <c r="H68" i="7" s="1"/>
  <c r="D55" i="14"/>
  <c r="E55" i="14" s="1"/>
  <c r="D56" i="14"/>
  <c r="D57" i="14"/>
  <c r="E57" i="14" s="1"/>
  <c r="D58" i="14"/>
  <c r="H72" i="7" s="1"/>
  <c r="D59" i="14"/>
  <c r="E59" i="14" s="1"/>
  <c r="D60" i="14"/>
  <c r="D61" i="14"/>
  <c r="E61" i="14" s="1"/>
  <c r="D62" i="14"/>
  <c r="E62" i="14" s="1"/>
  <c r="D63" i="14"/>
  <c r="E63" i="14" s="1"/>
  <c r="D64" i="14"/>
  <c r="D65" i="14"/>
  <c r="H79" i="7" s="1"/>
  <c r="D66" i="14"/>
  <c r="H80" i="7" s="1"/>
  <c r="D67" i="14"/>
  <c r="E67" i="14" s="1"/>
  <c r="D68" i="14"/>
  <c r="D69" i="14"/>
  <c r="H83" i="7" s="1"/>
  <c r="D70" i="14"/>
  <c r="E70" i="14" s="1"/>
  <c r="D71" i="14"/>
  <c r="E71" i="14" s="1"/>
  <c r="D72" i="14"/>
  <c r="D73" i="14"/>
  <c r="E73" i="14" s="1"/>
  <c r="D74" i="14"/>
  <c r="H88" i="7" s="1"/>
  <c r="D75" i="14"/>
  <c r="E75" i="14" s="1"/>
  <c r="D76" i="14"/>
  <c r="D77" i="14"/>
  <c r="E77" i="14" s="1"/>
  <c r="D78" i="14"/>
  <c r="E78" i="14" s="1"/>
  <c r="D79" i="14"/>
  <c r="E79" i="14" s="1"/>
  <c r="D80" i="14"/>
  <c r="D81" i="14"/>
  <c r="H95" i="7" s="1"/>
  <c r="D82" i="14"/>
  <c r="H96" i="7" s="1"/>
  <c r="D83" i="14"/>
  <c r="E83" i="14" s="1"/>
  <c r="D84" i="14"/>
  <c r="D85" i="14"/>
  <c r="H99" i="7" s="1"/>
  <c r="D86" i="14"/>
  <c r="E86" i="14" s="1"/>
  <c r="D87" i="14"/>
  <c r="E87" i="14" s="1"/>
  <c r="D88" i="14"/>
  <c r="D89" i="14"/>
  <c r="E89" i="14" s="1"/>
  <c r="D90" i="14"/>
  <c r="E90" i="14" s="1"/>
  <c r="D91" i="14"/>
  <c r="H28" i="7" s="1"/>
  <c r="D92" i="14"/>
  <c r="D93" i="14"/>
  <c r="E93" i="14" s="1"/>
  <c r="D94" i="14"/>
  <c r="H108" i="7" s="1"/>
  <c r="D95" i="14"/>
  <c r="E95" i="14" s="1"/>
  <c r="D96" i="14"/>
  <c r="D97" i="14"/>
  <c r="H111" i="7" s="1"/>
  <c r="D98" i="14"/>
  <c r="H112" i="7" s="1"/>
  <c r="D99" i="14"/>
  <c r="E99" i="14" s="1"/>
  <c r="D100" i="14"/>
  <c r="D101" i="14"/>
  <c r="H115" i="7" s="1"/>
  <c r="D102" i="14"/>
  <c r="H116" i="7" s="1"/>
  <c r="D103" i="14"/>
  <c r="H130" i="7" s="1"/>
  <c r="D104" i="14"/>
  <c r="D105" i="14"/>
  <c r="H132" i="7" s="1"/>
  <c r="D106" i="14"/>
  <c r="H133" i="7" s="1"/>
  <c r="D107" i="14"/>
  <c r="H134" i="7" s="1"/>
  <c r="D108" i="14"/>
  <c r="D109" i="14"/>
  <c r="H136" i="7" s="1"/>
  <c r="D110" i="14"/>
  <c r="E110" i="14" s="1"/>
  <c r="D111" i="14"/>
  <c r="H138" i="7" s="1"/>
  <c r="D112" i="14"/>
  <c r="D113" i="14"/>
  <c r="E113" i="14" s="1"/>
  <c r="D114" i="14"/>
  <c r="H141" i="7" s="1"/>
  <c r="D115" i="14"/>
  <c r="H142" i="7" s="1"/>
  <c r="D116" i="14"/>
  <c r="D117" i="14"/>
  <c r="H144" i="7" s="1"/>
  <c r="D118" i="14"/>
  <c r="E118" i="14" s="1"/>
  <c r="D2" i="14"/>
  <c r="H8" i="7" s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4" i="14" s="1"/>
  <c r="G16" i="5"/>
  <c r="G106" i="14" s="1"/>
  <c r="G15" i="5"/>
  <c r="G90" i="14" s="1"/>
  <c r="G14" i="5"/>
  <c r="G63" i="14" s="1"/>
  <c r="G13" i="5"/>
  <c r="G42" i="14" s="1"/>
  <c r="G12" i="5"/>
  <c r="G78" i="14" s="1"/>
  <c r="G11" i="5"/>
  <c r="G24" i="14" s="1"/>
  <c r="G10" i="5"/>
  <c r="G9" i="5"/>
  <c r="G8" i="5"/>
  <c r="G86" i="14" s="1"/>
  <c r="G7" i="5"/>
  <c r="G82" i="14" s="1"/>
  <c r="G6" i="5"/>
  <c r="G22" i="14" s="1"/>
  <c r="G5" i="5"/>
  <c r="G54" i="14" s="1"/>
  <c r="G4" i="5"/>
  <c r="G26" i="14" s="1"/>
  <c r="G3" i="5"/>
  <c r="G30" i="14" s="1"/>
  <c r="G2" i="5"/>
  <c r="G119" i="14" s="1"/>
  <c r="H122" i="14"/>
  <c r="K122" i="14" s="1"/>
  <c r="J122" i="14"/>
  <c r="H121" i="14"/>
  <c r="K121" i="14" s="1"/>
  <c r="J121" i="14"/>
  <c r="H120" i="14"/>
  <c r="K120" i="14" s="1"/>
  <c r="J120" i="14"/>
  <c r="H119" i="14"/>
  <c r="K119" i="14" s="1"/>
  <c r="J119" i="14"/>
  <c r="J118" i="14"/>
  <c r="K117" i="14"/>
  <c r="J117" i="14"/>
  <c r="J116" i="14"/>
  <c r="K115" i="14"/>
  <c r="J115" i="14"/>
  <c r="J114" i="14"/>
  <c r="K113" i="14"/>
  <c r="J113" i="14"/>
  <c r="J112" i="14"/>
  <c r="K111" i="14"/>
  <c r="J111" i="14"/>
  <c r="J110" i="14"/>
  <c r="K109" i="14"/>
  <c r="J109" i="14"/>
  <c r="J108" i="14"/>
  <c r="K107" i="14"/>
  <c r="J107" i="14"/>
  <c r="J106" i="14"/>
  <c r="K105" i="14"/>
  <c r="J105" i="14"/>
  <c r="J104" i="14"/>
  <c r="K103" i="14"/>
  <c r="J103" i="14"/>
  <c r="J102" i="14"/>
  <c r="K101" i="14"/>
  <c r="J101" i="14"/>
  <c r="J100" i="14"/>
  <c r="K99" i="14"/>
  <c r="J99" i="14"/>
  <c r="J98" i="14"/>
  <c r="K97" i="14"/>
  <c r="J97" i="14"/>
  <c r="J96" i="14"/>
  <c r="K95" i="14"/>
  <c r="J95" i="14"/>
  <c r="J94" i="14"/>
  <c r="K93" i="14"/>
  <c r="J93" i="14"/>
  <c r="J92" i="14"/>
  <c r="K91" i="14"/>
  <c r="J91" i="14"/>
  <c r="J90" i="14"/>
  <c r="K89" i="14"/>
  <c r="J89" i="14"/>
  <c r="J88" i="14"/>
  <c r="K87" i="14"/>
  <c r="J87" i="14"/>
  <c r="J86" i="14"/>
  <c r="K85" i="14"/>
  <c r="J85" i="14"/>
  <c r="J84" i="14"/>
  <c r="K83" i="14"/>
  <c r="J83" i="14"/>
  <c r="J82" i="14"/>
  <c r="K81" i="14"/>
  <c r="J81" i="14"/>
  <c r="J80" i="14"/>
  <c r="K79" i="14"/>
  <c r="J79" i="14"/>
  <c r="J78" i="14"/>
  <c r="K77" i="14"/>
  <c r="J77" i="14"/>
  <c r="J76" i="14"/>
  <c r="K75" i="14"/>
  <c r="J75" i="14"/>
  <c r="J74" i="14"/>
  <c r="K73" i="14"/>
  <c r="J73" i="14"/>
  <c r="J72" i="14"/>
  <c r="K71" i="14"/>
  <c r="J71" i="14"/>
  <c r="J70" i="14"/>
  <c r="K69" i="14"/>
  <c r="J69" i="14"/>
  <c r="J68" i="14"/>
  <c r="K67" i="14"/>
  <c r="J67" i="14"/>
  <c r="J66" i="14"/>
  <c r="K65" i="14"/>
  <c r="J65" i="14"/>
  <c r="J64" i="14"/>
  <c r="K63" i="14"/>
  <c r="J63" i="14"/>
  <c r="J62" i="14"/>
  <c r="K61" i="14"/>
  <c r="J61" i="14"/>
  <c r="J60" i="14"/>
  <c r="K59" i="14"/>
  <c r="J59" i="14"/>
  <c r="J58" i="14"/>
  <c r="K57" i="14"/>
  <c r="J57" i="14"/>
  <c r="J56" i="14"/>
  <c r="K55" i="14"/>
  <c r="J55" i="14"/>
  <c r="J54" i="14"/>
  <c r="K53" i="14"/>
  <c r="J53" i="14"/>
  <c r="J52" i="14"/>
  <c r="K51" i="14"/>
  <c r="J51" i="14"/>
  <c r="J50" i="14"/>
  <c r="K49" i="14"/>
  <c r="J49" i="14"/>
  <c r="J48" i="14"/>
  <c r="K47" i="14"/>
  <c r="J47" i="14"/>
  <c r="J46" i="14"/>
  <c r="K45" i="14"/>
  <c r="J45" i="14"/>
  <c r="J44" i="14"/>
  <c r="K43" i="14"/>
  <c r="J43" i="14"/>
  <c r="J42" i="14"/>
  <c r="K41" i="14"/>
  <c r="J41" i="14"/>
  <c r="J40" i="14"/>
  <c r="K39" i="14"/>
  <c r="J39" i="14"/>
  <c r="J38" i="14"/>
  <c r="K37" i="14"/>
  <c r="J37" i="14"/>
  <c r="J36" i="14"/>
  <c r="K35" i="14"/>
  <c r="J35" i="14"/>
  <c r="J34" i="14"/>
  <c r="K33" i="14"/>
  <c r="J33" i="14"/>
  <c r="J32" i="14"/>
  <c r="K31" i="14"/>
  <c r="J31" i="14"/>
  <c r="J30" i="14"/>
  <c r="K29" i="14"/>
  <c r="J29" i="14"/>
  <c r="J28" i="14"/>
  <c r="K27" i="14"/>
  <c r="J27" i="14"/>
  <c r="J26" i="14"/>
  <c r="K25" i="14"/>
  <c r="J25" i="14"/>
  <c r="J24" i="14"/>
  <c r="K23" i="14"/>
  <c r="J23" i="14"/>
  <c r="J22" i="14"/>
  <c r="K21" i="14"/>
  <c r="J21" i="14"/>
  <c r="J20" i="14"/>
  <c r="K19" i="14"/>
  <c r="J19" i="14"/>
  <c r="J18" i="14"/>
  <c r="K17" i="14"/>
  <c r="J17" i="14"/>
  <c r="J16" i="14"/>
  <c r="K15" i="14"/>
  <c r="J15" i="14"/>
  <c r="J14" i="14"/>
  <c r="K13" i="14"/>
  <c r="J13" i="14"/>
  <c r="J12" i="14"/>
  <c r="K11" i="14"/>
  <c r="J11" i="14"/>
  <c r="J10" i="14"/>
  <c r="K9" i="14"/>
  <c r="J9" i="14"/>
  <c r="J8" i="14"/>
  <c r="K7" i="14"/>
  <c r="J7" i="14"/>
  <c r="J6" i="14"/>
  <c r="K5" i="14"/>
  <c r="J5" i="14"/>
  <c r="J4" i="14"/>
  <c r="K3" i="14"/>
  <c r="J3" i="14"/>
  <c r="K2" i="14"/>
  <c r="J2" i="14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D122" i="14"/>
  <c r="H149" i="7" s="1"/>
  <c r="I3" i="7"/>
  <c r="I4" i="7"/>
  <c r="I5" i="7"/>
  <c r="I8" i="7"/>
  <c r="I9" i="7"/>
  <c r="I10" i="7"/>
  <c r="I11" i="7"/>
  <c r="I13" i="7"/>
  <c r="I15" i="7"/>
  <c r="I17" i="7"/>
  <c r="I19" i="7"/>
  <c r="I21" i="7"/>
  <c r="I23" i="7"/>
  <c r="I25" i="7"/>
  <c r="I27" i="7"/>
  <c r="I28" i="7"/>
  <c r="I29" i="7"/>
  <c r="I31" i="7"/>
  <c r="I33" i="7"/>
  <c r="I35" i="7"/>
  <c r="I37" i="7"/>
  <c r="I39" i="7"/>
  <c r="I41" i="7"/>
  <c r="I43" i="7"/>
  <c r="I45" i="7"/>
  <c r="I47" i="7"/>
  <c r="I49" i="7"/>
  <c r="I51" i="7"/>
  <c r="I53" i="7"/>
  <c r="I55" i="7"/>
  <c r="I57" i="7"/>
  <c r="I59" i="7"/>
  <c r="I61" i="7"/>
  <c r="I63" i="7"/>
  <c r="I65" i="7"/>
  <c r="I67" i="7"/>
  <c r="I69" i="7"/>
  <c r="I71" i="7"/>
  <c r="I73" i="7"/>
  <c r="I75" i="7"/>
  <c r="I77" i="7"/>
  <c r="I79" i="7"/>
  <c r="I81" i="7"/>
  <c r="I83" i="7"/>
  <c r="I85" i="7"/>
  <c r="I87" i="7"/>
  <c r="I89" i="7"/>
  <c r="I91" i="7"/>
  <c r="I93" i="7"/>
  <c r="I95" i="7"/>
  <c r="I97" i="7"/>
  <c r="I99" i="7"/>
  <c r="I101" i="7"/>
  <c r="I103" i="7"/>
  <c r="I105" i="7"/>
  <c r="I107" i="7"/>
  <c r="I109" i="7"/>
  <c r="I111" i="7"/>
  <c r="I113" i="7"/>
  <c r="I115" i="7"/>
  <c r="I121" i="7"/>
  <c r="I122" i="7"/>
  <c r="I130" i="7"/>
  <c r="I132" i="7"/>
  <c r="I134" i="7"/>
  <c r="I136" i="7"/>
  <c r="I138" i="7"/>
  <c r="I140" i="7"/>
  <c r="I142" i="7"/>
  <c r="I144" i="7"/>
  <c r="I146" i="7"/>
  <c r="I149" i="7"/>
  <c r="I2" i="7"/>
  <c r="H6" i="7"/>
  <c r="H7" i="7"/>
  <c r="H12" i="7"/>
  <c r="H16" i="7"/>
  <c r="H17" i="7"/>
  <c r="H22" i="7"/>
  <c r="H26" i="7"/>
  <c r="H27" i="7"/>
  <c r="H30" i="7"/>
  <c r="H34" i="7"/>
  <c r="H38" i="7"/>
  <c r="H39" i="7"/>
  <c r="H42" i="7"/>
  <c r="H46" i="7"/>
  <c r="H50" i="7"/>
  <c r="H54" i="7"/>
  <c r="H55" i="7"/>
  <c r="H58" i="7"/>
  <c r="H62" i="7"/>
  <c r="H66" i="7"/>
  <c r="H70" i="7"/>
  <c r="H71" i="7"/>
  <c r="H74" i="7"/>
  <c r="H78" i="7"/>
  <c r="H82" i="7"/>
  <c r="H86" i="7"/>
  <c r="H87" i="7"/>
  <c r="H90" i="7"/>
  <c r="H92" i="7"/>
  <c r="H94" i="7"/>
  <c r="H98" i="7"/>
  <c r="H102" i="7"/>
  <c r="H103" i="7"/>
  <c r="H106" i="7"/>
  <c r="H110" i="7"/>
  <c r="H114" i="7"/>
  <c r="H131" i="7"/>
  <c r="H135" i="7"/>
  <c r="H139" i="7"/>
  <c r="H140" i="7"/>
  <c r="H143" i="7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D20" i="1"/>
  <c r="D2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116" i="14"/>
  <c r="E112" i="14"/>
  <c r="E108" i="14"/>
  <c r="E106" i="14"/>
  <c r="E105" i="14"/>
  <c r="E104" i="14"/>
  <c r="E102" i="14"/>
  <c r="E100" i="14"/>
  <c r="E96" i="14"/>
  <c r="E92" i="14"/>
  <c r="E88" i="14"/>
  <c r="E85" i="14"/>
  <c r="E84" i="14"/>
  <c r="E82" i="14"/>
  <c r="E80" i="14"/>
  <c r="E76" i="14"/>
  <c r="E72" i="14"/>
  <c r="E69" i="14"/>
  <c r="E68" i="14"/>
  <c r="E64" i="14"/>
  <c r="E60" i="14"/>
  <c r="E56" i="14"/>
  <c r="E53" i="14"/>
  <c r="E52" i="14"/>
  <c r="E48" i="14"/>
  <c r="E44" i="14"/>
  <c r="E40" i="14"/>
  <c r="E38" i="14"/>
  <c r="E37" i="14"/>
  <c r="E36" i="14"/>
  <c r="E32" i="14"/>
  <c r="E28" i="14"/>
  <c r="E24" i="14"/>
  <c r="E21" i="14"/>
  <c r="E20" i="14"/>
  <c r="E18" i="14"/>
  <c r="E16" i="14"/>
  <c r="E12" i="14"/>
  <c r="E8" i="14"/>
  <c r="E5" i="14"/>
  <c r="E4" i="14"/>
  <c r="G2" i="30"/>
  <c r="F2" i="30"/>
  <c r="D3" i="18"/>
  <c r="D4" i="18"/>
  <c r="D5" i="18"/>
  <c r="D6" i="18"/>
  <c r="D7" i="18"/>
  <c r="D8" i="18"/>
  <c r="D9" i="18"/>
  <c r="D10" i="18"/>
  <c r="D11" i="18"/>
  <c r="D2" i="18"/>
  <c r="E101" i="14" l="1"/>
  <c r="H118" i="7"/>
  <c r="K40" i="14"/>
  <c r="I66" i="7"/>
  <c r="E10" i="14"/>
  <c r="E122" i="14"/>
  <c r="H36" i="7"/>
  <c r="K104" i="14"/>
  <c r="H100" i="7"/>
  <c r="H56" i="7"/>
  <c r="H145" i="7"/>
  <c r="H64" i="7"/>
  <c r="H14" i="7"/>
  <c r="E74" i="14"/>
  <c r="E46" i="14"/>
  <c r="E114" i="14"/>
  <c r="H20" i="7"/>
  <c r="G113" i="14"/>
  <c r="E34" i="14"/>
  <c r="E54" i="14"/>
  <c r="E98" i="14"/>
  <c r="H137" i="7"/>
  <c r="H40" i="7"/>
  <c r="H18" i="7"/>
  <c r="I126" i="7"/>
  <c r="I114" i="7"/>
  <c r="I50" i="7"/>
  <c r="K56" i="14"/>
  <c r="H127" i="7"/>
  <c r="H104" i="7"/>
  <c r="H84" i="7"/>
  <c r="H76" i="7"/>
  <c r="E6" i="14"/>
  <c r="I148" i="7"/>
  <c r="I98" i="7"/>
  <c r="I34" i="7"/>
  <c r="K8" i="14"/>
  <c r="K72" i="14"/>
  <c r="E30" i="14"/>
  <c r="E58" i="14"/>
  <c r="E66" i="14"/>
  <c r="E94" i="14"/>
  <c r="I139" i="7"/>
  <c r="I82" i="7"/>
  <c r="K24" i="14"/>
  <c r="K88" i="14"/>
  <c r="E17" i="14"/>
  <c r="E33" i="14"/>
  <c r="E49" i="14"/>
  <c r="E65" i="14"/>
  <c r="E81" i="14"/>
  <c r="E97" i="14"/>
  <c r="E117" i="14"/>
  <c r="H123" i="7"/>
  <c r="H117" i="7"/>
  <c r="H107" i="7"/>
  <c r="H91" i="7"/>
  <c r="H75" i="7"/>
  <c r="H59" i="7"/>
  <c r="H43" i="7"/>
  <c r="I143" i="7"/>
  <c r="I125" i="7"/>
  <c r="I120" i="7"/>
  <c r="I12" i="7"/>
  <c r="K4" i="14"/>
  <c r="H122" i="7"/>
  <c r="H19" i="7"/>
  <c r="I147" i="7"/>
  <c r="I123" i="7"/>
  <c r="I119" i="7"/>
  <c r="I106" i="7"/>
  <c r="I90" i="7"/>
  <c r="I74" i="7"/>
  <c r="I58" i="7"/>
  <c r="I42" i="7"/>
  <c r="I22" i="7"/>
  <c r="I7" i="7"/>
  <c r="K16" i="14"/>
  <c r="K32" i="14"/>
  <c r="K48" i="14"/>
  <c r="K64" i="14"/>
  <c r="K80" i="14"/>
  <c r="K96" i="14"/>
  <c r="H128" i="7"/>
  <c r="E9" i="14"/>
  <c r="E109" i="14"/>
  <c r="H120" i="7"/>
  <c r="I135" i="7"/>
  <c r="I26" i="7"/>
  <c r="G97" i="14"/>
  <c r="H11" i="7"/>
  <c r="G61" i="14"/>
  <c r="G37" i="14"/>
  <c r="G25" i="14"/>
  <c r="G109" i="14"/>
  <c r="G93" i="14"/>
  <c r="G73" i="14"/>
  <c r="G49" i="14"/>
  <c r="G21" i="14"/>
  <c r="G121" i="14"/>
  <c r="G105" i="14"/>
  <c r="G57" i="14"/>
  <c r="G45" i="14"/>
  <c r="G33" i="14"/>
  <c r="G117" i="14"/>
  <c r="G101" i="14"/>
  <c r="G81" i="14"/>
  <c r="G65" i="14"/>
  <c r="G53" i="14"/>
  <c r="H124" i="7"/>
  <c r="G89" i="14"/>
  <c r="G85" i="14"/>
  <c r="H119" i="7"/>
  <c r="I127" i="7"/>
  <c r="G120" i="14"/>
  <c r="G116" i="14"/>
  <c r="G112" i="14"/>
  <c r="G108" i="14"/>
  <c r="G104" i="14"/>
  <c r="G100" i="14"/>
  <c r="G96" i="14"/>
  <c r="G92" i="14"/>
  <c r="G88" i="14"/>
  <c r="G84" i="14"/>
  <c r="G80" i="14"/>
  <c r="G76" i="14"/>
  <c r="G72" i="14"/>
  <c r="G68" i="14"/>
  <c r="G64" i="14"/>
  <c r="G56" i="14"/>
  <c r="G52" i="14"/>
  <c r="G48" i="14"/>
  <c r="G44" i="14"/>
  <c r="G40" i="14"/>
  <c r="G36" i="14"/>
  <c r="G32" i="14"/>
  <c r="G28" i="14"/>
  <c r="G20" i="14"/>
  <c r="G115" i="14"/>
  <c r="G111" i="14"/>
  <c r="G107" i="14"/>
  <c r="G103" i="14"/>
  <c r="G99" i="14"/>
  <c r="G95" i="14"/>
  <c r="G91" i="14"/>
  <c r="G83" i="14"/>
  <c r="G79" i="14"/>
  <c r="G75" i="14"/>
  <c r="G71" i="14"/>
  <c r="G67" i="14"/>
  <c r="G59" i="14"/>
  <c r="G55" i="14"/>
  <c r="G51" i="14"/>
  <c r="G47" i="14"/>
  <c r="G43" i="14"/>
  <c r="G39" i="14"/>
  <c r="G35" i="14"/>
  <c r="G31" i="14"/>
  <c r="G27" i="14"/>
  <c r="G23" i="14"/>
  <c r="E103" i="14"/>
  <c r="E107" i="14"/>
  <c r="E111" i="14"/>
  <c r="E115" i="14"/>
  <c r="H2" i="7"/>
  <c r="H3" i="7"/>
  <c r="G118" i="14"/>
  <c r="G110" i="14"/>
  <c r="G102" i="14"/>
  <c r="G98" i="14"/>
  <c r="G94" i="14"/>
  <c r="G74" i="14"/>
  <c r="G70" i="14"/>
  <c r="G66" i="14"/>
  <c r="G62" i="14"/>
  <c r="G58" i="14"/>
  <c r="G46" i="14"/>
  <c r="G38" i="14"/>
  <c r="H126" i="7"/>
  <c r="H10" i="7"/>
  <c r="I118" i="7"/>
  <c r="I18" i="7"/>
  <c r="I14" i="7"/>
  <c r="E2" i="14"/>
  <c r="H129" i="7"/>
  <c r="H125" i="7"/>
  <c r="H121" i="7"/>
  <c r="H113" i="7"/>
  <c r="H109" i="7"/>
  <c r="H105" i="7"/>
  <c r="H101" i="7"/>
  <c r="H97" i="7"/>
  <c r="H93" i="7"/>
  <c r="H89" i="7"/>
  <c r="H85" i="7"/>
  <c r="H81" i="7"/>
  <c r="H77" i="7"/>
  <c r="H73" i="7"/>
  <c r="H69" i="7"/>
  <c r="H65" i="7"/>
  <c r="H61" i="7"/>
  <c r="H57" i="7"/>
  <c r="H53" i="7"/>
  <c r="H49" i="7"/>
  <c r="H45" i="7"/>
  <c r="H41" i="7"/>
  <c r="H37" i="7"/>
  <c r="H33" i="7"/>
  <c r="H29" i="7"/>
  <c r="H25" i="7"/>
  <c r="H21" i="7"/>
  <c r="H9" i="7"/>
  <c r="H5" i="7"/>
  <c r="I145" i="7"/>
  <c r="I141" i="7"/>
  <c r="I137" i="7"/>
  <c r="I133" i="7"/>
  <c r="I129" i="7"/>
  <c r="I117" i="7"/>
  <c r="E3" i="14"/>
  <c r="E7" i="14"/>
  <c r="E11" i="14"/>
  <c r="E91" i="14"/>
  <c r="I128" i="7"/>
  <c r="I124" i="7"/>
  <c r="I116" i="7"/>
  <c r="I112" i="7"/>
  <c r="I108" i="7"/>
  <c r="I104" i="7"/>
  <c r="I100" i="7"/>
  <c r="I96" i="7"/>
  <c r="I92" i="7"/>
  <c r="I88" i="7"/>
  <c r="I84" i="7"/>
  <c r="I80" i="7"/>
  <c r="I76" i="7"/>
  <c r="I72" i="7"/>
  <c r="I68" i="7"/>
  <c r="I64" i="7"/>
  <c r="I60" i="7"/>
  <c r="I56" i="7"/>
  <c r="I52" i="7"/>
  <c r="I48" i="7"/>
  <c r="I44" i="7"/>
  <c r="I40" i="7"/>
  <c r="I36" i="7"/>
  <c r="I32" i="7"/>
  <c r="I24" i="7"/>
  <c r="I20" i="7"/>
  <c r="L6" i="7" l="1" a="1"/>
  <c r="L6" i="7" s="1"/>
  <c r="L5" i="7" a="1"/>
  <c r="L5" i="7" s="1"/>
  <c r="L10" i="7" a="1"/>
  <c r="L10" i="7" s="1"/>
  <c r="L9" i="7" a="1"/>
  <c r="L9" i="7" s="1"/>
  <c r="L24" i="7" a="1"/>
  <c r="L24" i="7" s="1"/>
  <c r="L30" i="7" a="1"/>
  <c r="L30" i="7" s="1"/>
  <c r="L76" i="7" a="1"/>
  <c r="L76" i="7" s="1"/>
  <c r="L44" i="7" a="1"/>
  <c r="L44" i="7" s="1"/>
  <c r="L84" i="7" a="1"/>
  <c r="L84" i="7" s="1"/>
  <c r="L11" i="7" a="1"/>
  <c r="L11" i="7" s="1"/>
  <c r="L21" i="7" a="1"/>
  <c r="L21" i="7" s="1"/>
  <c r="L25" i="7" a="1"/>
  <c r="L25" i="7" s="1"/>
  <c r="L41" i="7" a="1"/>
  <c r="L41" i="7" s="1"/>
  <c r="L77" i="7" a="1"/>
  <c r="L77" i="7" s="1"/>
  <c r="L43" i="7" a="1"/>
  <c r="L43" i="7" s="1"/>
  <c r="L12" i="7" a="1"/>
  <c r="L12" i="7" s="1"/>
  <c r="L22" i="7" a="1"/>
  <c r="L22" i="7" s="1"/>
  <c r="L26" i="7" a="1"/>
  <c r="L26" i="7" s="1"/>
  <c r="L75" i="7" a="1"/>
  <c r="L75" i="7" s="1"/>
  <c r="L31" i="7" a="1"/>
  <c r="L31" i="7" s="1"/>
  <c r="L8" i="7" a="1"/>
  <c r="L8" i="7" s="1"/>
  <c r="L19" i="7" a="1"/>
  <c r="L19" i="7" s="1"/>
  <c r="L23" i="7" a="1"/>
  <c r="L23" i="7" s="1"/>
  <c r="L27" i="7" a="1"/>
  <c r="L27" i="7" s="1"/>
  <c r="L42" i="7" a="1"/>
  <c r="L42" i="7" s="1"/>
  <c r="L4" i="7" a="1"/>
  <c r="L4" i="7" s="1"/>
  <c r="L7" i="7" a="1"/>
  <c r="L7" i="7" s="1"/>
  <c r="L20" i="7" a="1"/>
  <c r="L20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<sst xmlns="http://schemas.openxmlformats.org/spreadsheetml/2006/main" count="652" uniqueCount="399">
  <si>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</si>
  <si>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</si>
  <si>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</si>
  <si>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</si>
  <si>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</si>
  <si>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</si>
  <si>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</si>
  <si>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</si>
  <si>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</si>
  <si>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</si>
  <si>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</si>
  <si>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</si>
  <si>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</si>
  <si>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</si>
  <si>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</si>
  <si>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</si>
  <si>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</si>
  <si>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</si>
  <si>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</si>
  <si>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</si>
  <si>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</si>
  <si>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</si>
  <si>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</si>
  <si>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</si>
  <si>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</si>
  <si>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</si>
  <si>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</si>
  <si>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</si>
  <si>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</si>
  <si>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</si>
  <si>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</si>
  <si>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</si>
  <si>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</si>
  <si>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</si>
  <si>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</si>
  <si>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</si>
  <si>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</si>
  <si>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</si>
  <si>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</si>
  <si>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</si>
  <si>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</si>
  <si>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</si>
  <si>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</si>
  <si>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</si>
  <si>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</si>
  <si>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</si>
  <si>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</si>
  <si>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</si>
  <si>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</si>
  <si>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</si>
  <si>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</si>
  <si>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</si>
  <si>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</si>
  <si>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</si>
  <si>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</si>
  <si>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</si>
  <si>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</si>
  <si>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</si>
  <si>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</si>
  <si>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</si>
  <si>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</si>
  <si>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</si>
  <si>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</si>
  <si>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</si>
  <si>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</si>
  <si>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</si>
  <si>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</si>
  <si>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</si>
  <si>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</si>
  <si>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</si>
  <si>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</si>
  <si>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</si>
  <si>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</si>
  <si>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</si>
  <si>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</si>
  <si>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</si>
  <si>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</si>
  <si>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</si>
  <si>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</si>
  <si>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</si>
  <si>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</si>
  <si>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</si>
  <si>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</si>
  <si>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</si>
  <si>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</si>
  <si>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</si>
  <si>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</si>
  <si>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</si>
  <si>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</si>
  <si>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</si>
  <si>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</si>
  <si>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</si>
  <si>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</si>
  <si>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</si>
  <si>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</si>
  <si>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</si>
  <si>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</si>
  <si>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</si>
  <si>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</si>
  <si>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</si>
  <si>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</si>
  <si>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</si>
  <si>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</si>
  <si>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</si>
  <si>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</si>
  <si>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</si>
  <si>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</si>
  <si>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</si>
  <si>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</si>
  <si>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</si>
  <si>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</si>
  <si>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</si>
  <si>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</si>
  <si>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</si>
  <si>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</si>
  <si>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</si>
  <si>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</si>
  <si>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</si>
  <si>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</si>
  <si>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</si>
  <si>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</si>
  <si>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</si>
  <si>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</si>
  <si>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</si>
  <si>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</si>
  <si>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</si>
  <si>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</si>
  <si>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</si>
  <si>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</si>
  <si>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</si>
  <si>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</si>
  <si>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</si>
  <si>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</si>
  <si>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</si>
  <si>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</si>
  <si>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</si>
  <si>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</si>
  <si>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</si>
  <si>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</si>
  <si>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</si>
  <si>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</si>
  <si>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</si>
  <si>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</si>
  <si>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</si>
  <si>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</si>
  <si>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</si>
  <si>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</si>
  <si>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</si>
  <si>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</si>
  <si>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</si>
  <si>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</si>
  <si>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</si>
  <si>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</si>
  <si>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</si>
  <si>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</si>
  <si>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</si>
  <si>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</si>
  <si>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</si>
  <si>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</si>
  <si>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</si>
  <si>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</si>
  <si>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</si>
  <si>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</si>
  <si>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</si>
  <si>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</si>
  <si>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</si>
  <si>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</si>
  <si>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</si>
  <si>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</si>
  <si>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</si>
  <si>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</si>
  <si>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</si>
  <si>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</si>
  <si>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</si>
  <si>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</si>
  <si>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</si>
  <si>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</si>
  <si>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</si>
  <si>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</si>
  <si>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</si>
  <si>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</si>
  <si>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</si>
  <si>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</si>
  <si>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</si>
  <si>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</si>
  <si>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</si>
  <si>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</si>
  <si>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</si>
  <si>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</si>
  <si>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</si>
  <si>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</si>
  <si>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</si>
  <si>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</si>
  <si>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</si>
  <si>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</si>
  <si>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</si>
  <si>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</si>
  <si>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</si>
  <si>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</si>
  <si>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</si>
  <si>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</si>
  <si>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</si>
  <si>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</si>
  <si>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</si>
  <si>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</si>
  <si>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</si>
  <si>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</si>
  <si>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</si>
  <si>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</si>
  <si>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</si>
  <si>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</si>
  <si>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</si>
  <si>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</si>
  <si>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</si>
  <si>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</si>
  <si>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</si>
  <si>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</si>
  <si>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</si>
  <si>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</si>
  <si>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</si>
  <si>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</si>
  <si>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</si>
  <si>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</si>
  <si>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</si>
  <si>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</si>
  <si>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</si>
  <si>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</si>
  <si>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</si>
  <si>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</si>
  <si>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</si>
  <si>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</si>
  <si>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</si>
  <si>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</si>
  <si>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</si>
  <si>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</si>
  <si>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</si>
  <si>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</si>
  <si>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</si>
  <si>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</si>
  <si>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</si>
  <si>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</si>
  <si>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</si>
  <si>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award_id|奖励组合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</si>
  <si>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</si>
  <si>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</si>
  <si>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</si>
  <si>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</si>
  <si>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value|价值</t>
    <phoneticPr fontId="1" type="noConversion"/>
  </si>
  <si>
    <t>0.01,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</si>
  <si>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</si>
  <si>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</si>
  <si>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</si>
  <si>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</si>
  <si>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</si>
  <si>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</si>
  <si>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</si>
  <si>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</si>
  <si>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</si>
  <si>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</si>
  <si>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</si>
  <si>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</si>
  <si>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</si>
  <si>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</si>
  <si>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</si>
  <si>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</si>
  <si>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</si>
  <si>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</si>
  <si>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</si>
  <si>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</si>
  <si>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</si>
  <si>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</si>
  <si>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</si>
  <si>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</si>
  <si>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</si>
  <si>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</si>
  <si>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</si>
  <si>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</si>
  <si>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</si>
  <si>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</si>
  <si>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rate|倍率</t>
    <phoneticPr fontId="1" type="noConversion"/>
  </si>
  <si>
    <t>gd_award|固定奖励</t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</si>
  <si>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</si>
  <si>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</si>
  <si>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</si>
  <si>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</si>
  <si>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</si>
  <si>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</si>
  <si>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</si>
  <si>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</si>
  <si>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|活动名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</si>
  <si>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</si>
  <si>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</si>
  <si>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</si>
  <si>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</si>
  <si>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</si>
  <si>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</si>
  <si>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</si>
  <si>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</si>
  <si>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冰冻卡</t>
    <phoneticPr fontId="1" type="noConversion"/>
  </si>
  <si>
    <t>63,</t>
    <phoneticPr fontId="1" type="noConversion"/>
  </si>
  <si>
    <t>临时活动</t>
    <phoneticPr fontId="1" type="noConversion"/>
  </si>
  <si>
    <t>贝壳</t>
    <phoneticPr fontId="1" type="noConversion"/>
  </si>
  <si>
    <t>金币活动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</si>
  <si>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</si>
  <si>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</si>
  <si>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</si>
  <si>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</si>
  <si>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</si>
  <si>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rate|倍数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</si>
  <si>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</si>
  <si>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</si>
  <si>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</si>
  <si>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</si>
  <si>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</si>
  <si>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</si>
  <si>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</si>
  <si>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</si>
  <si>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</si>
  <si>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</si>
  <si>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</si>
  <si>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</si>
  <si>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</si>
  <si>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</si>
  <si>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</si>
  <si>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</si>
  <si>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</si>
  <si>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</si>
  <si>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</si>
  <si>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</si>
  <si>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</si>
  <si>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</si>
  <si>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</si>
  <si>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</si>
  <si>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</si>
  <si>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rate|奖励倍数</t>
    <phoneticPr fontId="1" type="noConversion"/>
  </si>
  <si>
    <t>guding</t>
  </si>
  <si>
    <t>box_fish_activity</t>
  </si>
  <si>
    <t>123,</t>
    <phoneticPr fontId="1" type="noConversion"/>
  </si>
  <si>
    <t>20,40,140,</t>
    <phoneticPr fontId="1" type="noConversion"/>
  </si>
  <si>
    <t>10,30,160,</t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</si>
  <si>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</si>
  <si>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</si>
  <si>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</si>
  <si>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</si>
  <si>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</si>
  <si>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</si>
  <si>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</si>
  <si>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</si>
  <si>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</si>
  <si>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</si>
  <si>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</si>
  <si>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</si>
  <si>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</si>
  <si>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</si>
  <si>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</si>
  <si>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</si>
  <si>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</si>
  <si>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</si>
  <si>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</si>
  <si>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</si>
  <si>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</si>
  <si>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</si>
  <si>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</si>
  <si>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</si>
  <si>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</si>
  <si>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</si>
  <si>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60,10,10</t>
    <phoneticPr fontId="1" type="noConversion"/>
  </si>
  <si>
    <t>63,2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</si>
  <si>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</si>
  <si>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</si>
  <si>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</si>
  <si>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broadcast|广播</t>
    <phoneticPr fontId="1" type="noConversion"/>
  </si>
  <si>
    <t>60,90</t>
    <phoneticPr fontId="1" type="noConversion"/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</si>
  <si>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</si>
  <si>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</si>
  <si>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</si>
  <si>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</si>
  <si>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</si>
  <si>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</si>
  <si>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财神</t>
    <phoneticPr fontId="1" type="noConversion"/>
  </si>
  <si>
    <t>100,150</t>
    <phoneticPr fontId="1" type="noConversion"/>
  </si>
  <si>
    <t>200,250</t>
    <phoneticPr fontId="1" type="noConversion"/>
  </si>
  <si>
    <t>财神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</si>
  <si>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</si>
  <si>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</si>
  <si>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</si>
  <si>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次级全屏炸弹</t>
    <phoneticPr fontId="1" type="noConversion"/>
  </si>
  <si>
    <t>顶级全屏炸弹</t>
    <phoneticPr fontId="1" type="noConversion"/>
  </si>
  <si>
    <t>ID</t>
    <phoneticPr fontId="1" type="noConversion"/>
  </si>
  <si>
    <t>group_id|鱼组分页ID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</si>
  <si>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</si>
  <si>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</si>
  <si>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1,95,</t>
    <phoneticPr fontId="1" type="noConversion"/>
  </si>
  <si>
    <t>1,285,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</si>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</sst>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49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>
        <row r="2">
          <cell r="C2">
            <v>0.16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D1" t="str">
            <v>life|生命</v>
          </cell>
          <cell r="J1" t="str">
            <v>gd_award|固定奖励</v>
          </cell>
        </row>
        <row r="2">
          <cell r="A2">
            <v>1</v>
          </cell>
          <cell r="B2">
            <v>1</v>
          </cell>
          <cell r="D2">
            <v>1</v>
          </cell>
          <cell r="J2">
            <v>0</v>
          </cell>
        </row>
        <row r="3">
          <cell r="A3">
            <v>2</v>
          </cell>
          <cell r="B3">
            <v>2</v>
          </cell>
          <cell r="D3">
            <v>2</v>
          </cell>
          <cell r="J3">
            <v>0</v>
          </cell>
        </row>
        <row r="4">
          <cell r="A4">
            <v>3</v>
          </cell>
          <cell r="B4">
            <v>3</v>
          </cell>
          <cell r="D4">
            <v>5</v>
          </cell>
          <cell r="J4">
            <v>0</v>
          </cell>
        </row>
        <row r="5">
          <cell r="A5">
            <v>4</v>
          </cell>
          <cell r="B5">
            <v>4</v>
          </cell>
          <cell r="D5">
            <v>8</v>
          </cell>
          <cell r="J5">
            <v>0</v>
          </cell>
        </row>
        <row r="6">
          <cell r="A6">
            <v>5</v>
          </cell>
          <cell r="B6">
            <v>5</v>
          </cell>
          <cell r="D6">
            <v>15</v>
          </cell>
          <cell r="J6">
            <v>0</v>
          </cell>
        </row>
        <row r="7">
          <cell r="A7">
            <v>6</v>
          </cell>
          <cell r="B7">
            <v>6</v>
          </cell>
          <cell r="D7">
            <v>20</v>
          </cell>
          <cell r="J7">
            <v>0</v>
          </cell>
        </row>
        <row r="8">
          <cell r="A8">
            <v>7</v>
          </cell>
          <cell r="B8">
            <v>7</v>
          </cell>
          <cell r="D8">
            <v>30</v>
          </cell>
          <cell r="J8">
            <v>0</v>
          </cell>
        </row>
        <row r="9">
          <cell r="A9">
            <v>8</v>
          </cell>
          <cell r="B9">
            <v>8</v>
          </cell>
          <cell r="D9">
            <v>40</v>
          </cell>
          <cell r="J9">
            <v>0</v>
          </cell>
        </row>
        <row r="10">
          <cell r="A10">
            <v>9</v>
          </cell>
          <cell r="B10">
            <v>9</v>
          </cell>
          <cell r="D10">
            <v>50</v>
          </cell>
          <cell r="J10">
            <v>0</v>
          </cell>
        </row>
        <row r="11">
          <cell r="A11">
            <v>10</v>
          </cell>
          <cell r="B11">
            <v>10</v>
          </cell>
          <cell r="D11">
            <v>60</v>
          </cell>
          <cell r="J11">
            <v>0</v>
          </cell>
        </row>
        <row r="12">
          <cell r="A12">
            <v>11</v>
          </cell>
          <cell r="B12">
            <v>11</v>
          </cell>
          <cell r="D12">
            <v>70</v>
          </cell>
          <cell r="J12">
            <v>0</v>
          </cell>
        </row>
        <row r="13">
          <cell r="A13">
            <v>12</v>
          </cell>
          <cell r="B13">
            <v>12</v>
          </cell>
          <cell r="D13">
            <v>100</v>
          </cell>
          <cell r="J13">
            <v>0</v>
          </cell>
        </row>
        <row r="14">
          <cell r="A14">
            <v>13</v>
          </cell>
          <cell r="B14">
            <v>13</v>
          </cell>
          <cell r="D14">
            <v>150</v>
          </cell>
          <cell r="J14">
            <v>0</v>
          </cell>
        </row>
        <row r="15">
          <cell r="A15">
            <v>14</v>
          </cell>
          <cell r="B15">
            <v>14</v>
          </cell>
          <cell r="D15">
            <v>80</v>
          </cell>
          <cell r="J15">
            <v>0</v>
          </cell>
        </row>
        <row r="16">
          <cell r="A16">
            <v>15</v>
          </cell>
          <cell r="B16">
            <v>15</v>
          </cell>
          <cell r="D16">
            <v>100</v>
          </cell>
          <cell r="J16">
            <v>0</v>
          </cell>
        </row>
        <row r="17">
          <cell r="A17">
            <v>16</v>
          </cell>
          <cell r="B17">
            <v>16</v>
          </cell>
          <cell r="D17">
            <v>120</v>
          </cell>
          <cell r="J17">
            <v>0</v>
          </cell>
        </row>
        <row r="18">
          <cell r="A18">
            <v>17</v>
          </cell>
          <cell r="B18">
            <v>17</v>
          </cell>
          <cell r="D18">
            <v>140</v>
          </cell>
          <cell r="J18">
            <v>0</v>
          </cell>
        </row>
        <row r="19">
          <cell r="A19">
            <v>18</v>
          </cell>
          <cell r="B19">
            <v>18</v>
          </cell>
          <cell r="D19">
            <v>200</v>
          </cell>
          <cell r="J19">
            <v>0</v>
          </cell>
        </row>
        <row r="20">
          <cell r="A20">
            <v>19</v>
          </cell>
          <cell r="B20">
            <v>6</v>
          </cell>
          <cell r="D20">
            <v>83</v>
          </cell>
          <cell r="J20">
            <v>0</v>
          </cell>
        </row>
        <row r="21">
          <cell r="A21">
            <v>20</v>
          </cell>
          <cell r="B21">
            <v>6</v>
          </cell>
          <cell r="D21">
            <v>83</v>
          </cell>
          <cell r="J21">
            <v>0</v>
          </cell>
        </row>
        <row r="22">
          <cell r="A22">
            <v>21</v>
          </cell>
          <cell r="B22">
            <v>6</v>
          </cell>
          <cell r="D22">
            <v>70</v>
          </cell>
          <cell r="J22">
            <v>0</v>
          </cell>
        </row>
        <row r="23">
          <cell r="A23">
            <v>22</v>
          </cell>
          <cell r="B23">
            <v>6</v>
          </cell>
          <cell r="D23">
            <v>70</v>
          </cell>
          <cell r="J23">
            <v>0</v>
          </cell>
        </row>
        <row r="24">
          <cell r="A24">
            <v>23</v>
          </cell>
          <cell r="B24">
            <v>6</v>
          </cell>
          <cell r="D24">
            <v>70</v>
          </cell>
          <cell r="J24">
            <v>0</v>
          </cell>
        </row>
        <row r="25">
          <cell r="A25">
            <v>24</v>
          </cell>
          <cell r="B25">
            <v>7</v>
          </cell>
          <cell r="D25">
            <v>93</v>
          </cell>
          <cell r="J25">
            <v>0</v>
          </cell>
        </row>
        <row r="26">
          <cell r="A26">
            <v>25</v>
          </cell>
          <cell r="B26">
            <v>7</v>
          </cell>
          <cell r="D26">
            <v>93</v>
          </cell>
          <cell r="J26">
            <v>0</v>
          </cell>
        </row>
        <row r="27">
          <cell r="A27">
            <v>26</v>
          </cell>
          <cell r="B27">
            <v>7</v>
          </cell>
          <cell r="D27">
            <v>80</v>
          </cell>
          <cell r="J27">
            <v>0</v>
          </cell>
        </row>
        <row r="28">
          <cell r="A28">
            <v>27</v>
          </cell>
          <cell r="B28">
            <v>7</v>
          </cell>
          <cell r="D28">
            <v>80</v>
          </cell>
          <cell r="J28">
            <v>0</v>
          </cell>
        </row>
        <row r="29">
          <cell r="A29">
            <v>28</v>
          </cell>
          <cell r="B29">
            <v>7</v>
          </cell>
          <cell r="D29">
            <v>110</v>
          </cell>
          <cell r="J29">
            <v>0</v>
          </cell>
        </row>
        <row r="30">
          <cell r="A30">
            <v>29</v>
          </cell>
          <cell r="B30">
            <v>8</v>
          </cell>
          <cell r="D30">
            <v>103</v>
          </cell>
          <cell r="J30">
            <v>0</v>
          </cell>
        </row>
        <row r="31">
          <cell r="A31">
            <v>30</v>
          </cell>
          <cell r="B31">
            <v>8</v>
          </cell>
          <cell r="D31">
            <v>103</v>
          </cell>
          <cell r="J31">
            <v>0</v>
          </cell>
        </row>
        <row r="32">
          <cell r="A32">
            <v>31</v>
          </cell>
          <cell r="B32">
            <v>8</v>
          </cell>
          <cell r="D32">
            <v>90</v>
          </cell>
          <cell r="J32">
            <v>0</v>
          </cell>
        </row>
        <row r="33">
          <cell r="A33">
            <v>32</v>
          </cell>
          <cell r="B33">
            <v>8</v>
          </cell>
          <cell r="D33">
            <v>90</v>
          </cell>
          <cell r="J33">
            <v>0</v>
          </cell>
        </row>
        <row r="34">
          <cell r="A34">
            <v>33</v>
          </cell>
          <cell r="B34">
            <v>8</v>
          </cell>
          <cell r="D34">
            <v>120</v>
          </cell>
          <cell r="J34">
            <v>0</v>
          </cell>
        </row>
        <row r="35">
          <cell r="A35">
            <v>34</v>
          </cell>
          <cell r="B35">
            <v>8</v>
          </cell>
          <cell r="D35">
            <v>40</v>
          </cell>
          <cell r="J35">
            <v>0</v>
          </cell>
        </row>
        <row r="36">
          <cell r="A36">
            <v>35</v>
          </cell>
          <cell r="B36">
            <v>8</v>
          </cell>
          <cell r="D36">
            <v>40</v>
          </cell>
          <cell r="J36">
            <v>0</v>
          </cell>
        </row>
        <row r="37">
          <cell r="A37">
            <v>36</v>
          </cell>
          <cell r="B37">
            <v>9</v>
          </cell>
          <cell r="D37">
            <v>113</v>
          </cell>
          <cell r="J37">
            <v>0</v>
          </cell>
        </row>
        <row r="38">
          <cell r="A38">
            <v>37</v>
          </cell>
          <cell r="B38">
            <v>9</v>
          </cell>
          <cell r="D38">
            <v>113</v>
          </cell>
          <cell r="J38">
            <v>0</v>
          </cell>
        </row>
        <row r="39">
          <cell r="A39">
            <v>38</v>
          </cell>
          <cell r="B39">
            <v>9</v>
          </cell>
          <cell r="D39">
            <v>100</v>
          </cell>
          <cell r="J39">
            <v>0</v>
          </cell>
        </row>
        <row r="40">
          <cell r="A40">
            <v>39</v>
          </cell>
          <cell r="B40">
            <v>9</v>
          </cell>
          <cell r="D40">
            <v>100</v>
          </cell>
          <cell r="J40">
            <v>0</v>
          </cell>
        </row>
        <row r="41">
          <cell r="A41">
            <v>40</v>
          </cell>
          <cell r="B41">
            <v>9</v>
          </cell>
          <cell r="D41">
            <v>130</v>
          </cell>
          <cell r="J41">
            <v>0</v>
          </cell>
        </row>
        <row r="42">
          <cell r="A42">
            <v>41</v>
          </cell>
          <cell r="B42">
            <v>9</v>
          </cell>
          <cell r="D42">
            <v>50</v>
          </cell>
          <cell r="J42">
            <v>0</v>
          </cell>
        </row>
        <row r="43">
          <cell r="A43">
            <v>42</v>
          </cell>
          <cell r="B43">
            <v>9</v>
          </cell>
          <cell r="D43">
            <v>50</v>
          </cell>
          <cell r="J43">
            <v>0</v>
          </cell>
        </row>
        <row r="44">
          <cell r="A44">
            <v>43</v>
          </cell>
          <cell r="B44">
            <v>9</v>
          </cell>
          <cell r="D44">
            <v>80</v>
          </cell>
          <cell r="J44">
            <v>0</v>
          </cell>
        </row>
        <row r="45">
          <cell r="A45">
            <v>44</v>
          </cell>
          <cell r="B45">
            <v>9</v>
          </cell>
          <cell r="D45">
            <v>70</v>
          </cell>
          <cell r="J45">
            <v>0</v>
          </cell>
        </row>
        <row r="46">
          <cell r="A46">
            <v>45</v>
          </cell>
          <cell r="B46">
            <v>10</v>
          </cell>
          <cell r="D46">
            <v>123</v>
          </cell>
          <cell r="J46">
            <v>0</v>
          </cell>
        </row>
        <row r="47">
          <cell r="A47">
            <v>46</v>
          </cell>
          <cell r="B47">
            <v>10</v>
          </cell>
          <cell r="D47">
            <v>123</v>
          </cell>
          <cell r="J47">
            <v>0</v>
          </cell>
        </row>
        <row r="48">
          <cell r="A48">
            <v>47</v>
          </cell>
          <cell r="B48">
            <v>10</v>
          </cell>
          <cell r="D48">
            <v>110</v>
          </cell>
          <cell r="J48">
            <v>0</v>
          </cell>
        </row>
        <row r="49">
          <cell r="A49">
            <v>48</v>
          </cell>
          <cell r="B49">
            <v>10</v>
          </cell>
          <cell r="D49">
            <v>110</v>
          </cell>
          <cell r="J49">
            <v>0</v>
          </cell>
        </row>
        <row r="50">
          <cell r="A50">
            <v>49</v>
          </cell>
          <cell r="B50">
            <v>10</v>
          </cell>
          <cell r="D50">
            <v>140</v>
          </cell>
          <cell r="J50">
            <v>0</v>
          </cell>
        </row>
        <row r="51">
          <cell r="A51">
            <v>50</v>
          </cell>
          <cell r="B51">
            <v>10</v>
          </cell>
          <cell r="D51">
            <v>60</v>
          </cell>
          <cell r="J51">
            <v>0</v>
          </cell>
        </row>
        <row r="52">
          <cell r="A52">
            <v>51</v>
          </cell>
          <cell r="B52">
            <v>10</v>
          </cell>
          <cell r="D52">
            <v>60</v>
          </cell>
          <cell r="J52">
            <v>0</v>
          </cell>
        </row>
        <row r="53">
          <cell r="A53">
            <v>52</v>
          </cell>
          <cell r="B53">
            <v>10</v>
          </cell>
          <cell r="D53">
            <v>60</v>
          </cell>
          <cell r="J53">
            <v>0</v>
          </cell>
        </row>
        <row r="54">
          <cell r="A54">
            <v>53</v>
          </cell>
          <cell r="B54">
            <v>10</v>
          </cell>
          <cell r="D54">
            <v>90</v>
          </cell>
          <cell r="J54">
            <v>0</v>
          </cell>
        </row>
        <row r="55">
          <cell r="A55">
            <v>54</v>
          </cell>
          <cell r="B55">
            <v>10</v>
          </cell>
          <cell r="D55">
            <v>80</v>
          </cell>
          <cell r="J55">
            <v>0</v>
          </cell>
        </row>
        <row r="56">
          <cell r="A56">
            <v>55</v>
          </cell>
          <cell r="B56">
            <v>11</v>
          </cell>
          <cell r="D56">
            <v>133</v>
          </cell>
          <cell r="J56">
            <v>0</v>
          </cell>
        </row>
        <row r="57">
          <cell r="A57">
            <v>56</v>
          </cell>
          <cell r="B57">
            <v>11</v>
          </cell>
          <cell r="D57">
            <v>133</v>
          </cell>
          <cell r="J57">
            <v>0</v>
          </cell>
        </row>
        <row r="58">
          <cell r="A58">
            <v>57</v>
          </cell>
          <cell r="B58">
            <v>11</v>
          </cell>
          <cell r="D58">
            <v>120</v>
          </cell>
          <cell r="J58">
            <v>0</v>
          </cell>
        </row>
        <row r="59">
          <cell r="A59">
            <v>58</v>
          </cell>
          <cell r="B59">
            <v>11</v>
          </cell>
          <cell r="D59">
            <v>120</v>
          </cell>
          <cell r="J59">
            <v>0</v>
          </cell>
        </row>
        <row r="60">
          <cell r="A60">
            <v>59</v>
          </cell>
          <cell r="B60">
            <v>11</v>
          </cell>
          <cell r="D60">
            <v>150</v>
          </cell>
          <cell r="J60">
            <v>0</v>
          </cell>
        </row>
        <row r="61">
          <cell r="A61">
            <v>60</v>
          </cell>
          <cell r="B61">
            <v>11</v>
          </cell>
          <cell r="D61">
            <v>70</v>
          </cell>
          <cell r="J61">
            <v>0</v>
          </cell>
        </row>
        <row r="62">
          <cell r="A62">
            <v>61</v>
          </cell>
          <cell r="B62">
            <v>11</v>
          </cell>
          <cell r="D62">
            <v>70</v>
          </cell>
          <cell r="J62">
            <v>0</v>
          </cell>
        </row>
        <row r="63">
          <cell r="A63">
            <v>62</v>
          </cell>
          <cell r="B63">
            <v>11</v>
          </cell>
          <cell r="D63">
            <v>70</v>
          </cell>
          <cell r="J63">
            <v>0</v>
          </cell>
        </row>
        <row r="64">
          <cell r="A64">
            <v>63</v>
          </cell>
          <cell r="B64">
            <v>11</v>
          </cell>
          <cell r="D64">
            <v>70</v>
          </cell>
          <cell r="J64">
            <v>0</v>
          </cell>
        </row>
        <row r="65">
          <cell r="A65">
            <v>64</v>
          </cell>
          <cell r="B65">
            <v>12</v>
          </cell>
          <cell r="D65">
            <v>163</v>
          </cell>
          <cell r="J65">
            <v>0</v>
          </cell>
        </row>
        <row r="66">
          <cell r="A66">
            <v>65</v>
          </cell>
          <cell r="B66">
            <v>12</v>
          </cell>
          <cell r="D66">
            <v>163</v>
          </cell>
          <cell r="J66">
            <v>0</v>
          </cell>
        </row>
        <row r="67">
          <cell r="A67">
            <v>66</v>
          </cell>
          <cell r="B67">
            <v>12</v>
          </cell>
          <cell r="D67">
            <v>150</v>
          </cell>
          <cell r="J67">
            <v>0</v>
          </cell>
        </row>
        <row r="68">
          <cell r="A68">
            <v>67</v>
          </cell>
          <cell r="B68">
            <v>12</v>
          </cell>
          <cell r="D68">
            <v>150</v>
          </cell>
          <cell r="J68">
            <v>0</v>
          </cell>
        </row>
        <row r="69">
          <cell r="A69">
            <v>68</v>
          </cell>
          <cell r="B69">
            <v>12</v>
          </cell>
          <cell r="D69">
            <v>180</v>
          </cell>
          <cell r="J69">
            <v>0</v>
          </cell>
        </row>
        <row r="70">
          <cell r="A70">
            <v>69</v>
          </cell>
          <cell r="B70">
            <v>12</v>
          </cell>
          <cell r="D70">
            <v>100</v>
          </cell>
          <cell r="J70">
            <v>0</v>
          </cell>
        </row>
        <row r="71">
          <cell r="A71">
            <v>70</v>
          </cell>
          <cell r="B71">
            <v>12</v>
          </cell>
          <cell r="D71">
            <v>100</v>
          </cell>
          <cell r="J71">
            <v>0</v>
          </cell>
        </row>
        <row r="72">
          <cell r="A72">
            <v>71</v>
          </cell>
          <cell r="B72">
            <v>12</v>
          </cell>
          <cell r="D72">
            <v>100</v>
          </cell>
          <cell r="J72">
            <v>0</v>
          </cell>
        </row>
        <row r="73">
          <cell r="A73">
            <v>72</v>
          </cell>
          <cell r="B73">
            <v>14</v>
          </cell>
          <cell r="D73">
            <v>143</v>
          </cell>
          <cell r="J73">
            <v>0</v>
          </cell>
        </row>
        <row r="74">
          <cell r="A74">
            <v>73</v>
          </cell>
          <cell r="B74">
            <v>14</v>
          </cell>
          <cell r="D74">
            <v>143</v>
          </cell>
          <cell r="J74">
            <v>0</v>
          </cell>
        </row>
        <row r="75">
          <cell r="A75">
            <v>74</v>
          </cell>
          <cell r="B75">
            <v>14</v>
          </cell>
          <cell r="D75">
            <v>130</v>
          </cell>
          <cell r="J75">
            <v>0</v>
          </cell>
        </row>
        <row r="76">
          <cell r="A76">
            <v>75</v>
          </cell>
          <cell r="B76">
            <v>14</v>
          </cell>
          <cell r="D76">
            <v>130</v>
          </cell>
          <cell r="J76">
            <v>0</v>
          </cell>
        </row>
        <row r="77">
          <cell r="A77">
            <v>76</v>
          </cell>
          <cell r="B77">
            <v>14</v>
          </cell>
          <cell r="D77">
            <v>160</v>
          </cell>
          <cell r="J77">
            <v>0</v>
          </cell>
        </row>
        <row r="78">
          <cell r="A78">
            <v>77</v>
          </cell>
          <cell r="B78">
            <v>14</v>
          </cell>
          <cell r="D78">
            <v>80</v>
          </cell>
          <cell r="J78">
            <v>0</v>
          </cell>
        </row>
        <row r="79">
          <cell r="A79">
            <v>78</v>
          </cell>
          <cell r="B79">
            <v>14</v>
          </cell>
          <cell r="D79">
            <v>80</v>
          </cell>
          <cell r="J79">
            <v>0</v>
          </cell>
        </row>
        <row r="80">
          <cell r="A80">
            <v>79</v>
          </cell>
          <cell r="B80">
            <v>14</v>
          </cell>
          <cell r="D80">
            <v>80</v>
          </cell>
          <cell r="J80">
            <v>0</v>
          </cell>
        </row>
        <row r="81">
          <cell r="A81">
            <v>80</v>
          </cell>
          <cell r="B81">
            <v>14</v>
          </cell>
          <cell r="D81">
            <v>110</v>
          </cell>
          <cell r="J81">
            <v>0</v>
          </cell>
        </row>
        <row r="82">
          <cell r="A82">
            <v>81</v>
          </cell>
          <cell r="B82">
            <v>14</v>
          </cell>
          <cell r="D82">
            <v>100</v>
          </cell>
          <cell r="J82">
            <v>0</v>
          </cell>
        </row>
        <row r="83">
          <cell r="A83">
            <v>82</v>
          </cell>
          <cell r="B83">
            <v>15</v>
          </cell>
          <cell r="D83">
            <v>163</v>
          </cell>
          <cell r="J83">
            <v>0</v>
          </cell>
        </row>
        <row r="84">
          <cell r="A84">
            <v>83</v>
          </cell>
          <cell r="B84">
            <v>15</v>
          </cell>
          <cell r="D84">
            <v>163</v>
          </cell>
          <cell r="J84">
            <v>0</v>
          </cell>
        </row>
        <row r="85">
          <cell r="A85">
            <v>84</v>
          </cell>
          <cell r="B85">
            <v>15</v>
          </cell>
          <cell r="D85">
            <v>150</v>
          </cell>
          <cell r="J85">
            <v>0</v>
          </cell>
        </row>
        <row r="86">
          <cell r="A86">
            <v>85</v>
          </cell>
          <cell r="B86">
            <v>15</v>
          </cell>
          <cell r="D86">
            <v>150</v>
          </cell>
          <cell r="J86">
            <v>0</v>
          </cell>
        </row>
        <row r="87">
          <cell r="A87">
            <v>86</v>
          </cell>
          <cell r="B87">
            <v>15</v>
          </cell>
          <cell r="D87">
            <v>180</v>
          </cell>
          <cell r="J87">
            <v>0</v>
          </cell>
        </row>
        <row r="88">
          <cell r="A88">
            <v>87</v>
          </cell>
          <cell r="B88">
            <v>15</v>
          </cell>
          <cell r="D88">
            <v>100</v>
          </cell>
          <cell r="J88">
            <v>0</v>
          </cell>
        </row>
        <row r="89">
          <cell r="A89">
            <v>88</v>
          </cell>
          <cell r="B89">
            <v>15</v>
          </cell>
          <cell r="D89">
            <v>100</v>
          </cell>
          <cell r="J89">
            <v>0</v>
          </cell>
        </row>
        <row r="90">
          <cell r="A90">
            <v>89</v>
          </cell>
          <cell r="B90">
            <v>15</v>
          </cell>
          <cell r="D90">
            <v>100</v>
          </cell>
          <cell r="J90">
            <v>0</v>
          </cell>
        </row>
        <row r="91">
          <cell r="A91">
            <v>90</v>
          </cell>
          <cell r="B91">
            <v>15</v>
          </cell>
          <cell r="D91">
            <v>130</v>
          </cell>
          <cell r="J91">
            <v>0</v>
          </cell>
        </row>
        <row r="92">
          <cell r="A92">
            <v>91</v>
          </cell>
          <cell r="B92">
            <v>15</v>
          </cell>
          <cell r="D92">
            <v>120</v>
          </cell>
          <cell r="J92">
            <v>0</v>
          </cell>
        </row>
        <row r="93">
          <cell r="A93">
            <v>92</v>
          </cell>
          <cell r="B93">
            <v>16</v>
          </cell>
          <cell r="D93">
            <v>183</v>
          </cell>
          <cell r="J93">
            <v>0</v>
          </cell>
        </row>
        <row r="94">
          <cell r="A94">
            <v>93</v>
          </cell>
          <cell r="B94">
            <v>16</v>
          </cell>
          <cell r="D94">
            <v>183</v>
          </cell>
          <cell r="J94">
            <v>0</v>
          </cell>
        </row>
        <row r="95">
          <cell r="A95">
            <v>94</v>
          </cell>
          <cell r="B95">
            <v>16</v>
          </cell>
          <cell r="D95">
            <v>170</v>
          </cell>
          <cell r="J95">
            <v>0</v>
          </cell>
        </row>
        <row r="96">
          <cell r="A96">
            <v>95</v>
          </cell>
          <cell r="B96">
            <v>16</v>
          </cell>
          <cell r="D96">
            <v>170</v>
          </cell>
          <cell r="J96">
            <v>0</v>
          </cell>
        </row>
        <row r="97">
          <cell r="A97">
            <v>96</v>
          </cell>
          <cell r="B97">
            <v>16</v>
          </cell>
          <cell r="D97">
            <v>170</v>
          </cell>
          <cell r="J97">
            <v>0</v>
          </cell>
        </row>
        <row r="98">
          <cell r="A98">
            <v>97</v>
          </cell>
          <cell r="B98">
            <v>16</v>
          </cell>
          <cell r="D98">
            <v>120</v>
          </cell>
          <cell r="J98">
            <v>0</v>
          </cell>
        </row>
        <row r="99">
          <cell r="A99">
            <v>98</v>
          </cell>
          <cell r="B99">
            <v>16</v>
          </cell>
          <cell r="D99">
            <v>120</v>
          </cell>
          <cell r="J99">
            <v>0</v>
          </cell>
        </row>
        <row r="100">
          <cell r="A100">
            <v>99</v>
          </cell>
          <cell r="B100">
            <v>16</v>
          </cell>
          <cell r="D100">
            <v>120</v>
          </cell>
          <cell r="J100">
            <v>0</v>
          </cell>
        </row>
        <row r="101">
          <cell r="A101">
            <v>100</v>
          </cell>
          <cell r="B101">
            <v>16</v>
          </cell>
          <cell r="D101">
            <v>150</v>
          </cell>
          <cell r="J101">
            <v>0</v>
          </cell>
        </row>
        <row r="102">
          <cell r="A102">
            <v>101</v>
          </cell>
          <cell r="B102">
            <v>16</v>
          </cell>
          <cell r="D102">
            <v>140</v>
          </cell>
          <cell r="J102">
            <v>0</v>
          </cell>
        </row>
        <row r="103">
          <cell r="A103">
            <v>102</v>
          </cell>
          <cell r="B103">
            <v>3</v>
          </cell>
          <cell r="D103">
            <v>6</v>
          </cell>
          <cell r="J103">
            <v>0</v>
          </cell>
        </row>
        <row r="104">
          <cell r="A104">
            <v>103</v>
          </cell>
          <cell r="B104">
            <v>4</v>
          </cell>
          <cell r="D104">
            <v>9</v>
          </cell>
          <cell r="J104">
            <v>0</v>
          </cell>
        </row>
        <row r="105">
          <cell r="A105">
            <v>104</v>
          </cell>
          <cell r="B105">
            <v>5</v>
          </cell>
          <cell r="D105">
            <v>16</v>
          </cell>
          <cell r="J105">
            <v>0</v>
          </cell>
        </row>
        <row r="106">
          <cell r="A106">
            <v>105</v>
          </cell>
          <cell r="B106">
            <v>6</v>
          </cell>
          <cell r="D106">
            <v>21</v>
          </cell>
          <cell r="J106">
            <v>0</v>
          </cell>
        </row>
        <row r="107">
          <cell r="A107">
            <v>106</v>
          </cell>
          <cell r="B107">
            <v>7</v>
          </cell>
          <cell r="D107">
            <v>31</v>
          </cell>
          <cell r="J107">
            <v>0</v>
          </cell>
        </row>
        <row r="108">
          <cell r="A108">
            <v>107</v>
          </cell>
          <cell r="B108">
            <v>8</v>
          </cell>
          <cell r="D108">
            <v>41</v>
          </cell>
          <cell r="J108">
            <v>0</v>
          </cell>
        </row>
        <row r="109">
          <cell r="A109">
            <v>108</v>
          </cell>
          <cell r="B109">
            <v>9</v>
          </cell>
          <cell r="D109">
            <v>51</v>
          </cell>
          <cell r="J109">
            <v>0</v>
          </cell>
        </row>
        <row r="110">
          <cell r="A110">
            <v>109</v>
          </cell>
          <cell r="B110">
            <v>10</v>
          </cell>
          <cell r="D110">
            <v>61</v>
          </cell>
          <cell r="J110">
            <v>0</v>
          </cell>
        </row>
        <row r="111">
          <cell r="A111">
            <v>110</v>
          </cell>
          <cell r="B111">
            <v>3</v>
          </cell>
          <cell r="D111">
            <v>6</v>
          </cell>
          <cell r="J111">
            <v>0</v>
          </cell>
        </row>
        <row r="112">
          <cell r="A112">
            <v>111</v>
          </cell>
          <cell r="B112">
            <v>4</v>
          </cell>
          <cell r="D112">
            <v>9</v>
          </cell>
          <cell r="J112">
            <v>0</v>
          </cell>
        </row>
        <row r="113">
          <cell r="A113">
            <v>112</v>
          </cell>
          <cell r="B113">
            <v>5</v>
          </cell>
          <cell r="D113">
            <v>16</v>
          </cell>
          <cell r="J113">
            <v>0</v>
          </cell>
        </row>
        <row r="114">
          <cell r="A114">
            <v>113</v>
          </cell>
          <cell r="B114">
            <v>6</v>
          </cell>
          <cell r="D114">
            <v>21</v>
          </cell>
          <cell r="J114">
            <v>0</v>
          </cell>
        </row>
        <row r="115">
          <cell r="A115">
            <v>114</v>
          </cell>
          <cell r="B115">
            <v>7</v>
          </cell>
          <cell r="D115">
            <v>31</v>
          </cell>
          <cell r="J115">
            <v>0</v>
          </cell>
        </row>
        <row r="116">
          <cell r="A116">
            <v>115</v>
          </cell>
          <cell r="B116">
            <v>8</v>
          </cell>
          <cell r="D116">
            <v>41</v>
          </cell>
          <cell r="J116">
            <v>0</v>
          </cell>
        </row>
        <row r="117">
          <cell r="A117">
            <v>116</v>
          </cell>
          <cell r="B117">
            <v>9</v>
          </cell>
          <cell r="D117">
            <v>51</v>
          </cell>
          <cell r="J117">
            <v>0</v>
          </cell>
        </row>
        <row r="118">
          <cell r="A118">
            <v>117</v>
          </cell>
          <cell r="B118">
            <v>10</v>
          </cell>
          <cell r="D118">
            <v>61</v>
          </cell>
          <cell r="J118">
            <v>0</v>
          </cell>
        </row>
        <row r="119">
          <cell r="A119">
            <v>118</v>
          </cell>
          <cell r="B119">
            <v>19</v>
          </cell>
          <cell r="D119">
            <v>500000</v>
          </cell>
          <cell r="J119">
            <v>0</v>
          </cell>
        </row>
        <row r="120">
          <cell r="A120">
            <v>119</v>
          </cell>
          <cell r="B120">
            <v>19</v>
          </cell>
          <cell r="D120">
            <v>5000000</v>
          </cell>
          <cell r="J120">
            <v>0</v>
          </cell>
        </row>
        <row r="121">
          <cell r="A121">
            <v>120</v>
          </cell>
          <cell r="B121">
            <v>19</v>
          </cell>
          <cell r="D121">
            <v>50000000</v>
          </cell>
          <cell r="J121">
            <v>0</v>
          </cell>
        </row>
        <row r="122">
          <cell r="A122">
            <v>121</v>
          </cell>
          <cell r="B122">
            <v>20</v>
          </cell>
          <cell r="D122">
            <v>500</v>
          </cell>
          <cell r="J122">
            <v>0</v>
          </cell>
        </row>
        <row r="123">
          <cell r="A123">
            <v>122</v>
          </cell>
          <cell r="D123">
            <v>0</v>
          </cell>
          <cell r="J123">
            <v>0</v>
          </cell>
        </row>
        <row r="124">
          <cell r="A124">
            <v>123</v>
          </cell>
          <cell r="D124" t="str">
            <v>20,40,140,</v>
          </cell>
          <cell r="J124">
            <v>0</v>
          </cell>
        </row>
        <row r="125">
          <cell r="A125">
            <v>124</v>
          </cell>
          <cell r="B125">
            <v>1</v>
          </cell>
          <cell r="D125">
            <v>151</v>
          </cell>
          <cell r="J125">
            <v>0</v>
          </cell>
        </row>
        <row r="126">
          <cell r="A126">
            <v>125</v>
          </cell>
          <cell r="B126">
            <v>9</v>
          </cell>
          <cell r="D126">
            <v>200</v>
          </cell>
          <cell r="J126">
            <v>0</v>
          </cell>
        </row>
        <row r="127">
          <cell r="A127">
            <v>126</v>
          </cell>
          <cell r="B127">
            <v>10</v>
          </cell>
          <cell r="D127">
            <v>210</v>
          </cell>
          <cell r="J127">
            <v>0</v>
          </cell>
        </row>
        <row r="128">
          <cell r="A128">
            <v>127</v>
          </cell>
          <cell r="B128">
            <v>11</v>
          </cell>
          <cell r="D128">
            <v>220</v>
          </cell>
          <cell r="J128">
            <v>0</v>
          </cell>
        </row>
        <row r="129">
          <cell r="A129">
            <v>128</v>
          </cell>
          <cell r="B129">
            <v>12</v>
          </cell>
          <cell r="D129">
            <v>250</v>
          </cell>
          <cell r="J129">
            <v>0</v>
          </cell>
        </row>
        <row r="130">
          <cell r="A130">
            <v>129</v>
          </cell>
          <cell r="B130">
            <v>6</v>
          </cell>
          <cell r="D130">
            <v>83</v>
          </cell>
          <cell r="J130">
            <v>0</v>
          </cell>
        </row>
        <row r="131">
          <cell r="A131">
            <v>130</v>
          </cell>
          <cell r="B131">
            <v>7</v>
          </cell>
          <cell r="D131">
            <v>93</v>
          </cell>
          <cell r="J131">
            <v>0</v>
          </cell>
        </row>
        <row r="132">
          <cell r="A132">
            <v>131</v>
          </cell>
          <cell r="B132">
            <v>8</v>
          </cell>
          <cell r="D132">
            <v>103</v>
          </cell>
          <cell r="J132">
            <v>0</v>
          </cell>
        </row>
        <row r="133">
          <cell r="A133">
            <v>132</v>
          </cell>
          <cell r="B133">
            <v>9</v>
          </cell>
          <cell r="D133">
            <v>113</v>
          </cell>
          <cell r="J133">
            <v>0</v>
          </cell>
        </row>
        <row r="134">
          <cell r="A134">
            <v>133</v>
          </cell>
          <cell r="B134">
            <v>10</v>
          </cell>
          <cell r="D134">
            <v>123</v>
          </cell>
          <cell r="J134">
            <v>0</v>
          </cell>
        </row>
        <row r="135">
          <cell r="A135">
            <v>134</v>
          </cell>
          <cell r="B135">
            <v>11</v>
          </cell>
          <cell r="D135">
            <v>133</v>
          </cell>
          <cell r="J135">
            <v>0</v>
          </cell>
        </row>
        <row r="136">
          <cell r="A136">
            <v>135</v>
          </cell>
          <cell r="B136">
            <v>12</v>
          </cell>
          <cell r="D136">
            <v>163</v>
          </cell>
          <cell r="J136">
            <v>0</v>
          </cell>
        </row>
        <row r="137">
          <cell r="A137">
            <v>136</v>
          </cell>
          <cell r="B137">
            <v>8</v>
          </cell>
          <cell r="D137">
            <v>40</v>
          </cell>
          <cell r="J137">
            <v>0</v>
          </cell>
        </row>
        <row r="138">
          <cell r="A138">
            <v>137</v>
          </cell>
          <cell r="B138">
            <v>9</v>
          </cell>
          <cell r="D138">
            <v>50</v>
          </cell>
          <cell r="J138">
            <v>0</v>
          </cell>
        </row>
        <row r="139">
          <cell r="A139">
            <v>138</v>
          </cell>
          <cell r="B139">
            <v>10</v>
          </cell>
          <cell r="D139">
            <v>60</v>
          </cell>
          <cell r="J139">
            <v>0</v>
          </cell>
        </row>
        <row r="140">
          <cell r="A140">
            <v>139</v>
          </cell>
          <cell r="B140">
            <v>11</v>
          </cell>
          <cell r="D140">
            <v>70</v>
          </cell>
          <cell r="J140">
            <v>0</v>
          </cell>
        </row>
        <row r="141">
          <cell r="A141">
            <v>140</v>
          </cell>
          <cell r="B141">
            <v>12</v>
          </cell>
          <cell r="D141">
            <v>100</v>
          </cell>
          <cell r="J141">
            <v>0</v>
          </cell>
        </row>
        <row r="142">
          <cell r="A142">
            <v>141</v>
          </cell>
          <cell r="B142">
            <v>29</v>
          </cell>
          <cell r="C142">
            <v>21</v>
          </cell>
          <cell r="D142">
            <v>100</v>
          </cell>
          <cell r="J142">
            <v>0</v>
          </cell>
        </row>
        <row r="143">
          <cell r="A143">
            <v>142</v>
          </cell>
          <cell r="B143">
            <v>29</v>
          </cell>
          <cell r="C143">
            <v>22</v>
          </cell>
          <cell r="D143">
            <v>200</v>
          </cell>
          <cell r="J143">
            <v>0</v>
          </cell>
        </row>
        <row r="144">
          <cell r="A144">
            <v>143</v>
          </cell>
          <cell r="B144">
            <v>29</v>
          </cell>
          <cell r="C144">
            <v>23</v>
          </cell>
          <cell r="D144">
            <v>300</v>
          </cell>
          <cell r="J144">
            <v>0</v>
          </cell>
        </row>
        <row r="145">
          <cell r="A145">
            <v>144</v>
          </cell>
          <cell r="B145">
            <v>29</v>
          </cell>
          <cell r="C145">
            <v>24</v>
          </cell>
          <cell r="D145">
            <v>500</v>
          </cell>
          <cell r="J145">
            <v>0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D1" t="str">
            <v>life|生命</v>
          </cell>
          <cell r="J1" t="str">
            <v>gd_award|固定奖励</v>
          </cell>
        </row>
        <row r="2">
          <cell r="A2">
            <v>1</v>
          </cell>
          <cell r="D2">
            <v>1</v>
          </cell>
          <cell r="J2">
            <v>0</v>
          </cell>
        </row>
        <row r="3">
          <cell r="A3">
            <v>2</v>
          </cell>
          <cell r="D3">
            <v>2</v>
          </cell>
          <cell r="J3">
            <v>0</v>
          </cell>
        </row>
        <row r="4">
          <cell r="A4">
            <v>3</v>
          </cell>
          <cell r="D4">
            <v>5</v>
          </cell>
          <cell r="J4">
            <v>0</v>
          </cell>
        </row>
        <row r="5">
          <cell r="A5">
            <v>4</v>
          </cell>
          <cell r="D5">
            <v>8</v>
          </cell>
          <cell r="J5">
            <v>0</v>
          </cell>
        </row>
        <row r="6">
          <cell r="A6">
            <v>5</v>
          </cell>
          <cell r="D6">
            <v>15</v>
          </cell>
          <cell r="J6">
            <v>0</v>
          </cell>
        </row>
        <row r="7">
          <cell r="A7">
            <v>6</v>
          </cell>
          <cell r="D7">
            <v>20</v>
          </cell>
          <cell r="J7">
            <v>0</v>
          </cell>
        </row>
        <row r="8">
          <cell r="A8">
            <v>7</v>
          </cell>
          <cell r="D8">
            <v>30</v>
          </cell>
          <cell r="J8">
            <v>0</v>
          </cell>
        </row>
        <row r="9">
          <cell r="A9">
            <v>8</v>
          </cell>
          <cell r="D9">
            <v>40</v>
          </cell>
          <cell r="J9">
            <v>0</v>
          </cell>
        </row>
        <row r="10">
          <cell r="A10">
            <v>9</v>
          </cell>
          <cell r="D10">
            <v>50</v>
          </cell>
          <cell r="J10">
            <v>0</v>
          </cell>
        </row>
        <row r="11">
          <cell r="A11">
            <v>10</v>
          </cell>
          <cell r="D11">
            <v>60</v>
          </cell>
          <cell r="J11">
            <v>0</v>
          </cell>
        </row>
        <row r="12">
          <cell r="A12">
            <v>11</v>
          </cell>
          <cell r="D12">
            <v>70</v>
          </cell>
          <cell r="J12">
            <v>0</v>
          </cell>
        </row>
        <row r="13">
          <cell r="A13">
            <v>12</v>
          </cell>
          <cell r="D13">
            <v>100</v>
          </cell>
          <cell r="J13">
            <v>0</v>
          </cell>
        </row>
        <row r="14">
          <cell r="A14">
            <v>13</v>
          </cell>
          <cell r="D14">
            <v>150</v>
          </cell>
          <cell r="J14">
            <v>0</v>
          </cell>
        </row>
        <row r="15">
          <cell r="A15">
            <v>14</v>
          </cell>
          <cell r="D15">
            <v>80</v>
          </cell>
          <cell r="J15">
            <v>0</v>
          </cell>
        </row>
        <row r="16">
          <cell r="A16">
            <v>15</v>
          </cell>
          <cell r="D16">
            <v>100</v>
          </cell>
          <cell r="J16">
            <v>0</v>
          </cell>
        </row>
        <row r="17">
          <cell r="A17">
            <v>16</v>
          </cell>
          <cell r="D17">
            <v>120</v>
          </cell>
          <cell r="J17">
            <v>0</v>
          </cell>
        </row>
        <row r="18">
          <cell r="A18">
            <v>17</v>
          </cell>
          <cell r="D18">
            <v>140</v>
          </cell>
          <cell r="J18">
            <v>0</v>
          </cell>
        </row>
        <row r="19">
          <cell r="A19">
            <v>18</v>
          </cell>
          <cell r="D19">
            <v>200</v>
          </cell>
          <cell r="J19">
            <v>0</v>
          </cell>
        </row>
        <row r="20">
          <cell r="A20">
            <v>19</v>
          </cell>
          <cell r="D20">
            <v>83</v>
          </cell>
          <cell r="J20">
            <v>0</v>
          </cell>
        </row>
        <row r="21">
          <cell r="A21">
            <v>20</v>
          </cell>
          <cell r="D21">
            <v>83</v>
          </cell>
          <cell r="J21">
            <v>0</v>
          </cell>
        </row>
        <row r="22">
          <cell r="A22">
            <v>21</v>
          </cell>
          <cell r="D22">
            <v>70</v>
          </cell>
          <cell r="J22">
            <v>0</v>
          </cell>
        </row>
        <row r="23">
          <cell r="A23">
            <v>22</v>
          </cell>
          <cell r="D23">
            <v>70</v>
          </cell>
          <cell r="J23">
            <v>0</v>
          </cell>
        </row>
        <row r="24">
          <cell r="A24">
            <v>23</v>
          </cell>
          <cell r="D24">
            <v>70</v>
          </cell>
          <cell r="J24">
            <v>0</v>
          </cell>
        </row>
        <row r="25">
          <cell r="A25">
            <v>24</v>
          </cell>
          <cell r="D25">
            <v>93</v>
          </cell>
          <cell r="J25">
            <v>0</v>
          </cell>
        </row>
        <row r="26">
          <cell r="A26">
            <v>25</v>
          </cell>
          <cell r="D26">
            <v>93</v>
          </cell>
          <cell r="J26">
            <v>0</v>
          </cell>
        </row>
        <row r="27">
          <cell r="A27">
            <v>26</v>
          </cell>
          <cell r="D27">
            <v>80</v>
          </cell>
          <cell r="J27">
            <v>0</v>
          </cell>
        </row>
        <row r="28">
          <cell r="A28">
            <v>27</v>
          </cell>
          <cell r="D28">
            <v>80</v>
          </cell>
          <cell r="J28">
            <v>0</v>
          </cell>
        </row>
        <row r="29">
          <cell r="A29">
            <v>28</v>
          </cell>
          <cell r="D29">
            <v>110</v>
          </cell>
          <cell r="J29">
            <v>0</v>
          </cell>
        </row>
        <row r="30">
          <cell r="A30">
            <v>29</v>
          </cell>
          <cell r="D30">
            <v>103</v>
          </cell>
          <cell r="J30">
            <v>0</v>
          </cell>
        </row>
        <row r="31">
          <cell r="A31">
            <v>30</v>
          </cell>
          <cell r="D31">
            <v>103</v>
          </cell>
          <cell r="J31">
            <v>0</v>
          </cell>
        </row>
        <row r="32">
          <cell r="A32">
            <v>31</v>
          </cell>
          <cell r="D32">
            <v>90</v>
          </cell>
          <cell r="J32">
            <v>0</v>
          </cell>
        </row>
        <row r="33">
          <cell r="A33">
            <v>32</v>
          </cell>
          <cell r="D33">
            <v>90</v>
          </cell>
          <cell r="J33">
            <v>0</v>
          </cell>
        </row>
        <row r="34">
          <cell r="A34">
            <v>33</v>
          </cell>
          <cell r="D34">
            <v>120</v>
          </cell>
          <cell r="J34">
            <v>0</v>
          </cell>
        </row>
        <row r="35">
          <cell r="A35">
            <v>34</v>
          </cell>
          <cell r="D35">
            <v>40</v>
          </cell>
          <cell r="J35">
            <v>0</v>
          </cell>
        </row>
        <row r="36">
          <cell r="A36">
            <v>35</v>
          </cell>
          <cell r="D36">
            <v>40</v>
          </cell>
          <cell r="J36">
            <v>0</v>
          </cell>
        </row>
        <row r="37">
          <cell r="A37">
            <v>36</v>
          </cell>
          <cell r="D37">
            <v>113</v>
          </cell>
          <cell r="J37">
            <v>0</v>
          </cell>
        </row>
        <row r="38">
          <cell r="A38">
            <v>37</v>
          </cell>
          <cell r="D38">
            <v>113</v>
          </cell>
          <cell r="J38">
            <v>0</v>
          </cell>
        </row>
        <row r="39">
          <cell r="A39">
            <v>38</v>
          </cell>
          <cell r="D39">
            <v>100</v>
          </cell>
          <cell r="J39">
            <v>0</v>
          </cell>
        </row>
        <row r="40">
          <cell r="A40">
            <v>39</v>
          </cell>
          <cell r="D40">
            <v>100</v>
          </cell>
          <cell r="J40">
            <v>0</v>
          </cell>
        </row>
        <row r="41">
          <cell r="A41">
            <v>40</v>
          </cell>
          <cell r="D41">
            <v>130</v>
          </cell>
          <cell r="J41">
            <v>0</v>
          </cell>
        </row>
        <row r="42">
          <cell r="A42">
            <v>41</v>
          </cell>
          <cell r="D42">
            <v>50</v>
          </cell>
          <cell r="J42">
            <v>0</v>
          </cell>
        </row>
        <row r="43">
          <cell r="A43">
            <v>42</v>
          </cell>
          <cell r="D43">
            <v>50</v>
          </cell>
          <cell r="J43">
            <v>0</v>
          </cell>
        </row>
        <row r="44">
          <cell r="A44">
            <v>43</v>
          </cell>
          <cell r="D44">
            <v>80</v>
          </cell>
          <cell r="J44">
            <v>0</v>
          </cell>
        </row>
        <row r="45">
          <cell r="A45">
            <v>44</v>
          </cell>
          <cell r="D45">
            <v>70</v>
          </cell>
          <cell r="J45">
            <v>0</v>
          </cell>
        </row>
        <row r="46">
          <cell r="A46">
            <v>45</v>
          </cell>
          <cell r="D46">
            <v>123</v>
          </cell>
          <cell r="J46">
            <v>0</v>
          </cell>
        </row>
        <row r="47">
          <cell r="A47">
            <v>46</v>
          </cell>
          <cell r="D47">
            <v>123</v>
          </cell>
          <cell r="J47">
            <v>0</v>
          </cell>
        </row>
        <row r="48">
          <cell r="A48">
            <v>47</v>
          </cell>
          <cell r="D48">
            <v>110</v>
          </cell>
          <cell r="J48">
            <v>0</v>
          </cell>
        </row>
        <row r="49">
          <cell r="A49">
            <v>48</v>
          </cell>
          <cell r="D49">
            <v>110</v>
          </cell>
          <cell r="J49">
            <v>0</v>
          </cell>
        </row>
        <row r="50">
          <cell r="A50">
            <v>49</v>
          </cell>
          <cell r="D50">
            <v>140</v>
          </cell>
          <cell r="J50">
            <v>0</v>
          </cell>
        </row>
        <row r="51">
          <cell r="A51">
            <v>50</v>
          </cell>
          <cell r="D51">
            <v>60</v>
          </cell>
          <cell r="J51">
            <v>0</v>
          </cell>
        </row>
        <row r="52">
          <cell r="A52">
            <v>51</v>
          </cell>
          <cell r="D52">
            <v>60</v>
          </cell>
          <cell r="J52">
            <v>0</v>
          </cell>
        </row>
        <row r="53">
          <cell r="A53">
            <v>52</v>
          </cell>
          <cell r="D53">
            <v>60</v>
          </cell>
          <cell r="J53">
            <v>0</v>
          </cell>
        </row>
        <row r="54">
          <cell r="A54">
            <v>53</v>
          </cell>
          <cell r="D54">
            <v>90</v>
          </cell>
          <cell r="J54">
            <v>0</v>
          </cell>
        </row>
        <row r="55">
          <cell r="A55">
            <v>54</v>
          </cell>
          <cell r="D55">
            <v>80</v>
          </cell>
          <cell r="J55">
            <v>0</v>
          </cell>
        </row>
        <row r="56">
          <cell r="A56">
            <v>55</v>
          </cell>
          <cell r="D56">
            <v>133</v>
          </cell>
          <cell r="J56">
            <v>0</v>
          </cell>
        </row>
        <row r="57">
          <cell r="A57">
            <v>56</v>
          </cell>
          <cell r="D57">
            <v>133</v>
          </cell>
          <cell r="J57">
            <v>0</v>
          </cell>
        </row>
        <row r="58">
          <cell r="A58">
            <v>57</v>
          </cell>
          <cell r="D58">
            <v>120</v>
          </cell>
          <cell r="J58">
            <v>0</v>
          </cell>
        </row>
        <row r="59">
          <cell r="A59">
            <v>58</v>
          </cell>
          <cell r="D59">
            <v>120</v>
          </cell>
          <cell r="J59">
            <v>0</v>
          </cell>
        </row>
        <row r="60">
          <cell r="A60">
            <v>59</v>
          </cell>
          <cell r="D60">
            <v>150</v>
          </cell>
          <cell r="J60">
            <v>0</v>
          </cell>
        </row>
        <row r="61">
          <cell r="A61">
            <v>60</v>
          </cell>
          <cell r="D61">
            <v>70</v>
          </cell>
          <cell r="J61">
            <v>0</v>
          </cell>
        </row>
        <row r="62">
          <cell r="A62">
            <v>61</v>
          </cell>
          <cell r="D62">
            <v>70</v>
          </cell>
          <cell r="J62">
            <v>0</v>
          </cell>
        </row>
        <row r="63">
          <cell r="A63">
            <v>62</v>
          </cell>
          <cell r="D63">
            <v>70</v>
          </cell>
          <cell r="J63">
            <v>0</v>
          </cell>
        </row>
        <row r="64">
          <cell r="A64">
            <v>63</v>
          </cell>
          <cell r="D64">
            <v>70</v>
          </cell>
          <cell r="J64">
            <v>0</v>
          </cell>
        </row>
        <row r="65">
          <cell r="A65">
            <v>64</v>
          </cell>
          <cell r="D65">
            <v>163</v>
          </cell>
          <cell r="J65">
            <v>0</v>
          </cell>
        </row>
        <row r="66">
          <cell r="A66">
            <v>65</v>
          </cell>
          <cell r="D66">
            <v>163</v>
          </cell>
          <cell r="J66">
            <v>0</v>
          </cell>
        </row>
        <row r="67">
          <cell r="A67">
            <v>66</v>
          </cell>
          <cell r="D67">
            <v>150</v>
          </cell>
          <cell r="J67">
            <v>0</v>
          </cell>
        </row>
        <row r="68">
          <cell r="A68">
            <v>67</v>
          </cell>
          <cell r="D68">
            <v>150</v>
          </cell>
          <cell r="J68">
            <v>0</v>
          </cell>
        </row>
        <row r="69">
          <cell r="A69">
            <v>68</v>
          </cell>
          <cell r="D69">
            <v>180</v>
          </cell>
          <cell r="J69">
            <v>0</v>
          </cell>
        </row>
        <row r="70">
          <cell r="A70">
            <v>69</v>
          </cell>
          <cell r="D70">
            <v>100</v>
          </cell>
          <cell r="J70">
            <v>0</v>
          </cell>
        </row>
        <row r="71">
          <cell r="A71">
            <v>70</v>
          </cell>
          <cell r="D71">
            <v>100</v>
          </cell>
          <cell r="J71">
            <v>0</v>
          </cell>
        </row>
        <row r="72">
          <cell r="A72">
            <v>71</v>
          </cell>
          <cell r="D72">
            <v>100</v>
          </cell>
          <cell r="J72">
            <v>0</v>
          </cell>
        </row>
        <row r="73">
          <cell r="A73">
            <v>72</v>
          </cell>
          <cell r="D73">
            <v>143</v>
          </cell>
          <cell r="J73">
            <v>0</v>
          </cell>
        </row>
        <row r="74">
          <cell r="A74">
            <v>73</v>
          </cell>
          <cell r="D74">
            <v>143</v>
          </cell>
          <cell r="J74">
            <v>0</v>
          </cell>
        </row>
        <row r="75">
          <cell r="A75">
            <v>74</v>
          </cell>
          <cell r="D75">
            <v>130</v>
          </cell>
          <cell r="J75">
            <v>0</v>
          </cell>
        </row>
        <row r="76">
          <cell r="A76">
            <v>75</v>
          </cell>
          <cell r="D76">
            <v>130</v>
          </cell>
          <cell r="J76">
            <v>0</v>
          </cell>
        </row>
        <row r="77">
          <cell r="A77">
            <v>76</v>
          </cell>
          <cell r="D77">
            <v>160</v>
          </cell>
          <cell r="J77">
            <v>0</v>
          </cell>
        </row>
        <row r="78">
          <cell r="A78">
            <v>77</v>
          </cell>
          <cell r="D78">
            <v>80</v>
          </cell>
          <cell r="J78">
            <v>0</v>
          </cell>
        </row>
        <row r="79">
          <cell r="A79">
            <v>78</v>
          </cell>
          <cell r="D79">
            <v>80</v>
          </cell>
          <cell r="J79">
            <v>0</v>
          </cell>
        </row>
        <row r="80">
          <cell r="A80">
            <v>79</v>
          </cell>
          <cell r="D80">
            <v>80</v>
          </cell>
          <cell r="J80">
            <v>0</v>
          </cell>
        </row>
        <row r="81">
          <cell r="A81">
            <v>80</v>
          </cell>
          <cell r="D81">
            <v>110</v>
          </cell>
          <cell r="J81">
            <v>0</v>
          </cell>
        </row>
        <row r="82">
          <cell r="A82">
            <v>81</v>
          </cell>
          <cell r="D82">
            <v>100</v>
          </cell>
          <cell r="J82">
            <v>0</v>
          </cell>
        </row>
        <row r="83">
          <cell r="A83">
            <v>82</v>
          </cell>
          <cell r="D83">
            <v>163</v>
          </cell>
          <cell r="J83">
            <v>0</v>
          </cell>
        </row>
        <row r="84">
          <cell r="A84">
            <v>83</v>
          </cell>
          <cell r="D84">
            <v>163</v>
          </cell>
          <cell r="J84">
            <v>0</v>
          </cell>
        </row>
        <row r="85">
          <cell r="A85">
            <v>84</v>
          </cell>
          <cell r="D85">
            <v>150</v>
          </cell>
          <cell r="J85">
            <v>0</v>
          </cell>
        </row>
        <row r="86">
          <cell r="A86">
            <v>85</v>
          </cell>
          <cell r="D86">
            <v>150</v>
          </cell>
          <cell r="J86">
            <v>0</v>
          </cell>
        </row>
        <row r="87">
          <cell r="A87">
            <v>86</v>
          </cell>
          <cell r="D87">
            <v>180</v>
          </cell>
          <cell r="J87">
            <v>0</v>
          </cell>
        </row>
        <row r="88">
          <cell r="A88">
            <v>87</v>
          </cell>
          <cell r="D88">
            <v>100</v>
          </cell>
          <cell r="J88">
            <v>0</v>
          </cell>
        </row>
        <row r="89">
          <cell r="A89">
            <v>88</v>
          </cell>
          <cell r="D89">
            <v>100</v>
          </cell>
          <cell r="J89">
            <v>0</v>
          </cell>
        </row>
        <row r="90">
          <cell r="A90">
            <v>89</v>
          </cell>
          <cell r="D90">
            <v>100</v>
          </cell>
          <cell r="J90">
            <v>0</v>
          </cell>
        </row>
        <row r="91">
          <cell r="A91">
            <v>90</v>
          </cell>
          <cell r="D91">
            <v>130</v>
          </cell>
          <cell r="J91">
            <v>0</v>
          </cell>
        </row>
        <row r="92">
          <cell r="A92">
            <v>91</v>
          </cell>
          <cell r="D92">
            <v>120</v>
          </cell>
          <cell r="J92">
            <v>0</v>
          </cell>
        </row>
        <row r="93">
          <cell r="A93">
            <v>92</v>
          </cell>
          <cell r="D93">
            <v>183</v>
          </cell>
          <cell r="J93">
            <v>0</v>
          </cell>
        </row>
        <row r="94">
          <cell r="A94">
            <v>93</v>
          </cell>
          <cell r="D94">
            <v>183</v>
          </cell>
          <cell r="J94">
            <v>0</v>
          </cell>
        </row>
        <row r="95">
          <cell r="A95">
            <v>94</v>
          </cell>
          <cell r="D95">
            <v>170</v>
          </cell>
          <cell r="J95">
            <v>0</v>
          </cell>
        </row>
        <row r="96">
          <cell r="A96">
            <v>95</v>
          </cell>
          <cell r="D96">
            <v>170</v>
          </cell>
          <cell r="J96">
            <v>0</v>
          </cell>
        </row>
        <row r="97">
          <cell r="A97">
            <v>96</v>
          </cell>
          <cell r="D97">
            <v>170</v>
          </cell>
          <cell r="J97">
            <v>0</v>
          </cell>
        </row>
        <row r="98">
          <cell r="A98">
            <v>97</v>
          </cell>
          <cell r="D98">
            <v>120</v>
          </cell>
          <cell r="J98">
            <v>0</v>
          </cell>
        </row>
        <row r="99">
          <cell r="A99">
            <v>98</v>
          </cell>
          <cell r="D99">
            <v>120</v>
          </cell>
          <cell r="J99">
            <v>0</v>
          </cell>
        </row>
        <row r="100">
          <cell r="A100">
            <v>99</v>
          </cell>
          <cell r="D100">
            <v>120</v>
          </cell>
          <cell r="J100">
            <v>0</v>
          </cell>
        </row>
        <row r="101">
          <cell r="A101">
            <v>100</v>
          </cell>
          <cell r="D101">
            <v>150</v>
          </cell>
          <cell r="J101">
            <v>0</v>
          </cell>
        </row>
        <row r="102">
          <cell r="A102">
            <v>101</v>
          </cell>
          <cell r="D102">
            <v>140</v>
          </cell>
          <cell r="J102">
            <v>0</v>
          </cell>
        </row>
        <row r="103">
          <cell r="A103">
            <v>102</v>
          </cell>
          <cell r="D103">
            <v>6</v>
          </cell>
          <cell r="J103">
            <v>0</v>
          </cell>
        </row>
        <row r="104">
          <cell r="A104">
            <v>103</v>
          </cell>
          <cell r="D104">
            <v>9</v>
          </cell>
          <cell r="J104">
            <v>0</v>
          </cell>
        </row>
        <row r="105">
          <cell r="A105">
            <v>104</v>
          </cell>
          <cell r="D105">
            <v>16</v>
          </cell>
          <cell r="J105">
            <v>0</v>
          </cell>
        </row>
        <row r="106">
          <cell r="A106">
            <v>105</v>
          </cell>
          <cell r="D106">
            <v>21</v>
          </cell>
          <cell r="J106">
            <v>0</v>
          </cell>
        </row>
        <row r="107">
          <cell r="A107">
            <v>106</v>
          </cell>
          <cell r="D107">
            <v>31</v>
          </cell>
          <cell r="J107">
            <v>0</v>
          </cell>
        </row>
        <row r="108">
          <cell r="A108">
            <v>107</v>
          </cell>
          <cell r="D108">
            <v>41</v>
          </cell>
          <cell r="J108">
            <v>0</v>
          </cell>
        </row>
        <row r="109">
          <cell r="A109">
            <v>108</v>
          </cell>
          <cell r="D109">
            <v>51</v>
          </cell>
          <cell r="J109">
            <v>0</v>
          </cell>
        </row>
        <row r="110">
          <cell r="A110">
            <v>109</v>
          </cell>
          <cell r="D110">
            <v>61</v>
          </cell>
          <cell r="J110">
            <v>0</v>
          </cell>
        </row>
        <row r="111">
          <cell r="A111">
            <v>110</v>
          </cell>
          <cell r="D111">
            <v>6</v>
          </cell>
          <cell r="J111">
            <v>0</v>
          </cell>
        </row>
        <row r="112">
          <cell r="A112">
            <v>111</v>
          </cell>
          <cell r="D112">
            <v>9</v>
          </cell>
          <cell r="J112">
            <v>0</v>
          </cell>
        </row>
        <row r="113">
          <cell r="A113">
            <v>112</v>
          </cell>
          <cell r="D113">
            <v>16</v>
          </cell>
          <cell r="J113">
            <v>0</v>
          </cell>
        </row>
        <row r="114">
          <cell r="A114">
            <v>113</v>
          </cell>
          <cell r="D114">
            <v>21</v>
          </cell>
          <cell r="J114">
            <v>0</v>
          </cell>
        </row>
        <row r="115">
          <cell r="A115">
            <v>114</v>
          </cell>
          <cell r="D115">
            <v>31</v>
          </cell>
          <cell r="J115">
            <v>0</v>
          </cell>
        </row>
        <row r="116">
          <cell r="A116">
            <v>115</v>
          </cell>
          <cell r="D116">
            <v>41</v>
          </cell>
          <cell r="J116">
            <v>0</v>
          </cell>
        </row>
        <row r="117">
          <cell r="A117">
            <v>116</v>
          </cell>
          <cell r="D117">
            <v>51</v>
          </cell>
          <cell r="J117">
            <v>0</v>
          </cell>
        </row>
        <row r="118">
          <cell r="A118">
            <v>117</v>
          </cell>
          <cell r="D118">
            <v>61</v>
          </cell>
          <cell r="J118">
            <v>0</v>
          </cell>
        </row>
        <row r="119">
          <cell r="A119">
            <v>118</v>
          </cell>
          <cell r="D119">
            <v>500000</v>
          </cell>
          <cell r="J119">
            <v>0</v>
          </cell>
        </row>
        <row r="120">
          <cell r="A120">
            <v>119</v>
          </cell>
          <cell r="D120">
            <v>5000000</v>
          </cell>
          <cell r="J120">
            <v>0</v>
          </cell>
        </row>
        <row r="121">
          <cell r="A121">
            <v>120</v>
          </cell>
          <cell r="D121">
            <v>50000000</v>
          </cell>
          <cell r="J121">
            <v>0</v>
          </cell>
        </row>
        <row r="122">
          <cell r="A122">
            <v>121</v>
          </cell>
          <cell r="D122">
            <v>500</v>
          </cell>
          <cell r="J122">
            <v>0</v>
          </cell>
        </row>
        <row r="123">
          <cell r="A123">
            <v>122</v>
          </cell>
          <cell r="D123">
            <v>0</v>
          </cell>
          <cell r="J123">
            <v>0</v>
          </cell>
        </row>
        <row r="124">
          <cell r="A124">
            <v>123</v>
          </cell>
          <cell r="D124" t="str">
            <v>20,40,140,</v>
          </cell>
          <cell r="J124">
            <v>0</v>
          </cell>
        </row>
        <row r="125">
          <cell r="A125">
            <v>124</v>
          </cell>
          <cell r="D125">
            <v>151</v>
          </cell>
          <cell r="J125">
            <v>0</v>
          </cell>
        </row>
        <row r="126">
          <cell r="A126">
            <v>125</v>
          </cell>
          <cell r="D126">
            <v>200</v>
          </cell>
          <cell r="J126">
            <v>0</v>
          </cell>
        </row>
        <row r="127">
          <cell r="A127">
            <v>126</v>
          </cell>
          <cell r="D127">
            <v>210</v>
          </cell>
          <cell r="J127">
            <v>0</v>
          </cell>
        </row>
        <row r="128">
          <cell r="A128">
            <v>127</v>
          </cell>
          <cell r="D128">
            <v>220</v>
          </cell>
          <cell r="J128">
            <v>0</v>
          </cell>
        </row>
        <row r="129">
          <cell r="A129">
            <v>128</v>
          </cell>
          <cell r="D129">
            <v>250</v>
          </cell>
          <cell r="J129">
            <v>0</v>
          </cell>
        </row>
        <row r="130">
          <cell r="A130">
            <v>129</v>
          </cell>
          <cell r="D130">
            <v>83</v>
          </cell>
          <cell r="J130">
            <v>0</v>
          </cell>
        </row>
        <row r="131">
          <cell r="A131">
            <v>130</v>
          </cell>
          <cell r="D131">
            <v>93</v>
          </cell>
          <cell r="J131">
            <v>0</v>
          </cell>
        </row>
        <row r="132">
          <cell r="A132">
            <v>131</v>
          </cell>
          <cell r="D132">
            <v>103</v>
          </cell>
          <cell r="J132">
            <v>0</v>
          </cell>
        </row>
        <row r="133">
          <cell r="A133">
            <v>132</v>
          </cell>
          <cell r="D133">
            <v>113</v>
          </cell>
          <cell r="J133">
            <v>0</v>
          </cell>
        </row>
        <row r="134">
          <cell r="A134">
            <v>133</v>
          </cell>
          <cell r="D134">
            <v>123</v>
          </cell>
          <cell r="J134">
            <v>0</v>
          </cell>
        </row>
        <row r="135">
          <cell r="A135">
            <v>134</v>
          </cell>
          <cell r="D135">
            <v>133</v>
          </cell>
          <cell r="J135">
            <v>0</v>
          </cell>
        </row>
        <row r="136">
          <cell r="A136">
            <v>135</v>
          </cell>
          <cell r="D136">
            <v>163</v>
          </cell>
          <cell r="J136">
            <v>0</v>
          </cell>
        </row>
        <row r="137">
          <cell r="A137">
            <v>136</v>
          </cell>
          <cell r="D137">
            <v>40</v>
          </cell>
          <cell r="J137">
            <v>0</v>
          </cell>
        </row>
        <row r="138">
          <cell r="A138">
            <v>137</v>
          </cell>
          <cell r="D138">
            <v>50</v>
          </cell>
          <cell r="J138">
            <v>0</v>
          </cell>
        </row>
        <row r="139">
          <cell r="A139">
            <v>138</v>
          </cell>
          <cell r="D139">
            <v>60</v>
          </cell>
          <cell r="J139">
            <v>0</v>
          </cell>
        </row>
        <row r="140">
          <cell r="A140">
            <v>139</v>
          </cell>
          <cell r="D140">
            <v>70</v>
          </cell>
          <cell r="J140">
            <v>0</v>
          </cell>
        </row>
        <row r="141">
          <cell r="A141">
            <v>140</v>
          </cell>
          <cell r="D141">
            <v>100</v>
          </cell>
          <cell r="J141">
            <v>0</v>
          </cell>
        </row>
        <row r="142">
          <cell r="A142">
            <v>141</v>
          </cell>
          <cell r="D142">
            <v>100</v>
          </cell>
          <cell r="J142">
            <v>0</v>
          </cell>
        </row>
        <row r="143">
          <cell r="A143">
            <v>142</v>
          </cell>
          <cell r="D143">
            <v>200</v>
          </cell>
          <cell r="J143">
            <v>0</v>
          </cell>
        </row>
        <row r="144">
          <cell r="A144">
            <v>143</v>
          </cell>
          <cell r="D144">
            <v>300</v>
          </cell>
          <cell r="J144">
            <v>0</v>
          </cell>
        </row>
        <row r="145">
          <cell r="A145">
            <v>144</v>
          </cell>
          <cell r="D145">
            <v>500</v>
          </cell>
          <cell r="J145">
            <v>0</v>
          </cell>
        </row>
        <row r="146">
          <cell r="A146">
            <v>145</v>
          </cell>
          <cell r="B146">
            <v>30</v>
          </cell>
          <cell r="C146">
            <v>21</v>
          </cell>
          <cell r="D146">
            <v>100</v>
          </cell>
          <cell r="J146">
            <v>0</v>
          </cell>
        </row>
        <row r="147">
          <cell r="A147">
            <v>146</v>
          </cell>
          <cell r="B147">
            <v>30</v>
          </cell>
          <cell r="C147">
            <v>22</v>
          </cell>
          <cell r="D147">
            <v>200</v>
          </cell>
          <cell r="J147">
            <v>0</v>
          </cell>
        </row>
        <row r="148">
          <cell r="A148">
            <v>147</v>
          </cell>
          <cell r="B148">
            <v>30</v>
          </cell>
          <cell r="C148">
            <v>23</v>
          </cell>
          <cell r="D148">
            <v>300</v>
          </cell>
          <cell r="J148">
            <v>0</v>
          </cell>
        </row>
        <row r="149">
          <cell r="A149">
            <v>148</v>
          </cell>
          <cell r="B149">
            <v>30</v>
          </cell>
          <cell r="C149">
            <v>24</v>
          </cell>
          <cell r="D149">
            <v>500</v>
          </cell>
          <cell r="J149">
            <v>0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  <row r="31">
          <cell r="A31">
            <v>30</v>
          </cell>
          <cell r="E31" t="str">
            <v>亲嘴鱼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3" workbookViewId="0">
      <selection activeCell="E20" sqref="E20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21</v>
      </c>
      <c r="B1" s="1" t="s">
        <v>22</v>
      </c>
      <c r="C1" s="1" t="s">
        <v>23</v>
      </c>
      <c r="D1" s="1" t="s">
        <v>24</v>
      </c>
      <c r="E1" s="1" t="s">
        <v>214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2.9000000000000001E-2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2.9000000000000001E-2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2.9000000000000001E-2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2.9000000000000001E-2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2.9000000000000001E-2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2.9000000000000001E-2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2.9000000000000001E-2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2.9000000000000001E-2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2.9000000000000001E-2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2.9000000000000001E-2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2.9000000000000001E-2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2.9000000000000001E-2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2.9000000000000001E-2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2.9000000000000001E-2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2.9000000000000001E-2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2.9000000000000001E-2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2.9000000000000001E-2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2.9000000000000001E-2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2.9000000000000001E-2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2.9000000000000001E-2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34" sqref="C34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215</v>
      </c>
      <c r="B1" s="2" t="s">
        <v>216</v>
      </c>
      <c r="C1" s="2" t="s">
        <v>217</v>
      </c>
      <c r="D1" s="2" t="s">
        <v>218</v>
      </c>
      <c r="E1" s="2" t="s">
        <v>219</v>
      </c>
      <c r="F1" s="2" t="s">
        <v>220</v>
      </c>
      <c r="G1" s="2" t="s">
        <v>221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/>
  </sheetViews>
  <sheetFormatPr defaultRowHeight="14.25" x14ac:dyDescent="0.2"/>
  <sheetData>
    <row r="1" spans="1:11" ht="54" x14ac:dyDescent="0.2">
      <c r="A1" s="1" t="s">
        <v>18</v>
      </c>
      <c r="B1" s="1" t="s">
        <v>25</v>
      </c>
      <c r="C1" s="1" t="s">
        <v>26</v>
      </c>
      <c r="D1" s="1" t="s">
        <v>27</v>
      </c>
      <c r="E1" s="1" t="s">
        <v>28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20" sqref="C20:D20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254</v>
      </c>
      <c r="B1" s="1" t="s">
        <v>255</v>
      </c>
      <c r="C1" s="1" t="s">
        <v>256</v>
      </c>
      <c r="D1" s="1" t="s">
        <v>257</v>
      </c>
      <c r="E1" s="1" t="s">
        <v>258</v>
      </c>
      <c r="F1" s="1" t="s">
        <v>259</v>
      </c>
      <c r="G1" s="1" t="s">
        <v>260</v>
      </c>
    </row>
    <row r="2" spans="1:7" x14ac:dyDescent="0.2">
      <c r="A2" s="2">
        <v>1</v>
      </c>
      <c r="B2" s="2" t="s">
        <v>261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262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16" sqref="E16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270</v>
      </c>
      <c r="I1" s="1" t="s">
        <v>271</v>
      </c>
      <c r="J1" s="1" t="s">
        <v>272</v>
      </c>
      <c r="K1" s="1" t="s">
        <v>273</v>
      </c>
      <c r="L1" s="1"/>
    </row>
    <row r="2" spans="1:12" x14ac:dyDescent="0.2">
      <c r="A2" s="2">
        <v>1</v>
      </c>
      <c r="B2" s="2" t="s">
        <v>274</v>
      </c>
      <c r="C2" s="2">
        <v>1</v>
      </c>
      <c r="D2" t="s">
        <v>275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276</v>
      </c>
      <c r="C3" s="2">
        <v>1</v>
      </c>
      <c r="D3" t="s">
        <v>277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276</v>
      </c>
      <c r="C4" s="2">
        <v>2</v>
      </c>
      <c r="D4" t="s">
        <v>277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276</v>
      </c>
      <c r="C5" s="2">
        <v>3</v>
      </c>
      <c r="D5" t="s">
        <v>262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276</v>
      </c>
      <c r="C6" s="2">
        <v>4</v>
      </c>
      <c r="D6" t="s">
        <v>277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276</v>
      </c>
      <c r="C7" s="2">
        <v>5</v>
      </c>
      <c r="D7" t="s">
        <v>262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276</v>
      </c>
      <c r="C8" s="2">
        <v>6</v>
      </c>
      <c r="D8" t="s">
        <v>262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278</v>
      </c>
      <c r="C9" s="2">
        <v>7</v>
      </c>
      <c r="D9" t="s">
        <v>277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276</v>
      </c>
      <c r="C10" s="2">
        <v>10</v>
      </c>
      <c r="D10" t="s">
        <v>277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276</v>
      </c>
      <c r="C11">
        <v>11</v>
      </c>
      <c r="D11" t="s">
        <v>335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175"/>
  <sheetViews>
    <sheetView workbookViewId="0">
      <pane ySplit="1" topLeftCell="A155" activePane="bottomLeft" state="frozen"/>
      <selection pane="bottomLeft" activeCell="A172" sqref="A172:XFD175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2" max="12" width="29.5" customWidth="1"/>
    <col min="18" max="24" width="8.75" customWidth="1" outlineLevel="1"/>
  </cols>
  <sheetData>
    <row r="1" spans="1:24" s="1" customFormat="1" ht="35.25" customHeight="1" x14ac:dyDescent="0.2">
      <c r="A1" s="1" t="s">
        <v>9</v>
      </c>
      <c r="B1" s="1" t="s">
        <v>41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252</v>
      </c>
      <c r="I1" s="1" t="s">
        <v>279</v>
      </c>
      <c r="J1" s="10" t="s">
        <v>280</v>
      </c>
      <c r="K1" s="1" t="s">
        <v>242</v>
      </c>
      <c r="L1" s="1" t="s">
        <v>49</v>
      </c>
      <c r="R1" s="1" t="s">
        <v>154</v>
      </c>
      <c r="S1" s="1" t="s">
        <v>154</v>
      </c>
      <c r="T1" s="1" t="s">
        <v>154</v>
      </c>
      <c r="U1" s="1" t="s">
        <v>154</v>
      </c>
      <c r="V1" s="1" t="s">
        <v>154</v>
      </c>
      <c r="W1" s="1" t="s">
        <v>154</v>
      </c>
      <c r="X1" s="1" t="s">
        <v>154</v>
      </c>
    </row>
    <row r="2" spans="1:24" x14ac:dyDescent="0.2">
      <c r="A2">
        <v>1</v>
      </c>
      <c r="B2">
        <v>1</v>
      </c>
      <c r="C2" t="s">
        <v>39</v>
      </c>
      <c r="D2" t="s">
        <v>155</v>
      </c>
      <c r="E2" t="s">
        <v>189</v>
      </c>
      <c r="G2" s="2"/>
      <c r="H2">
        <f>SUM(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_xlfn.IFNA(LOOKUP(X2,use_fish!A:A,use_fish!D:D),0),)</f>
        <v>1</v>
      </c>
      <c r="I2">
        <f>SUM(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_xlfn.IFNA(LOOKUP(X2,use_fish!A:A,use_fish!H:H),0),)</f>
        <v>1</v>
      </c>
      <c r="J2" s="2">
        <f>SUM(_xlfn.IFNA(LOOKUP(Q2,[1]use_fish!A:A,[1]use_fish!J:J),0),_xlfn.IFNA(LOOKUP(R2,[1]use_fish!A:A,[1]use_fish!J:J),0),_xlfn.IFNA(LOOKUP(S2,[1]use_fish!A:A,[1]use_fish!J:J),0),_xlfn.IFNA(LOOKUP(T2,[1]use_fish!A:A,[1]use_fish!J:J),0),_xlfn.IFNA(LOOKUP(U2,[1]use_fish!A:A,[1]use_fish!J:J),0),_xlfn.IFNA(LOOKUP(V2,[1]use_fish!A:A,[1]use_fish!J:J),0),_xlfn.IFNA(LOOKUP(W2,[1]use_fish!A:A,[1]use_fish!J:J),0),)</f>
        <v>0</v>
      </c>
      <c r="K2" s="2"/>
      <c r="L2" t="s">
        <v>177</v>
      </c>
      <c r="R2">
        <v>1</v>
      </c>
    </row>
    <row r="3" spans="1:24" x14ac:dyDescent="0.2">
      <c r="A3">
        <v>2</v>
      </c>
      <c r="B3">
        <v>1</v>
      </c>
      <c r="C3" t="s">
        <v>39</v>
      </c>
      <c r="D3" t="s">
        <v>156</v>
      </c>
      <c r="E3" t="s">
        <v>189</v>
      </c>
      <c r="H3">
        <f>SUM(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_xlfn.IFNA(LOOKUP(X3,use_fish!A:A,use_fish!D:D),0),)</f>
        <v>1</v>
      </c>
      <c r="I3">
        <f>SUM(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_xlfn.IFNA(LOOKUP(X3,use_fish!A:A,use_fish!H:H),0),)</f>
        <v>1</v>
      </c>
      <c r="J3" s="2">
        <f>SUM(_xlfn.IFNA(LOOKUP(Q3,[1]use_fish!A:A,[1]use_fish!J:J),0),_xlfn.IFNA(LOOKUP(R3,[1]use_fish!A:A,[1]use_fish!J:J),0),_xlfn.IFNA(LOOKUP(S3,[1]use_fish!A:A,[1]use_fish!J:J),0),_xlfn.IFNA(LOOKUP(T3,[1]use_fish!A:A,[1]use_fish!J:J),0),_xlfn.IFNA(LOOKUP(U3,[1]use_fish!A:A,[1]use_fish!J:J),0),_xlfn.IFNA(LOOKUP(V3,[1]use_fish!A:A,[1]use_fish!J:J),0),_xlfn.IFNA(LOOKUP(W3,[1]use_fish!A:A,[1]use_fish!J:J),0),)</f>
        <v>0</v>
      </c>
      <c r="L3" t="s">
        <v>46</v>
      </c>
      <c r="R3">
        <v>1</v>
      </c>
    </row>
    <row r="4" spans="1:24" x14ac:dyDescent="0.2">
      <c r="A4">
        <v>3</v>
      </c>
      <c r="B4">
        <v>1</v>
      </c>
      <c r="C4" t="s">
        <v>50</v>
      </c>
      <c r="D4" t="s">
        <v>157</v>
      </c>
      <c r="E4" t="s">
        <v>189</v>
      </c>
      <c r="H4">
        <f>SUM(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_xlfn.IFNA(LOOKUP(X4,use_fish!A:A,use_fish!D:D),0),)</f>
        <v>2</v>
      </c>
      <c r="I4">
        <f>SUM(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_xlfn.IFNA(LOOKUP(X4,use_fish!A:A,use_fish!H:H),0),)</f>
        <v>2</v>
      </c>
      <c r="J4" s="2">
        <f>SUM(_xlfn.IFNA(LOOKUP(Q4,[1]use_fish!A:A,[1]use_fish!J:J),0),_xlfn.IFNA(LOOKUP(R4,[1]use_fish!A:A,[1]use_fish!J:J),0),_xlfn.IFNA(LOOKUP(S4,[1]use_fish!A:A,[1]use_fish!J:J),0),_xlfn.IFNA(LOOKUP(T4,[1]use_fish!A:A,[1]use_fish!J:J),0),_xlfn.IFNA(LOOKUP(U4,[1]use_fish!A:A,[1]use_fish!J:J),0),_xlfn.IFNA(LOOKUP(V4,[1]use_fish!A:A,[1]use_fish!J:J),0),_xlfn.IFNA(LOOKUP(W4,[1]use_fish!A:A,[1]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R4">
        <v>2</v>
      </c>
    </row>
    <row r="5" spans="1:24" x14ac:dyDescent="0.2">
      <c r="A5">
        <v>4</v>
      </c>
      <c r="B5">
        <v>1</v>
      </c>
      <c r="C5" t="s">
        <v>50</v>
      </c>
      <c r="D5" t="s">
        <v>168</v>
      </c>
      <c r="E5" t="s">
        <v>189</v>
      </c>
      <c r="H5">
        <f>SUM(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_xlfn.IFNA(LOOKUP(X5,use_fish!A:A,use_fish!D:D),0),)</f>
        <v>2</v>
      </c>
      <c r="I5">
        <f>SUM(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_xlfn.IFNA(LOOKUP(X5,use_fish!A:A,use_fish!H:H),0),)</f>
        <v>2</v>
      </c>
      <c r="J5" s="2">
        <f>SUM(_xlfn.IFNA(LOOKUP(Q5,[1]use_fish!A:A,[1]use_fish!J:J),0),_xlfn.IFNA(LOOKUP(R5,[1]use_fish!A:A,[1]use_fish!J:J),0),_xlfn.IFNA(LOOKUP(S5,[1]use_fish!A:A,[1]use_fish!J:J),0),_xlfn.IFNA(LOOKUP(T5,[1]use_fish!A:A,[1]use_fish!J:J),0),_xlfn.IFNA(LOOKUP(U5,[1]use_fish!A:A,[1]use_fish!J:J),0),_xlfn.IFNA(LOOKUP(V5,[1]use_fish!A:A,[1]use_fish!J:J),0),_xlfn.IFNA(LOOKUP(W5,[1]use_fish!A:A,[1]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R5">
        <v>2</v>
      </c>
    </row>
    <row r="6" spans="1:24" x14ac:dyDescent="0.2">
      <c r="A6">
        <v>5</v>
      </c>
      <c r="B6">
        <v>1</v>
      </c>
      <c r="C6" t="s">
        <v>40</v>
      </c>
      <c r="E6" t="s">
        <v>189</v>
      </c>
      <c r="H6">
        <f>SUM(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_xlfn.IFNA(LOOKUP(X6,use_fish!A:A,use_fish!D:D),0),)</f>
        <v>5</v>
      </c>
      <c r="I6">
        <f>SUM(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_xlfn.IFNA(LOOKUP(X6,use_fish!A:A,use_fish!H:H),0),)</f>
        <v>5</v>
      </c>
      <c r="J6" s="2">
        <f>SUM(_xlfn.IFNA(LOOKUP(Q6,[1]use_fish!A:A,[1]use_fish!J:J),0),_xlfn.IFNA(LOOKUP(R6,[1]use_fish!A:A,[1]use_fish!J:J),0),_xlfn.IFNA(LOOKUP(S6,[1]use_fish!A:A,[1]use_fish!J:J),0),_xlfn.IFNA(LOOKUP(T6,[1]use_fish!A:A,[1]use_fish!J:J),0),_xlfn.IFNA(LOOKUP(U6,[1]use_fish!A:A,[1]use_fish!J:J),0),_xlfn.IFNA(LOOKUP(V6,[1]use_fish!A:A,[1]use_fish!J:J),0),_xlfn.IFNA(LOOKUP(W6,[1]use_fish!A:A,[1]use_fish!J:J),0),)</f>
        <v>0</v>
      </c>
      <c r="L6" t="str">
        <f t="array" ref="L6">INDEX(use_fish!A:A,SMALL(IF(group!$L$2&amp;IF(ISBLANK($L$3),$L$3,"+"&amp;$L$3)=use_fish!G:G,ROW(use_fish!G:G),4^8),ROW(3:3)))&amp;""</f>
        <v/>
      </c>
      <c r="R6">
        <v>3</v>
      </c>
    </row>
    <row r="7" spans="1:24" x14ac:dyDescent="0.2">
      <c r="A7">
        <v>6</v>
      </c>
      <c r="B7">
        <v>1</v>
      </c>
      <c r="C7" t="s">
        <v>51</v>
      </c>
      <c r="D7" t="s">
        <v>158</v>
      </c>
      <c r="E7" t="s">
        <v>189</v>
      </c>
      <c r="H7">
        <f>SUM(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_xlfn.IFNA(LOOKUP(X7,use_fish!A:A,use_fish!D:D),0),)</f>
        <v>5</v>
      </c>
      <c r="I7">
        <f>SUM(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_xlfn.IFNA(LOOKUP(X7,use_fish!A:A,use_fish!H:H),0),)</f>
        <v>5</v>
      </c>
      <c r="J7" s="2">
        <f>SUM(_xlfn.IFNA(LOOKUP(Q7,[1]use_fish!A:A,[1]use_fish!J:J),0),_xlfn.IFNA(LOOKUP(R7,[1]use_fish!A:A,[1]use_fish!J:J),0),_xlfn.IFNA(LOOKUP(S7,[1]use_fish!A:A,[1]use_fish!J:J),0),_xlfn.IFNA(LOOKUP(T7,[1]use_fish!A:A,[1]use_fish!J:J),0),_xlfn.IFNA(LOOKUP(U7,[1]use_fish!A:A,[1]use_fish!J:J),0),_xlfn.IFNA(LOOKUP(V7,[1]use_fish!A:A,[1]use_fish!J:J),0),_xlfn.IFNA(LOOKUP(W7,[1]use_fish!A:A,[1]use_fish!J:J),0),)</f>
        <v>0</v>
      </c>
      <c r="L7" t="str">
        <f t="array" ref="L7">INDEX(use_fish!A:A,SMALL(IF(group!$L$2&amp;IF(ISBLANK($L$3),$L$3,"+"&amp;$L$3)=use_fish!G:G,ROW(use_fish!G:G),4^8),ROW(4:4)))&amp;""</f>
        <v/>
      </c>
      <c r="R7">
        <v>3</v>
      </c>
    </row>
    <row r="8" spans="1:24" x14ac:dyDescent="0.2">
      <c r="A8">
        <v>7</v>
      </c>
      <c r="B8">
        <v>2</v>
      </c>
      <c r="C8" t="s">
        <v>39</v>
      </c>
      <c r="D8" t="s">
        <v>159</v>
      </c>
      <c r="E8" t="s">
        <v>189</v>
      </c>
      <c r="F8">
        <v>10</v>
      </c>
      <c r="H8">
        <f>SUM(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_xlfn.IFNA(LOOKUP(X8,use_fish!A:A,use_fish!D:D),0),)</f>
        <v>1</v>
      </c>
      <c r="I8">
        <f>SUM(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_xlfn.IFNA(LOOKUP(X8,use_fish!A:A,use_fish!H:H),0),)</f>
        <v>1</v>
      </c>
      <c r="J8" s="2">
        <f>SUM(_xlfn.IFNA(LOOKUP(Q8,[1]use_fish!A:A,[1]use_fish!J:J),0),_xlfn.IFNA(LOOKUP(R8,[1]use_fish!A:A,[1]use_fish!J:J),0),_xlfn.IFNA(LOOKUP(S8,[1]use_fish!A:A,[1]use_fish!J:J),0),_xlfn.IFNA(LOOKUP(T8,[1]use_fish!A:A,[1]use_fish!J:J),0),_xlfn.IFNA(LOOKUP(U8,[1]use_fish!A:A,[1]use_fish!J:J),0),_xlfn.IFNA(LOOKUP(V8,[1]use_fish!A:A,[1]use_fish!J:J),0),_xlfn.IFNA(LOOKUP(W8,[1]use_fish!A:A,[1]use_fish!J:J),0),)</f>
        <v>0</v>
      </c>
      <c r="L8" t="str">
        <f t="array" ref="L8">INDEX(use_fish!A:A,SMALL(IF(group!$L$2&amp;IF(ISBLANK($L$3),$L$3,"+"&amp;$L$3)=use_fish!G:G,ROW(use_fish!G:G),4^8),ROW(5:5)))&amp;""</f>
        <v/>
      </c>
      <c r="R8">
        <v>1</v>
      </c>
    </row>
    <row r="9" spans="1:24" x14ac:dyDescent="0.2">
      <c r="A9">
        <v>8</v>
      </c>
      <c r="B9">
        <v>2</v>
      </c>
      <c r="C9" t="s">
        <v>39</v>
      </c>
      <c r="D9" t="s">
        <v>156</v>
      </c>
      <c r="E9" t="s">
        <v>189</v>
      </c>
      <c r="F9">
        <v>10</v>
      </c>
      <c r="H9">
        <f>SUM(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_xlfn.IFNA(LOOKUP(X9,use_fish!A:A,use_fish!D:D),0),)</f>
        <v>1</v>
      </c>
      <c r="I9">
        <f>SUM(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_xlfn.IFNA(LOOKUP(X9,use_fish!A:A,use_fish!H:H),0),)</f>
        <v>1</v>
      </c>
      <c r="J9" s="2">
        <f>SUM(_xlfn.IFNA(LOOKUP(Q9,[1]use_fish!A:A,[1]use_fish!J:J),0),_xlfn.IFNA(LOOKUP(R9,[1]use_fish!A:A,[1]use_fish!J:J),0),_xlfn.IFNA(LOOKUP(S9,[1]use_fish!A:A,[1]use_fish!J:J),0),_xlfn.IFNA(LOOKUP(T9,[1]use_fish!A:A,[1]use_fish!J:J),0),_xlfn.IFNA(LOOKUP(U9,[1]use_fish!A:A,[1]use_fish!J:J),0),_xlfn.IFNA(LOOKUP(V9,[1]use_fish!A:A,[1]use_fish!J:J),0),_xlfn.IFNA(LOOKUP(W9,[1]use_fish!A:A,[1]use_fish!J:J),0),)</f>
        <v>0</v>
      </c>
      <c r="L9" t="str">
        <f t="array" ref="L9">INDEX(use_fish!A:A,SMALL(IF(group!$L$2&amp;IF(ISBLANK($L$3),$L$3,"+"&amp;$L$3)=use_fish!G:G,ROW(use_fish!G:G),4^8),ROW(6:6)))&amp;""</f>
        <v/>
      </c>
      <c r="R9">
        <v>1</v>
      </c>
    </row>
    <row r="10" spans="1:24" x14ac:dyDescent="0.2">
      <c r="A10">
        <v>9</v>
      </c>
      <c r="B10">
        <v>2</v>
      </c>
      <c r="C10" t="s">
        <v>50</v>
      </c>
      <c r="D10" t="s">
        <v>160</v>
      </c>
      <c r="E10" t="s">
        <v>189</v>
      </c>
      <c r="F10">
        <v>10</v>
      </c>
      <c r="H10">
        <f>SUM(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_xlfn.IFNA(LOOKUP(X10,use_fish!A:A,use_fish!D:D),0),)</f>
        <v>2</v>
      </c>
      <c r="I10">
        <f>SUM(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_xlfn.IFNA(LOOKUP(X10,use_fish!A:A,use_fish!H:H),0),)</f>
        <v>2</v>
      </c>
      <c r="J10" s="2">
        <f>SUM(_xlfn.IFNA(LOOKUP(Q10,[1]use_fish!A:A,[1]use_fish!J:J),0),_xlfn.IFNA(LOOKUP(R10,[1]use_fish!A:A,[1]use_fish!J:J),0),_xlfn.IFNA(LOOKUP(S10,[1]use_fish!A:A,[1]use_fish!J:J),0),_xlfn.IFNA(LOOKUP(T10,[1]use_fish!A:A,[1]use_fish!J:J),0),_xlfn.IFNA(LOOKUP(U10,[1]use_fish!A:A,[1]use_fish!J:J),0),_xlfn.IFNA(LOOKUP(V10,[1]use_fish!A:A,[1]use_fish!J:J),0),_xlfn.IFNA(LOOKUP(W10,[1]use_fish!A:A,[1]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R10">
        <v>2</v>
      </c>
    </row>
    <row r="11" spans="1:24" x14ac:dyDescent="0.2">
      <c r="A11">
        <v>10</v>
      </c>
      <c r="B11">
        <v>2</v>
      </c>
      <c r="C11" t="s">
        <v>50</v>
      </c>
      <c r="D11" t="s">
        <v>161</v>
      </c>
      <c r="E11" t="s">
        <v>189</v>
      </c>
      <c r="F11">
        <v>10</v>
      </c>
      <c r="H11">
        <f>SUM(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_xlfn.IFNA(LOOKUP(X11,use_fish!A:A,use_fish!D:D),0),)</f>
        <v>2</v>
      </c>
      <c r="I11">
        <f>SUM(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_xlfn.IFNA(LOOKUP(X11,use_fish!A:A,use_fish!H:H),0),)</f>
        <v>2</v>
      </c>
      <c r="J11" s="2">
        <f>SUM(_xlfn.IFNA(LOOKUP(Q11,[1]use_fish!A:A,[1]use_fish!J:J),0),_xlfn.IFNA(LOOKUP(R11,[1]use_fish!A:A,[1]use_fish!J:J),0),_xlfn.IFNA(LOOKUP(S11,[1]use_fish!A:A,[1]use_fish!J:J),0),_xlfn.IFNA(LOOKUP(T11,[1]use_fish!A:A,[1]use_fish!J:J),0),_xlfn.IFNA(LOOKUP(U11,[1]use_fish!A:A,[1]use_fish!J:J),0),_xlfn.IFNA(LOOKUP(V11,[1]use_fish!A:A,[1]use_fish!J:J),0),_xlfn.IFNA(LOOKUP(W11,[1]use_fish!A:A,[1]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R11">
        <v>2</v>
      </c>
    </row>
    <row r="12" spans="1:24" x14ac:dyDescent="0.2">
      <c r="A12">
        <v>11</v>
      </c>
      <c r="B12">
        <v>2</v>
      </c>
      <c r="C12" t="s">
        <v>40</v>
      </c>
      <c r="D12" t="s">
        <v>157</v>
      </c>
      <c r="E12" t="s">
        <v>189</v>
      </c>
      <c r="F12">
        <v>10</v>
      </c>
      <c r="H12">
        <f>SUM(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_xlfn.IFNA(LOOKUP(X12,use_fish!A:A,use_fish!D:D),0),)</f>
        <v>5</v>
      </c>
      <c r="I12">
        <f>SUM(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_xlfn.IFNA(LOOKUP(X12,use_fish!A:A,use_fish!H:H),0),)</f>
        <v>5</v>
      </c>
      <c r="J12" s="2">
        <f>SUM(_xlfn.IFNA(LOOKUP(Q12,[1]use_fish!A:A,[1]use_fish!J:J),0),_xlfn.IFNA(LOOKUP(R12,[1]use_fish!A:A,[1]use_fish!J:J),0),_xlfn.IFNA(LOOKUP(S12,[1]use_fish!A:A,[1]use_fish!J:J),0),_xlfn.IFNA(LOOKUP(T12,[1]use_fish!A:A,[1]use_fish!J:J),0),_xlfn.IFNA(LOOKUP(U12,[1]use_fish!A:A,[1]use_fish!J:J),0),_xlfn.IFNA(LOOKUP(V12,[1]use_fish!A:A,[1]use_fish!J:J),0),_xlfn.IFNA(LOOKUP(W12,[1]use_fish!A:A,[1]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R12">
        <v>3</v>
      </c>
    </row>
    <row r="13" spans="1:24" x14ac:dyDescent="0.2">
      <c r="A13">
        <v>12</v>
      </c>
      <c r="B13">
        <v>2</v>
      </c>
      <c r="C13" t="s">
        <v>52</v>
      </c>
      <c r="D13" t="s">
        <v>50</v>
      </c>
      <c r="E13" t="s">
        <v>189</v>
      </c>
      <c r="F13">
        <v>20</v>
      </c>
      <c r="H13">
        <f>SUM(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_xlfn.IFNA(LOOKUP(X13,use_fish!A:A,use_fish!D:D),0),)</f>
        <v>8</v>
      </c>
      <c r="I13">
        <f>SUM(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_xlfn.IFNA(LOOKUP(X13,use_fish!A:A,use_fish!H:H),0),)</f>
        <v>8</v>
      </c>
      <c r="J13" s="2">
        <f>SUM(_xlfn.IFNA(LOOKUP(Q13,[1]use_fish!A:A,[1]use_fish!J:J),0),_xlfn.IFNA(LOOKUP(R13,[1]use_fish!A:A,[1]use_fish!J:J),0),_xlfn.IFNA(LOOKUP(S13,[1]use_fish!A:A,[1]use_fish!J:J),0),_xlfn.IFNA(LOOKUP(T13,[1]use_fish!A:A,[1]use_fish!J:J),0),_xlfn.IFNA(LOOKUP(U13,[1]use_fish!A:A,[1]use_fish!J:J),0),_xlfn.IFNA(LOOKUP(V13,[1]use_fish!A:A,[1]use_fish!J:J),0),_xlfn.IFNA(LOOKUP(W13,[1]use_fish!A:A,[1]use_fish!J:J),0),)</f>
        <v>0</v>
      </c>
      <c r="R13">
        <v>4</v>
      </c>
    </row>
    <row r="14" spans="1:24" x14ac:dyDescent="0.2">
      <c r="A14">
        <v>13</v>
      </c>
      <c r="B14">
        <v>2</v>
      </c>
      <c r="C14" t="s">
        <v>156</v>
      </c>
      <c r="D14" t="s">
        <v>50</v>
      </c>
      <c r="E14" t="s">
        <v>189</v>
      </c>
      <c r="F14">
        <v>20</v>
      </c>
      <c r="H14">
        <f>SUM(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_xlfn.IFNA(LOOKUP(X14,use_fish!A:A,use_fish!D:D),0),)</f>
        <v>15</v>
      </c>
      <c r="I14">
        <f>SUM(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_xlfn.IFNA(LOOKUP(X14,use_fish!A:A,use_fish!H:H),0),)</f>
        <v>15</v>
      </c>
      <c r="J14" s="2">
        <f>SUM(_xlfn.IFNA(LOOKUP(Q14,[1]use_fish!A:A,[1]use_fish!J:J),0),_xlfn.IFNA(LOOKUP(R14,[1]use_fish!A:A,[1]use_fish!J:J),0),_xlfn.IFNA(LOOKUP(S14,[1]use_fish!A:A,[1]use_fish!J:J),0),_xlfn.IFNA(LOOKUP(T14,[1]use_fish!A:A,[1]use_fish!J:J),0),_xlfn.IFNA(LOOKUP(U14,[1]use_fish!A:A,[1]use_fish!J:J),0),_xlfn.IFNA(LOOKUP(V14,[1]use_fish!A:A,[1]use_fish!J:J),0),_xlfn.IFNA(LOOKUP(W14,[1]use_fish!A:A,[1]use_fish!J:J),0),)</f>
        <v>0</v>
      </c>
      <c r="R14">
        <v>5</v>
      </c>
    </row>
    <row r="15" spans="1:24" x14ac:dyDescent="0.2">
      <c r="A15">
        <v>14</v>
      </c>
      <c r="B15">
        <v>2</v>
      </c>
      <c r="C15" t="s">
        <v>42</v>
      </c>
      <c r="D15" t="s">
        <v>50</v>
      </c>
      <c r="E15" t="s">
        <v>189</v>
      </c>
      <c r="F15">
        <v>20</v>
      </c>
      <c r="H15">
        <f>SUM(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_xlfn.IFNA(LOOKUP(X15,use_fish!A:A,use_fish!D:D),0),)</f>
        <v>20</v>
      </c>
      <c r="I15">
        <f>SUM(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_xlfn.IFNA(LOOKUP(X15,use_fish!A:A,use_fish!H:H),0),)</f>
        <v>20</v>
      </c>
      <c r="J15" s="2">
        <f>SUM(_xlfn.IFNA(LOOKUP(Q15,[1]use_fish!A:A,[1]use_fish!J:J),0),_xlfn.IFNA(LOOKUP(R15,[1]use_fish!A:A,[1]use_fish!J:J),0),_xlfn.IFNA(LOOKUP(S15,[1]use_fish!A:A,[1]use_fish!J:J),0),_xlfn.IFNA(LOOKUP(T15,[1]use_fish!A:A,[1]use_fish!J:J),0),_xlfn.IFNA(LOOKUP(U15,[1]use_fish!A:A,[1]use_fish!J:J),0),_xlfn.IFNA(LOOKUP(V15,[1]use_fish!A:A,[1]use_fish!J:J),0),_xlfn.IFNA(LOOKUP(W15,[1]use_fish!A:A,[1]use_fish!J:J),0),)</f>
        <v>0</v>
      </c>
      <c r="R15">
        <v>6</v>
      </c>
    </row>
    <row r="16" spans="1:24" x14ac:dyDescent="0.2">
      <c r="A16">
        <v>15</v>
      </c>
      <c r="B16">
        <v>2</v>
      </c>
      <c r="C16" t="s">
        <v>53</v>
      </c>
      <c r="D16" t="s">
        <v>50</v>
      </c>
      <c r="E16" t="s">
        <v>189</v>
      </c>
      <c r="F16">
        <v>20</v>
      </c>
      <c r="H16">
        <f>SUM(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_xlfn.IFNA(LOOKUP(X16,use_fish!A:A,use_fish!D:D),0),)</f>
        <v>30</v>
      </c>
      <c r="I16">
        <f>SUM(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_xlfn.IFNA(LOOKUP(X16,use_fish!A:A,use_fish!H:H),0),)</f>
        <v>30</v>
      </c>
      <c r="J16" s="2">
        <f>SUM(_xlfn.IFNA(LOOKUP(Q16,[1]use_fish!A:A,[1]use_fish!J:J),0),_xlfn.IFNA(LOOKUP(R16,[1]use_fish!A:A,[1]use_fish!J:J),0),_xlfn.IFNA(LOOKUP(S16,[1]use_fish!A:A,[1]use_fish!J:J),0),_xlfn.IFNA(LOOKUP(T16,[1]use_fish!A:A,[1]use_fish!J:J),0),_xlfn.IFNA(LOOKUP(U16,[1]use_fish!A:A,[1]use_fish!J:J),0),_xlfn.IFNA(LOOKUP(V16,[1]use_fish!A:A,[1]use_fish!J:J),0),_xlfn.IFNA(LOOKUP(W16,[1]use_fish!A:A,[1]use_fish!J:J),0),)</f>
        <v>0</v>
      </c>
      <c r="R16">
        <v>7</v>
      </c>
    </row>
    <row r="17" spans="1:18" x14ac:dyDescent="0.2">
      <c r="A17">
        <v>16</v>
      </c>
      <c r="B17">
        <v>2</v>
      </c>
      <c r="C17" t="s">
        <v>54</v>
      </c>
      <c r="D17" t="s">
        <v>50</v>
      </c>
      <c r="E17" t="s">
        <v>189</v>
      </c>
      <c r="F17">
        <v>20</v>
      </c>
      <c r="H17">
        <f>SUM(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_xlfn.IFNA(LOOKUP(X17,use_fish!A:A,use_fish!D:D),0),)</f>
        <v>40</v>
      </c>
      <c r="I17">
        <f>SUM(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_xlfn.IFNA(LOOKUP(X17,use_fish!A:A,use_fish!H:H),0),)</f>
        <v>40</v>
      </c>
      <c r="J17" s="2">
        <f>SUM(_xlfn.IFNA(LOOKUP(Q17,[1]use_fish!A:A,[1]use_fish!J:J),0),_xlfn.IFNA(LOOKUP(R17,[1]use_fish!A:A,[1]use_fish!J:J),0),_xlfn.IFNA(LOOKUP(S17,[1]use_fish!A:A,[1]use_fish!J:J),0),_xlfn.IFNA(LOOKUP(T17,[1]use_fish!A:A,[1]use_fish!J:J),0),_xlfn.IFNA(LOOKUP(U17,[1]use_fish!A:A,[1]use_fish!J:J),0),_xlfn.IFNA(LOOKUP(V17,[1]use_fish!A:A,[1]use_fish!J:J),0),_xlfn.IFNA(LOOKUP(W17,[1]use_fish!A:A,[1]use_fish!J:J),0),)</f>
        <v>0</v>
      </c>
      <c r="R17">
        <v>8</v>
      </c>
    </row>
    <row r="18" spans="1:18" x14ac:dyDescent="0.2">
      <c r="A18">
        <v>17</v>
      </c>
      <c r="B18">
        <v>2</v>
      </c>
      <c r="C18" t="s">
        <v>55</v>
      </c>
      <c r="D18" t="s">
        <v>50</v>
      </c>
      <c r="E18" t="s">
        <v>189</v>
      </c>
      <c r="F18">
        <v>20</v>
      </c>
      <c r="H18">
        <f>SUM(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_xlfn.IFNA(LOOKUP(X18,use_fish!A:A,use_fish!D:D),0),)</f>
        <v>50</v>
      </c>
      <c r="I18">
        <f>SUM(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_xlfn.IFNA(LOOKUP(X18,use_fish!A:A,use_fish!H:H),0),)</f>
        <v>50</v>
      </c>
      <c r="J18" s="2">
        <f>SUM(_xlfn.IFNA(LOOKUP(Q18,[1]use_fish!A:A,[1]use_fish!J:J),0),_xlfn.IFNA(LOOKUP(R18,[1]use_fish!A:A,[1]use_fish!J:J),0),_xlfn.IFNA(LOOKUP(S18,[1]use_fish!A:A,[1]use_fish!J:J),0),_xlfn.IFNA(LOOKUP(T18,[1]use_fish!A:A,[1]use_fish!J:J),0),_xlfn.IFNA(LOOKUP(U18,[1]use_fish!A:A,[1]use_fish!J:J),0),_xlfn.IFNA(LOOKUP(V18,[1]use_fish!A:A,[1]use_fish!J:J),0),_xlfn.IFNA(LOOKUP(W18,[1]use_fish!A:A,[1]use_fish!J:J),0),)</f>
        <v>0</v>
      </c>
      <c r="R18">
        <v>9</v>
      </c>
    </row>
    <row r="19" spans="1:18" x14ac:dyDescent="0.2">
      <c r="A19">
        <v>18</v>
      </c>
      <c r="B19">
        <v>1</v>
      </c>
      <c r="C19" t="s">
        <v>52</v>
      </c>
      <c r="E19" t="s">
        <v>189</v>
      </c>
      <c r="H19">
        <f>SUM(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_xlfn.IFNA(LOOKUP(X19,use_fish!A:A,use_fish!D:D),0),)</f>
        <v>8</v>
      </c>
      <c r="I19">
        <f>SUM(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_xlfn.IFNA(LOOKUP(X19,use_fish!A:A,use_fish!H:H),0),)</f>
        <v>8</v>
      </c>
      <c r="J19" s="2">
        <f>SUM(_xlfn.IFNA(LOOKUP(Q19,[1]use_fish!A:A,[1]use_fish!J:J),0),_xlfn.IFNA(LOOKUP(R19,[1]use_fish!A:A,[1]use_fish!J:J),0),_xlfn.IFNA(LOOKUP(S19,[1]use_fish!A:A,[1]use_fish!J:J),0),_xlfn.IFNA(LOOKUP(T19,[1]use_fish!A:A,[1]use_fish!J:J),0),_xlfn.IFNA(LOOKUP(U19,[1]use_fish!A:A,[1]use_fish!J:J),0),_xlfn.IFNA(LOOKUP(V19,[1]use_fish!A:A,[1]use_fish!J:J),0),_xlfn.IFNA(LOOKUP(W19,[1]use_fish!A:A,[1]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R19">
        <v>4</v>
      </c>
    </row>
    <row r="20" spans="1:18" x14ac:dyDescent="0.2">
      <c r="A20">
        <v>19</v>
      </c>
      <c r="B20">
        <v>1</v>
      </c>
      <c r="C20" t="s">
        <v>169</v>
      </c>
      <c r="E20" t="s">
        <v>189</v>
      </c>
      <c r="H20">
        <f>SUM(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_xlfn.IFNA(LOOKUP(X20,use_fish!A:A,use_fish!D:D),0),)</f>
        <v>15</v>
      </c>
      <c r="I20">
        <f>SUM(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_xlfn.IFNA(LOOKUP(X20,use_fish!A:A,use_fish!H:H),0),)</f>
        <v>15</v>
      </c>
      <c r="J20" s="2">
        <f>SUM(_xlfn.IFNA(LOOKUP(Q20,[1]use_fish!A:A,[1]use_fish!J:J),0),_xlfn.IFNA(LOOKUP(R20,[1]use_fish!A:A,[1]use_fish!J:J),0),_xlfn.IFNA(LOOKUP(S20,[1]use_fish!A:A,[1]use_fish!J:J),0),_xlfn.IFNA(LOOKUP(T20,[1]use_fish!A:A,[1]use_fish!J:J),0),_xlfn.IFNA(LOOKUP(U20,[1]use_fish!A:A,[1]use_fish!J:J),0),_xlfn.IFNA(LOOKUP(V20,[1]use_fish!A:A,[1]use_fish!J:J),0),_xlfn.IFNA(LOOKUP(W20,[1]use_fish!A:A,[1]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R20">
        <v>5</v>
      </c>
    </row>
    <row r="21" spans="1:18" x14ac:dyDescent="0.2">
      <c r="A21">
        <v>20</v>
      </c>
      <c r="B21">
        <v>1</v>
      </c>
      <c r="C21" t="s">
        <v>42</v>
      </c>
      <c r="E21" t="s">
        <v>189</v>
      </c>
      <c r="H21">
        <f>SUM(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_xlfn.IFNA(LOOKUP(X21,use_fish!A:A,use_fish!D:D),0),)</f>
        <v>20</v>
      </c>
      <c r="I21">
        <f>SUM(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_xlfn.IFNA(LOOKUP(X21,use_fish!A:A,use_fish!H:H),0),)</f>
        <v>20</v>
      </c>
      <c r="J21" s="2">
        <f>SUM(_xlfn.IFNA(LOOKUP(Q21,[1]use_fish!A:A,[1]use_fish!J:J),0),_xlfn.IFNA(LOOKUP(R21,[1]use_fish!A:A,[1]use_fish!J:J),0),_xlfn.IFNA(LOOKUP(S21,[1]use_fish!A:A,[1]use_fish!J:J),0),_xlfn.IFNA(LOOKUP(T21,[1]use_fish!A:A,[1]use_fish!J:J),0),_xlfn.IFNA(LOOKUP(U21,[1]use_fish!A:A,[1]use_fish!J:J),0),_xlfn.IFNA(LOOKUP(V21,[1]use_fish!A:A,[1]use_fish!J:J),0),_xlfn.IFNA(LOOKUP(W21,[1]use_fish!A:A,[1]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R21">
        <v>6</v>
      </c>
    </row>
    <row r="22" spans="1:18" x14ac:dyDescent="0.2">
      <c r="A22">
        <v>21</v>
      </c>
      <c r="B22">
        <v>1</v>
      </c>
      <c r="C22" t="s">
        <v>53</v>
      </c>
      <c r="E22" t="s">
        <v>189</v>
      </c>
      <c r="H22">
        <f>SUM(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_xlfn.IFNA(LOOKUP(X22,use_fish!A:A,use_fish!D:D),0),)</f>
        <v>30</v>
      </c>
      <c r="I22">
        <f>SUM(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_xlfn.IFNA(LOOKUP(X22,use_fish!A:A,use_fish!H:H),0),)</f>
        <v>30</v>
      </c>
      <c r="J22" s="2">
        <f>SUM(_xlfn.IFNA(LOOKUP(Q22,[1]use_fish!A:A,[1]use_fish!J:J),0),_xlfn.IFNA(LOOKUP(R22,[1]use_fish!A:A,[1]use_fish!J:J),0),_xlfn.IFNA(LOOKUP(S22,[1]use_fish!A:A,[1]use_fish!J:J),0),_xlfn.IFNA(LOOKUP(T22,[1]use_fish!A:A,[1]use_fish!J:J),0),_xlfn.IFNA(LOOKUP(U22,[1]use_fish!A:A,[1]use_fish!J:J),0),_xlfn.IFNA(LOOKUP(V22,[1]use_fish!A:A,[1]use_fish!J:J),0),_xlfn.IFNA(LOOKUP(W22,[1]use_fish!A:A,[1]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R22">
        <v>7</v>
      </c>
    </row>
    <row r="23" spans="1:18" x14ac:dyDescent="0.2">
      <c r="A23">
        <v>22</v>
      </c>
      <c r="B23">
        <v>1</v>
      </c>
      <c r="C23" t="s">
        <v>54</v>
      </c>
      <c r="E23" t="s">
        <v>189</v>
      </c>
      <c r="H23">
        <f>SUM(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_xlfn.IFNA(LOOKUP(X23,use_fish!A:A,use_fish!D:D),0),)</f>
        <v>40</v>
      </c>
      <c r="I23">
        <f>SUM(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_xlfn.IFNA(LOOKUP(X23,use_fish!A:A,use_fish!H:H),0),)</f>
        <v>40</v>
      </c>
      <c r="J23" s="2">
        <f>SUM(_xlfn.IFNA(LOOKUP(Q23,[1]use_fish!A:A,[1]use_fish!J:J),0),_xlfn.IFNA(LOOKUP(R23,[1]use_fish!A:A,[1]use_fish!J:J),0),_xlfn.IFNA(LOOKUP(S23,[1]use_fish!A:A,[1]use_fish!J:J),0),_xlfn.IFNA(LOOKUP(T23,[1]use_fish!A:A,[1]use_fish!J:J),0),_xlfn.IFNA(LOOKUP(U23,[1]use_fish!A:A,[1]use_fish!J:J),0),_xlfn.IFNA(LOOKUP(V23,[1]use_fish!A:A,[1]use_fish!J:J),0),_xlfn.IFNA(LOOKUP(W23,[1]use_fish!A:A,[1]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R23">
        <v>8</v>
      </c>
    </row>
    <row r="24" spans="1:18" x14ac:dyDescent="0.2">
      <c r="A24">
        <v>23</v>
      </c>
      <c r="B24">
        <v>1</v>
      </c>
      <c r="C24" t="s">
        <v>55</v>
      </c>
      <c r="E24" t="s">
        <v>189</v>
      </c>
      <c r="H24">
        <f>SUM(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_xlfn.IFNA(LOOKUP(X24,use_fish!A:A,use_fish!D:D),0),)</f>
        <v>50</v>
      </c>
      <c r="I24">
        <f>SUM(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_xlfn.IFNA(LOOKUP(X24,use_fish!A:A,use_fish!H:H),0),)</f>
        <v>50</v>
      </c>
      <c r="J24" s="2">
        <f>SUM(_xlfn.IFNA(LOOKUP(Q24,[1]use_fish!A:A,[1]use_fish!J:J),0),_xlfn.IFNA(LOOKUP(R24,[1]use_fish!A:A,[1]use_fish!J:J),0),_xlfn.IFNA(LOOKUP(S24,[1]use_fish!A:A,[1]use_fish!J:J),0),_xlfn.IFNA(LOOKUP(T24,[1]use_fish!A:A,[1]use_fish!J:J),0),_xlfn.IFNA(LOOKUP(U24,[1]use_fish!A:A,[1]use_fish!J:J),0),_xlfn.IFNA(LOOKUP(V24,[1]use_fish!A:A,[1]use_fish!J:J),0),_xlfn.IFNA(LOOKUP(W24,[1]use_fish!A:A,[1]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R24">
        <v>9</v>
      </c>
    </row>
    <row r="25" spans="1:18" x14ac:dyDescent="0.2">
      <c r="A25">
        <v>24</v>
      </c>
      <c r="B25">
        <v>1</v>
      </c>
      <c r="C25" t="s">
        <v>56</v>
      </c>
      <c r="H25">
        <f>SUM(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_xlfn.IFNA(LOOKUP(X25,use_fish!A:A,use_fish!D:D),0),)</f>
        <v>60</v>
      </c>
      <c r="I25">
        <f>SUM(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_xlfn.IFNA(LOOKUP(X25,use_fish!A:A,use_fish!H:H),0),)</f>
        <v>60</v>
      </c>
      <c r="J25" s="2">
        <f>SUM(_xlfn.IFNA(LOOKUP(Q25,[1]use_fish!A:A,[1]use_fish!J:J),0),_xlfn.IFNA(LOOKUP(R25,[1]use_fish!A:A,[1]use_fish!J:J),0),_xlfn.IFNA(LOOKUP(S25,[1]use_fish!A:A,[1]use_fish!J:J),0),_xlfn.IFNA(LOOKUP(T25,[1]use_fish!A:A,[1]use_fish!J:J),0),_xlfn.IFNA(LOOKUP(U25,[1]use_fish!A:A,[1]use_fish!J:J),0),_xlfn.IFNA(LOOKUP(V25,[1]use_fish!A:A,[1]use_fish!J:J),0),_xlfn.IFNA(LOOKUP(W25,[1]use_fish!A:A,[1]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R25">
        <v>10</v>
      </c>
    </row>
    <row r="26" spans="1:18" x14ac:dyDescent="0.2">
      <c r="A26">
        <v>25</v>
      </c>
      <c r="B26">
        <v>1</v>
      </c>
      <c r="C26" t="s">
        <v>57</v>
      </c>
      <c r="H26">
        <f>SUM(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_xlfn.IFNA(LOOKUP(X26,use_fish!A:A,use_fish!D:D),0),)</f>
        <v>70</v>
      </c>
      <c r="I26">
        <f>SUM(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_xlfn.IFNA(LOOKUP(X26,use_fish!A:A,use_fish!H:H),0),)</f>
        <v>70</v>
      </c>
      <c r="J26" s="2">
        <f>SUM(_xlfn.IFNA(LOOKUP(Q26,[1]use_fish!A:A,[1]use_fish!J:J),0),_xlfn.IFNA(LOOKUP(R26,[1]use_fish!A:A,[1]use_fish!J:J),0),_xlfn.IFNA(LOOKUP(S26,[1]use_fish!A:A,[1]use_fish!J:J),0),_xlfn.IFNA(LOOKUP(T26,[1]use_fish!A:A,[1]use_fish!J:J),0),_xlfn.IFNA(LOOKUP(U26,[1]use_fish!A:A,[1]use_fish!J:J),0),_xlfn.IFNA(LOOKUP(V26,[1]use_fish!A:A,[1]use_fish!J:J),0),_xlfn.IFNA(LOOKUP(W26,[1]use_fish!A:A,[1]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R26">
        <v>11</v>
      </c>
    </row>
    <row r="27" spans="1:18" x14ac:dyDescent="0.2">
      <c r="A27">
        <v>26</v>
      </c>
      <c r="B27">
        <v>1</v>
      </c>
      <c r="C27" t="s">
        <v>58</v>
      </c>
      <c r="H27">
        <f>SUM(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_xlfn.IFNA(LOOKUP(X27,use_fish!A:A,use_fish!D:D),0),)</f>
        <v>100</v>
      </c>
      <c r="I27">
        <f>SUM(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_xlfn.IFNA(LOOKUP(X27,use_fish!A:A,use_fish!H:H),0),)</f>
        <v>100</v>
      </c>
      <c r="J27" s="2">
        <f>SUM(_xlfn.IFNA(LOOKUP(Q27,[1]use_fish!A:A,[1]use_fish!J:J),0),_xlfn.IFNA(LOOKUP(R27,[1]use_fish!A:A,[1]use_fish!J:J),0),_xlfn.IFNA(LOOKUP(S27,[1]use_fish!A:A,[1]use_fish!J:J),0),_xlfn.IFNA(LOOKUP(T27,[1]use_fish!A:A,[1]use_fish!J:J),0),_xlfn.IFNA(LOOKUP(U27,[1]use_fish!A:A,[1]use_fish!J:J),0),_xlfn.IFNA(LOOKUP(V27,[1]use_fish!A:A,[1]use_fish!J:J),0),_xlfn.IFNA(LOOKUP(W27,[1]use_fish!A:A,[1]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R27">
        <v>12</v>
      </c>
    </row>
    <row r="28" spans="1:18" x14ac:dyDescent="0.2">
      <c r="A28">
        <v>27</v>
      </c>
      <c r="B28">
        <v>1</v>
      </c>
      <c r="C28" t="s">
        <v>182</v>
      </c>
      <c r="H28">
        <f>SUM(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_xlfn.IFNA(LOOKUP(X28,use_fish!A:A,use_fish!D:D),0),)</f>
        <v>130</v>
      </c>
      <c r="I28">
        <f>SUM(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_xlfn.IFNA(LOOKUP(X28,use_fish!A:A,use_fish!H:H),0),)</f>
        <v>130</v>
      </c>
      <c r="J28" s="2">
        <f>SUM(_xlfn.IFNA(LOOKUP(Q28,[1]use_fish!A:A,[1]use_fish!J:J),0),_xlfn.IFNA(LOOKUP(R28,[1]use_fish!A:A,[1]use_fish!J:J),0),_xlfn.IFNA(LOOKUP(S28,[1]use_fish!A:A,[1]use_fish!J:J),0),_xlfn.IFNA(LOOKUP(T28,[1]use_fish!A:A,[1]use_fish!J:J),0),_xlfn.IFNA(LOOKUP(U28,[1]use_fish!A:A,[1]use_fish!J:J),0),_xlfn.IFNA(LOOKUP(V28,[1]use_fish!A:A,[1]use_fish!J:J),0),_xlfn.IFNA(LOOKUP(W28,[1]use_fish!A:A,[1]use_fish!J:J),0),)</f>
        <v>0</v>
      </c>
      <c r="R28">
        <v>90</v>
      </c>
    </row>
    <row r="29" spans="1:18" x14ac:dyDescent="0.2">
      <c r="A29">
        <v>28</v>
      </c>
      <c r="B29">
        <v>1</v>
      </c>
      <c r="C29" t="s">
        <v>59</v>
      </c>
      <c r="H29">
        <f>SUM(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_xlfn.IFNA(LOOKUP(X29,use_fish!A:A,use_fish!D:D),0),)</f>
        <v>80</v>
      </c>
      <c r="I29">
        <f>SUM(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_xlfn.IFNA(LOOKUP(X29,use_fish!A:A,use_fish!H:H),0),)</f>
        <v>80</v>
      </c>
      <c r="J29" s="2">
        <f>SUM(_xlfn.IFNA(LOOKUP(Q29,[1]use_fish!A:A,[1]use_fish!J:J),0),_xlfn.IFNA(LOOKUP(R29,[1]use_fish!A:A,[1]use_fish!J:J),0),_xlfn.IFNA(LOOKUP(S29,[1]use_fish!A:A,[1]use_fish!J:J),0),_xlfn.IFNA(LOOKUP(T29,[1]use_fish!A:A,[1]use_fish!J:J),0),_xlfn.IFNA(LOOKUP(U29,[1]use_fish!A:A,[1]use_fish!J:J),0),_xlfn.IFNA(LOOKUP(V29,[1]use_fish!A:A,[1]use_fish!J:J),0),_xlfn.IFNA(LOOKUP(W29,[1]use_fish!A:A,[1]use_fish!J:J),0),)</f>
        <v>0</v>
      </c>
      <c r="R29">
        <v>14</v>
      </c>
    </row>
    <row r="30" spans="1:18" x14ac:dyDescent="0.2">
      <c r="A30">
        <v>29</v>
      </c>
      <c r="B30">
        <v>1</v>
      </c>
      <c r="C30" t="s">
        <v>60</v>
      </c>
      <c r="H30">
        <f>SUM(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_xlfn.IFNA(LOOKUP(X30,use_fish!A:A,use_fish!D:D),0),)</f>
        <v>100</v>
      </c>
      <c r="I30">
        <f>SUM(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_xlfn.IFNA(LOOKUP(X30,use_fish!A:A,use_fish!H:H),0),)</f>
        <v>100</v>
      </c>
      <c r="J30" s="2">
        <f>SUM(_xlfn.IFNA(LOOKUP(Q30,[1]use_fish!A:A,[1]use_fish!J:J),0),_xlfn.IFNA(LOOKUP(R30,[1]use_fish!A:A,[1]use_fish!J:J),0),_xlfn.IFNA(LOOKUP(S30,[1]use_fish!A:A,[1]use_fish!J:J),0),_xlfn.IFNA(LOOKUP(T30,[1]use_fish!A:A,[1]use_fish!J:J),0),_xlfn.IFNA(LOOKUP(U30,[1]use_fish!A:A,[1]use_fish!J:J),0),_xlfn.IFNA(LOOKUP(V30,[1]use_fish!A:A,[1]use_fish!J:J),0),_xlfn.IFNA(LOOKUP(W30,[1]use_fish!A:A,[1]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R30">
        <v>15</v>
      </c>
    </row>
    <row r="31" spans="1:18" x14ac:dyDescent="0.2">
      <c r="A31">
        <v>30</v>
      </c>
      <c r="B31">
        <v>1</v>
      </c>
      <c r="C31" t="s">
        <v>61</v>
      </c>
      <c r="H31">
        <f>SUM(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_xlfn.IFNA(LOOKUP(X31,use_fish!A:A,use_fish!D:D),0),)</f>
        <v>120</v>
      </c>
      <c r="I31">
        <f>SUM(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_xlfn.IFNA(LOOKUP(X31,use_fish!A:A,use_fish!H:H),0),)</f>
        <v>120</v>
      </c>
      <c r="J31" s="2">
        <f>SUM(_xlfn.IFNA(LOOKUP(Q31,[1]use_fish!A:A,[1]use_fish!J:J),0),_xlfn.IFNA(LOOKUP(R31,[1]use_fish!A:A,[1]use_fish!J:J),0),_xlfn.IFNA(LOOKUP(S31,[1]use_fish!A:A,[1]use_fish!J:J),0),_xlfn.IFNA(LOOKUP(T31,[1]use_fish!A:A,[1]use_fish!J:J),0),_xlfn.IFNA(LOOKUP(U31,[1]use_fish!A:A,[1]use_fish!J:J),0),_xlfn.IFNA(LOOKUP(V31,[1]use_fish!A:A,[1]use_fish!J:J),0),_xlfn.IFNA(LOOKUP(W31,[1]use_fish!A:A,[1]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R31">
        <v>16</v>
      </c>
    </row>
    <row r="32" spans="1:18" x14ac:dyDescent="0.2">
      <c r="A32">
        <v>31</v>
      </c>
      <c r="B32">
        <v>1</v>
      </c>
      <c r="C32" t="s">
        <v>62</v>
      </c>
      <c r="H32">
        <f>SUM(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_xlfn.IFNA(LOOKUP(X32,use_fish!A:A,use_fish!D:D),0),)</f>
        <v>140</v>
      </c>
      <c r="I32">
        <f>SUM(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_xlfn.IFNA(LOOKUP(X32,use_fish!A:A,use_fish!H:H),0),)</f>
        <v>140</v>
      </c>
      <c r="J32" s="2">
        <f>SUM(_xlfn.IFNA(LOOKUP(Q32,[1]use_fish!A:A,[1]use_fish!J:J),0),_xlfn.IFNA(LOOKUP(R32,[1]use_fish!A:A,[1]use_fish!J:J),0),_xlfn.IFNA(LOOKUP(S32,[1]use_fish!A:A,[1]use_fish!J:J),0),_xlfn.IFNA(LOOKUP(T32,[1]use_fish!A:A,[1]use_fish!J:J),0),_xlfn.IFNA(LOOKUP(U32,[1]use_fish!A:A,[1]use_fish!J:J),0),_xlfn.IFNA(LOOKUP(V32,[1]use_fish!A:A,[1]use_fish!J:J),0),_xlfn.IFNA(LOOKUP(W32,[1]use_fish!A:A,[1]use_fish!J:J),0),)</f>
        <v>0</v>
      </c>
      <c r="R32">
        <v>17</v>
      </c>
    </row>
    <row r="33" spans="1:18" x14ac:dyDescent="0.2">
      <c r="A33">
        <v>32</v>
      </c>
      <c r="B33">
        <v>1</v>
      </c>
      <c r="C33" t="s">
        <v>63</v>
      </c>
      <c r="H33">
        <f>SUM(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_xlfn.IFNA(LOOKUP(X33,use_fish!A:A,use_fish!D:D),0),)</f>
        <v>200</v>
      </c>
      <c r="I33">
        <f>SUM(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_xlfn.IFNA(LOOKUP(X33,use_fish!A:A,use_fish!H:H),0),)</f>
        <v>200</v>
      </c>
      <c r="J33" s="2">
        <f>SUM(_xlfn.IFNA(LOOKUP(Q33,[1]use_fish!A:A,[1]use_fish!J:J),0),_xlfn.IFNA(LOOKUP(R33,[1]use_fish!A:A,[1]use_fish!J:J),0),_xlfn.IFNA(LOOKUP(S33,[1]use_fish!A:A,[1]use_fish!J:J),0),_xlfn.IFNA(LOOKUP(T33,[1]use_fish!A:A,[1]use_fish!J:J),0),_xlfn.IFNA(LOOKUP(U33,[1]use_fish!A:A,[1]use_fish!J:J),0),_xlfn.IFNA(LOOKUP(V33,[1]use_fish!A:A,[1]use_fish!J:J),0),_xlfn.IFNA(LOOKUP(W33,[1]use_fish!A:A,[1]use_fish!J:J),0),)</f>
        <v>0</v>
      </c>
      <c r="R33">
        <v>18</v>
      </c>
    </row>
    <row r="34" spans="1:18" x14ac:dyDescent="0.2">
      <c r="A34">
        <v>33</v>
      </c>
      <c r="B34">
        <v>1</v>
      </c>
      <c r="C34" t="s">
        <v>64</v>
      </c>
      <c r="E34" t="s">
        <v>189</v>
      </c>
      <c r="H34">
        <f>SUM(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_xlfn.IFNA(LOOKUP(X34,use_fish!A:A,use_fish!D:D),0),)</f>
        <v>83</v>
      </c>
      <c r="I34">
        <f>SUM(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_xlfn.IFNA(LOOKUP(X34,use_fish!A:A,use_fish!H:H),0),)</f>
        <v>83</v>
      </c>
      <c r="J34" s="2">
        <f>SUM(_xlfn.IFNA(LOOKUP(Q34,[1]use_fish!A:A,[1]use_fish!J:J),0),_xlfn.IFNA(LOOKUP(R34,[1]use_fish!A:A,[1]use_fish!J:J),0),_xlfn.IFNA(LOOKUP(S34,[1]use_fish!A:A,[1]use_fish!J:J),0),_xlfn.IFNA(LOOKUP(T34,[1]use_fish!A:A,[1]use_fish!J:J),0),_xlfn.IFNA(LOOKUP(U34,[1]use_fish!A:A,[1]use_fish!J:J),0),_xlfn.IFNA(LOOKUP(V34,[1]use_fish!A:A,[1]use_fish!J:J),0),_xlfn.IFNA(LOOKUP(W34,[1]use_fish!A:A,[1]use_fish!J:J),0),)</f>
        <v>0</v>
      </c>
      <c r="R34">
        <v>19</v>
      </c>
    </row>
    <row r="35" spans="1:18" x14ac:dyDescent="0.2">
      <c r="A35">
        <v>34</v>
      </c>
      <c r="B35">
        <v>1</v>
      </c>
      <c r="C35" t="s">
        <v>65</v>
      </c>
      <c r="E35" t="s">
        <v>189</v>
      </c>
      <c r="H35">
        <f>SUM(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_xlfn.IFNA(LOOKUP(X35,use_fish!A:A,use_fish!D:D),0),)</f>
        <v>83</v>
      </c>
      <c r="I35">
        <f>SUM(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_xlfn.IFNA(LOOKUP(X35,use_fish!A:A,use_fish!H:H),0),)</f>
        <v>83</v>
      </c>
      <c r="J35" s="2">
        <f>SUM(_xlfn.IFNA(LOOKUP(Q35,[1]use_fish!A:A,[1]use_fish!J:J),0),_xlfn.IFNA(LOOKUP(R35,[1]use_fish!A:A,[1]use_fish!J:J),0),_xlfn.IFNA(LOOKUP(S35,[1]use_fish!A:A,[1]use_fish!J:J),0),_xlfn.IFNA(LOOKUP(T35,[1]use_fish!A:A,[1]use_fish!J:J),0),_xlfn.IFNA(LOOKUP(U35,[1]use_fish!A:A,[1]use_fish!J:J),0),_xlfn.IFNA(LOOKUP(V35,[1]use_fish!A:A,[1]use_fish!J:J),0),_xlfn.IFNA(LOOKUP(W35,[1]use_fish!A:A,[1]use_fish!J:J),0),)</f>
        <v>0</v>
      </c>
      <c r="R35">
        <v>20</v>
      </c>
    </row>
    <row r="36" spans="1:18" x14ac:dyDescent="0.2">
      <c r="A36">
        <v>35</v>
      </c>
      <c r="B36">
        <v>1</v>
      </c>
      <c r="C36" t="s">
        <v>66</v>
      </c>
      <c r="E36" t="s">
        <v>189</v>
      </c>
      <c r="H36">
        <f>SUM(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_xlfn.IFNA(LOOKUP(X36,use_fish!A:A,use_fish!D:D),0),)</f>
        <v>70</v>
      </c>
      <c r="I36">
        <f>SUM(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_xlfn.IFNA(LOOKUP(X36,use_fish!A:A,use_fish!H:H),0),)</f>
        <v>70</v>
      </c>
      <c r="J36" s="2">
        <f>SUM(_xlfn.IFNA(LOOKUP(Q36,[1]use_fish!A:A,[1]use_fish!J:J),0),_xlfn.IFNA(LOOKUP(R36,[1]use_fish!A:A,[1]use_fish!J:J),0),_xlfn.IFNA(LOOKUP(S36,[1]use_fish!A:A,[1]use_fish!J:J),0),_xlfn.IFNA(LOOKUP(T36,[1]use_fish!A:A,[1]use_fish!J:J),0),_xlfn.IFNA(LOOKUP(U36,[1]use_fish!A:A,[1]use_fish!J:J),0),_xlfn.IFNA(LOOKUP(V36,[1]use_fish!A:A,[1]use_fish!J:J),0),_xlfn.IFNA(LOOKUP(W36,[1]use_fish!A:A,[1]use_fish!J:J),0),)</f>
        <v>0</v>
      </c>
      <c r="R36">
        <v>21</v>
      </c>
    </row>
    <row r="37" spans="1:18" x14ac:dyDescent="0.2">
      <c r="A37">
        <v>36</v>
      </c>
      <c r="B37">
        <v>1</v>
      </c>
      <c r="C37" t="s">
        <v>67</v>
      </c>
      <c r="E37" t="s">
        <v>189</v>
      </c>
      <c r="H37">
        <f>SUM(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_xlfn.IFNA(LOOKUP(X37,use_fish!A:A,use_fish!D:D),0),)</f>
        <v>70</v>
      </c>
      <c r="I37">
        <f>SUM(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_xlfn.IFNA(LOOKUP(X37,use_fish!A:A,use_fish!H:H),0),)</f>
        <v>70</v>
      </c>
      <c r="J37" s="2">
        <f>SUM(_xlfn.IFNA(LOOKUP(Q37,[1]use_fish!A:A,[1]use_fish!J:J),0),_xlfn.IFNA(LOOKUP(R37,[1]use_fish!A:A,[1]use_fish!J:J),0),_xlfn.IFNA(LOOKUP(S37,[1]use_fish!A:A,[1]use_fish!J:J),0),_xlfn.IFNA(LOOKUP(T37,[1]use_fish!A:A,[1]use_fish!J:J),0),_xlfn.IFNA(LOOKUP(U37,[1]use_fish!A:A,[1]use_fish!J:J),0),_xlfn.IFNA(LOOKUP(V37,[1]use_fish!A:A,[1]use_fish!J:J),0),_xlfn.IFNA(LOOKUP(W37,[1]use_fish!A:A,[1]use_fish!J:J),0),)</f>
        <v>0</v>
      </c>
      <c r="R37">
        <v>22</v>
      </c>
    </row>
    <row r="38" spans="1:18" x14ac:dyDescent="0.2">
      <c r="A38">
        <v>37</v>
      </c>
      <c r="B38">
        <v>1</v>
      </c>
      <c r="C38" t="s">
        <v>68</v>
      </c>
      <c r="E38" t="s">
        <v>189</v>
      </c>
      <c r="H38">
        <f>SUM(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_xlfn.IFNA(LOOKUP(X38,use_fish!A:A,use_fish!D:D),0),)</f>
        <v>70</v>
      </c>
      <c r="I38">
        <f>SUM(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_xlfn.IFNA(LOOKUP(X38,use_fish!A:A,use_fish!H:H),0),)</f>
        <v>70</v>
      </c>
      <c r="J38" s="2">
        <f>SUM(_xlfn.IFNA(LOOKUP(Q38,[1]use_fish!A:A,[1]use_fish!J:J),0),_xlfn.IFNA(LOOKUP(R38,[1]use_fish!A:A,[1]use_fish!J:J),0),_xlfn.IFNA(LOOKUP(S38,[1]use_fish!A:A,[1]use_fish!J:J),0),_xlfn.IFNA(LOOKUP(T38,[1]use_fish!A:A,[1]use_fish!J:J),0),_xlfn.IFNA(LOOKUP(U38,[1]use_fish!A:A,[1]use_fish!J:J),0),_xlfn.IFNA(LOOKUP(V38,[1]use_fish!A:A,[1]use_fish!J:J),0),_xlfn.IFNA(LOOKUP(W38,[1]use_fish!A:A,[1]use_fish!J:J),0),)</f>
        <v>0</v>
      </c>
      <c r="R38">
        <v>23</v>
      </c>
    </row>
    <row r="39" spans="1:18" x14ac:dyDescent="0.2">
      <c r="A39">
        <v>38</v>
      </c>
      <c r="B39">
        <v>1</v>
      </c>
      <c r="C39" t="s">
        <v>69</v>
      </c>
      <c r="E39" t="s">
        <v>189</v>
      </c>
      <c r="H39">
        <f>SUM(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_xlfn.IFNA(LOOKUP(X39,use_fish!A:A,use_fish!D:D),0),)</f>
        <v>93</v>
      </c>
      <c r="I39">
        <f>SUM(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_xlfn.IFNA(LOOKUP(X39,use_fish!A:A,use_fish!H:H),0),)</f>
        <v>93</v>
      </c>
      <c r="J39" s="2">
        <f>SUM(_xlfn.IFNA(LOOKUP(Q39,[1]use_fish!A:A,[1]use_fish!J:J),0),_xlfn.IFNA(LOOKUP(R39,[1]use_fish!A:A,[1]use_fish!J:J),0),_xlfn.IFNA(LOOKUP(S39,[1]use_fish!A:A,[1]use_fish!J:J),0),_xlfn.IFNA(LOOKUP(T39,[1]use_fish!A:A,[1]use_fish!J:J),0),_xlfn.IFNA(LOOKUP(U39,[1]use_fish!A:A,[1]use_fish!J:J),0),_xlfn.IFNA(LOOKUP(V39,[1]use_fish!A:A,[1]use_fish!J:J),0),_xlfn.IFNA(LOOKUP(W39,[1]use_fish!A:A,[1]use_fish!J:J),0),)</f>
        <v>0</v>
      </c>
      <c r="R39">
        <v>24</v>
      </c>
    </row>
    <row r="40" spans="1:18" x14ac:dyDescent="0.2">
      <c r="A40">
        <v>39</v>
      </c>
      <c r="B40">
        <v>1</v>
      </c>
      <c r="C40" t="s">
        <v>70</v>
      </c>
      <c r="E40" t="s">
        <v>189</v>
      </c>
      <c r="H40">
        <f>SUM(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_xlfn.IFNA(LOOKUP(X40,use_fish!A:A,use_fish!D:D),0),)</f>
        <v>93</v>
      </c>
      <c r="I40">
        <f>SUM(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_xlfn.IFNA(LOOKUP(X40,use_fish!A:A,use_fish!H:H),0),)</f>
        <v>93</v>
      </c>
      <c r="J40" s="2">
        <f>SUM(_xlfn.IFNA(LOOKUP(Q40,[1]use_fish!A:A,[1]use_fish!J:J),0),_xlfn.IFNA(LOOKUP(R40,[1]use_fish!A:A,[1]use_fish!J:J),0),_xlfn.IFNA(LOOKUP(S40,[1]use_fish!A:A,[1]use_fish!J:J),0),_xlfn.IFNA(LOOKUP(T40,[1]use_fish!A:A,[1]use_fish!J:J),0),_xlfn.IFNA(LOOKUP(U40,[1]use_fish!A:A,[1]use_fish!J:J),0),_xlfn.IFNA(LOOKUP(V40,[1]use_fish!A:A,[1]use_fish!J:J),0),_xlfn.IFNA(LOOKUP(W40,[1]use_fish!A:A,[1]use_fish!J:J),0),)</f>
        <v>0</v>
      </c>
      <c r="R40">
        <v>25</v>
      </c>
    </row>
    <row r="41" spans="1:18" x14ac:dyDescent="0.2">
      <c r="A41">
        <v>40</v>
      </c>
      <c r="B41">
        <v>1</v>
      </c>
      <c r="C41" t="s">
        <v>71</v>
      </c>
      <c r="E41" t="s">
        <v>189</v>
      </c>
      <c r="H41">
        <f>SUM(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_xlfn.IFNA(LOOKUP(X41,use_fish!A:A,use_fish!D:D),0),)</f>
        <v>80</v>
      </c>
      <c r="I41">
        <f>SUM(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_xlfn.IFNA(LOOKUP(X41,use_fish!A:A,use_fish!H:H),0),)</f>
        <v>80</v>
      </c>
      <c r="J41" s="2">
        <f>SUM(_xlfn.IFNA(LOOKUP(Q41,[1]use_fish!A:A,[1]use_fish!J:J),0),_xlfn.IFNA(LOOKUP(R41,[1]use_fish!A:A,[1]use_fish!J:J),0),_xlfn.IFNA(LOOKUP(S41,[1]use_fish!A:A,[1]use_fish!J:J),0),_xlfn.IFNA(LOOKUP(T41,[1]use_fish!A:A,[1]use_fish!J:J),0),_xlfn.IFNA(LOOKUP(U41,[1]use_fish!A:A,[1]use_fish!J:J),0),_xlfn.IFNA(LOOKUP(V41,[1]use_fish!A:A,[1]use_fish!J:J),0),_xlfn.IFNA(LOOKUP(W41,[1]use_fish!A:A,[1]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R41">
        <v>26</v>
      </c>
    </row>
    <row r="42" spans="1:18" x14ac:dyDescent="0.2">
      <c r="A42">
        <v>41</v>
      </c>
      <c r="B42">
        <v>1</v>
      </c>
      <c r="C42" t="s">
        <v>72</v>
      </c>
      <c r="E42" t="s">
        <v>189</v>
      </c>
      <c r="H42">
        <f>SUM(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_xlfn.IFNA(LOOKUP(X42,use_fish!A:A,use_fish!D:D),0),)</f>
        <v>80</v>
      </c>
      <c r="I42">
        <f>SUM(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_xlfn.IFNA(LOOKUP(X42,use_fish!A:A,use_fish!H:H),0),)</f>
        <v>80</v>
      </c>
      <c r="J42" s="2">
        <f>SUM(_xlfn.IFNA(LOOKUP(Q42,[1]use_fish!A:A,[1]use_fish!J:J),0),_xlfn.IFNA(LOOKUP(R42,[1]use_fish!A:A,[1]use_fish!J:J),0),_xlfn.IFNA(LOOKUP(S42,[1]use_fish!A:A,[1]use_fish!J:J),0),_xlfn.IFNA(LOOKUP(T42,[1]use_fish!A:A,[1]use_fish!J:J),0),_xlfn.IFNA(LOOKUP(U42,[1]use_fish!A:A,[1]use_fish!J:J),0),_xlfn.IFNA(LOOKUP(V42,[1]use_fish!A:A,[1]use_fish!J:J),0),_xlfn.IFNA(LOOKUP(W42,[1]use_fish!A:A,[1]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R42">
        <v>27</v>
      </c>
    </row>
    <row r="43" spans="1:18" x14ac:dyDescent="0.2">
      <c r="A43">
        <v>42</v>
      </c>
      <c r="B43">
        <v>1</v>
      </c>
      <c r="C43" t="s">
        <v>73</v>
      </c>
      <c r="E43" t="s">
        <v>189</v>
      </c>
      <c r="H43">
        <f>SUM(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_xlfn.IFNA(LOOKUP(X43,use_fish!A:A,use_fish!D:D),0),)</f>
        <v>110</v>
      </c>
      <c r="I43">
        <f>SUM(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_xlfn.IFNA(LOOKUP(X43,use_fish!A:A,use_fish!H:H),0),)</f>
        <v>110</v>
      </c>
      <c r="J43" s="2">
        <f>SUM(_xlfn.IFNA(LOOKUP(Q43,[1]use_fish!A:A,[1]use_fish!J:J),0),_xlfn.IFNA(LOOKUP(R43,[1]use_fish!A:A,[1]use_fish!J:J),0),_xlfn.IFNA(LOOKUP(S43,[1]use_fish!A:A,[1]use_fish!J:J),0),_xlfn.IFNA(LOOKUP(T43,[1]use_fish!A:A,[1]use_fish!J:J),0),_xlfn.IFNA(LOOKUP(U43,[1]use_fish!A:A,[1]use_fish!J:J),0),_xlfn.IFNA(LOOKUP(V43,[1]use_fish!A:A,[1]use_fish!J:J),0),_xlfn.IFNA(LOOKUP(W43,[1]use_fish!A:A,[1]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R43">
        <v>28</v>
      </c>
    </row>
    <row r="44" spans="1:18" x14ac:dyDescent="0.2">
      <c r="A44">
        <v>43</v>
      </c>
      <c r="B44">
        <v>1</v>
      </c>
      <c r="C44" t="s">
        <v>74</v>
      </c>
      <c r="E44" t="s">
        <v>189</v>
      </c>
      <c r="H44">
        <f>SUM(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_xlfn.IFNA(LOOKUP(X44,use_fish!A:A,use_fish!D:D),0),)</f>
        <v>103</v>
      </c>
      <c r="I44">
        <f>SUM(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_xlfn.IFNA(LOOKUP(X44,use_fish!A:A,use_fish!H:H),0),)</f>
        <v>103</v>
      </c>
      <c r="J44" s="2">
        <f>SUM(_xlfn.IFNA(LOOKUP(Q44,[1]use_fish!A:A,[1]use_fish!J:J),0),_xlfn.IFNA(LOOKUP(R44,[1]use_fish!A:A,[1]use_fish!J:J),0),_xlfn.IFNA(LOOKUP(S44,[1]use_fish!A:A,[1]use_fish!J:J),0),_xlfn.IFNA(LOOKUP(T44,[1]use_fish!A:A,[1]use_fish!J:J),0),_xlfn.IFNA(LOOKUP(U44,[1]use_fish!A:A,[1]use_fish!J:J),0),_xlfn.IFNA(LOOKUP(V44,[1]use_fish!A:A,[1]use_fish!J:J),0),_xlfn.IFNA(LOOKUP(W44,[1]use_fish!A:A,[1]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R44">
        <v>29</v>
      </c>
    </row>
    <row r="45" spans="1:18" x14ac:dyDescent="0.2">
      <c r="A45">
        <v>44</v>
      </c>
      <c r="B45">
        <v>1</v>
      </c>
      <c r="C45" t="s">
        <v>75</v>
      </c>
      <c r="E45" t="s">
        <v>189</v>
      </c>
      <c r="H45">
        <f>SUM(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_xlfn.IFNA(LOOKUP(X45,use_fish!A:A,use_fish!D:D),0),)</f>
        <v>103</v>
      </c>
      <c r="I45">
        <f>SUM(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_xlfn.IFNA(LOOKUP(X45,use_fish!A:A,use_fish!H:H),0),)</f>
        <v>103</v>
      </c>
      <c r="J45" s="2">
        <f>SUM(_xlfn.IFNA(LOOKUP(Q45,[1]use_fish!A:A,[1]use_fish!J:J),0),_xlfn.IFNA(LOOKUP(R45,[1]use_fish!A:A,[1]use_fish!J:J),0),_xlfn.IFNA(LOOKUP(S45,[1]use_fish!A:A,[1]use_fish!J:J),0),_xlfn.IFNA(LOOKUP(T45,[1]use_fish!A:A,[1]use_fish!J:J),0),_xlfn.IFNA(LOOKUP(U45,[1]use_fish!A:A,[1]use_fish!J:J),0),_xlfn.IFNA(LOOKUP(V45,[1]use_fish!A:A,[1]use_fish!J:J),0),_xlfn.IFNA(LOOKUP(W45,[1]use_fish!A:A,[1]use_fish!J:J),0),)</f>
        <v>0</v>
      </c>
      <c r="R45">
        <v>30</v>
      </c>
    </row>
    <row r="46" spans="1:18" x14ac:dyDescent="0.2">
      <c r="A46">
        <v>45</v>
      </c>
      <c r="B46">
        <v>1</v>
      </c>
      <c r="C46" t="s">
        <v>76</v>
      </c>
      <c r="H46">
        <f>SUM(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_xlfn.IFNA(LOOKUP(X46,use_fish!A:A,use_fish!D:D),0),)</f>
        <v>90</v>
      </c>
      <c r="I46">
        <f>SUM(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_xlfn.IFNA(LOOKUP(X46,use_fish!A:A,use_fish!H:H),0),)</f>
        <v>90</v>
      </c>
      <c r="J46" s="2">
        <f>SUM(_xlfn.IFNA(LOOKUP(Q46,[1]use_fish!A:A,[1]use_fish!J:J),0),_xlfn.IFNA(LOOKUP(R46,[1]use_fish!A:A,[1]use_fish!J:J),0),_xlfn.IFNA(LOOKUP(S46,[1]use_fish!A:A,[1]use_fish!J:J),0),_xlfn.IFNA(LOOKUP(T46,[1]use_fish!A:A,[1]use_fish!J:J),0),_xlfn.IFNA(LOOKUP(U46,[1]use_fish!A:A,[1]use_fish!J:J),0),_xlfn.IFNA(LOOKUP(V46,[1]use_fish!A:A,[1]use_fish!J:J),0),_xlfn.IFNA(LOOKUP(W46,[1]use_fish!A:A,[1]use_fish!J:J),0),)</f>
        <v>0</v>
      </c>
      <c r="R46">
        <v>31</v>
      </c>
    </row>
    <row r="47" spans="1:18" x14ac:dyDescent="0.2">
      <c r="A47">
        <v>46</v>
      </c>
      <c r="B47">
        <v>1</v>
      </c>
      <c r="C47" t="s">
        <v>77</v>
      </c>
      <c r="H47">
        <f>SUM(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_xlfn.IFNA(LOOKUP(X47,use_fish!A:A,use_fish!D:D),0),)</f>
        <v>90</v>
      </c>
      <c r="I47">
        <f>SUM(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_xlfn.IFNA(LOOKUP(X47,use_fish!A:A,use_fish!H:H),0),)</f>
        <v>90</v>
      </c>
      <c r="J47" s="2">
        <f>SUM(_xlfn.IFNA(LOOKUP(Q47,[1]use_fish!A:A,[1]use_fish!J:J),0),_xlfn.IFNA(LOOKUP(R47,[1]use_fish!A:A,[1]use_fish!J:J),0),_xlfn.IFNA(LOOKUP(S47,[1]use_fish!A:A,[1]use_fish!J:J),0),_xlfn.IFNA(LOOKUP(T47,[1]use_fish!A:A,[1]use_fish!J:J),0),_xlfn.IFNA(LOOKUP(U47,[1]use_fish!A:A,[1]use_fish!J:J),0),_xlfn.IFNA(LOOKUP(V47,[1]use_fish!A:A,[1]use_fish!J:J),0),_xlfn.IFNA(LOOKUP(W47,[1]use_fish!A:A,[1]use_fish!J:J),0),)</f>
        <v>0</v>
      </c>
      <c r="R47">
        <v>32</v>
      </c>
    </row>
    <row r="48" spans="1:18" x14ac:dyDescent="0.2">
      <c r="A48">
        <v>47</v>
      </c>
      <c r="B48">
        <v>1</v>
      </c>
      <c r="C48" t="s">
        <v>78</v>
      </c>
      <c r="H48">
        <f>SUM(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_xlfn.IFNA(LOOKUP(X48,use_fish!A:A,use_fish!D:D),0),)</f>
        <v>120</v>
      </c>
      <c r="I48">
        <f>SUM(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_xlfn.IFNA(LOOKUP(X48,use_fish!A:A,use_fish!H:H),0),)</f>
        <v>120</v>
      </c>
      <c r="J48" s="2">
        <f>SUM(_xlfn.IFNA(LOOKUP(Q48,[1]use_fish!A:A,[1]use_fish!J:J),0),_xlfn.IFNA(LOOKUP(R48,[1]use_fish!A:A,[1]use_fish!J:J),0),_xlfn.IFNA(LOOKUP(S48,[1]use_fish!A:A,[1]use_fish!J:J),0),_xlfn.IFNA(LOOKUP(T48,[1]use_fish!A:A,[1]use_fish!J:J),0),_xlfn.IFNA(LOOKUP(U48,[1]use_fish!A:A,[1]use_fish!J:J),0),_xlfn.IFNA(LOOKUP(V48,[1]use_fish!A:A,[1]use_fish!J:J),0),_xlfn.IFNA(LOOKUP(W48,[1]use_fish!A:A,[1]use_fish!J:J),0),)</f>
        <v>0</v>
      </c>
      <c r="R48">
        <v>33</v>
      </c>
    </row>
    <row r="49" spans="1:18" x14ac:dyDescent="0.2">
      <c r="A49">
        <v>48</v>
      </c>
      <c r="B49">
        <v>1</v>
      </c>
      <c r="C49" t="s">
        <v>79</v>
      </c>
      <c r="H49">
        <f>SUM(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_xlfn.IFNA(LOOKUP(X49,use_fish!A:A,use_fish!D:D),0),)</f>
        <v>40</v>
      </c>
      <c r="I49">
        <f>SUM(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_xlfn.IFNA(LOOKUP(X49,use_fish!A:A,use_fish!H:H),0),)</f>
        <v>40</v>
      </c>
      <c r="J49" s="2">
        <f>SUM(_xlfn.IFNA(LOOKUP(Q49,[1]use_fish!A:A,[1]use_fish!J:J),0),_xlfn.IFNA(LOOKUP(R49,[1]use_fish!A:A,[1]use_fish!J:J),0),_xlfn.IFNA(LOOKUP(S49,[1]use_fish!A:A,[1]use_fish!J:J),0),_xlfn.IFNA(LOOKUP(T49,[1]use_fish!A:A,[1]use_fish!J:J),0),_xlfn.IFNA(LOOKUP(U49,[1]use_fish!A:A,[1]use_fish!J:J),0),_xlfn.IFNA(LOOKUP(V49,[1]use_fish!A:A,[1]use_fish!J:J),0),_xlfn.IFNA(LOOKUP(W49,[1]use_fish!A:A,[1]use_fish!J:J),0),)</f>
        <v>0</v>
      </c>
      <c r="R49">
        <v>34</v>
      </c>
    </row>
    <row r="50" spans="1:18" x14ac:dyDescent="0.2">
      <c r="A50">
        <v>49</v>
      </c>
      <c r="B50">
        <v>1</v>
      </c>
      <c r="C50" t="s">
        <v>80</v>
      </c>
      <c r="H50">
        <f>SUM(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_xlfn.IFNA(LOOKUP(X50,use_fish!A:A,use_fish!D:D),0),)</f>
        <v>40</v>
      </c>
      <c r="I50">
        <f>SUM(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_xlfn.IFNA(LOOKUP(X50,use_fish!A:A,use_fish!H:H),0),)</f>
        <v>40</v>
      </c>
      <c r="J50" s="2">
        <f>SUM(_xlfn.IFNA(LOOKUP(Q50,[1]use_fish!A:A,[1]use_fish!J:J),0),_xlfn.IFNA(LOOKUP(R50,[1]use_fish!A:A,[1]use_fish!J:J),0),_xlfn.IFNA(LOOKUP(S50,[1]use_fish!A:A,[1]use_fish!J:J),0),_xlfn.IFNA(LOOKUP(T50,[1]use_fish!A:A,[1]use_fish!J:J),0),_xlfn.IFNA(LOOKUP(U50,[1]use_fish!A:A,[1]use_fish!J:J),0),_xlfn.IFNA(LOOKUP(V50,[1]use_fish!A:A,[1]use_fish!J:J),0),_xlfn.IFNA(LOOKUP(W50,[1]use_fish!A:A,[1]use_fish!J:J),0),)</f>
        <v>0</v>
      </c>
      <c r="R50">
        <v>35</v>
      </c>
    </row>
    <row r="51" spans="1:18" x14ac:dyDescent="0.2">
      <c r="A51">
        <v>50</v>
      </c>
      <c r="B51">
        <v>1</v>
      </c>
      <c r="C51" t="s">
        <v>81</v>
      </c>
      <c r="H51">
        <f>SUM(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_xlfn.IFNA(LOOKUP(X51,use_fish!A:A,use_fish!D:D),0),)</f>
        <v>113</v>
      </c>
      <c r="I51">
        <f>SUM(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_xlfn.IFNA(LOOKUP(X51,use_fish!A:A,use_fish!H:H),0),)</f>
        <v>113</v>
      </c>
      <c r="J51" s="2">
        <f>SUM(_xlfn.IFNA(LOOKUP(Q51,[1]use_fish!A:A,[1]use_fish!J:J),0),_xlfn.IFNA(LOOKUP(R51,[1]use_fish!A:A,[1]use_fish!J:J),0),_xlfn.IFNA(LOOKUP(S51,[1]use_fish!A:A,[1]use_fish!J:J),0),_xlfn.IFNA(LOOKUP(T51,[1]use_fish!A:A,[1]use_fish!J:J),0),_xlfn.IFNA(LOOKUP(U51,[1]use_fish!A:A,[1]use_fish!J:J),0),_xlfn.IFNA(LOOKUP(V51,[1]use_fish!A:A,[1]use_fish!J:J),0),_xlfn.IFNA(LOOKUP(W51,[1]use_fish!A:A,[1]use_fish!J:J),0),)</f>
        <v>0</v>
      </c>
      <c r="R51">
        <v>36</v>
      </c>
    </row>
    <row r="52" spans="1:18" x14ac:dyDescent="0.2">
      <c r="A52">
        <v>51</v>
      </c>
      <c r="B52">
        <v>1</v>
      </c>
      <c r="C52" t="s">
        <v>82</v>
      </c>
      <c r="H52">
        <f>SUM(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_xlfn.IFNA(LOOKUP(X52,use_fish!A:A,use_fish!D:D),0),)</f>
        <v>113</v>
      </c>
      <c r="I52">
        <f>SUM(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_xlfn.IFNA(LOOKUP(X52,use_fish!A:A,use_fish!H:H),0),)</f>
        <v>113</v>
      </c>
      <c r="J52" s="2">
        <f>SUM(_xlfn.IFNA(LOOKUP(Q52,[1]use_fish!A:A,[1]use_fish!J:J),0),_xlfn.IFNA(LOOKUP(R52,[1]use_fish!A:A,[1]use_fish!J:J),0),_xlfn.IFNA(LOOKUP(S52,[1]use_fish!A:A,[1]use_fish!J:J),0),_xlfn.IFNA(LOOKUP(T52,[1]use_fish!A:A,[1]use_fish!J:J),0),_xlfn.IFNA(LOOKUP(U52,[1]use_fish!A:A,[1]use_fish!J:J),0),_xlfn.IFNA(LOOKUP(V52,[1]use_fish!A:A,[1]use_fish!J:J),0),_xlfn.IFNA(LOOKUP(W52,[1]use_fish!A:A,[1]use_fish!J:J),0),)</f>
        <v>0</v>
      </c>
      <c r="R52">
        <v>37</v>
      </c>
    </row>
    <row r="53" spans="1:18" x14ac:dyDescent="0.2">
      <c r="A53">
        <v>52</v>
      </c>
      <c r="B53">
        <v>1</v>
      </c>
      <c r="C53" t="s">
        <v>83</v>
      </c>
      <c r="H53">
        <f>SUM(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_xlfn.IFNA(LOOKUP(X53,use_fish!A:A,use_fish!D:D),0),)</f>
        <v>100</v>
      </c>
      <c r="I53">
        <f>SUM(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_xlfn.IFNA(LOOKUP(X53,use_fish!A:A,use_fish!H:H),0),)</f>
        <v>100</v>
      </c>
      <c r="J53" s="2">
        <f>SUM(_xlfn.IFNA(LOOKUP(Q53,[1]use_fish!A:A,[1]use_fish!J:J),0),_xlfn.IFNA(LOOKUP(R53,[1]use_fish!A:A,[1]use_fish!J:J),0),_xlfn.IFNA(LOOKUP(S53,[1]use_fish!A:A,[1]use_fish!J:J),0),_xlfn.IFNA(LOOKUP(T53,[1]use_fish!A:A,[1]use_fish!J:J),0),_xlfn.IFNA(LOOKUP(U53,[1]use_fish!A:A,[1]use_fish!J:J),0),_xlfn.IFNA(LOOKUP(V53,[1]use_fish!A:A,[1]use_fish!J:J),0),_xlfn.IFNA(LOOKUP(W53,[1]use_fish!A:A,[1]use_fish!J:J),0),)</f>
        <v>0</v>
      </c>
      <c r="R53">
        <v>38</v>
      </c>
    </row>
    <row r="54" spans="1:18" x14ac:dyDescent="0.2">
      <c r="A54">
        <v>53</v>
      </c>
      <c r="B54">
        <v>1</v>
      </c>
      <c r="C54" t="s">
        <v>84</v>
      </c>
      <c r="H54">
        <f>SUM(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_xlfn.IFNA(LOOKUP(X54,use_fish!A:A,use_fish!D:D),0),)</f>
        <v>100</v>
      </c>
      <c r="I54">
        <f>SUM(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_xlfn.IFNA(LOOKUP(X54,use_fish!A:A,use_fish!H:H),0),)</f>
        <v>100</v>
      </c>
      <c r="J54" s="2">
        <f>SUM(_xlfn.IFNA(LOOKUP(Q54,[1]use_fish!A:A,[1]use_fish!J:J),0),_xlfn.IFNA(LOOKUP(R54,[1]use_fish!A:A,[1]use_fish!J:J),0),_xlfn.IFNA(LOOKUP(S54,[1]use_fish!A:A,[1]use_fish!J:J),0),_xlfn.IFNA(LOOKUP(T54,[1]use_fish!A:A,[1]use_fish!J:J),0),_xlfn.IFNA(LOOKUP(U54,[1]use_fish!A:A,[1]use_fish!J:J),0),_xlfn.IFNA(LOOKUP(V54,[1]use_fish!A:A,[1]use_fish!J:J),0),_xlfn.IFNA(LOOKUP(W54,[1]use_fish!A:A,[1]use_fish!J:J),0),)</f>
        <v>0</v>
      </c>
      <c r="R54">
        <v>39</v>
      </c>
    </row>
    <row r="55" spans="1:18" x14ac:dyDescent="0.2">
      <c r="A55">
        <v>54</v>
      </c>
      <c r="B55">
        <v>1</v>
      </c>
      <c r="C55" t="s">
        <v>85</v>
      </c>
      <c r="H55">
        <f>SUM(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_xlfn.IFNA(LOOKUP(X55,use_fish!A:A,use_fish!D:D),0),)</f>
        <v>130</v>
      </c>
      <c r="I55">
        <f>SUM(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_xlfn.IFNA(LOOKUP(X55,use_fish!A:A,use_fish!H:H),0),)</f>
        <v>130</v>
      </c>
      <c r="J55" s="2">
        <f>SUM(_xlfn.IFNA(LOOKUP(Q55,[1]use_fish!A:A,[1]use_fish!J:J),0),_xlfn.IFNA(LOOKUP(R55,[1]use_fish!A:A,[1]use_fish!J:J),0),_xlfn.IFNA(LOOKUP(S55,[1]use_fish!A:A,[1]use_fish!J:J),0),_xlfn.IFNA(LOOKUP(T55,[1]use_fish!A:A,[1]use_fish!J:J),0),_xlfn.IFNA(LOOKUP(U55,[1]use_fish!A:A,[1]use_fish!J:J),0),_xlfn.IFNA(LOOKUP(V55,[1]use_fish!A:A,[1]use_fish!J:J),0),_xlfn.IFNA(LOOKUP(W55,[1]use_fish!A:A,[1]use_fish!J:J),0),)</f>
        <v>0</v>
      </c>
      <c r="R55">
        <v>40</v>
      </c>
    </row>
    <row r="56" spans="1:18" x14ac:dyDescent="0.2">
      <c r="A56">
        <v>55</v>
      </c>
      <c r="B56">
        <v>1</v>
      </c>
      <c r="C56" t="s">
        <v>86</v>
      </c>
      <c r="H56">
        <f>SUM(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_xlfn.IFNA(LOOKUP(X56,use_fish!A:A,use_fish!D:D),0),)</f>
        <v>50</v>
      </c>
      <c r="I56">
        <f>SUM(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_xlfn.IFNA(LOOKUP(X56,use_fish!A:A,use_fish!H:H),0),)</f>
        <v>50</v>
      </c>
      <c r="J56" s="2">
        <f>SUM(_xlfn.IFNA(LOOKUP(Q56,[1]use_fish!A:A,[1]use_fish!J:J),0),_xlfn.IFNA(LOOKUP(R56,[1]use_fish!A:A,[1]use_fish!J:J),0),_xlfn.IFNA(LOOKUP(S56,[1]use_fish!A:A,[1]use_fish!J:J),0),_xlfn.IFNA(LOOKUP(T56,[1]use_fish!A:A,[1]use_fish!J:J),0),_xlfn.IFNA(LOOKUP(U56,[1]use_fish!A:A,[1]use_fish!J:J),0),_xlfn.IFNA(LOOKUP(V56,[1]use_fish!A:A,[1]use_fish!J:J),0),_xlfn.IFNA(LOOKUP(W56,[1]use_fish!A:A,[1]use_fish!J:J),0),)</f>
        <v>0</v>
      </c>
      <c r="R56">
        <v>41</v>
      </c>
    </row>
    <row r="57" spans="1:18" x14ac:dyDescent="0.2">
      <c r="A57">
        <v>56</v>
      </c>
      <c r="B57">
        <v>1</v>
      </c>
      <c r="C57" t="s">
        <v>87</v>
      </c>
      <c r="H57">
        <f>SUM(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_xlfn.IFNA(LOOKUP(X57,use_fish!A:A,use_fish!D:D),0),)</f>
        <v>50</v>
      </c>
      <c r="I57">
        <f>SUM(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_xlfn.IFNA(LOOKUP(X57,use_fish!A:A,use_fish!H:H),0),)</f>
        <v>50</v>
      </c>
      <c r="J57" s="2">
        <f>SUM(_xlfn.IFNA(LOOKUP(Q57,[1]use_fish!A:A,[1]use_fish!J:J),0),_xlfn.IFNA(LOOKUP(R57,[1]use_fish!A:A,[1]use_fish!J:J),0),_xlfn.IFNA(LOOKUP(S57,[1]use_fish!A:A,[1]use_fish!J:J),0),_xlfn.IFNA(LOOKUP(T57,[1]use_fish!A:A,[1]use_fish!J:J),0),_xlfn.IFNA(LOOKUP(U57,[1]use_fish!A:A,[1]use_fish!J:J),0),_xlfn.IFNA(LOOKUP(V57,[1]use_fish!A:A,[1]use_fish!J:J),0),_xlfn.IFNA(LOOKUP(W57,[1]use_fish!A:A,[1]use_fish!J:J),0),)</f>
        <v>0</v>
      </c>
      <c r="R57">
        <v>42</v>
      </c>
    </row>
    <row r="58" spans="1:18" x14ac:dyDescent="0.2">
      <c r="A58">
        <v>57</v>
      </c>
      <c r="B58">
        <v>1</v>
      </c>
      <c r="C58" t="s">
        <v>88</v>
      </c>
      <c r="H58">
        <f>SUM(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_xlfn.IFNA(LOOKUP(X58,use_fish!A:A,use_fish!D:D),0),)</f>
        <v>80</v>
      </c>
      <c r="I58">
        <f>SUM(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_xlfn.IFNA(LOOKUP(X58,use_fish!A:A,use_fish!H:H),0),)</f>
        <v>80</v>
      </c>
      <c r="J58" s="2">
        <f>SUM(_xlfn.IFNA(LOOKUP(Q58,[1]use_fish!A:A,[1]use_fish!J:J),0),_xlfn.IFNA(LOOKUP(R58,[1]use_fish!A:A,[1]use_fish!J:J),0),_xlfn.IFNA(LOOKUP(S58,[1]use_fish!A:A,[1]use_fish!J:J),0),_xlfn.IFNA(LOOKUP(T58,[1]use_fish!A:A,[1]use_fish!J:J),0),_xlfn.IFNA(LOOKUP(U58,[1]use_fish!A:A,[1]use_fish!J:J),0),_xlfn.IFNA(LOOKUP(V58,[1]use_fish!A:A,[1]use_fish!J:J),0),_xlfn.IFNA(LOOKUP(W58,[1]use_fish!A:A,[1]use_fish!J:J),0),)</f>
        <v>0</v>
      </c>
      <c r="R58">
        <v>43</v>
      </c>
    </row>
    <row r="59" spans="1:18" x14ac:dyDescent="0.2">
      <c r="A59">
        <v>58</v>
      </c>
      <c r="B59">
        <v>1</v>
      </c>
      <c r="C59" t="s">
        <v>89</v>
      </c>
      <c r="H59">
        <f>SUM(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_xlfn.IFNA(LOOKUP(X59,use_fish!A:A,use_fish!D:D),0),)</f>
        <v>70</v>
      </c>
      <c r="I59">
        <f>SUM(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_xlfn.IFNA(LOOKUP(X59,use_fish!A:A,use_fish!H:H),0),)</f>
        <v>70</v>
      </c>
      <c r="J59" s="2">
        <f>SUM(_xlfn.IFNA(LOOKUP(Q59,[1]use_fish!A:A,[1]use_fish!J:J),0),_xlfn.IFNA(LOOKUP(R59,[1]use_fish!A:A,[1]use_fish!J:J),0),_xlfn.IFNA(LOOKUP(S59,[1]use_fish!A:A,[1]use_fish!J:J),0),_xlfn.IFNA(LOOKUP(T59,[1]use_fish!A:A,[1]use_fish!J:J),0),_xlfn.IFNA(LOOKUP(U59,[1]use_fish!A:A,[1]use_fish!J:J),0),_xlfn.IFNA(LOOKUP(V59,[1]use_fish!A:A,[1]use_fish!J:J),0),_xlfn.IFNA(LOOKUP(W59,[1]use_fish!A:A,[1]use_fish!J:J),0),)</f>
        <v>0</v>
      </c>
      <c r="R59">
        <v>44</v>
      </c>
    </row>
    <row r="60" spans="1:18" x14ac:dyDescent="0.2">
      <c r="A60">
        <v>59</v>
      </c>
      <c r="B60">
        <v>1</v>
      </c>
      <c r="C60" t="s">
        <v>90</v>
      </c>
      <c r="H60">
        <f>SUM(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_xlfn.IFNA(LOOKUP(X60,use_fish!A:A,use_fish!D:D),0),)</f>
        <v>123</v>
      </c>
      <c r="I60">
        <f>SUM(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_xlfn.IFNA(LOOKUP(X60,use_fish!A:A,use_fish!H:H),0),)</f>
        <v>123</v>
      </c>
      <c r="J60" s="2">
        <f>SUM(_xlfn.IFNA(LOOKUP(Q60,[1]use_fish!A:A,[1]use_fish!J:J),0),_xlfn.IFNA(LOOKUP(R60,[1]use_fish!A:A,[1]use_fish!J:J),0),_xlfn.IFNA(LOOKUP(S60,[1]use_fish!A:A,[1]use_fish!J:J),0),_xlfn.IFNA(LOOKUP(T60,[1]use_fish!A:A,[1]use_fish!J:J),0),_xlfn.IFNA(LOOKUP(U60,[1]use_fish!A:A,[1]use_fish!J:J),0),_xlfn.IFNA(LOOKUP(V60,[1]use_fish!A:A,[1]use_fish!J:J),0),_xlfn.IFNA(LOOKUP(W60,[1]use_fish!A:A,[1]use_fish!J:J),0),)</f>
        <v>0</v>
      </c>
      <c r="R60">
        <v>45</v>
      </c>
    </row>
    <row r="61" spans="1:18" x14ac:dyDescent="0.2">
      <c r="A61">
        <v>60</v>
      </c>
      <c r="B61">
        <v>1</v>
      </c>
      <c r="C61" t="s">
        <v>91</v>
      </c>
      <c r="H61">
        <f>SUM(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_xlfn.IFNA(LOOKUP(X61,use_fish!A:A,use_fish!D:D),0),)</f>
        <v>123</v>
      </c>
      <c r="I61">
        <f>SUM(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_xlfn.IFNA(LOOKUP(X61,use_fish!A:A,use_fish!H:H),0),)</f>
        <v>123</v>
      </c>
      <c r="J61" s="2">
        <f>SUM(_xlfn.IFNA(LOOKUP(Q61,[1]use_fish!A:A,[1]use_fish!J:J),0),_xlfn.IFNA(LOOKUP(R61,[1]use_fish!A:A,[1]use_fish!J:J),0),_xlfn.IFNA(LOOKUP(S61,[1]use_fish!A:A,[1]use_fish!J:J),0),_xlfn.IFNA(LOOKUP(T61,[1]use_fish!A:A,[1]use_fish!J:J),0),_xlfn.IFNA(LOOKUP(U61,[1]use_fish!A:A,[1]use_fish!J:J),0),_xlfn.IFNA(LOOKUP(V61,[1]use_fish!A:A,[1]use_fish!J:J),0),_xlfn.IFNA(LOOKUP(W61,[1]use_fish!A:A,[1]use_fish!J:J),0),)</f>
        <v>0</v>
      </c>
      <c r="R61">
        <v>46</v>
      </c>
    </row>
    <row r="62" spans="1:18" x14ac:dyDescent="0.2">
      <c r="A62">
        <v>61</v>
      </c>
      <c r="B62">
        <v>1</v>
      </c>
      <c r="C62" t="s">
        <v>92</v>
      </c>
      <c r="H62">
        <f>SUM(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_xlfn.IFNA(LOOKUP(X62,use_fish!A:A,use_fish!D:D),0),)</f>
        <v>110</v>
      </c>
      <c r="I62">
        <f>SUM(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_xlfn.IFNA(LOOKUP(X62,use_fish!A:A,use_fish!H:H),0),)</f>
        <v>110</v>
      </c>
      <c r="J62" s="2">
        <f>SUM(_xlfn.IFNA(LOOKUP(Q62,[1]use_fish!A:A,[1]use_fish!J:J),0),_xlfn.IFNA(LOOKUP(R62,[1]use_fish!A:A,[1]use_fish!J:J),0),_xlfn.IFNA(LOOKUP(S62,[1]use_fish!A:A,[1]use_fish!J:J),0),_xlfn.IFNA(LOOKUP(T62,[1]use_fish!A:A,[1]use_fish!J:J),0),_xlfn.IFNA(LOOKUP(U62,[1]use_fish!A:A,[1]use_fish!J:J),0),_xlfn.IFNA(LOOKUP(V62,[1]use_fish!A:A,[1]use_fish!J:J),0),_xlfn.IFNA(LOOKUP(W62,[1]use_fish!A:A,[1]use_fish!J:J),0),)</f>
        <v>0</v>
      </c>
      <c r="R62">
        <v>47</v>
      </c>
    </row>
    <row r="63" spans="1:18" x14ac:dyDescent="0.2">
      <c r="A63">
        <v>62</v>
      </c>
      <c r="B63">
        <v>1</v>
      </c>
      <c r="C63" t="s">
        <v>93</v>
      </c>
      <c r="H63">
        <f>SUM(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_xlfn.IFNA(LOOKUP(X63,use_fish!A:A,use_fish!D:D),0),)</f>
        <v>110</v>
      </c>
      <c r="I63">
        <f>SUM(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_xlfn.IFNA(LOOKUP(X63,use_fish!A:A,use_fish!H:H),0),)</f>
        <v>110</v>
      </c>
      <c r="J63" s="2">
        <f>SUM(_xlfn.IFNA(LOOKUP(Q63,[1]use_fish!A:A,[1]use_fish!J:J),0),_xlfn.IFNA(LOOKUP(R63,[1]use_fish!A:A,[1]use_fish!J:J),0),_xlfn.IFNA(LOOKUP(S63,[1]use_fish!A:A,[1]use_fish!J:J),0),_xlfn.IFNA(LOOKUP(T63,[1]use_fish!A:A,[1]use_fish!J:J),0),_xlfn.IFNA(LOOKUP(U63,[1]use_fish!A:A,[1]use_fish!J:J),0),_xlfn.IFNA(LOOKUP(V63,[1]use_fish!A:A,[1]use_fish!J:J),0),_xlfn.IFNA(LOOKUP(W63,[1]use_fish!A:A,[1]use_fish!J:J),0),)</f>
        <v>0</v>
      </c>
      <c r="R63">
        <v>48</v>
      </c>
    </row>
    <row r="64" spans="1:18" x14ac:dyDescent="0.2">
      <c r="A64">
        <v>63</v>
      </c>
      <c r="B64">
        <v>1</v>
      </c>
      <c r="C64" t="s">
        <v>94</v>
      </c>
      <c r="H64">
        <f>SUM(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_xlfn.IFNA(LOOKUP(X64,use_fish!A:A,use_fish!D:D),0),)</f>
        <v>140</v>
      </c>
      <c r="I64">
        <f>SUM(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_xlfn.IFNA(LOOKUP(X64,use_fish!A:A,use_fish!H:H),0),)</f>
        <v>140</v>
      </c>
      <c r="J64" s="2">
        <f>SUM(_xlfn.IFNA(LOOKUP(Q64,[1]use_fish!A:A,[1]use_fish!J:J),0),_xlfn.IFNA(LOOKUP(R64,[1]use_fish!A:A,[1]use_fish!J:J),0),_xlfn.IFNA(LOOKUP(S64,[1]use_fish!A:A,[1]use_fish!J:J),0),_xlfn.IFNA(LOOKUP(T64,[1]use_fish!A:A,[1]use_fish!J:J),0),_xlfn.IFNA(LOOKUP(U64,[1]use_fish!A:A,[1]use_fish!J:J),0),_xlfn.IFNA(LOOKUP(V64,[1]use_fish!A:A,[1]use_fish!J:J),0),_xlfn.IFNA(LOOKUP(W64,[1]use_fish!A:A,[1]use_fish!J:J),0),)</f>
        <v>0</v>
      </c>
      <c r="R64">
        <v>49</v>
      </c>
    </row>
    <row r="65" spans="1:18" x14ac:dyDescent="0.2">
      <c r="A65">
        <v>64</v>
      </c>
      <c r="B65">
        <v>1</v>
      </c>
      <c r="C65" t="s">
        <v>95</v>
      </c>
      <c r="H65">
        <f>SUM(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_xlfn.IFNA(LOOKUP(X65,use_fish!A:A,use_fish!D:D),0),)</f>
        <v>60</v>
      </c>
      <c r="I65">
        <f>SUM(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_xlfn.IFNA(LOOKUP(X65,use_fish!A:A,use_fish!H:H),0),)</f>
        <v>60</v>
      </c>
      <c r="J65" s="2">
        <f>SUM(_xlfn.IFNA(LOOKUP(Q65,[1]use_fish!A:A,[1]use_fish!J:J),0),_xlfn.IFNA(LOOKUP(R65,[1]use_fish!A:A,[1]use_fish!J:J),0),_xlfn.IFNA(LOOKUP(S65,[1]use_fish!A:A,[1]use_fish!J:J),0),_xlfn.IFNA(LOOKUP(T65,[1]use_fish!A:A,[1]use_fish!J:J),0),_xlfn.IFNA(LOOKUP(U65,[1]use_fish!A:A,[1]use_fish!J:J),0),_xlfn.IFNA(LOOKUP(V65,[1]use_fish!A:A,[1]use_fish!J:J),0),_xlfn.IFNA(LOOKUP(W65,[1]use_fish!A:A,[1]use_fish!J:J),0),)</f>
        <v>0</v>
      </c>
      <c r="R65">
        <v>50</v>
      </c>
    </row>
    <row r="66" spans="1:18" x14ac:dyDescent="0.2">
      <c r="A66">
        <v>65</v>
      </c>
      <c r="B66">
        <v>1</v>
      </c>
      <c r="C66" t="s">
        <v>96</v>
      </c>
      <c r="H66">
        <f>SUM(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_xlfn.IFNA(LOOKUP(X66,use_fish!A:A,use_fish!D:D),0),)</f>
        <v>60</v>
      </c>
      <c r="I66">
        <f>SUM(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_xlfn.IFNA(LOOKUP(X66,use_fish!A:A,use_fish!H:H),0),)</f>
        <v>60</v>
      </c>
      <c r="J66" s="2">
        <f>SUM(_xlfn.IFNA(LOOKUP(Q66,[1]use_fish!A:A,[1]use_fish!J:J),0),_xlfn.IFNA(LOOKUP(R66,[1]use_fish!A:A,[1]use_fish!J:J),0),_xlfn.IFNA(LOOKUP(S66,[1]use_fish!A:A,[1]use_fish!J:J),0),_xlfn.IFNA(LOOKUP(T66,[1]use_fish!A:A,[1]use_fish!J:J),0),_xlfn.IFNA(LOOKUP(U66,[1]use_fish!A:A,[1]use_fish!J:J),0),_xlfn.IFNA(LOOKUP(V66,[1]use_fish!A:A,[1]use_fish!J:J),0),_xlfn.IFNA(LOOKUP(W66,[1]use_fish!A:A,[1]use_fish!J:J),0),)</f>
        <v>0</v>
      </c>
      <c r="R66">
        <v>51</v>
      </c>
    </row>
    <row r="67" spans="1:18" x14ac:dyDescent="0.2">
      <c r="A67">
        <v>66</v>
      </c>
      <c r="B67">
        <v>1</v>
      </c>
      <c r="C67" t="s">
        <v>97</v>
      </c>
      <c r="H67">
        <f>SUM(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_xlfn.IFNA(LOOKUP(X67,use_fish!A:A,use_fish!D:D),0),)</f>
        <v>60</v>
      </c>
      <c r="I67">
        <f>SUM(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_xlfn.IFNA(LOOKUP(X67,use_fish!A:A,use_fish!H:H),0),)</f>
        <v>60</v>
      </c>
      <c r="J67" s="2">
        <f>SUM(_xlfn.IFNA(LOOKUP(Q67,[1]use_fish!A:A,[1]use_fish!J:J),0),_xlfn.IFNA(LOOKUP(R67,[1]use_fish!A:A,[1]use_fish!J:J),0),_xlfn.IFNA(LOOKUP(S67,[1]use_fish!A:A,[1]use_fish!J:J),0),_xlfn.IFNA(LOOKUP(T67,[1]use_fish!A:A,[1]use_fish!J:J),0),_xlfn.IFNA(LOOKUP(U67,[1]use_fish!A:A,[1]use_fish!J:J),0),_xlfn.IFNA(LOOKUP(V67,[1]use_fish!A:A,[1]use_fish!J:J),0),_xlfn.IFNA(LOOKUP(W67,[1]use_fish!A:A,[1]use_fish!J:J),0),)</f>
        <v>0</v>
      </c>
      <c r="R67">
        <v>52</v>
      </c>
    </row>
    <row r="68" spans="1:18" x14ac:dyDescent="0.2">
      <c r="A68">
        <v>67</v>
      </c>
      <c r="B68">
        <v>1</v>
      </c>
      <c r="C68" t="s">
        <v>98</v>
      </c>
      <c r="H68">
        <f>SUM(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_xlfn.IFNA(LOOKUP(X68,use_fish!A:A,use_fish!D:D),0),)</f>
        <v>90</v>
      </c>
      <c r="I68">
        <f>SUM(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_xlfn.IFNA(LOOKUP(X68,use_fish!A:A,use_fish!H:H),0),)</f>
        <v>90</v>
      </c>
      <c r="J68" s="2">
        <f>SUM(_xlfn.IFNA(LOOKUP(Q68,[1]use_fish!A:A,[1]use_fish!J:J),0),_xlfn.IFNA(LOOKUP(R68,[1]use_fish!A:A,[1]use_fish!J:J),0),_xlfn.IFNA(LOOKUP(S68,[1]use_fish!A:A,[1]use_fish!J:J),0),_xlfn.IFNA(LOOKUP(T68,[1]use_fish!A:A,[1]use_fish!J:J),0),_xlfn.IFNA(LOOKUP(U68,[1]use_fish!A:A,[1]use_fish!J:J),0),_xlfn.IFNA(LOOKUP(V68,[1]use_fish!A:A,[1]use_fish!J:J),0),_xlfn.IFNA(LOOKUP(W68,[1]use_fish!A:A,[1]use_fish!J:J),0),)</f>
        <v>0</v>
      </c>
      <c r="R68">
        <v>53</v>
      </c>
    </row>
    <row r="69" spans="1:18" x14ac:dyDescent="0.2">
      <c r="A69">
        <v>68</v>
      </c>
      <c r="B69">
        <v>1</v>
      </c>
      <c r="C69" t="s">
        <v>99</v>
      </c>
      <c r="H69">
        <f>SUM(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_xlfn.IFNA(LOOKUP(X69,use_fish!A:A,use_fish!D:D),0),)</f>
        <v>80</v>
      </c>
      <c r="I69">
        <f>SUM(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_xlfn.IFNA(LOOKUP(X69,use_fish!A:A,use_fish!H:H),0),)</f>
        <v>80</v>
      </c>
      <c r="J69" s="2">
        <f>SUM(_xlfn.IFNA(LOOKUP(Q69,[1]use_fish!A:A,[1]use_fish!J:J),0),_xlfn.IFNA(LOOKUP(R69,[1]use_fish!A:A,[1]use_fish!J:J),0),_xlfn.IFNA(LOOKUP(S69,[1]use_fish!A:A,[1]use_fish!J:J),0),_xlfn.IFNA(LOOKUP(T69,[1]use_fish!A:A,[1]use_fish!J:J),0),_xlfn.IFNA(LOOKUP(U69,[1]use_fish!A:A,[1]use_fish!J:J),0),_xlfn.IFNA(LOOKUP(V69,[1]use_fish!A:A,[1]use_fish!J:J),0),_xlfn.IFNA(LOOKUP(W69,[1]use_fish!A:A,[1]use_fish!J:J),0),)</f>
        <v>0</v>
      </c>
      <c r="R69">
        <v>54</v>
      </c>
    </row>
    <row r="70" spans="1:18" x14ac:dyDescent="0.2">
      <c r="A70">
        <v>69</v>
      </c>
      <c r="B70">
        <v>1</v>
      </c>
      <c r="C70" t="s">
        <v>100</v>
      </c>
      <c r="H70">
        <f>SUM(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_xlfn.IFNA(LOOKUP(X70,use_fish!A:A,use_fish!D:D),0),)</f>
        <v>133</v>
      </c>
      <c r="I70">
        <f>SUM(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_xlfn.IFNA(LOOKUP(X70,use_fish!A:A,use_fish!H:H),0),)</f>
        <v>133</v>
      </c>
      <c r="J70" s="2">
        <f>SUM(_xlfn.IFNA(LOOKUP(Q70,[1]use_fish!A:A,[1]use_fish!J:J),0),_xlfn.IFNA(LOOKUP(R70,[1]use_fish!A:A,[1]use_fish!J:J),0),_xlfn.IFNA(LOOKUP(S70,[1]use_fish!A:A,[1]use_fish!J:J),0),_xlfn.IFNA(LOOKUP(T70,[1]use_fish!A:A,[1]use_fish!J:J),0),_xlfn.IFNA(LOOKUP(U70,[1]use_fish!A:A,[1]use_fish!J:J),0),_xlfn.IFNA(LOOKUP(V70,[1]use_fish!A:A,[1]use_fish!J:J),0),_xlfn.IFNA(LOOKUP(W70,[1]use_fish!A:A,[1]use_fish!J:J),0),)</f>
        <v>0</v>
      </c>
      <c r="R70">
        <v>55</v>
      </c>
    </row>
    <row r="71" spans="1:18" x14ac:dyDescent="0.2">
      <c r="A71">
        <v>70</v>
      </c>
      <c r="B71">
        <v>1</v>
      </c>
      <c r="C71" t="s">
        <v>101</v>
      </c>
      <c r="H71">
        <f>SUM(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_xlfn.IFNA(LOOKUP(X71,use_fish!A:A,use_fish!D:D),0),)</f>
        <v>133</v>
      </c>
      <c r="I71">
        <f>SUM(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_xlfn.IFNA(LOOKUP(X71,use_fish!A:A,use_fish!H:H),0),)</f>
        <v>133</v>
      </c>
      <c r="J71" s="2">
        <f>SUM(_xlfn.IFNA(LOOKUP(Q71,[1]use_fish!A:A,[1]use_fish!J:J),0),_xlfn.IFNA(LOOKUP(R71,[1]use_fish!A:A,[1]use_fish!J:J),0),_xlfn.IFNA(LOOKUP(S71,[1]use_fish!A:A,[1]use_fish!J:J),0),_xlfn.IFNA(LOOKUP(T71,[1]use_fish!A:A,[1]use_fish!J:J),0),_xlfn.IFNA(LOOKUP(U71,[1]use_fish!A:A,[1]use_fish!J:J),0),_xlfn.IFNA(LOOKUP(V71,[1]use_fish!A:A,[1]use_fish!J:J),0),_xlfn.IFNA(LOOKUP(W71,[1]use_fish!A:A,[1]use_fish!J:J),0),)</f>
        <v>0</v>
      </c>
      <c r="R71">
        <v>56</v>
      </c>
    </row>
    <row r="72" spans="1:18" x14ac:dyDescent="0.2">
      <c r="A72">
        <v>71</v>
      </c>
      <c r="B72">
        <v>1</v>
      </c>
      <c r="C72" t="s">
        <v>102</v>
      </c>
      <c r="H72">
        <f>SUM(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_xlfn.IFNA(LOOKUP(X72,use_fish!A:A,use_fish!D:D),0),)</f>
        <v>120</v>
      </c>
      <c r="I72">
        <f>SUM(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_xlfn.IFNA(LOOKUP(X72,use_fish!A:A,use_fish!H:H),0),)</f>
        <v>120</v>
      </c>
      <c r="J72" s="2">
        <f>SUM(_xlfn.IFNA(LOOKUP(Q72,[1]use_fish!A:A,[1]use_fish!J:J),0),_xlfn.IFNA(LOOKUP(R72,[1]use_fish!A:A,[1]use_fish!J:J),0),_xlfn.IFNA(LOOKUP(S72,[1]use_fish!A:A,[1]use_fish!J:J),0),_xlfn.IFNA(LOOKUP(T72,[1]use_fish!A:A,[1]use_fish!J:J),0),_xlfn.IFNA(LOOKUP(U72,[1]use_fish!A:A,[1]use_fish!J:J),0),_xlfn.IFNA(LOOKUP(V72,[1]use_fish!A:A,[1]use_fish!J:J),0),_xlfn.IFNA(LOOKUP(W72,[1]use_fish!A:A,[1]use_fish!J:J),0),)</f>
        <v>0</v>
      </c>
      <c r="R72">
        <v>57</v>
      </c>
    </row>
    <row r="73" spans="1:18" x14ac:dyDescent="0.2">
      <c r="A73">
        <v>72</v>
      </c>
      <c r="B73">
        <v>1</v>
      </c>
      <c r="C73" t="s">
        <v>103</v>
      </c>
      <c r="H73">
        <f>SUM(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_xlfn.IFNA(LOOKUP(X73,use_fish!A:A,use_fish!D:D),0),)</f>
        <v>120</v>
      </c>
      <c r="I73">
        <f>SUM(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_xlfn.IFNA(LOOKUP(X73,use_fish!A:A,use_fish!H:H),0),)</f>
        <v>120</v>
      </c>
      <c r="J73" s="2">
        <f>SUM(_xlfn.IFNA(LOOKUP(Q73,[1]use_fish!A:A,[1]use_fish!J:J),0),_xlfn.IFNA(LOOKUP(R73,[1]use_fish!A:A,[1]use_fish!J:J),0),_xlfn.IFNA(LOOKUP(S73,[1]use_fish!A:A,[1]use_fish!J:J),0),_xlfn.IFNA(LOOKUP(T73,[1]use_fish!A:A,[1]use_fish!J:J),0),_xlfn.IFNA(LOOKUP(U73,[1]use_fish!A:A,[1]use_fish!J:J),0),_xlfn.IFNA(LOOKUP(V73,[1]use_fish!A:A,[1]use_fish!J:J),0),_xlfn.IFNA(LOOKUP(W73,[1]use_fish!A:A,[1]use_fish!J:J),0),)</f>
        <v>0</v>
      </c>
      <c r="R73">
        <v>58</v>
      </c>
    </row>
    <row r="74" spans="1:18" x14ac:dyDescent="0.2">
      <c r="A74">
        <v>73</v>
      </c>
      <c r="B74">
        <v>1</v>
      </c>
      <c r="C74" t="s">
        <v>104</v>
      </c>
      <c r="H74">
        <f>SUM(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_xlfn.IFNA(LOOKUP(X74,use_fish!A:A,use_fish!D:D),0),)</f>
        <v>150</v>
      </c>
      <c r="I74">
        <f>SUM(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_xlfn.IFNA(LOOKUP(X74,use_fish!A:A,use_fish!H:H),0),)</f>
        <v>150</v>
      </c>
      <c r="J74" s="2">
        <f>SUM(_xlfn.IFNA(LOOKUP(Q74,[1]use_fish!A:A,[1]use_fish!J:J),0),_xlfn.IFNA(LOOKUP(R74,[1]use_fish!A:A,[1]use_fish!J:J),0),_xlfn.IFNA(LOOKUP(S74,[1]use_fish!A:A,[1]use_fish!J:J),0),_xlfn.IFNA(LOOKUP(T74,[1]use_fish!A:A,[1]use_fish!J:J),0),_xlfn.IFNA(LOOKUP(U74,[1]use_fish!A:A,[1]use_fish!J:J),0),_xlfn.IFNA(LOOKUP(V74,[1]use_fish!A:A,[1]use_fish!J:J),0),_xlfn.IFNA(LOOKUP(W74,[1]use_fish!A:A,[1]use_fish!J:J),0),)</f>
        <v>0</v>
      </c>
      <c r="R74">
        <v>59</v>
      </c>
    </row>
    <row r="75" spans="1:18" x14ac:dyDescent="0.2">
      <c r="A75">
        <v>74</v>
      </c>
      <c r="B75">
        <v>1</v>
      </c>
      <c r="C75" t="s">
        <v>105</v>
      </c>
      <c r="H75">
        <f>SUM(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_xlfn.IFNA(LOOKUP(X75,use_fish!A:A,use_fish!D:D),0),)</f>
        <v>70</v>
      </c>
      <c r="I75">
        <f>SUM(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_xlfn.IFNA(LOOKUP(X75,use_fish!A:A,use_fish!H:H),0),)</f>
        <v>70</v>
      </c>
      <c r="J75" s="2">
        <f>SUM(_xlfn.IFNA(LOOKUP(Q75,[1]use_fish!A:A,[1]use_fish!J:J),0),_xlfn.IFNA(LOOKUP(R75,[1]use_fish!A:A,[1]use_fish!J:J),0),_xlfn.IFNA(LOOKUP(S75,[1]use_fish!A:A,[1]use_fish!J:J),0),_xlfn.IFNA(LOOKUP(T75,[1]use_fish!A:A,[1]use_fish!J:J),0),_xlfn.IFNA(LOOKUP(U75,[1]use_fish!A:A,[1]use_fish!J:J),0),_xlfn.IFNA(LOOKUP(V75,[1]use_fish!A:A,[1]use_fish!J:J),0),_xlfn.IFNA(LOOKUP(W75,[1]use_fish!A:A,[1]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R75">
        <v>60</v>
      </c>
    </row>
    <row r="76" spans="1:18" x14ac:dyDescent="0.2">
      <c r="A76">
        <v>75</v>
      </c>
      <c r="B76">
        <v>1</v>
      </c>
      <c r="C76" t="s">
        <v>106</v>
      </c>
      <c r="H76">
        <f>SUM(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_xlfn.IFNA(LOOKUP(X76,use_fish!A:A,use_fish!D:D),0),)</f>
        <v>70</v>
      </c>
      <c r="I76">
        <f>SUM(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_xlfn.IFNA(LOOKUP(X76,use_fish!A:A,use_fish!H:H),0),)</f>
        <v>70</v>
      </c>
      <c r="J76" s="2">
        <f>SUM(_xlfn.IFNA(LOOKUP(Q76,[1]use_fish!A:A,[1]use_fish!J:J),0),_xlfn.IFNA(LOOKUP(R76,[1]use_fish!A:A,[1]use_fish!J:J),0),_xlfn.IFNA(LOOKUP(S76,[1]use_fish!A:A,[1]use_fish!J:J),0),_xlfn.IFNA(LOOKUP(T76,[1]use_fish!A:A,[1]use_fish!J:J),0),_xlfn.IFNA(LOOKUP(U76,[1]use_fish!A:A,[1]use_fish!J:J),0),_xlfn.IFNA(LOOKUP(V76,[1]use_fish!A:A,[1]use_fish!J:J),0),_xlfn.IFNA(LOOKUP(W76,[1]use_fish!A:A,[1]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R76">
        <v>61</v>
      </c>
    </row>
    <row r="77" spans="1:18" x14ac:dyDescent="0.2">
      <c r="A77">
        <v>76</v>
      </c>
      <c r="B77">
        <v>1</v>
      </c>
      <c r="C77" t="s">
        <v>107</v>
      </c>
      <c r="H77">
        <f>SUM(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_xlfn.IFNA(LOOKUP(X77,use_fish!A:A,use_fish!D:D),0),)</f>
        <v>70</v>
      </c>
      <c r="I77">
        <f>SUM(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_xlfn.IFNA(LOOKUP(X77,use_fish!A:A,use_fish!H:H),0),)</f>
        <v>70</v>
      </c>
      <c r="J77" s="2">
        <f>SUM(_xlfn.IFNA(LOOKUP(Q77,[1]use_fish!A:A,[1]use_fish!J:J),0),_xlfn.IFNA(LOOKUP(R77,[1]use_fish!A:A,[1]use_fish!J:J),0),_xlfn.IFNA(LOOKUP(S77,[1]use_fish!A:A,[1]use_fish!J:J),0),_xlfn.IFNA(LOOKUP(T77,[1]use_fish!A:A,[1]use_fish!J:J),0),_xlfn.IFNA(LOOKUP(U77,[1]use_fish!A:A,[1]use_fish!J:J),0),_xlfn.IFNA(LOOKUP(V77,[1]use_fish!A:A,[1]use_fish!J:J),0),_xlfn.IFNA(LOOKUP(W77,[1]use_fish!A:A,[1]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R77">
        <v>62</v>
      </c>
    </row>
    <row r="78" spans="1:18" x14ac:dyDescent="0.2">
      <c r="A78">
        <v>77</v>
      </c>
      <c r="B78">
        <v>1</v>
      </c>
      <c r="C78" t="s">
        <v>108</v>
      </c>
      <c r="H78">
        <f>SUM(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_xlfn.IFNA(LOOKUP(X78,use_fish!A:A,use_fish!D:D),0),)</f>
        <v>70</v>
      </c>
      <c r="I78">
        <f>SUM(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_xlfn.IFNA(LOOKUP(X78,use_fish!A:A,use_fish!H:H),0),)</f>
        <v>70</v>
      </c>
      <c r="J78" s="2">
        <f>SUM(_xlfn.IFNA(LOOKUP(Q78,[1]use_fish!A:A,[1]use_fish!J:J),0),_xlfn.IFNA(LOOKUP(R78,[1]use_fish!A:A,[1]use_fish!J:J),0),_xlfn.IFNA(LOOKUP(S78,[1]use_fish!A:A,[1]use_fish!J:J),0),_xlfn.IFNA(LOOKUP(T78,[1]use_fish!A:A,[1]use_fish!J:J),0),_xlfn.IFNA(LOOKUP(U78,[1]use_fish!A:A,[1]use_fish!J:J),0),_xlfn.IFNA(LOOKUP(V78,[1]use_fish!A:A,[1]use_fish!J:J),0),_xlfn.IFNA(LOOKUP(W78,[1]use_fish!A:A,[1]use_fish!J:J),0),)</f>
        <v>0</v>
      </c>
      <c r="R78">
        <v>63</v>
      </c>
    </row>
    <row r="79" spans="1:18" x14ac:dyDescent="0.2">
      <c r="A79">
        <v>78</v>
      </c>
      <c r="B79">
        <v>1</v>
      </c>
      <c r="C79" t="s">
        <v>109</v>
      </c>
      <c r="H79">
        <f>SUM(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_xlfn.IFNA(LOOKUP(X79,use_fish!A:A,use_fish!D:D),0),)</f>
        <v>163</v>
      </c>
      <c r="I79">
        <f>SUM(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_xlfn.IFNA(LOOKUP(X79,use_fish!A:A,use_fish!H:H),0),)</f>
        <v>163</v>
      </c>
      <c r="J79" s="2">
        <f>SUM(_xlfn.IFNA(LOOKUP(Q79,[1]use_fish!A:A,[1]use_fish!J:J),0),_xlfn.IFNA(LOOKUP(R79,[1]use_fish!A:A,[1]use_fish!J:J),0),_xlfn.IFNA(LOOKUP(S79,[1]use_fish!A:A,[1]use_fish!J:J),0),_xlfn.IFNA(LOOKUP(T79,[1]use_fish!A:A,[1]use_fish!J:J),0),_xlfn.IFNA(LOOKUP(U79,[1]use_fish!A:A,[1]use_fish!J:J),0),_xlfn.IFNA(LOOKUP(V79,[1]use_fish!A:A,[1]use_fish!J:J),0),_xlfn.IFNA(LOOKUP(W79,[1]use_fish!A:A,[1]use_fish!J:J),0),)</f>
        <v>0</v>
      </c>
      <c r="R79">
        <v>64</v>
      </c>
    </row>
    <row r="80" spans="1:18" x14ac:dyDescent="0.2">
      <c r="A80">
        <v>79</v>
      </c>
      <c r="B80">
        <v>1</v>
      </c>
      <c r="C80" t="s">
        <v>110</v>
      </c>
      <c r="H80">
        <f>SUM(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_xlfn.IFNA(LOOKUP(X80,use_fish!A:A,use_fish!D:D),0),)</f>
        <v>163</v>
      </c>
      <c r="I80">
        <f>SUM(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_xlfn.IFNA(LOOKUP(X80,use_fish!A:A,use_fish!H:H),0),)</f>
        <v>163</v>
      </c>
      <c r="J80" s="2">
        <f>SUM(_xlfn.IFNA(LOOKUP(Q80,[1]use_fish!A:A,[1]use_fish!J:J),0),_xlfn.IFNA(LOOKUP(R80,[1]use_fish!A:A,[1]use_fish!J:J),0),_xlfn.IFNA(LOOKUP(S80,[1]use_fish!A:A,[1]use_fish!J:J),0),_xlfn.IFNA(LOOKUP(T80,[1]use_fish!A:A,[1]use_fish!J:J),0),_xlfn.IFNA(LOOKUP(U80,[1]use_fish!A:A,[1]use_fish!J:J),0),_xlfn.IFNA(LOOKUP(V80,[1]use_fish!A:A,[1]use_fish!J:J),0),_xlfn.IFNA(LOOKUP(W80,[1]use_fish!A:A,[1]use_fish!J:J),0),)</f>
        <v>0</v>
      </c>
      <c r="R80">
        <v>65</v>
      </c>
    </row>
    <row r="81" spans="1:18" x14ac:dyDescent="0.2">
      <c r="A81">
        <v>80</v>
      </c>
      <c r="B81">
        <v>1</v>
      </c>
      <c r="C81" t="s">
        <v>111</v>
      </c>
      <c r="H81">
        <f>SUM(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_xlfn.IFNA(LOOKUP(X81,use_fish!A:A,use_fish!D:D),0),)</f>
        <v>150</v>
      </c>
      <c r="I81">
        <f>SUM(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_xlfn.IFNA(LOOKUP(X81,use_fish!A:A,use_fish!H:H),0),)</f>
        <v>150</v>
      </c>
      <c r="J81" s="2">
        <f>SUM(_xlfn.IFNA(LOOKUP(Q81,[1]use_fish!A:A,[1]use_fish!J:J),0),_xlfn.IFNA(LOOKUP(R81,[1]use_fish!A:A,[1]use_fish!J:J),0),_xlfn.IFNA(LOOKUP(S81,[1]use_fish!A:A,[1]use_fish!J:J),0),_xlfn.IFNA(LOOKUP(T81,[1]use_fish!A:A,[1]use_fish!J:J),0),_xlfn.IFNA(LOOKUP(U81,[1]use_fish!A:A,[1]use_fish!J:J),0),_xlfn.IFNA(LOOKUP(V81,[1]use_fish!A:A,[1]use_fish!J:J),0),_xlfn.IFNA(LOOKUP(W81,[1]use_fish!A:A,[1]use_fish!J:J),0),)</f>
        <v>0</v>
      </c>
      <c r="R81">
        <v>66</v>
      </c>
    </row>
    <row r="82" spans="1:18" x14ac:dyDescent="0.2">
      <c r="A82">
        <v>81</v>
      </c>
      <c r="B82">
        <v>1</v>
      </c>
      <c r="C82" t="s">
        <v>112</v>
      </c>
      <c r="H82">
        <f>SUM(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_xlfn.IFNA(LOOKUP(X82,use_fish!A:A,use_fish!D:D),0),)</f>
        <v>150</v>
      </c>
      <c r="I82">
        <f>SUM(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_xlfn.IFNA(LOOKUP(X82,use_fish!A:A,use_fish!H:H),0),)</f>
        <v>150</v>
      </c>
      <c r="J82" s="2">
        <f>SUM(_xlfn.IFNA(LOOKUP(Q82,[1]use_fish!A:A,[1]use_fish!J:J),0),_xlfn.IFNA(LOOKUP(R82,[1]use_fish!A:A,[1]use_fish!J:J),0),_xlfn.IFNA(LOOKUP(S82,[1]use_fish!A:A,[1]use_fish!J:J),0),_xlfn.IFNA(LOOKUP(T82,[1]use_fish!A:A,[1]use_fish!J:J),0),_xlfn.IFNA(LOOKUP(U82,[1]use_fish!A:A,[1]use_fish!J:J),0),_xlfn.IFNA(LOOKUP(V82,[1]use_fish!A:A,[1]use_fish!J:J),0),_xlfn.IFNA(LOOKUP(W82,[1]use_fish!A:A,[1]use_fish!J:J),0),)</f>
        <v>0</v>
      </c>
      <c r="R82">
        <v>67</v>
      </c>
    </row>
    <row r="83" spans="1:18" x14ac:dyDescent="0.2">
      <c r="A83">
        <v>82</v>
      </c>
      <c r="B83">
        <v>1</v>
      </c>
      <c r="C83" t="s">
        <v>113</v>
      </c>
      <c r="H83">
        <f>SUM(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_xlfn.IFNA(LOOKUP(X83,use_fish!A:A,use_fish!D:D),0),)</f>
        <v>180</v>
      </c>
      <c r="I83">
        <f>SUM(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_xlfn.IFNA(LOOKUP(X83,use_fish!A:A,use_fish!H:H),0),)</f>
        <v>180</v>
      </c>
      <c r="J83" s="2">
        <f>SUM(_xlfn.IFNA(LOOKUP(Q83,[1]use_fish!A:A,[1]use_fish!J:J),0),_xlfn.IFNA(LOOKUP(R83,[1]use_fish!A:A,[1]use_fish!J:J),0),_xlfn.IFNA(LOOKUP(S83,[1]use_fish!A:A,[1]use_fish!J:J),0),_xlfn.IFNA(LOOKUP(T83,[1]use_fish!A:A,[1]use_fish!J:J),0),_xlfn.IFNA(LOOKUP(U83,[1]use_fish!A:A,[1]use_fish!J:J),0),_xlfn.IFNA(LOOKUP(V83,[1]use_fish!A:A,[1]use_fish!J:J),0),_xlfn.IFNA(LOOKUP(W83,[1]use_fish!A:A,[1]use_fish!J:J),0),)</f>
        <v>0</v>
      </c>
      <c r="R83">
        <v>68</v>
      </c>
    </row>
    <row r="84" spans="1:18" x14ac:dyDescent="0.2">
      <c r="A84">
        <v>83</v>
      </c>
      <c r="B84">
        <v>1</v>
      </c>
      <c r="C84" t="s">
        <v>114</v>
      </c>
      <c r="H84">
        <f>SUM(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_xlfn.IFNA(LOOKUP(X84,use_fish!A:A,use_fish!D:D),0),)</f>
        <v>100</v>
      </c>
      <c r="I84">
        <f>SUM(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_xlfn.IFNA(LOOKUP(X84,use_fish!A:A,use_fish!H:H),0),)</f>
        <v>100</v>
      </c>
      <c r="J84" s="2">
        <f>SUM(_xlfn.IFNA(LOOKUP(Q84,[1]use_fish!A:A,[1]use_fish!J:J),0),_xlfn.IFNA(LOOKUP(R84,[1]use_fish!A:A,[1]use_fish!J:J),0),_xlfn.IFNA(LOOKUP(S84,[1]use_fish!A:A,[1]use_fish!J:J),0),_xlfn.IFNA(LOOKUP(T84,[1]use_fish!A:A,[1]use_fish!J:J),0),_xlfn.IFNA(LOOKUP(U84,[1]use_fish!A:A,[1]use_fish!J:J),0),_xlfn.IFNA(LOOKUP(V84,[1]use_fish!A:A,[1]use_fish!J:J),0),_xlfn.IFNA(LOOKUP(W84,[1]use_fish!A:A,[1]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R84">
        <v>69</v>
      </c>
    </row>
    <row r="85" spans="1:18" x14ac:dyDescent="0.2">
      <c r="A85">
        <v>84</v>
      </c>
      <c r="B85">
        <v>1</v>
      </c>
      <c r="C85" t="s">
        <v>115</v>
      </c>
      <c r="H85">
        <f>SUM(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_xlfn.IFNA(LOOKUP(X85,use_fish!A:A,use_fish!D:D),0),)</f>
        <v>100</v>
      </c>
      <c r="I85">
        <f>SUM(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_xlfn.IFNA(LOOKUP(X85,use_fish!A:A,use_fish!H:H),0),)</f>
        <v>100</v>
      </c>
      <c r="J85" s="2">
        <f>SUM(_xlfn.IFNA(LOOKUP(Q85,[1]use_fish!A:A,[1]use_fish!J:J),0),_xlfn.IFNA(LOOKUP(R85,[1]use_fish!A:A,[1]use_fish!J:J),0),_xlfn.IFNA(LOOKUP(S85,[1]use_fish!A:A,[1]use_fish!J:J),0),_xlfn.IFNA(LOOKUP(T85,[1]use_fish!A:A,[1]use_fish!J:J),0),_xlfn.IFNA(LOOKUP(U85,[1]use_fish!A:A,[1]use_fish!J:J),0),_xlfn.IFNA(LOOKUP(V85,[1]use_fish!A:A,[1]use_fish!J:J),0),_xlfn.IFNA(LOOKUP(W85,[1]use_fish!A:A,[1]use_fish!J:J),0),)</f>
        <v>0</v>
      </c>
      <c r="R85">
        <v>70</v>
      </c>
    </row>
    <row r="86" spans="1:18" x14ac:dyDescent="0.2">
      <c r="A86">
        <v>85</v>
      </c>
      <c r="B86">
        <v>1</v>
      </c>
      <c r="C86" t="s">
        <v>116</v>
      </c>
      <c r="H86">
        <f>SUM(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_xlfn.IFNA(LOOKUP(X86,use_fish!A:A,use_fish!D:D),0),)</f>
        <v>100</v>
      </c>
      <c r="I86">
        <f>SUM(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_xlfn.IFNA(LOOKUP(X86,use_fish!A:A,use_fish!H:H),0),)</f>
        <v>100</v>
      </c>
      <c r="J86" s="2">
        <f>SUM(_xlfn.IFNA(LOOKUP(Q86,[1]use_fish!A:A,[1]use_fish!J:J),0),_xlfn.IFNA(LOOKUP(R86,[1]use_fish!A:A,[1]use_fish!J:J),0),_xlfn.IFNA(LOOKUP(S86,[1]use_fish!A:A,[1]use_fish!J:J),0),_xlfn.IFNA(LOOKUP(T86,[1]use_fish!A:A,[1]use_fish!J:J),0),_xlfn.IFNA(LOOKUP(U86,[1]use_fish!A:A,[1]use_fish!J:J),0),_xlfn.IFNA(LOOKUP(V86,[1]use_fish!A:A,[1]use_fish!J:J),0),_xlfn.IFNA(LOOKUP(W86,[1]use_fish!A:A,[1]use_fish!J:J),0),)</f>
        <v>0</v>
      </c>
      <c r="R86">
        <v>71</v>
      </c>
    </row>
    <row r="87" spans="1:18" x14ac:dyDescent="0.2">
      <c r="A87">
        <v>86</v>
      </c>
      <c r="B87">
        <v>1</v>
      </c>
      <c r="C87" t="s">
        <v>117</v>
      </c>
      <c r="H87">
        <f>SUM(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_xlfn.IFNA(LOOKUP(X87,use_fish!A:A,use_fish!D:D),0),)</f>
        <v>143</v>
      </c>
      <c r="I87">
        <f>SUM(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_xlfn.IFNA(LOOKUP(X87,use_fish!A:A,use_fish!H:H),0),)</f>
        <v>143</v>
      </c>
      <c r="J87" s="2">
        <f>SUM(_xlfn.IFNA(LOOKUP(Q87,[1]use_fish!A:A,[1]use_fish!J:J),0),_xlfn.IFNA(LOOKUP(R87,[1]use_fish!A:A,[1]use_fish!J:J),0),_xlfn.IFNA(LOOKUP(S87,[1]use_fish!A:A,[1]use_fish!J:J),0),_xlfn.IFNA(LOOKUP(T87,[1]use_fish!A:A,[1]use_fish!J:J),0),_xlfn.IFNA(LOOKUP(U87,[1]use_fish!A:A,[1]use_fish!J:J),0),_xlfn.IFNA(LOOKUP(V87,[1]use_fish!A:A,[1]use_fish!J:J),0),_xlfn.IFNA(LOOKUP(W87,[1]use_fish!A:A,[1]use_fish!J:J),0),)</f>
        <v>0</v>
      </c>
      <c r="R87">
        <v>72</v>
      </c>
    </row>
    <row r="88" spans="1:18" x14ac:dyDescent="0.2">
      <c r="A88">
        <v>87</v>
      </c>
      <c r="B88">
        <v>1</v>
      </c>
      <c r="C88" t="s">
        <v>118</v>
      </c>
      <c r="H88">
        <f>SUM(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_xlfn.IFNA(LOOKUP(X88,use_fish!A:A,use_fish!D:D),0),)</f>
        <v>143</v>
      </c>
      <c r="I88">
        <f>SUM(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_xlfn.IFNA(LOOKUP(X88,use_fish!A:A,use_fish!H:H),0),)</f>
        <v>143</v>
      </c>
      <c r="J88" s="2">
        <f>SUM(_xlfn.IFNA(LOOKUP(Q88,[1]use_fish!A:A,[1]use_fish!J:J),0),_xlfn.IFNA(LOOKUP(R88,[1]use_fish!A:A,[1]use_fish!J:J),0),_xlfn.IFNA(LOOKUP(S88,[1]use_fish!A:A,[1]use_fish!J:J),0),_xlfn.IFNA(LOOKUP(T88,[1]use_fish!A:A,[1]use_fish!J:J),0),_xlfn.IFNA(LOOKUP(U88,[1]use_fish!A:A,[1]use_fish!J:J),0),_xlfn.IFNA(LOOKUP(V88,[1]use_fish!A:A,[1]use_fish!J:J),0),_xlfn.IFNA(LOOKUP(W88,[1]use_fish!A:A,[1]use_fish!J:J),0),)</f>
        <v>0</v>
      </c>
      <c r="R88">
        <v>73</v>
      </c>
    </row>
    <row r="89" spans="1:18" x14ac:dyDescent="0.2">
      <c r="A89">
        <v>88</v>
      </c>
      <c r="B89">
        <v>1</v>
      </c>
      <c r="C89" t="s">
        <v>119</v>
      </c>
      <c r="H89">
        <f>SUM(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_xlfn.IFNA(LOOKUP(X89,use_fish!A:A,use_fish!D:D),0),)</f>
        <v>130</v>
      </c>
      <c r="I89">
        <f>SUM(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_xlfn.IFNA(LOOKUP(X89,use_fish!A:A,use_fish!H:H),0),)</f>
        <v>130</v>
      </c>
      <c r="J89" s="2">
        <f>SUM(_xlfn.IFNA(LOOKUP(Q89,[1]use_fish!A:A,[1]use_fish!J:J),0),_xlfn.IFNA(LOOKUP(R89,[1]use_fish!A:A,[1]use_fish!J:J),0),_xlfn.IFNA(LOOKUP(S89,[1]use_fish!A:A,[1]use_fish!J:J),0),_xlfn.IFNA(LOOKUP(T89,[1]use_fish!A:A,[1]use_fish!J:J),0),_xlfn.IFNA(LOOKUP(U89,[1]use_fish!A:A,[1]use_fish!J:J),0),_xlfn.IFNA(LOOKUP(V89,[1]use_fish!A:A,[1]use_fish!J:J),0),_xlfn.IFNA(LOOKUP(W89,[1]use_fish!A:A,[1]use_fish!J:J),0),)</f>
        <v>0</v>
      </c>
      <c r="R89">
        <v>74</v>
      </c>
    </row>
    <row r="90" spans="1:18" x14ac:dyDescent="0.2">
      <c r="A90">
        <v>89</v>
      </c>
      <c r="B90">
        <v>1</v>
      </c>
      <c r="C90" t="s">
        <v>120</v>
      </c>
      <c r="H90">
        <f>SUM(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_xlfn.IFNA(LOOKUP(X90,use_fish!A:A,use_fish!D:D),0),)</f>
        <v>130</v>
      </c>
      <c r="I90">
        <f>SUM(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_xlfn.IFNA(LOOKUP(X90,use_fish!A:A,use_fish!H:H),0),)</f>
        <v>130</v>
      </c>
      <c r="J90" s="2">
        <f>SUM(_xlfn.IFNA(LOOKUP(Q90,[1]use_fish!A:A,[1]use_fish!J:J),0),_xlfn.IFNA(LOOKUP(R90,[1]use_fish!A:A,[1]use_fish!J:J),0),_xlfn.IFNA(LOOKUP(S90,[1]use_fish!A:A,[1]use_fish!J:J),0),_xlfn.IFNA(LOOKUP(T90,[1]use_fish!A:A,[1]use_fish!J:J),0),_xlfn.IFNA(LOOKUP(U90,[1]use_fish!A:A,[1]use_fish!J:J),0),_xlfn.IFNA(LOOKUP(V90,[1]use_fish!A:A,[1]use_fish!J:J),0),_xlfn.IFNA(LOOKUP(W90,[1]use_fish!A:A,[1]use_fish!J:J),0),)</f>
        <v>0</v>
      </c>
      <c r="R90">
        <v>75</v>
      </c>
    </row>
    <row r="91" spans="1:18" x14ac:dyDescent="0.2">
      <c r="A91">
        <v>90</v>
      </c>
      <c r="B91">
        <v>1</v>
      </c>
      <c r="C91" t="s">
        <v>121</v>
      </c>
      <c r="H91">
        <f>SUM(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_xlfn.IFNA(LOOKUP(X91,use_fish!A:A,use_fish!D:D),0),)</f>
        <v>160</v>
      </c>
      <c r="I91">
        <f>SUM(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_xlfn.IFNA(LOOKUP(X91,use_fish!A:A,use_fish!H:H),0),)</f>
        <v>160</v>
      </c>
      <c r="J91" s="2">
        <f>SUM(_xlfn.IFNA(LOOKUP(Q91,[1]use_fish!A:A,[1]use_fish!J:J),0),_xlfn.IFNA(LOOKUP(R91,[1]use_fish!A:A,[1]use_fish!J:J),0),_xlfn.IFNA(LOOKUP(S91,[1]use_fish!A:A,[1]use_fish!J:J),0),_xlfn.IFNA(LOOKUP(T91,[1]use_fish!A:A,[1]use_fish!J:J),0),_xlfn.IFNA(LOOKUP(U91,[1]use_fish!A:A,[1]use_fish!J:J),0),_xlfn.IFNA(LOOKUP(V91,[1]use_fish!A:A,[1]use_fish!J:J),0),_xlfn.IFNA(LOOKUP(W91,[1]use_fish!A:A,[1]use_fish!J:J),0),)</f>
        <v>0</v>
      </c>
      <c r="R91">
        <v>76</v>
      </c>
    </row>
    <row r="92" spans="1:18" x14ac:dyDescent="0.2">
      <c r="A92">
        <v>91</v>
      </c>
      <c r="B92">
        <v>1</v>
      </c>
      <c r="C92" t="s">
        <v>122</v>
      </c>
      <c r="H92">
        <f>SUM(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_xlfn.IFNA(LOOKUP(X92,use_fish!A:A,use_fish!D:D),0),)</f>
        <v>80</v>
      </c>
      <c r="I92">
        <f>SUM(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_xlfn.IFNA(LOOKUP(X92,use_fish!A:A,use_fish!H:H),0),)</f>
        <v>80</v>
      </c>
      <c r="J92" s="2">
        <f>SUM(_xlfn.IFNA(LOOKUP(Q92,[1]use_fish!A:A,[1]use_fish!J:J),0),_xlfn.IFNA(LOOKUP(R92,[1]use_fish!A:A,[1]use_fish!J:J),0),_xlfn.IFNA(LOOKUP(S92,[1]use_fish!A:A,[1]use_fish!J:J),0),_xlfn.IFNA(LOOKUP(T92,[1]use_fish!A:A,[1]use_fish!J:J),0),_xlfn.IFNA(LOOKUP(U92,[1]use_fish!A:A,[1]use_fish!J:J),0),_xlfn.IFNA(LOOKUP(V92,[1]use_fish!A:A,[1]use_fish!J:J),0),_xlfn.IFNA(LOOKUP(W92,[1]use_fish!A:A,[1]use_fish!J:J),0),)</f>
        <v>0</v>
      </c>
      <c r="R92">
        <v>77</v>
      </c>
    </row>
    <row r="93" spans="1:18" x14ac:dyDescent="0.2">
      <c r="A93">
        <v>92</v>
      </c>
      <c r="B93">
        <v>1</v>
      </c>
      <c r="C93" t="s">
        <v>123</v>
      </c>
      <c r="H93">
        <f>SUM(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_xlfn.IFNA(LOOKUP(X93,use_fish!A:A,use_fish!D:D),0),)</f>
        <v>80</v>
      </c>
      <c r="I93">
        <f>SUM(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_xlfn.IFNA(LOOKUP(X93,use_fish!A:A,use_fish!H:H),0),)</f>
        <v>80</v>
      </c>
      <c r="J93" s="2">
        <f>SUM(_xlfn.IFNA(LOOKUP(Q93,[1]use_fish!A:A,[1]use_fish!J:J),0),_xlfn.IFNA(LOOKUP(R93,[1]use_fish!A:A,[1]use_fish!J:J),0),_xlfn.IFNA(LOOKUP(S93,[1]use_fish!A:A,[1]use_fish!J:J),0),_xlfn.IFNA(LOOKUP(T93,[1]use_fish!A:A,[1]use_fish!J:J),0),_xlfn.IFNA(LOOKUP(U93,[1]use_fish!A:A,[1]use_fish!J:J),0),_xlfn.IFNA(LOOKUP(V93,[1]use_fish!A:A,[1]use_fish!J:J),0),_xlfn.IFNA(LOOKUP(W93,[1]use_fish!A:A,[1]use_fish!J:J),0),)</f>
        <v>0</v>
      </c>
      <c r="R93">
        <v>78</v>
      </c>
    </row>
    <row r="94" spans="1:18" x14ac:dyDescent="0.2">
      <c r="A94">
        <v>93</v>
      </c>
      <c r="B94">
        <v>1</v>
      </c>
      <c r="C94" t="s">
        <v>124</v>
      </c>
      <c r="H94">
        <f>SUM(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_xlfn.IFNA(LOOKUP(X94,use_fish!A:A,use_fish!D:D),0),)</f>
        <v>80</v>
      </c>
      <c r="I94">
        <f>SUM(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_xlfn.IFNA(LOOKUP(X94,use_fish!A:A,use_fish!H:H),0),)</f>
        <v>80</v>
      </c>
      <c r="J94" s="2">
        <f>SUM(_xlfn.IFNA(LOOKUP(Q94,[1]use_fish!A:A,[1]use_fish!J:J),0),_xlfn.IFNA(LOOKUP(R94,[1]use_fish!A:A,[1]use_fish!J:J),0),_xlfn.IFNA(LOOKUP(S94,[1]use_fish!A:A,[1]use_fish!J:J),0),_xlfn.IFNA(LOOKUP(T94,[1]use_fish!A:A,[1]use_fish!J:J),0),_xlfn.IFNA(LOOKUP(U94,[1]use_fish!A:A,[1]use_fish!J:J),0),_xlfn.IFNA(LOOKUP(V94,[1]use_fish!A:A,[1]use_fish!J:J),0),_xlfn.IFNA(LOOKUP(W94,[1]use_fish!A:A,[1]use_fish!J:J),0),)</f>
        <v>0</v>
      </c>
      <c r="R94">
        <v>79</v>
      </c>
    </row>
    <row r="95" spans="1:18" x14ac:dyDescent="0.2">
      <c r="A95">
        <v>94</v>
      </c>
      <c r="B95">
        <v>1</v>
      </c>
      <c r="C95" t="s">
        <v>125</v>
      </c>
      <c r="H95">
        <f>SUM(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_xlfn.IFNA(LOOKUP(X95,use_fish!A:A,use_fish!D:D),0),)</f>
        <v>110</v>
      </c>
      <c r="I95">
        <f>SUM(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_xlfn.IFNA(LOOKUP(X95,use_fish!A:A,use_fish!H:H),0),)</f>
        <v>110</v>
      </c>
      <c r="J95" s="2">
        <f>SUM(_xlfn.IFNA(LOOKUP(Q95,[1]use_fish!A:A,[1]use_fish!J:J),0),_xlfn.IFNA(LOOKUP(R95,[1]use_fish!A:A,[1]use_fish!J:J),0),_xlfn.IFNA(LOOKUP(S95,[1]use_fish!A:A,[1]use_fish!J:J),0),_xlfn.IFNA(LOOKUP(T95,[1]use_fish!A:A,[1]use_fish!J:J),0),_xlfn.IFNA(LOOKUP(U95,[1]use_fish!A:A,[1]use_fish!J:J),0),_xlfn.IFNA(LOOKUP(V95,[1]use_fish!A:A,[1]use_fish!J:J),0),_xlfn.IFNA(LOOKUP(W95,[1]use_fish!A:A,[1]use_fish!J:J),0),)</f>
        <v>0</v>
      </c>
      <c r="R95">
        <v>80</v>
      </c>
    </row>
    <row r="96" spans="1:18" x14ac:dyDescent="0.2">
      <c r="A96">
        <v>95</v>
      </c>
      <c r="B96">
        <v>1</v>
      </c>
      <c r="C96" t="s">
        <v>126</v>
      </c>
      <c r="H96">
        <f>SUM(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_xlfn.IFNA(LOOKUP(X96,use_fish!A:A,use_fish!D:D),0),)</f>
        <v>100</v>
      </c>
      <c r="I96">
        <f>SUM(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_xlfn.IFNA(LOOKUP(X96,use_fish!A:A,use_fish!H:H),0),)</f>
        <v>100</v>
      </c>
      <c r="J96" s="2">
        <f>SUM(_xlfn.IFNA(LOOKUP(Q96,[1]use_fish!A:A,[1]use_fish!J:J),0),_xlfn.IFNA(LOOKUP(R96,[1]use_fish!A:A,[1]use_fish!J:J),0),_xlfn.IFNA(LOOKUP(S96,[1]use_fish!A:A,[1]use_fish!J:J),0),_xlfn.IFNA(LOOKUP(T96,[1]use_fish!A:A,[1]use_fish!J:J),0),_xlfn.IFNA(LOOKUP(U96,[1]use_fish!A:A,[1]use_fish!J:J),0),_xlfn.IFNA(LOOKUP(V96,[1]use_fish!A:A,[1]use_fish!J:J),0),_xlfn.IFNA(LOOKUP(W96,[1]use_fish!A:A,[1]use_fish!J:J),0),)</f>
        <v>0</v>
      </c>
      <c r="R96">
        <v>81</v>
      </c>
    </row>
    <row r="97" spans="1:18" x14ac:dyDescent="0.2">
      <c r="A97">
        <v>96</v>
      </c>
      <c r="B97">
        <v>1</v>
      </c>
      <c r="C97" t="s">
        <v>127</v>
      </c>
      <c r="H97">
        <f>SUM(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_xlfn.IFNA(LOOKUP(X97,use_fish!A:A,use_fish!D:D),0),)</f>
        <v>163</v>
      </c>
      <c r="I97">
        <f>SUM(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_xlfn.IFNA(LOOKUP(X97,use_fish!A:A,use_fish!H:H),0),)</f>
        <v>163</v>
      </c>
      <c r="J97" s="2">
        <f>SUM(_xlfn.IFNA(LOOKUP(Q97,[1]use_fish!A:A,[1]use_fish!J:J),0),_xlfn.IFNA(LOOKUP(R97,[1]use_fish!A:A,[1]use_fish!J:J),0),_xlfn.IFNA(LOOKUP(S97,[1]use_fish!A:A,[1]use_fish!J:J),0),_xlfn.IFNA(LOOKUP(T97,[1]use_fish!A:A,[1]use_fish!J:J),0),_xlfn.IFNA(LOOKUP(U97,[1]use_fish!A:A,[1]use_fish!J:J),0),_xlfn.IFNA(LOOKUP(V97,[1]use_fish!A:A,[1]use_fish!J:J),0),_xlfn.IFNA(LOOKUP(W97,[1]use_fish!A:A,[1]use_fish!J:J),0),)</f>
        <v>0</v>
      </c>
      <c r="R97">
        <v>82</v>
      </c>
    </row>
    <row r="98" spans="1:18" x14ac:dyDescent="0.2">
      <c r="A98">
        <v>97</v>
      </c>
      <c r="B98">
        <v>1</v>
      </c>
      <c r="C98" t="s">
        <v>128</v>
      </c>
      <c r="H98">
        <f>SUM(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_xlfn.IFNA(LOOKUP(X98,use_fish!A:A,use_fish!D:D),0),)</f>
        <v>163</v>
      </c>
      <c r="I98">
        <f>SUM(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_xlfn.IFNA(LOOKUP(X98,use_fish!A:A,use_fish!H:H),0),)</f>
        <v>163</v>
      </c>
      <c r="J98" s="2">
        <f>SUM(_xlfn.IFNA(LOOKUP(Q98,[1]use_fish!A:A,[1]use_fish!J:J),0),_xlfn.IFNA(LOOKUP(R98,[1]use_fish!A:A,[1]use_fish!J:J),0),_xlfn.IFNA(LOOKUP(S98,[1]use_fish!A:A,[1]use_fish!J:J),0),_xlfn.IFNA(LOOKUP(T98,[1]use_fish!A:A,[1]use_fish!J:J),0),_xlfn.IFNA(LOOKUP(U98,[1]use_fish!A:A,[1]use_fish!J:J),0),_xlfn.IFNA(LOOKUP(V98,[1]use_fish!A:A,[1]use_fish!J:J),0),_xlfn.IFNA(LOOKUP(W98,[1]use_fish!A:A,[1]use_fish!J:J),0),)</f>
        <v>0</v>
      </c>
      <c r="R98">
        <v>83</v>
      </c>
    </row>
    <row r="99" spans="1:18" x14ac:dyDescent="0.2">
      <c r="A99">
        <v>98</v>
      </c>
      <c r="B99">
        <v>1</v>
      </c>
      <c r="C99" t="s">
        <v>129</v>
      </c>
      <c r="H99">
        <f>SUM(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_xlfn.IFNA(LOOKUP(X99,use_fish!A:A,use_fish!D:D),0),)</f>
        <v>150</v>
      </c>
      <c r="I99">
        <f>SUM(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_xlfn.IFNA(LOOKUP(X99,use_fish!A:A,use_fish!H:H),0),)</f>
        <v>150</v>
      </c>
      <c r="J99" s="2">
        <f>SUM(_xlfn.IFNA(LOOKUP(Q99,[1]use_fish!A:A,[1]use_fish!J:J),0),_xlfn.IFNA(LOOKUP(R99,[1]use_fish!A:A,[1]use_fish!J:J),0),_xlfn.IFNA(LOOKUP(S99,[1]use_fish!A:A,[1]use_fish!J:J),0),_xlfn.IFNA(LOOKUP(T99,[1]use_fish!A:A,[1]use_fish!J:J),0),_xlfn.IFNA(LOOKUP(U99,[1]use_fish!A:A,[1]use_fish!J:J),0),_xlfn.IFNA(LOOKUP(V99,[1]use_fish!A:A,[1]use_fish!J:J),0),_xlfn.IFNA(LOOKUP(W99,[1]use_fish!A:A,[1]use_fish!J:J),0),)</f>
        <v>0</v>
      </c>
      <c r="R99">
        <v>84</v>
      </c>
    </row>
    <row r="100" spans="1:18" x14ac:dyDescent="0.2">
      <c r="A100">
        <v>99</v>
      </c>
      <c r="B100">
        <v>1</v>
      </c>
      <c r="C100" t="s">
        <v>130</v>
      </c>
      <c r="H100">
        <f>SUM(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_xlfn.IFNA(LOOKUP(X100,use_fish!A:A,use_fish!D:D),0),)</f>
        <v>150</v>
      </c>
      <c r="I100">
        <f>SUM(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_xlfn.IFNA(LOOKUP(X100,use_fish!A:A,use_fish!H:H),0),)</f>
        <v>150</v>
      </c>
      <c r="J100" s="2">
        <f>SUM(_xlfn.IFNA(LOOKUP(Q100,[1]use_fish!A:A,[1]use_fish!J:J),0),_xlfn.IFNA(LOOKUP(R100,[1]use_fish!A:A,[1]use_fish!J:J),0),_xlfn.IFNA(LOOKUP(S100,[1]use_fish!A:A,[1]use_fish!J:J),0),_xlfn.IFNA(LOOKUP(T100,[1]use_fish!A:A,[1]use_fish!J:J),0),_xlfn.IFNA(LOOKUP(U100,[1]use_fish!A:A,[1]use_fish!J:J),0),_xlfn.IFNA(LOOKUP(V100,[1]use_fish!A:A,[1]use_fish!J:J),0),_xlfn.IFNA(LOOKUP(W100,[1]use_fish!A:A,[1]use_fish!J:J),0),)</f>
        <v>0</v>
      </c>
      <c r="R100">
        <v>85</v>
      </c>
    </row>
    <row r="101" spans="1:18" x14ac:dyDescent="0.2">
      <c r="A101">
        <v>100</v>
      </c>
      <c r="B101">
        <v>1</v>
      </c>
      <c r="C101" t="s">
        <v>131</v>
      </c>
      <c r="H101">
        <f>SUM(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_xlfn.IFNA(LOOKUP(X101,use_fish!A:A,use_fish!D:D),0),)</f>
        <v>180</v>
      </c>
      <c r="I101">
        <f>SUM(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_xlfn.IFNA(LOOKUP(X101,use_fish!A:A,use_fish!H:H),0),)</f>
        <v>180</v>
      </c>
      <c r="J101" s="2">
        <f>SUM(_xlfn.IFNA(LOOKUP(Q101,[1]use_fish!A:A,[1]use_fish!J:J),0),_xlfn.IFNA(LOOKUP(R101,[1]use_fish!A:A,[1]use_fish!J:J),0),_xlfn.IFNA(LOOKUP(S101,[1]use_fish!A:A,[1]use_fish!J:J),0),_xlfn.IFNA(LOOKUP(T101,[1]use_fish!A:A,[1]use_fish!J:J),0),_xlfn.IFNA(LOOKUP(U101,[1]use_fish!A:A,[1]use_fish!J:J),0),_xlfn.IFNA(LOOKUP(V101,[1]use_fish!A:A,[1]use_fish!J:J),0),_xlfn.IFNA(LOOKUP(W101,[1]use_fish!A:A,[1]use_fish!J:J),0),)</f>
        <v>0</v>
      </c>
      <c r="R101">
        <v>86</v>
      </c>
    </row>
    <row r="102" spans="1:18" x14ac:dyDescent="0.2">
      <c r="A102">
        <v>101</v>
      </c>
      <c r="B102">
        <v>1</v>
      </c>
      <c r="C102" t="s">
        <v>132</v>
      </c>
      <c r="H102">
        <f>SUM(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_xlfn.IFNA(LOOKUP(X102,use_fish!A:A,use_fish!D:D),0),)</f>
        <v>100</v>
      </c>
      <c r="I102">
        <f>SUM(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_xlfn.IFNA(LOOKUP(X102,use_fish!A:A,use_fish!H:H),0),)</f>
        <v>100</v>
      </c>
      <c r="J102" s="2">
        <f>SUM(_xlfn.IFNA(LOOKUP(Q102,[1]use_fish!A:A,[1]use_fish!J:J),0),_xlfn.IFNA(LOOKUP(R102,[1]use_fish!A:A,[1]use_fish!J:J),0),_xlfn.IFNA(LOOKUP(S102,[1]use_fish!A:A,[1]use_fish!J:J),0),_xlfn.IFNA(LOOKUP(T102,[1]use_fish!A:A,[1]use_fish!J:J),0),_xlfn.IFNA(LOOKUP(U102,[1]use_fish!A:A,[1]use_fish!J:J),0),_xlfn.IFNA(LOOKUP(V102,[1]use_fish!A:A,[1]use_fish!J:J),0),_xlfn.IFNA(LOOKUP(W102,[1]use_fish!A:A,[1]use_fish!J:J),0),)</f>
        <v>0</v>
      </c>
      <c r="R102">
        <v>87</v>
      </c>
    </row>
    <row r="103" spans="1:18" x14ac:dyDescent="0.2">
      <c r="A103">
        <v>102</v>
      </c>
      <c r="B103">
        <v>1</v>
      </c>
      <c r="C103" t="s">
        <v>133</v>
      </c>
      <c r="H103">
        <f>SUM(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_xlfn.IFNA(LOOKUP(X103,use_fish!A:A,use_fish!D:D),0),)</f>
        <v>100</v>
      </c>
      <c r="I103">
        <f>SUM(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_xlfn.IFNA(LOOKUP(X103,use_fish!A:A,use_fish!H:H),0),)</f>
        <v>100</v>
      </c>
      <c r="J103" s="2">
        <f>SUM(_xlfn.IFNA(LOOKUP(Q103,[1]use_fish!A:A,[1]use_fish!J:J),0),_xlfn.IFNA(LOOKUP(R103,[1]use_fish!A:A,[1]use_fish!J:J),0),_xlfn.IFNA(LOOKUP(S103,[1]use_fish!A:A,[1]use_fish!J:J),0),_xlfn.IFNA(LOOKUP(T103,[1]use_fish!A:A,[1]use_fish!J:J),0),_xlfn.IFNA(LOOKUP(U103,[1]use_fish!A:A,[1]use_fish!J:J),0),_xlfn.IFNA(LOOKUP(V103,[1]use_fish!A:A,[1]use_fish!J:J),0),_xlfn.IFNA(LOOKUP(W103,[1]use_fish!A:A,[1]use_fish!J:J),0),)</f>
        <v>0</v>
      </c>
      <c r="R103">
        <v>88</v>
      </c>
    </row>
    <row r="104" spans="1:18" x14ac:dyDescent="0.2">
      <c r="A104">
        <v>103</v>
      </c>
      <c r="B104">
        <v>1</v>
      </c>
      <c r="C104" t="s">
        <v>134</v>
      </c>
      <c r="H104">
        <f>SUM(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_xlfn.IFNA(LOOKUP(X104,use_fish!A:A,use_fish!D:D),0),)</f>
        <v>100</v>
      </c>
      <c r="I104">
        <f>SUM(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_xlfn.IFNA(LOOKUP(X104,use_fish!A:A,use_fish!H:H),0),)</f>
        <v>100</v>
      </c>
      <c r="J104" s="2">
        <f>SUM(_xlfn.IFNA(LOOKUP(Q104,[1]use_fish!A:A,[1]use_fish!J:J),0),_xlfn.IFNA(LOOKUP(R104,[1]use_fish!A:A,[1]use_fish!J:J),0),_xlfn.IFNA(LOOKUP(S104,[1]use_fish!A:A,[1]use_fish!J:J),0),_xlfn.IFNA(LOOKUP(T104,[1]use_fish!A:A,[1]use_fish!J:J),0),_xlfn.IFNA(LOOKUP(U104,[1]use_fish!A:A,[1]use_fish!J:J),0),_xlfn.IFNA(LOOKUP(V104,[1]use_fish!A:A,[1]use_fish!J:J),0),_xlfn.IFNA(LOOKUP(W104,[1]use_fish!A:A,[1]use_fish!J:J),0),)</f>
        <v>0</v>
      </c>
      <c r="R104">
        <v>89</v>
      </c>
    </row>
    <row r="105" spans="1:18" x14ac:dyDescent="0.2">
      <c r="A105">
        <v>104</v>
      </c>
      <c r="B105">
        <v>1</v>
      </c>
      <c r="C105" t="s">
        <v>135</v>
      </c>
      <c r="H105">
        <f>SUM(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_xlfn.IFNA(LOOKUP(X105,use_fish!A:A,use_fish!D:D),0),)</f>
        <v>130</v>
      </c>
      <c r="I105">
        <f>SUM(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_xlfn.IFNA(LOOKUP(X105,use_fish!A:A,use_fish!H:H),0),)</f>
        <v>130</v>
      </c>
      <c r="J105" s="2">
        <f>SUM(_xlfn.IFNA(LOOKUP(Q105,[1]use_fish!A:A,[1]use_fish!J:J),0),_xlfn.IFNA(LOOKUP(R105,[1]use_fish!A:A,[1]use_fish!J:J),0),_xlfn.IFNA(LOOKUP(S105,[1]use_fish!A:A,[1]use_fish!J:J),0),_xlfn.IFNA(LOOKUP(T105,[1]use_fish!A:A,[1]use_fish!J:J),0),_xlfn.IFNA(LOOKUP(U105,[1]use_fish!A:A,[1]use_fish!J:J),0),_xlfn.IFNA(LOOKUP(V105,[1]use_fish!A:A,[1]use_fish!J:J),0),_xlfn.IFNA(LOOKUP(W105,[1]use_fish!A:A,[1]use_fish!J:J),0),)</f>
        <v>0</v>
      </c>
      <c r="R105">
        <v>90</v>
      </c>
    </row>
    <row r="106" spans="1:18" x14ac:dyDescent="0.2">
      <c r="A106">
        <v>105</v>
      </c>
      <c r="B106">
        <v>1</v>
      </c>
      <c r="C106" t="s">
        <v>136</v>
      </c>
      <c r="H106">
        <f>SUM(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_xlfn.IFNA(LOOKUP(X106,use_fish!A:A,use_fish!D:D),0),)</f>
        <v>120</v>
      </c>
      <c r="I106">
        <f>SUM(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_xlfn.IFNA(LOOKUP(X106,use_fish!A:A,use_fish!H:H),0),)</f>
        <v>120</v>
      </c>
      <c r="J106" s="2">
        <f>SUM(_xlfn.IFNA(LOOKUP(Q106,[1]use_fish!A:A,[1]use_fish!J:J),0),_xlfn.IFNA(LOOKUP(R106,[1]use_fish!A:A,[1]use_fish!J:J),0),_xlfn.IFNA(LOOKUP(S106,[1]use_fish!A:A,[1]use_fish!J:J),0),_xlfn.IFNA(LOOKUP(T106,[1]use_fish!A:A,[1]use_fish!J:J),0),_xlfn.IFNA(LOOKUP(U106,[1]use_fish!A:A,[1]use_fish!J:J),0),_xlfn.IFNA(LOOKUP(V106,[1]use_fish!A:A,[1]use_fish!J:J),0),_xlfn.IFNA(LOOKUP(W106,[1]use_fish!A:A,[1]use_fish!J:J),0),)</f>
        <v>0</v>
      </c>
      <c r="R106">
        <v>91</v>
      </c>
    </row>
    <row r="107" spans="1:18" x14ac:dyDescent="0.2">
      <c r="A107">
        <v>106</v>
      </c>
      <c r="B107">
        <v>1</v>
      </c>
      <c r="C107" t="s">
        <v>137</v>
      </c>
      <c r="H107">
        <f>SUM(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_xlfn.IFNA(LOOKUP(X107,use_fish!A:A,use_fish!D:D),0),)</f>
        <v>183</v>
      </c>
      <c r="I107">
        <f>SUM(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_xlfn.IFNA(LOOKUP(X107,use_fish!A:A,use_fish!H:H),0),)</f>
        <v>183</v>
      </c>
      <c r="J107" s="2">
        <f>SUM(_xlfn.IFNA(LOOKUP(Q107,[1]use_fish!A:A,[1]use_fish!J:J),0),_xlfn.IFNA(LOOKUP(R107,[1]use_fish!A:A,[1]use_fish!J:J),0),_xlfn.IFNA(LOOKUP(S107,[1]use_fish!A:A,[1]use_fish!J:J),0),_xlfn.IFNA(LOOKUP(T107,[1]use_fish!A:A,[1]use_fish!J:J),0),_xlfn.IFNA(LOOKUP(U107,[1]use_fish!A:A,[1]use_fish!J:J),0),_xlfn.IFNA(LOOKUP(V107,[1]use_fish!A:A,[1]use_fish!J:J),0),_xlfn.IFNA(LOOKUP(W107,[1]use_fish!A:A,[1]use_fish!J:J),0),)</f>
        <v>0</v>
      </c>
      <c r="R107">
        <v>92</v>
      </c>
    </row>
    <row r="108" spans="1:18" x14ac:dyDescent="0.2">
      <c r="A108">
        <v>107</v>
      </c>
      <c r="B108">
        <v>1</v>
      </c>
      <c r="C108" t="s">
        <v>138</v>
      </c>
      <c r="H108">
        <f>SUM(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_xlfn.IFNA(LOOKUP(X108,use_fish!A:A,use_fish!D:D),0),)</f>
        <v>183</v>
      </c>
      <c r="I108">
        <f>SUM(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_xlfn.IFNA(LOOKUP(X108,use_fish!A:A,use_fish!H:H),0),)</f>
        <v>183</v>
      </c>
      <c r="J108" s="2">
        <f>SUM(_xlfn.IFNA(LOOKUP(Q108,[1]use_fish!A:A,[1]use_fish!J:J),0),_xlfn.IFNA(LOOKUP(R108,[1]use_fish!A:A,[1]use_fish!J:J),0),_xlfn.IFNA(LOOKUP(S108,[1]use_fish!A:A,[1]use_fish!J:J),0),_xlfn.IFNA(LOOKUP(T108,[1]use_fish!A:A,[1]use_fish!J:J),0),_xlfn.IFNA(LOOKUP(U108,[1]use_fish!A:A,[1]use_fish!J:J),0),_xlfn.IFNA(LOOKUP(V108,[1]use_fish!A:A,[1]use_fish!J:J),0),_xlfn.IFNA(LOOKUP(W108,[1]use_fish!A:A,[1]use_fish!J:J),0),)</f>
        <v>0</v>
      </c>
      <c r="R108">
        <v>93</v>
      </c>
    </row>
    <row r="109" spans="1:18" x14ac:dyDescent="0.2">
      <c r="A109">
        <v>108</v>
      </c>
      <c r="B109">
        <v>1</v>
      </c>
      <c r="C109" t="s">
        <v>139</v>
      </c>
      <c r="H109">
        <f>SUM(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_xlfn.IFNA(LOOKUP(X109,use_fish!A:A,use_fish!D:D),0),)</f>
        <v>170</v>
      </c>
      <c r="I109">
        <f>SUM(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_xlfn.IFNA(LOOKUP(X109,use_fish!A:A,use_fish!H:H),0),)</f>
        <v>170</v>
      </c>
      <c r="J109" s="2">
        <f>SUM(_xlfn.IFNA(LOOKUP(Q109,[1]use_fish!A:A,[1]use_fish!J:J),0),_xlfn.IFNA(LOOKUP(R109,[1]use_fish!A:A,[1]use_fish!J:J),0),_xlfn.IFNA(LOOKUP(S109,[1]use_fish!A:A,[1]use_fish!J:J),0),_xlfn.IFNA(LOOKUP(T109,[1]use_fish!A:A,[1]use_fish!J:J),0),_xlfn.IFNA(LOOKUP(U109,[1]use_fish!A:A,[1]use_fish!J:J),0),_xlfn.IFNA(LOOKUP(V109,[1]use_fish!A:A,[1]use_fish!J:J),0),_xlfn.IFNA(LOOKUP(W109,[1]use_fish!A:A,[1]use_fish!J:J),0),)</f>
        <v>0</v>
      </c>
      <c r="R109">
        <v>94</v>
      </c>
    </row>
    <row r="110" spans="1:18" x14ac:dyDescent="0.2">
      <c r="A110">
        <v>109</v>
      </c>
      <c r="B110">
        <v>1</v>
      </c>
      <c r="C110" t="s">
        <v>140</v>
      </c>
      <c r="H110">
        <f>SUM(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_xlfn.IFNA(LOOKUP(X110,use_fish!A:A,use_fish!D:D),0),)</f>
        <v>170</v>
      </c>
      <c r="I110">
        <f>SUM(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_xlfn.IFNA(LOOKUP(X110,use_fish!A:A,use_fish!H:H),0),)</f>
        <v>170</v>
      </c>
      <c r="J110" s="2">
        <f>SUM(_xlfn.IFNA(LOOKUP(Q110,[1]use_fish!A:A,[1]use_fish!J:J),0),_xlfn.IFNA(LOOKUP(R110,[1]use_fish!A:A,[1]use_fish!J:J),0),_xlfn.IFNA(LOOKUP(S110,[1]use_fish!A:A,[1]use_fish!J:J),0),_xlfn.IFNA(LOOKUP(T110,[1]use_fish!A:A,[1]use_fish!J:J),0),_xlfn.IFNA(LOOKUP(U110,[1]use_fish!A:A,[1]use_fish!J:J),0),_xlfn.IFNA(LOOKUP(V110,[1]use_fish!A:A,[1]use_fish!J:J),0),_xlfn.IFNA(LOOKUP(W110,[1]use_fish!A:A,[1]use_fish!J:J),0),)</f>
        <v>0</v>
      </c>
      <c r="R110">
        <v>95</v>
      </c>
    </row>
    <row r="111" spans="1:18" x14ac:dyDescent="0.2">
      <c r="A111">
        <v>110</v>
      </c>
      <c r="B111">
        <v>1</v>
      </c>
      <c r="C111" t="s">
        <v>141</v>
      </c>
      <c r="H111">
        <f>SUM(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_xlfn.IFNA(LOOKUP(X111,use_fish!A:A,use_fish!D:D),0),)</f>
        <v>170</v>
      </c>
      <c r="I111">
        <f>SUM(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_xlfn.IFNA(LOOKUP(X111,use_fish!A:A,use_fish!H:H),0),)</f>
        <v>170</v>
      </c>
      <c r="J111" s="2">
        <f>SUM(_xlfn.IFNA(LOOKUP(Q111,[1]use_fish!A:A,[1]use_fish!J:J),0),_xlfn.IFNA(LOOKUP(R111,[1]use_fish!A:A,[1]use_fish!J:J),0),_xlfn.IFNA(LOOKUP(S111,[1]use_fish!A:A,[1]use_fish!J:J),0),_xlfn.IFNA(LOOKUP(T111,[1]use_fish!A:A,[1]use_fish!J:J),0),_xlfn.IFNA(LOOKUP(U111,[1]use_fish!A:A,[1]use_fish!J:J),0),_xlfn.IFNA(LOOKUP(V111,[1]use_fish!A:A,[1]use_fish!J:J),0),_xlfn.IFNA(LOOKUP(W111,[1]use_fish!A:A,[1]use_fish!J:J),0),)</f>
        <v>0</v>
      </c>
      <c r="R111">
        <v>96</v>
      </c>
    </row>
    <row r="112" spans="1:18" x14ac:dyDescent="0.2">
      <c r="A112">
        <v>111</v>
      </c>
      <c r="B112">
        <v>1</v>
      </c>
      <c r="C112" t="s">
        <v>142</v>
      </c>
      <c r="H112">
        <f>SUM(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_xlfn.IFNA(LOOKUP(X112,use_fish!A:A,use_fish!D:D),0),)</f>
        <v>120</v>
      </c>
      <c r="I112">
        <f>SUM(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_xlfn.IFNA(LOOKUP(X112,use_fish!A:A,use_fish!H:H),0),)</f>
        <v>120</v>
      </c>
      <c r="J112" s="2">
        <f>SUM(_xlfn.IFNA(LOOKUP(Q112,[1]use_fish!A:A,[1]use_fish!J:J),0),_xlfn.IFNA(LOOKUP(R112,[1]use_fish!A:A,[1]use_fish!J:J),0),_xlfn.IFNA(LOOKUP(S112,[1]use_fish!A:A,[1]use_fish!J:J),0),_xlfn.IFNA(LOOKUP(T112,[1]use_fish!A:A,[1]use_fish!J:J),0),_xlfn.IFNA(LOOKUP(U112,[1]use_fish!A:A,[1]use_fish!J:J),0),_xlfn.IFNA(LOOKUP(V112,[1]use_fish!A:A,[1]use_fish!J:J),0),_xlfn.IFNA(LOOKUP(W112,[1]use_fish!A:A,[1]use_fish!J:J),0),)</f>
        <v>0</v>
      </c>
      <c r="R112">
        <v>97</v>
      </c>
    </row>
    <row r="113" spans="1:21" x14ac:dyDescent="0.2">
      <c r="A113">
        <v>112</v>
      </c>
      <c r="B113">
        <v>1</v>
      </c>
      <c r="C113" t="s">
        <v>143</v>
      </c>
      <c r="H113">
        <f>SUM(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_xlfn.IFNA(LOOKUP(X113,use_fish!A:A,use_fish!D:D),0),)</f>
        <v>120</v>
      </c>
      <c r="I113">
        <f>SUM(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_xlfn.IFNA(LOOKUP(X113,use_fish!A:A,use_fish!H:H),0),)</f>
        <v>120</v>
      </c>
      <c r="J113" s="2">
        <f>SUM(_xlfn.IFNA(LOOKUP(Q113,[1]use_fish!A:A,[1]use_fish!J:J),0),_xlfn.IFNA(LOOKUP(R113,[1]use_fish!A:A,[1]use_fish!J:J),0),_xlfn.IFNA(LOOKUP(S113,[1]use_fish!A:A,[1]use_fish!J:J),0),_xlfn.IFNA(LOOKUP(T113,[1]use_fish!A:A,[1]use_fish!J:J),0),_xlfn.IFNA(LOOKUP(U113,[1]use_fish!A:A,[1]use_fish!J:J),0),_xlfn.IFNA(LOOKUP(V113,[1]use_fish!A:A,[1]use_fish!J:J),0),_xlfn.IFNA(LOOKUP(W113,[1]use_fish!A:A,[1]use_fish!J:J),0),)</f>
        <v>0</v>
      </c>
      <c r="R113">
        <v>98</v>
      </c>
    </row>
    <row r="114" spans="1:21" x14ac:dyDescent="0.2">
      <c r="A114">
        <v>113</v>
      </c>
      <c r="B114">
        <v>1</v>
      </c>
      <c r="C114" t="s">
        <v>144</v>
      </c>
      <c r="H114">
        <f>SUM(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_xlfn.IFNA(LOOKUP(X114,use_fish!A:A,use_fish!D:D),0),)</f>
        <v>120</v>
      </c>
      <c r="I114">
        <f>SUM(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_xlfn.IFNA(LOOKUP(X114,use_fish!A:A,use_fish!H:H),0),)</f>
        <v>120</v>
      </c>
      <c r="J114" s="2">
        <f>SUM(_xlfn.IFNA(LOOKUP(Q114,[1]use_fish!A:A,[1]use_fish!J:J),0),_xlfn.IFNA(LOOKUP(R114,[1]use_fish!A:A,[1]use_fish!J:J),0),_xlfn.IFNA(LOOKUP(S114,[1]use_fish!A:A,[1]use_fish!J:J),0),_xlfn.IFNA(LOOKUP(T114,[1]use_fish!A:A,[1]use_fish!J:J),0),_xlfn.IFNA(LOOKUP(U114,[1]use_fish!A:A,[1]use_fish!J:J),0),_xlfn.IFNA(LOOKUP(V114,[1]use_fish!A:A,[1]use_fish!J:J),0),_xlfn.IFNA(LOOKUP(W114,[1]use_fish!A:A,[1]use_fish!J:J),0),)</f>
        <v>0</v>
      </c>
      <c r="R114">
        <v>99</v>
      </c>
    </row>
    <row r="115" spans="1:21" x14ac:dyDescent="0.2">
      <c r="A115">
        <v>114</v>
      </c>
      <c r="B115">
        <v>1</v>
      </c>
      <c r="C115" t="s">
        <v>145</v>
      </c>
      <c r="H115">
        <f>SUM(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_xlfn.IFNA(LOOKUP(X115,use_fish!A:A,use_fish!D:D),0),)</f>
        <v>150</v>
      </c>
      <c r="I115">
        <f>SUM(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_xlfn.IFNA(LOOKUP(X115,use_fish!A:A,use_fish!H:H),0),)</f>
        <v>150</v>
      </c>
      <c r="J115" s="2">
        <f>SUM(_xlfn.IFNA(LOOKUP(Q115,[1]use_fish!A:A,[1]use_fish!J:J),0),_xlfn.IFNA(LOOKUP(R115,[1]use_fish!A:A,[1]use_fish!J:J),0),_xlfn.IFNA(LOOKUP(S115,[1]use_fish!A:A,[1]use_fish!J:J),0),_xlfn.IFNA(LOOKUP(T115,[1]use_fish!A:A,[1]use_fish!J:J),0),_xlfn.IFNA(LOOKUP(U115,[1]use_fish!A:A,[1]use_fish!J:J),0),_xlfn.IFNA(LOOKUP(V115,[1]use_fish!A:A,[1]use_fish!J:J),0),_xlfn.IFNA(LOOKUP(W115,[1]use_fish!A:A,[1]use_fish!J:J),0),)</f>
        <v>0</v>
      </c>
      <c r="R115">
        <v>100</v>
      </c>
    </row>
    <row r="116" spans="1:21" x14ac:dyDescent="0.2">
      <c r="A116">
        <v>115</v>
      </c>
      <c r="B116">
        <v>1</v>
      </c>
      <c r="C116" t="s">
        <v>146</v>
      </c>
      <c r="H116">
        <f>SUM(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_xlfn.IFNA(LOOKUP(X116,use_fish!A:A,use_fish!D:D),0),)</f>
        <v>140</v>
      </c>
      <c r="I116">
        <f>SUM(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_xlfn.IFNA(LOOKUP(X116,use_fish!A:A,use_fish!H:H),0),)</f>
        <v>140</v>
      </c>
      <c r="J116" s="2">
        <f>SUM(_xlfn.IFNA(LOOKUP(Q116,[1]use_fish!A:A,[1]use_fish!J:J),0),_xlfn.IFNA(LOOKUP(R116,[1]use_fish!A:A,[1]use_fish!J:J),0),_xlfn.IFNA(LOOKUP(S116,[1]use_fish!A:A,[1]use_fish!J:J),0),_xlfn.IFNA(LOOKUP(T116,[1]use_fish!A:A,[1]use_fish!J:J),0),_xlfn.IFNA(LOOKUP(U116,[1]use_fish!A:A,[1]use_fish!J:J),0),_xlfn.IFNA(LOOKUP(V116,[1]use_fish!A:A,[1]use_fish!J:J),0),_xlfn.IFNA(LOOKUP(W116,[1]use_fish!A:A,[1]use_fish!J:J),0),)</f>
        <v>0</v>
      </c>
      <c r="R116">
        <v>101</v>
      </c>
    </row>
    <row r="117" spans="1:21" x14ac:dyDescent="0.2">
      <c r="A117">
        <v>116</v>
      </c>
      <c r="B117">
        <v>3</v>
      </c>
      <c r="C117" t="s">
        <v>183</v>
      </c>
      <c r="H117">
        <f>SUM(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_xlfn.IFNA(LOOKUP(X117,use_fish!A:A,use_fish!D:D),0),)</f>
        <v>66</v>
      </c>
      <c r="I117">
        <f>SUM(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_xlfn.IFNA(LOOKUP(X117,use_fish!A:A,use_fish!H:H),0),)</f>
        <v>66</v>
      </c>
      <c r="J117" s="2">
        <f>SUM(_xlfn.IFNA(LOOKUP(Q117,[1]use_fish!A:A,[1]use_fish!J:J),0),_xlfn.IFNA(LOOKUP(R117,[1]use_fish!A:A,[1]use_fish!J:J),0),_xlfn.IFNA(LOOKUP(S117,[1]use_fish!A:A,[1]use_fish!J:J),0),_xlfn.IFNA(LOOKUP(T117,[1]use_fish!A:A,[1]use_fish!J:J),0),_xlfn.IFNA(LOOKUP(U117,[1]use_fish!A:A,[1]use_fish!J:J),0),_xlfn.IFNA(LOOKUP(V117,[1]use_fish!A:A,[1]use_fish!J:J),0),_xlfn.IFNA(LOOKUP(W117,[1]use_fish!A:A,[1]use_fish!J:J),0),)</f>
        <v>0</v>
      </c>
      <c r="R117">
        <v>4</v>
      </c>
      <c r="S117">
        <v>9</v>
      </c>
      <c r="T117">
        <v>4</v>
      </c>
    </row>
    <row r="118" spans="1:21" x14ac:dyDescent="0.2">
      <c r="A118">
        <v>117</v>
      </c>
      <c r="B118">
        <v>3</v>
      </c>
      <c r="C118" t="s">
        <v>184</v>
      </c>
      <c r="H118">
        <f>SUM(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_xlfn.IFNA(LOOKUP(X118,use_fish!A:A,use_fish!D:D),0),)</f>
        <v>70</v>
      </c>
      <c r="I118">
        <f>SUM(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_xlfn.IFNA(LOOKUP(X118,use_fish!A:A,use_fish!H:H),0),)</f>
        <v>70</v>
      </c>
      <c r="J118" s="2">
        <f>SUM(_xlfn.IFNA(LOOKUP(Q118,[1]use_fish!A:A,[1]use_fish!J:J),0),_xlfn.IFNA(LOOKUP(R118,[1]use_fish!A:A,[1]use_fish!J:J),0),_xlfn.IFNA(LOOKUP(S118,[1]use_fish!A:A,[1]use_fish!J:J),0),_xlfn.IFNA(LOOKUP(T118,[1]use_fish!A:A,[1]use_fish!J:J),0),_xlfn.IFNA(LOOKUP(U118,[1]use_fish!A:A,[1]use_fish!J:J),0),_xlfn.IFNA(LOOKUP(V118,[1]use_fish!A:A,[1]use_fish!J:J),0),_xlfn.IFNA(LOOKUP(W118,[1]use_fish!A:A,[1]use_fish!J:J),0),)</f>
        <v>0</v>
      </c>
      <c r="R118">
        <v>5</v>
      </c>
      <c r="S118">
        <v>8</v>
      </c>
      <c r="T118">
        <v>5</v>
      </c>
    </row>
    <row r="119" spans="1:21" x14ac:dyDescent="0.2">
      <c r="A119">
        <v>118</v>
      </c>
      <c r="B119">
        <v>3</v>
      </c>
      <c r="C119" t="s">
        <v>185</v>
      </c>
      <c r="H119">
        <f>SUM(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_xlfn.IFNA(LOOKUP(X119,use_fish!A:A,use_fish!D:D),0),)</f>
        <v>70</v>
      </c>
      <c r="I119">
        <f>SUM(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_xlfn.IFNA(LOOKUP(X119,use_fish!A:A,use_fish!H:H),0),)</f>
        <v>70</v>
      </c>
      <c r="J119" s="2">
        <f>SUM(_xlfn.IFNA(LOOKUP(Q119,[1]use_fish!A:A,[1]use_fish!J:J),0),_xlfn.IFNA(LOOKUP(R119,[1]use_fish!A:A,[1]use_fish!J:J),0),_xlfn.IFNA(LOOKUP(S119,[1]use_fish!A:A,[1]use_fish!J:J),0),_xlfn.IFNA(LOOKUP(T119,[1]use_fish!A:A,[1]use_fish!J:J),0),_xlfn.IFNA(LOOKUP(U119,[1]use_fish!A:A,[1]use_fish!J:J),0),_xlfn.IFNA(LOOKUP(V119,[1]use_fish!A:A,[1]use_fish!J:J),0),_xlfn.IFNA(LOOKUP(W119,[1]use_fish!A:A,[1]use_fish!J:J),0),)</f>
        <v>0</v>
      </c>
      <c r="R119">
        <v>6</v>
      </c>
      <c r="S119">
        <v>7</v>
      </c>
      <c r="T119">
        <v>6</v>
      </c>
    </row>
    <row r="120" spans="1:21" x14ac:dyDescent="0.2">
      <c r="A120">
        <v>119</v>
      </c>
      <c r="B120">
        <v>3</v>
      </c>
      <c r="C120" t="s">
        <v>186</v>
      </c>
      <c r="H120">
        <f>SUM(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_xlfn.IFNA(LOOKUP(X120,use_fish!A:A,use_fish!D:D),0),)</f>
        <v>100</v>
      </c>
      <c r="I120">
        <f>SUM(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_xlfn.IFNA(LOOKUP(X120,use_fish!A:A,use_fish!H:H),0),)</f>
        <v>100</v>
      </c>
      <c r="J120" s="2">
        <f>SUM(_xlfn.IFNA(LOOKUP(Q120,[1]use_fish!A:A,[1]use_fish!J:J),0),_xlfn.IFNA(LOOKUP(R120,[1]use_fish!A:A,[1]use_fish!J:J),0),_xlfn.IFNA(LOOKUP(S120,[1]use_fish!A:A,[1]use_fish!J:J),0),_xlfn.IFNA(LOOKUP(T120,[1]use_fish!A:A,[1]use_fish!J:J),0),_xlfn.IFNA(LOOKUP(U120,[1]use_fish!A:A,[1]use_fish!J:J),0),_xlfn.IFNA(LOOKUP(V120,[1]use_fish!A:A,[1]use_fish!J:J),0),_xlfn.IFNA(LOOKUP(W120,[1]use_fish!A:A,[1]use_fish!J:J),0),)</f>
        <v>0</v>
      </c>
      <c r="R120">
        <v>7</v>
      </c>
      <c r="S120">
        <v>8</v>
      </c>
      <c r="T120">
        <v>7</v>
      </c>
    </row>
    <row r="121" spans="1:21" x14ac:dyDescent="0.2">
      <c r="A121">
        <v>120</v>
      </c>
      <c r="B121">
        <v>3</v>
      </c>
      <c r="C121" t="s">
        <v>187</v>
      </c>
      <c r="H121">
        <f>SUM(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_xlfn.IFNA(LOOKUP(X121,use_fish!A:A,use_fish!D:D),0),)</f>
        <v>140</v>
      </c>
      <c r="I121">
        <f>SUM(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_xlfn.IFNA(LOOKUP(X121,use_fish!A:A,use_fish!H:H),0),)</f>
        <v>140</v>
      </c>
      <c r="J121" s="2">
        <f>SUM(_xlfn.IFNA(LOOKUP(Q121,[1]use_fish!A:A,[1]use_fish!J:J),0),_xlfn.IFNA(LOOKUP(R121,[1]use_fish!A:A,[1]use_fish!J:J),0),_xlfn.IFNA(LOOKUP(S121,[1]use_fish!A:A,[1]use_fish!J:J),0),_xlfn.IFNA(LOOKUP(T121,[1]use_fish!A:A,[1]use_fish!J:J),0),_xlfn.IFNA(LOOKUP(U121,[1]use_fish!A:A,[1]use_fish!J:J),0),_xlfn.IFNA(LOOKUP(V121,[1]use_fish!A:A,[1]use_fish!J:J),0),_xlfn.IFNA(LOOKUP(W121,[1]use_fish!A:A,[1]use_fish!J:J),0),)</f>
        <v>0</v>
      </c>
      <c r="R121">
        <v>8</v>
      </c>
      <c r="S121">
        <v>10</v>
      </c>
      <c r="T121">
        <v>8</v>
      </c>
    </row>
    <row r="122" spans="1:21" x14ac:dyDescent="0.2">
      <c r="A122">
        <v>121</v>
      </c>
      <c r="B122">
        <v>3</v>
      </c>
      <c r="C122" t="s">
        <v>188</v>
      </c>
      <c r="H122">
        <f>SUM(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_xlfn.IFNA(LOOKUP(X122,use_fish!A:A,use_fish!D:D),0),)</f>
        <v>56</v>
      </c>
      <c r="I122">
        <f>SUM(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_xlfn.IFNA(LOOKUP(X122,use_fish!A:A,use_fish!H:H),0),)</f>
        <v>56</v>
      </c>
      <c r="J122" s="2">
        <f>SUM(_xlfn.IFNA(LOOKUP(Q122,[1]use_fish!A:A,[1]use_fish!J:J),0),_xlfn.IFNA(LOOKUP(R122,[1]use_fish!A:A,[1]use_fish!J:J),0),_xlfn.IFNA(LOOKUP(S122,[1]use_fish!A:A,[1]use_fish!J:J),0),_xlfn.IFNA(LOOKUP(T122,[1]use_fish!A:A,[1]use_fish!J:J),0),_xlfn.IFNA(LOOKUP(U122,[1]use_fish!A:A,[1]use_fish!J:J),0),_xlfn.IFNA(LOOKUP(V122,[1]use_fish!A:A,[1]use_fish!J:J),0),_xlfn.IFNA(LOOKUP(W122,[1]use_fish!A:A,[1]use_fish!J:J),0),)</f>
        <v>0</v>
      </c>
      <c r="R122">
        <v>4</v>
      </c>
      <c r="S122">
        <v>8</v>
      </c>
      <c r="T122">
        <v>4</v>
      </c>
    </row>
    <row r="123" spans="1:21" x14ac:dyDescent="0.2">
      <c r="A123">
        <v>122</v>
      </c>
      <c r="B123">
        <v>4</v>
      </c>
      <c r="C123" t="s">
        <v>147</v>
      </c>
      <c r="G123" t="s">
        <v>148</v>
      </c>
      <c r="H123">
        <f>SUM(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_xlfn.IFNA(LOOKUP(X123,use_fish!A:A,use_fish!D:D),0),)</f>
        <v>125</v>
      </c>
      <c r="I123">
        <f>SUM(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_xlfn.IFNA(LOOKUP(X123,use_fish!A:A,use_fish!H:H),0),)</f>
        <v>125</v>
      </c>
      <c r="J123" s="2">
        <f>SUM(_xlfn.IFNA(LOOKUP(Q123,[1]use_fish!A:A,[1]use_fish!J:J),0),_xlfn.IFNA(LOOKUP(R123,[1]use_fish!A:A,[1]use_fish!J:J),0),_xlfn.IFNA(LOOKUP(S123,[1]use_fish!A:A,[1]use_fish!J:J),0),_xlfn.IFNA(LOOKUP(T123,[1]use_fish!A:A,[1]use_fish!J:J),0),_xlfn.IFNA(LOOKUP(U123,[1]use_fish!A:A,[1]use_fish!J:J),0),_xlfn.IFNA(LOOKUP(V123,[1]use_fish!A:A,[1]use_fish!J:J),0),_xlfn.IFNA(LOOKUP(W123,[1]use_fish!A:A,[1]use_fish!J:J),0),)</f>
        <v>0</v>
      </c>
      <c r="R123">
        <v>5</v>
      </c>
      <c r="S123">
        <v>8</v>
      </c>
      <c r="T123">
        <v>11</v>
      </c>
    </row>
    <row r="124" spans="1:21" x14ac:dyDescent="0.2">
      <c r="A124">
        <v>123</v>
      </c>
      <c r="B124">
        <v>4</v>
      </c>
      <c r="C124" t="s">
        <v>192</v>
      </c>
      <c r="G124" t="s">
        <v>149</v>
      </c>
      <c r="H124">
        <f>SUM(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_xlfn.IFNA(LOOKUP(X124,use_fish!A:A,use_fish!D:D),0),)</f>
        <v>130</v>
      </c>
      <c r="I124">
        <f>SUM(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_xlfn.IFNA(LOOKUP(X124,use_fish!A:A,use_fish!H:H),0),)</f>
        <v>130</v>
      </c>
      <c r="J124" s="2">
        <f>SUM(_xlfn.IFNA(LOOKUP(Q124,[1]use_fish!A:A,[1]use_fish!J:J),0),_xlfn.IFNA(LOOKUP(R124,[1]use_fish!A:A,[1]use_fish!J:J),0),_xlfn.IFNA(LOOKUP(S124,[1]use_fish!A:A,[1]use_fish!J:J),0),_xlfn.IFNA(LOOKUP(T124,[1]use_fish!A:A,[1]use_fish!J:J),0),_xlfn.IFNA(LOOKUP(U124,[1]use_fish!A:A,[1]use_fish!J:J),0),_xlfn.IFNA(LOOKUP(V124,[1]use_fish!A:A,[1]use_fish!J:J),0),_xlfn.IFNA(LOOKUP(W124,[1]use_fish!A:A,[1]use_fish!J:J),0),)</f>
        <v>0</v>
      </c>
      <c r="R124">
        <v>6</v>
      </c>
      <c r="S124">
        <v>9</v>
      </c>
      <c r="T124">
        <v>10</v>
      </c>
    </row>
    <row r="125" spans="1:21" x14ac:dyDescent="0.2">
      <c r="A125">
        <v>124</v>
      </c>
      <c r="B125">
        <v>4</v>
      </c>
      <c r="C125" t="s">
        <v>193</v>
      </c>
      <c r="G125" t="s">
        <v>150</v>
      </c>
      <c r="H125">
        <f>SUM(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_xlfn.IFNA(LOOKUP(X125,use_fish!A:A,use_fish!D:D),0),)</f>
        <v>130</v>
      </c>
      <c r="I125">
        <f>SUM(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_xlfn.IFNA(LOOKUP(X125,use_fish!A:A,use_fish!H:H),0),)</f>
        <v>130</v>
      </c>
      <c r="J125" s="2">
        <f>SUM(_xlfn.IFNA(LOOKUP(Q125,[1]use_fish!A:A,[1]use_fish!J:J),0),_xlfn.IFNA(LOOKUP(R125,[1]use_fish!A:A,[1]use_fish!J:J),0),_xlfn.IFNA(LOOKUP(S125,[1]use_fish!A:A,[1]use_fish!J:J),0),_xlfn.IFNA(LOOKUP(T125,[1]use_fish!A:A,[1]use_fish!J:J),0),_xlfn.IFNA(LOOKUP(U125,[1]use_fish!A:A,[1]use_fish!J:J),0),_xlfn.IFNA(LOOKUP(V125,[1]use_fish!A:A,[1]use_fish!J:J),0),_xlfn.IFNA(LOOKUP(W125,[1]use_fish!A:A,[1]use_fish!J:J),0),)</f>
        <v>0</v>
      </c>
      <c r="R125">
        <v>7</v>
      </c>
      <c r="S125">
        <v>10</v>
      </c>
      <c r="T125">
        <v>8</v>
      </c>
    </row>
    <row r="126" spans="1:21" x14ac:dyDescent="0.2">
      <c r="A126">
        <v>125</v>
      </c>
      <c r="B126">
        <v>4</v>
      </c>
      <c r="C126" t="s">
        <v>194</v>
      </c>
      <c r="G126" t="s">
        <v>151</v>
      </c>
      <c r="H126">
        <f>SUM(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_xlfn.IFNA(LOOKUP(X126,use_fish!A:A,use_fish!D:D),0),)</f>
        <v>130</v>
      </c>
      <c r="I126">
        <f>SUM(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_xlfn.IFNA(LOOKUP(X126,use_fish!A:A,use_fish!H:H),0),)</f>
        <v>130</v>
      </c>
      <c r="J126" s="2">
        <f>SUM(_xlfn.IFNA(LOOKUP(Q126,[1]use_fish!A:A,[1]use_fish!J:J),0),_xlfn.IFNA(LOOKUP(R126,[1]use_fish!A:A,[1]use_fish!J:J),0),_xlfn.IFNA(LOOKUP(S126,[1]use_fish!A:A,[1]use_fish!J:J),0),_xlfn.IFNA(LOOKUP(T126,[1]use_fish!A:A,[1]use_fish!J:J),0),_xlfn.IFNA(LOOKUP(U126,[1]use_fish!A:A,[1]use_fish!J:J),0),_xlfn.IFNA(LOOKUP(V126,[1]use_fish!A:A,[1]use_fish!J:J),0),_xlfn.IFNA(LOOKUP(W126,[1]use_fish!A:A,[1]use_fish!J:J),0),)</f>
        <v>0</v>
      </c>
      <c r="R126">
        <v>8</v>
      </c>
      <c r="S126">
        <v>10</v>
      </c>
      <c r="T126">
        <v>7</v>
      </c>
    </row>
    <row r="127" spans="1:21" x14ac:dyDescent="0.2">
      <c r="A127">
        <v>126</v>
      </c>
      <c r="B127">
        <v>4</v>
      </c>
      <c r="C127" t="s">
        <v>195</v>
      </c>
      <c r="G127" t="s">
        <v>150</v>
      </c>
      <c r="H127">
        <f>SUM(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_xlfn.IFNA(LOOKUP(X127,use_fish!A:A,use_fish!D:D),0),)</f>
        <v>73</v>
      </c>
      <c r="I127">
        <f>SUM(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_xlfn.IFNA(LOOKUP(X127,use_fish!A:A,use_fish!H:H),0),)</f>
        <v>73</v>
      </c>
      <c r="J127" s="2">
        <f>SUM(_xlfn.IFNA(LOOKUP(Q127,[1]use_fish!A:A,[1]use_fish!J:J),0),_xlfn.IFNA(LOOKUP(R127,[1]use_fish!A:A,[1]use_fish!J:J),0),_xlfn.IFNA(LOOKUP(S127,[1]use_fish!A:A,[1]use_fish!J:J),0),_xlfn.IFNA(LOOKUP(T127,[1]use_fish!A:A,[1]use_fish!J:J),0),_xlfn.IFNA(LOOKUP(U127,[1]use_fish!A:A,[1]use_fish!J:J),0),_xlfn.IFNA(LOOKUP(V127,[1]use_fish!A:A,[1]use_fish!J:J),0),_xlfn.IFNA(LOOKUP(W127,[1]use_fish!A:A,[1]use_fish!J:J),0),)</f>
        <v>0</v>
      </c>
      <c r="R127">
        <v>4</v>
      </c>
      <c r="S127">
        <v>5</v>
      </c>
      <c r="T127">
        <v>9</v>
      </c>
    </row>
    <row r="128" spans="1:21" x14ac:dyDescent="0.2">
      <c r="A128">
        <v>127</v>
      </c>
      <c r="B128">
        <v>4</v>
      </c>
      <c r="C128" t="s">
        <v>196</v>
      </c>
      <c r="G128" t="s">
        <v>152</v>
      </c>
      <c r="H128">
        <f>SUM(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_xlfn.IFNA(LOOKUP(X128,use_fish!A:A,use_fish!D:D),0),)</f>
        <v>123</v>
      </c>
      <c r="I128">
        <f>SUM(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_xlfn.IFNA(LOOKUP(X128,use_fish!A:A,use_fish!H:H),0),)</f>
        <v>123</v>
      </c>
      <c r="J128" s="2">
        <f>SUM(_xlfn.IFNA(LOOKUP(Q128,[1]use_fish!A:A,[1]use_fish!J:J),0),_xlfn.IFNA(LOOKUP(R128,[1]use_fish!A:A,[1]use_fish!J:J),0),_xlfn.IFNA(LOOKUP(S128,[1]use_fish!A:A,[1]use_fish!J:J),0),_xlfn.IFNA(LOOKUP(T128,[1]use_fish!A:A,[1]use_fish!J:J),0),_xlfn.IFNA(LOOKUP(U128,[1]use_fish!A:A,[1]use_fish!J:J),0),_xlfn.IFNA(LOOKUP(V128,[1]use_fish!A:A,[1]use_fish!J:J),0),_xlfn.IFNA(LOOKUP(W128,[1]use_fish!A:A,[1]use_fish!J:J),0),)</f>
        <v>0</v>
      </c>
      <c r="R128">
        <v>4</v>
      </c>
      <c r="S128">
        <v>5</v>
      </c>
      <c r="T128">
        <v>8</v>
      </c>
      <c r="U128">
        <v>10</v>
      </c>
    </row>
    <row r="129" spans="1:21" x14ac:dyDescent="0.2">
      <c r="A129">
        <v>128</v>
      </c>
      <c r="B129">
        <v>4</v>
      </c>
      <c r="C129" t="s">
        <v>197</v>
      </c>
      <c r="G129" t="s">
        <v>153</v>
      </c>
      <c r="H129">
        <f>SUM(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_xlfn.IFNA(LOOKUP(X129,use_fish!A:A,use_fish!D:D),0),)</f>
        <v>123</v>
      </c>
      <c r="I129">
        <f>SUM(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_xlfn.IFNA(LOOKUP(X129,use_fish!A:A,use_fish!H:H),0),)</f>
        <v>123</v>
      </c>
      <c r="J129" s="2">
        <f>SUM(_xlfn.IFNA(LOOKUP(Q129,[1]use_fish!A:A,[1]use_fish!J:J),0),_xlfn.IFNA(LOOKUP(R129,[1]use_fish!A:A,[1]use_fish!J:J),0),_xlfn.IFNA(LOOKUP(S129,[1]use_fish!A:A,[1]use_fish!J:J),0),_xlfn.IFNA(LOOKUP(T129,[1]use_fish!A:A,[1]use_fish!J:J),0),_xlfn.IFNA(LOOKUP(U129,[1]use_fish!A:A,[1]use_fish!J:J),0),_xlfn.IFNA(LOOKUP(V129,[1]use_fish!A:A,[1]use_fish!J:J),0),_xlfn.IFNA(LOOKUP(W129,[1]use_fish!A:A,[1]use_fish!J:J),0),)</f>
        <v>0</v>
      </c>
      <c r="R129">
        <v>4</v>
      </c>
      <c r="S129">
        <v>5</v>
      </c>
      <c r="T129">
        <v>10</v>
      </c>
      <c r="U129">
        <v>8</v>
      </c>
    </row>
    <row r="130" spans="1:21" x14ac:dyDescent="0.2">
      <c r="A130">
        <v>129</v>
      </c>
      <c r="B130">
        <v>1</v>
      </c>
      <c r="C130" t="s">
        <v>198</v>
      </c>
      <c r="H130">
        <f>SUM(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_xlfn.IFNA(LOOKUP(X130,use_fish!A:A,use_fish!D:D),0),)</f>
        <v>6</v>
      </c>
      <c r="I130">
        <f>SUM(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_xlfn.IFNA(LOOKUP(X130,use_fish!A:A,use_fish!H:H),0),)</f>
        <v>6</v>
      </c>
      <c r="J130" s="2">
        <f>SUM(_xlfn.IFNA(LOOKUP(Q130,[1]use_fish!A:A,[1]use_fish!J:J),0),_xlfn.IFNA(LOOKUP(R130,[1]use_fish!A:A,[1]use_fish!J:J),0),_xlfn.IFNA(LOOKUP(S130,[1]use_fish!A:A,[1]use_fish!J:J),0),_xlfn.IFNA(LOOKUP(T130,[1]use_fish!A:A,[1]use_fish!J:J),0),_xlfn.IFNA(LOOKUP(U130,[1]use_fish!A:A,[1]use_fish!J:J),0),_xlfn.IFNA(LOOKUP(V130,[1]use_fish!A:A,[1]use_fish!J:J),0),_xlfn.IFNA(LOOKUP(W130,[1]use_fish!A:A,[1]use_fish!J:J),0),)</f>
        <v>0</v>
      </c>
      <c r="R130">
        <v>102</v>
      </c>
    </row>
    <row r="131" spans="1:21" x14ac:dyDescent="0.2">
      <c r="A131">
        <v>130</v>
      </c>
      <c r="B131">
        <v>1</v>
      </c>
      <c r="C131" t="s">
        <v>199</v>
      </c>
      <c r="H131">
        <f>SUM(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_xlfn.IFNA(LOOKUP(X131,use_fish!A:A,use_fish!D:D),0),)</f>
        <v>9</v>
      </c>
      <c r="I131">
        <f>SUM(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_xlfn.IFNA(LOOKUP(X131,use_fish!A:A,use_fish!H:H),0),)</f>
        <v>9</v>
      </c>
      <c r="J131" s="2">
        <f>SUM(_xlfn.IFNA(LOOKUP(Q131,[1]use_fish!A:A,[1]use_fish!J:J),0),_xlfn.IFNA(LOOKUP(R131,[1]use_fish!A:A,[1]use_fish!J:J),0),_xlfn.IFNA(LOOKUP(S131,[1]use_fish!A:A,[1]use_fish!J:J),0),_xlfn.IFNA(LOOKUP(T131,[1]use_fish!A:A,[1]use_fish!J:J),0),_xlfn.IFNA(LOOKUP(U131,[1]use_fish!A:A,[1]use_fish!J:J),0),_xlfn.IFNA(LOOKUP(V131,[1]use_fish!A:A,[1]use_fish!J:J),0),_xlfn.IFNA(LOOKUP(W131,[1]use_fish!A:A,[1]use_fish!J:J),0),)</f>
        <v>0</v>
      </c>
      <c r="R131">
        <v>103</v>
      </c>
    </row>
    <row r="132" spans="1:21" x14ac:dyDescent="0.2">
      <c r="A132">
        <v>131</v>
      </c>
      <c r="B132">
        <v>1</v>
      </c>
      <c r="C132" t="s">
        <v>200</v>
      </c>
      <c r="H132">
        <f>SUM(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_xlfn.IFNA(LOOKUP(X132,use_fish!A:A,use_fish!D:D),0),)</f>
        <v>16</v>
      </c>
      <c r="I132">
        <f>SUM(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_xlfn.IFNA(LOOKUP(X132,use_fish!A:A,use_fish!H:H),0),)</f>
        <v>16</v>
      </c>
      <c r="J132" s="2">
        <f>SUM(_xlfn.IFNA(LOOKUP(Q132,[1]use_fish!A:A,[1]use_fish!J:J),0),_xlfn.IFNA(LOOKUP(R132,[1]use_fish!A:A,[1]use_fish!J:J),0),_xlfn.IFNA(LOOKUP(S132,[1]use_fish!A:A,[1]use_fish!J:J),0),_xlfn.IFNA(LOOKUP(T132,[1]use_fish!A:A,[1]use_fish!J:J),0),_xlfn.IFNA(LOOKUP(U132,[1]use_fish!A:A,[1]use_fish!J:J),0),_xlfn.IFNA(LOOKUP(V132,[1]use_fish!A:A,[1]use_fish!J:J),0),_xlfn.IFNA(LOOKUP(W132,[1]use_fish!A:A,[1]use_fish!J:J),0),)</f>
        <v>0</v>
      </c>
      <c r="R132">
        <v>104</v>
      </c>
    </row>
    <row r="133" spans="1:21" x14ac:dyDescent="0.2">
      <c r="A133">
        <v>132</v>
      </c>
      <c r="B133">
        <v>1</v>
      </c>
      <c r="C133" t="s">
        <v>201</v>
      </c>
      <c r="H133">
        <f>SUM(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_xlfn.IFNA(LOOKUP(X133,use_fish!A:A,use_fish!D:D),0),)</f>
        <v>21</v>
      </c>
      <c r="I133">
        <f>SUM(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_xlfn.IFNA(LOOKUP(X133,use_fish!A:A,use_fish!H:H),0),)</f>
        <v>21</v>
      </c>
      <c r="J133" s="2">
        <f>SUM(_xlfn.IFNA(LOOKUP(Q133,[1]use_fish!A:A,[1]use_fish!J:J),0),_xlfn.IFNA(LOOKUP(R133,[1]use_fish!A:A,[1]use_fish!J:J),0),_xlfn.IFNA(LOOKUP(S133,[1]use_fish!A:A,[1]use_fish!J:J),0),_xlfn.IFNA(LOOKUP(T133,[1]use_fish!A:A,[1]use_fish!J:J),0),_xlfn.IFNA(LOOKUP(U133,[1]use_fish!A:A,[1]use_fish!J:J),0),_xlfn.IFNA(LOOKUP(V133,[1]use_fish!A:A,[1]use_fish!J:J),0),_xlfn.IFNA(LOOKUP(W133,[1]use_fish!A:A,[1]use_fish!J:J),0),)</f>
        <v>0</v>
      </c>
      <c r="R133">
        <v>105</v>
      </c>
    </row>
    <row r="134" spans="1:21" x14ac:dyDescent="0.2">
      <c r="A134">
        <v>133</v>
      </c>
      <c r="B134">
        <v>1</v>
      </c>
      <c r="C134" t="s">
        <v>202</v>
      </c>
      <c r="H134">
        <f>SUM(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_xlfn.IFNA(LOOKUP(X134,use_fish!A:A,use_fish!D:D),0),)</f>
        <v>31</v>
      </c>
      <c r="I134">
        <f>SUM(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_xlfn.IFNA(LOOKUP(X134,use_fish!A:A,use_fish!H:H),0),)</f>
        <v>31</v>
      </c>
      <c r="J134" s="2">
        <f>SUM(_xlfn.IFNA(LOOKUP(Q134,[1]use_fish!A:A,[1]use_fish!J:J),0),_xlfn.IFNA(LOOKUP(R134,[1]use_fish!A:A,[1]use_fish!J:J),0),_xlfn.IFNA(LOOKUP(S134,[1]use_fish!A:A,[1]use_fish!J:J),0),_xlfn.IFNA(LOOKUP(T134,[1]use_fish!A:A,[1]use_fish!J:J),0),_xlfn.IFNA(LOOKUP(U134,[1]use_fish!A:A,[1]use_fish!J:J),0),_xlfn.IFNA(LOOKUP(V134,[1]use_fish!A:A,[1]use_fish!J:J),0),_xlfn.IFNA(LOOKUP(W134,[1]use_fish!A:A,[1]use_fish!J:J),0),)</f>
        <v>0</v>
      </c>
      <c r="R134">
        <v>106</v>
      </c>
    </row>
    <row r="135" spans="1:21" x14ac:dyDescent="0.2">
      <c r="A135">
        <v>134</v>
      </c>
      <c r="B135">
        <v>1</v>
      </c>
      <c r="C135" t="s">
        <v>203</v>
      </c>
      <c r="H135">
        <f>SUM(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_xlfn.IFNA(LOOKUP(X135,use_fish!A:A,use_fish!D:D),0),)</f>
        <v>41</v>
      </c>
      <c r="I135">
        <f>SUM(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_xlfn.IFNA(LOOKUP(X135,use_fish!A:A,use_fish!H:H),0),)</f>
        <v>41</v>
      </c>
      <c r="J135" s="2">
        <f>SUM(_xlfn.IFNA(LOOKUP(Q135,[1]use_fish!A:A,[1]use_fish!J:J),0),_xlfn.IFNA(LOOKUP(R135,[1]use_fish!A:A,[1]use_fish!J:J),0),_xlfn.IFNA(LOOKUP(S135,[1]use_fish!A:A,[1]use_fish!J:J),0),_xlfn.IFNA(LOOKUP(T135,[1]use_fish!A:A,[1]use_fish!J:J),0),_xlfn.IFNA(LOOKUP(U135,[1]use_fish!A:A,[1]use_fish!J:J),0),_xlfn.IFNA(LOOKUP(V135,[1]use_fish!A:A,[1]use_fish!J:J),0),_xlfn.IFNA(LOOKUP(W135,[1]use_fish!A:A,[1]use_fish!J:J),0),)</f>
        <v>0</v>
      </c>
      <c r="R135">
        <v>107</v>
      </c>
    </row>
    <row r="136" spans="1:21" x14ac:dyDescent="0.2">
      <c r="A136">
        <v>135</v>
      </c>
      <c r="B136">
        <v>1</v>
      </c>
      <c r="C136" t="s">
        <v>204</v>
      </c>
      <c r="H136">
        <f>SUM(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_xlfn.IFNA(LOOKUP(X136,use_fish!A:A,use_fish!D:D),0),)</f>
        <v>51</v>
      </c>
      <c r="I136">
        <f>SUM(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_xlfn.IFNA(LOOKUP(X136,use_fish!A:A,use_fish!H:H),0),)</f>
        <v>51</v>
      </c>
      <c r="J136" s="2">
        <f>SUM(_xlfn.IFNA(LOOKUP(Q136,[1]use_fish!A:A,[1]use_fish!J:J),0),_xlfn.IFNA(LOOKUP(R136,[1]use_fish!A:A,[1]use_fish!J:J),0),_xlfn.IFNA(LOOKUP(S136,[1]use_fish!A:A,[1]use_fish!J:J),0),_xlfn.IFNA(LOOKUP(T136,[1]use_fish!A:A,[1]use_fish!J:J),0),_xlfn.IFNA(LOOKUP(U136,[1]use_fish!A:A,[1]use_fish!J:J),0),_xlfn.IFNA(LOOKUP(V136,[1]use_fish!A:A,[1]use_fish!J:J),0),_xlfn.IFNA(LOOKUP(W136,[1]use_fish!A:A,[1]use_fish!J:J),0),)</f>
        <v>0</v>
      </c>
      <c r="R136">
        <v>108</v>
      </c>
    </row>
    <row r="137" spans="1:21" x14ac:dyDescent="0.2">
      <c r="A137">
        <v>136</v>
      </c>
      <c r="B137">
        <v>1</v>
      </c>
      <c r="C137" t="s">
        <v>205</v>
      </c>
      <c r="H137">
        <f>SUM(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_xlfn.IFNA(LOOKUP(X137,use_fish!A:A,use_fish!D:D),0),)</f>
        <v>61</v>
      </c>
      <c r="I137">
        <f>SUM(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_xlfn.IFNA(LOOKUP(X137,use_fish!A:A,use_fish!H:H),0),)</f>
        <v>61</v>
      </c>
      <c r="J137" s="2">
        <f>SUM(_xlfn.IFNA(LOOKUP(Q137,[1]use_fish!A:A,[1]use_fish!J:J),0),_xlfn.IFNA(LOOKUP(R137,[1]use_fish!A:A,[1]use_fish!J:J),0),_xlfn.IFNA(LOOKUP(S137,[1]use_fish!A:A,[1]use_fish!J:J),0),_xlfn.IFNA(LOOKUP(T137,[1]use_fish!A:A,[1]use_fish!J:J),0),_xlfn.IFNA(LOOKUP(U137,[1]use_fish!A:A,[1]use_fish!J:J),0),_xlfn.IFNA(LOOKUP(V137,[1]use_fish!A:A,[1]use_fish!J:J),0),_xlfn.IFNA(LOOKUP(W137,[1]use_fish!A:A,[1]use_fish!J:J),0),)</f>
        <v>0</v>
      </c>
      <c r="R137">
        <v>109</v>
      </c>
    </row>
    <row r="138" spans="1:21" x14ac:dyDescent="0.2">
      <c r="A138">
        <v>137</v>
      </c>
      <c r="B138">
        <v>1</v>
      </c>
      <c r="C138" t="s">
        <v>206</v>
      </c>
      <c r="H138">
        <f>SUM(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_xlfn.IFNA(LOOKUP(X138,use_fish!A:A,use_fish!D:D),0),)</f>
        <v>6</v>
      </c>
      <c r="I138">
        <f>SUM(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_xlfn.IFNA(LOOKUP(X138,use_fish!A:A,use_fish!H:H),0),)</f>
        <v>6</v>
      </c>
      <c r="J138" s="2">
        <f>SUM(_xlfn.IFNA(LOOKUP(Q138,[1]use_fish!A:A,[1]use_fish!J:J),0),_xlfn.IFNA(LOOKUP(R138,[1]use_fish!A:A,[1]use_fish!J:J),0),_xlfn.IFNA(LOOKUP(S138,[1]use_fish!A:A,[1]use_fish!J:J),0),_xlfn.IFNA(LOOKUP(T138,[1]use_fish!A:A,[1]use_fish!J:J),0),_xlfn.IFNA(LOOKUP(U138,[1]use_fish!A:A,[1]use_fish!J:J),0),_xlfn.IFNA(LOOKUP(V138,[1]use_fish!A:A,[1]use_fish!J:J),0),_xlfn.IFNA(LOOKUP(W138,[1]use_fish!A:A,[1]use_fish!J:J),0),)</f>
        <v>0</v>
      </c>
      <c r="R138">
        <v>110</v>
      </c>
    </row>
    <row r="139" spans="1:21" x14ac:dyDescent="0.2">
      <c r="A139">
        <v>138</v>
      </c>
      <c r="B139">
        <v>1</v>
      </c>
      <c r="C139" t="s">
        <v>207</v>
      </c>
      <c r="H139">
        <f>SUM(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_xlfn.IFNA(LOOKUP(X139,use_fish!A:A,use_fish!D:D),0),)</f>
        <v>9</v>
      </c>
      <c r="I139">
        <f>SUM(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_xlfn.IFNA(LOOKUP(X139,use_fish!A:A,use_fish!H:H),0),)</f>
        <v>9</v>
      </c>
      <c r="J139" s="2">
        <f>SUM(_xlfn.IFNA(LOOKUP(Q139,[1]use_fish!A:A,[1]use_fish!J:J),0),_xlfn.IFNA(LOOKUP(R139,[1]use_fish!A:A,[1]use_fish!J:J),0),_xlfn.IFNA(LOOKUP(S139,[1]use_fish!A:A,[1]use_fish!J:J),0),_xlfn.IFNA(LOOKUP(T139,[1]use_fish!A:A,[1]use_fish!J:J),0),_xlfn.IFNA(LOOKUP(U139,[1]use_fish!A:A,[1]use_fish!J:J),0),_xlfn.IFNA(LOOKUP(V139,[1]use_fish!A:A,[1]use_fish!J:J),0),_xlfn.IFNA(LOOKUP(W139,[1]use_fish!A:A,[1]use_fish!J:J),0),)</f>
        <v>0</v>
      </c>
      <c r="R139">
        <v>111</v>
      </c>
    </row>
    <row r="140" spans="1:21" x14ac:dyDescent="0.2">
      <c r="A140">
        <v>139</v>
      </c>
      <c r="B140">
        <v>1</v>
      </c>
      <c r="C140" t="s">
        <v>208</v>
      </c>
      <c r="H140">
        <f>SUM(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_xlfn.IFNA(LOOKUP(X140,use_fish!A:A,use_fish!D:D),0),)</f>
        <v>16</v>
      </c>
      <c r="I140">
        <f>SUM(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_xlfn.IFNA(LOOKUP(X140,use_fish!A:A,use_fish!H:H),0),)</f>
        <v>16</v>
      </c>
      <c r="J140" s="2">
        <f>SUM(_xlfn.IFNA(LOOKUP(Q140,[1]use_fish!A:A,[1]use_fish!J:J),0),_xlfn.IFNA(LOOKUP(R140,[1]use_fish!A:A,[1]use_fish!J:J),0),_xlfn.IFNA(LOOKUP(S140,[1]use_fish!A:A,[1]use_fish!J:J),0),_xlfn.IFNA(LOOKUP(T140,[1]use_fish!A:A,[1]use_fish!J:J),0),_xlfn.IFNA(LOOKUP(U140,[1]use_fish!A:A,[1]use_fish!J:J),0),_xlfn.IFNA(LOOKUP(V140,[1]use_fish!A:A,[1]use_fish!J:J),0),_xlfn.IFNA(LOOKUP(W140,[1]use_fish!A:A,[1]use_fish!J:J),0),)</f>
        <v>0</v>
      </c>
      <c r="R140">
        <v>112</v>
      </c>
    </row>
    <row r="141" spans="1:21" x14ac:dyDescent="0.2">
      <c r="A141">
        <v>140</v>
      </c>
      <c r="B141">
        <v>1</v>
      </c>
      <c r="C141" t="s">
        <v>209</v>
      </c>
      <c r="H141">
        <f>SUM(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_xlfn.IFNA(LOOKUP(X141,use_fish!A:A,use_fish!D:D),0),)</f>
        <v>21</v>
      </c>
      <c r="I141">
        <f>SUM(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_xlfn.IFNA(LOOKUP(X141,use_fish!A:A,use_fish!H:H),0),)</f>
        <v>21</v>
      </c>
      <c r="J141" s="2">
        <f>SUM(_xlfn.IFNA(LOOKUP(Q141,[1]use_fish!A:A,[1]use_fish!J:J),0),_xlfn.IFNA(LOOKUP(R141,[1]use_fish!A:A,[1]use_fish!J:J),0),_xlfn.IFNA(LOOKUP(S141,[1]use_fish!A:A,[1]use_fish!J:J),0),_xlfn.IFNA(LOOKUP(T141,[1]use_fish!A:A,[1]use_fish!J:J),0),_xlfn.IFNA(LOOKUP(U141,[1]use_fish!A:A,[1]use_fish!J:J),0),_xlfn.IFNA(LOOKUP(V141,[1]use_fish!A:A,[1]use_fish!J:J),0),_xlfn.IFNA(LOOKUP(W141,[1]use_fish!A:A,[1]use_fish!J:J),0),)</f>
        <v>0</v>
      </c>
      <c r="R141">
        <v>113</v>
      </c>
    </row>
    <row r="142" spans="1:21" x14ac:dyDescent="0.2">
      <c r="A142">
        <v>141</v>
      </c>
      <c r="B142">
        <v>1</v>
      </c>
      <c r="C142" t="s">
        <v>210</v>
      </c>
      <c r="H142">
        <f>SUM(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_xlfn.IFNA(LOOKUP(X142,use_fish!A:A,use_fish!D:D),0),)</f>
        <v>31</v>
      </c>
      <c r="I142">
        <f>SUM(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_xlfn.IFNA(LOOKUP(X142,use_fish!A:A,use_fish!H:H),0),)</f>
        <v>31</v>
      </c>
      <c r="J142" s="2">
        <f>SUM(_xlfn.IFNA(LOOKUP(Q142,[1]use_fish!A:A,[1]use_fish!J:J),0),_xlfn.IFNA(LOOKUP(R142,[1]use_fish!A:A,[1]use_fish!J:J),0),_xlfn.IFNA(LOOKUP(S142,[1]use_fish!A:A,[1]use_fish!J:J),0),_xlfn.IFNA(LOOKUP(T142,[1]use_fish!A:A,[1]use_fish!J:J),0),_xlfn.IFNA(LOOKUP(U142,[1]use_fish!A:A,[1]use_fish!J:J),0),_xlfn.IFNA(LOOKUP(V142,[1]use_fish!A:A,[1]use_fish!J:J),0),_xlfn.IFNA(LOOKUP(W142,[1]use_fish!A:A,[1]use_fish!J:J),0),)</f>
        <v>0</v>
      </c>
      <c r="R142">
        <v>114</v>
      </c>
    </row>
    <row r="143" spans="1:21" x14ac:dyDescent="0.2">
      <c r="A143">
        <v>142</v>
      </c>
      <c r="B143">
        <v>1</v>
      </c>
      <c r="C143" t="s">
        <v>211</v>
      </c>
      <c r="H143">
        <f>SUM(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_xlfn.IFNA(LOOKUP(X143,use_fish!A:A,use_fish!D:D),0),)</f>
        <v>41</v>
      </c>
      <c r="I143">
        <f>SUM(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_xlfn.IFNA(LOOKUP(X143,use_fish!A:A,use_fish!H:H),0),)</f>
        <v>41</v>
      </c>
      <c r="J143" s="2">
        <f>SUM(_xlfn.IFNA(LOOKUP(Q143,[1]use_fish!A:A,[1]use_fish!J:J),0),_xlfn.IFNA(LOOKUP(R143,[1]use_fish!A:A,[1]use_fish!J:J),0),_xlfn.IFNA(LOOKUP(S143,[1]use_fish!A:A,[1]use_fish!J:J),0),_xlfn.IFNA(LOOKUP(T143,[1]use_fish!A:A,[1]use_fish!J:J),0),_xlfn.IFNA(LOOKUP(U143,[1]use_fish!A:A,[1]use_fish!J:J),0),_xlfn.IFNA(LOOKUP(V143,[1]use_fish!A:A,[1]use_fish!J:J),0),_xlfn.IFNA(LOOKUP(W143,[1]use_fish!A:A,[1]use_fish!J:J),0),)</f>
        <v>0</v>
      </c>
      <c r="R143">
        <v>115</v>
      </c>
    </row>
    <row r="144" spans="1:21" x14ac:dyDescent="0.2">
      <c r="A144">
        <v>143</v>
      </c>
      <c r="B144">
        <v>1</v>
      </c>
      <c r="C144" t="s">
        <v>212</v>
      </c>
      <c r="H144">
        <f>SUM(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_xlfn.IFNA(LOOKUP(X144,use_fish!A:A,use_fish!D:D),0),)</f>
        <v>51</v>
      </c>
      <c r="I144">
        <f>SUM(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_xlfn.IFNA(LOOKUP(X144,use_fish!A:A,use_fish!H:H),0),)</f>
        <v>51</v>
      </c>
      <c r="J144" s="2">
        <f>SUM(_xlfn.IFNA(LOOKUP(Q144,[1]use_fish!A:A,[1]use_fish!J:J),0),_xlfn.IFNA(LOOKUP(R144,[1]use_fish!A:A,[1]use_fish!J:J),0),_xlfn.IFNA(LOOKUP(S144,[1]use_fish!A:A,[1]use_fish!J:J),0),_xlfn.IFNA(LOOKUP(T144,[1]use_fish!A:A,[1]use_fish!J:J),0),_xlfn.IFNA(LOOKUP(U144,[1]use_fish!A:A,[1]use_fish!J:J),0),_xlfn.IFNA(LOOKUP(V144,[1]use_fish!A:A,[1]use_fish!J:J),0),_xlfn.IFNA(LOOKUP(W144,[1]use_fish!A:A,[1]use_fish!J:J),0),)</f>
        <v>0</v>
      </c>
      <c r="R144">
        <v>116</v>
      </c>
    </row>
    <row r="145" spans="1:18" x14ac:dyDescent="0.2">
      <c r="A145">
        <v>144</v>
      </c>
      <c r="B145">
        <v>1</v>
      </c>
      <c r="C145" t="s">
        <v>213</v>
      </c>
      <c r="H145">
        <f>SUM(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_xlfn.IFNA(LOOKUP(X145,use_fish!A:A,use_fish!D:D),0),)</f>
        <v>61</v>
      </c>
      <c r="I145">
        <f>SUM(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_xlfn.IFNA(LOOKUP(X145,use_fish!A:A,use_fish!H:H),0),)</f>
        <v>61</v>
      </c>
      <c r="J145" s="2">
        <f>SUM(_xlfn.IFNA(LOOKUP(Q145,[1]use_fish!A:A,[1]use_fish!J:J),0),_xlfn.IFNA(LOOKUP(R145,[1]use_fish!A:A,[1]use_fish!J:J),0),_xlfn.IFNA(LOOKUP(S145,[1]use_fish!A:A,[1]use_fish!J:J),0),_xlfn.IFNA(LOOKUP(T145,[1]use_fish!A:A,[1]use_fish!J:J),0),_xlfn.IFNA(LOOKUP(U145,[1]use_fish!A:A,[1]use_fish!J:J),0),_xlfn.IFNA(LOOKUP(V145,[1]use_fish!A:A,[1]use_fish!J:J),0),_xlfn.IFNA(LOOKUP(W145,[1]use_fish!A:A,[1]use_fish!J:J),0),)</f>
        <v>0</v>
      </c>
      <c r="R145">
        <v>117</v>
      </c>
    </row>
    <row r="146" spans="1:18" x14ac:dyDescent="0.2">
      <c r="A146">
        <v>145</v>
      </c>
      <c r="B146">
        <v>1</v>
      </c>
      <c r="C146" t="s">
        <v>222</v>
      </c>
      <c r="H146">
        <v>540</v>
      </c>
      <c r="I146">
        <f>SUM(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_xlfn.IFNA(LOOKUP(X146,use_fish!A:A,use_fish!H:H),0),)</f>
        <v>0</v>
      </c>
      <c r="J146" s="2">
        <f>SUM(_xlfn.IFNA(LOOKUP(Q146,[1]use_fish!A:A,[1]use_fish!J:J),0),_xlfn.IFNA(LOOKUP(R146,[1]use_fish!A:A,[1]use_fish!J:J),0),_xlfn.IFNA(LOOKUP(S146,[1]use_fish!A:A,[1]use_fish!J:J),0),_xlfn.IFNA(LOOKUP(T146,[1]use_fish!A:A,[1]use_fish!J:J),0),_xlfn.IFNA(LOOKUP(U146,[1]use_fish!A:A,[1]use_fish!J:J),0),_xlfn.IFNA(LOOKUP(V146,[1]use_fish!A:A,[1]use_fish!J:J),0),_xlfn.IFNA(LOOKUP(W146,[1]use_fish!A:A,[1]use_fish!J:J),0),)</f>
        <v>0</v>
      </c>
      <c r="K146" t="s">
        <v>39</v>
      </c>
      <c r="R146">
        <v>118</v>
      </c>
    </row>
    <row r="147" spans="1:18" x14ac:dyDescent="0.2">
      <c r="A147">
        <v>146</v>
      </c>
      <c r="B147">
        <v>1</v>
      </c>
      <c r="C147" t="s">
        <v>223</v>
      </c>
      <c r="H147">
        <v>540</v>
      </c>
      <c r="I147">
        <f>SUM(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_xlfn.IFNA(LOOKUP(X147,use_fish!A:A,use_fish!H:H),0),)</f>
        <v>0</v>
      </c>
      <c r="J147" s="2">
        <f>SUM(_xlfn.IFNA(LOOKUP(Q147,[1]use_fish!A:A,[1]use_fish!J:J),0),_xlfn.IFNA(LOOKUP(R147,[1]use_fish!A:A,[1]use_fish!J:J),0),_xlfn.IFNA(LOOKUP(S147,[1]use_fish!A:A,[1]use_fish!J:J),0),_xlfn.IFNA(LOOKUP(T147,[1]use_fish!A:A,[1]use_fish!J:J),0),_xlfn.IFNA(LOOKUP(U147,[1]use_fish!A:A,[1]use_fish!J:J),0),_xlfn.IFNA(LOOKUP(V147,[1]use_fish!A:A,[1]use_fish!J:J),0),_xlfn.IFNA(LOOKUP(W147,[1]use_fish!A:A,[1]use_fish!J:J),0),)</f>
        <v>0</v>
      </c>
      <c r="K147" t="s">
        <v>39</v>
      </c>
      <c r="R147">
        <v>119</v>
      </c>
    </row>
    <row r="148" spans="1:18" x14ac:dyDescent="0.2">
      <c r="A148">
        <v>147</v>
      </c>
      <c r="B148">
        <v>1</v>
      </c>
      <c r="C148" t="s">
        <v>224</v>
      </c>
      <c r="H148">
        <v>540</v>
      </c>
      <c r="I148">
        <f>SUM(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_xlfn.IFNA(LOOKUP(X148,use_fish!A:A,use_fish!H:H),0),)</f>
        <v>0</v>
      </c>
      <c r="J148" s="2">
        <f>SUM(_xlfn.IFNA(LOOKUP(Q148,[1]use_fish!A:A,[1]use_fish!J:J),0),_xlfn.IFNA(LOOKUP(R148,[1]use_fish!A:A,[1]use_fish!J:J),0),_xlfn.IFNA(LOOKUP(S148,[1]use_fish!A:A,[1]use_fish!J:J),0),_xlfn.IFNA(LOOKUP(T148,[1]use_fish!A:A,[1]use_fish!J:J),0),_xlfn.IFNA(LOOKUP(U148,[1]use_fish!A:A,[1]use_fish!J:J),0),_xlfn.IFNA(LOOKUP(V148,[1]use_fish!A:A,[1]use_fish!J:J),0),_xlfn.IFNA(LOOKUP(W148,[1]use_fish!A:A,[1]use_fish!J:J),0),)</f>
        <v>0</v>
      </c>
      <c r="K148" t="s">
        <v>39</v>
      </c>
      <c r="R148">
        <v>120</v>
      </c>
    </row>
    <row r="149" spans="1:18" x14ac:dyDescent="0.2">
      <c r="A149">
        <v>148</v>
      </c>
      <c r="B149">
        <v>1</v>
      </c>
      <c r="C149" t="s">
        <v>246</v>
      </c>
      <c r="H149">
        <f>SUM(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_xlfn.IFNA(LOOKUP(X149,use_fish!A:A,use_fish!D:D),0),)</f>
        <v>500</v>
      </c>
      <c r="I149">
        <f>SUM(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_xlfn.IFNA(LOOKUP(X149,use_fish!A:A,use_fish!H:H),0),)</f>
        <v>500</v>
      </c>
      <c r="J149" s="2">
        <f>SUM(_xlfn.IFNA(LOOKUP(Q149,[1]use_fish!A:A,[1]use_fish!J:J),0),_xlfn.IFNA(LOOKUP(R149,[1]use_fish!A:A,[1]use_fish!J:J),0),_xlfn.IFNA(LOOKUP(S149,[1]use_fish!A:A,[1]use_fish!J:J),0),_xlfn.IFNA(LOOKUP(T149,[1]use_fish!A:A,[1]use_fish!J:J),0),_xlfn.IFNA(LOOKUP(U149,[1]use_fish!A:A,[1]use_fish!J:J),0),_xlfn.IFNA(LOOKUP(V149,[1]use_fish!A:A,[1]use_fish!J:J),0),_xlfn.IFNA(LOOKUP(W149,[1]use_fish!A:A,[1]use_fish!J:J),0),)</f>
        <v>0</v>
      </c>
      <c r="R149">
        <v>121</v>
      </c>
    </row>
    <row r="150" spans="1:18" x14ac:dyDescent="0.2">
      <c r="A150">
        <v>149</v>
      </c>
      <c r="B150">
        <v>1</v>
      </c>
      <c r="C150" t="s">
        <v>337</v>
      </c>
      <c r="H150" s="2" t="s">
        <v>338</v>
      </c>
      <c r="I150" s="2" t="s">
        <v>339</v>
      </c>
      <c r="J150" s="2">
        <f>SUM(_xlfn.IFNA(LOOKUP(Q150,[1]use_fish!A:A,[1]use_fish!J:J),0),_xlfn.IFNA(LOOKUP(R150,[1]use_fish!A:A,[1]use_fish!J:J),0),_xlfn.IFNA(LOOKUP(S150,[1]use_fish!A:A,[1]use_fish!J:J),0),_xlfn.IFNA(LOOKUP(T150,[1]use_fish!A:A,[1]use_fish!J:J),0),_xlfn.IFNA(LOOKUP(U150,[1]use_fish!A:A,[1]use_fish!J:J),0),_xlfn.IFNA(LOOKUP(V150,[1]use_fish!A:A,[1]use_fish!J:J),0),_xlfn.IFNA(LOOKUP(W150,[1]use_fish!A:A,[1]use_fish!J:J),0),)</f>
        <v>0</v>
      </c>
      <c r="R150">
        <v>123</v>
      </c>
    </row>
    <row r="151" spans="1:18" x14ac:dyDescent="0.2">
      <c r="A151">
        <v>150</v>
      </c>
      <c r="B151">
        <v>1</v>
      </c>
      <c r="C151" t="s">
        <v>340</v>
      </c>
      <c r="E151" t="s">
        <v>341</v>
      </c>
      <c r="H151">
        <f>SUM(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_xlfn.IFNA(LOOKUP(X151,use_fish!A:A,use_fish!D:D),0),)</f>
        <v>151</v>
      </c>
      <c r="I151">
        <f>SUM(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_xlfn.IFNA(LOOKUP(X151,use_fish!A:A,use_fish!H:H),0),)</f>
        <v>151</v>
      </c>
      <c r="J151" s="2">
        <f>SUM(_xlfn.IFNA(LOOKUP(Q151,[1]use_fish!A:A,[1]use_fish!J:J),0),_xlfn.IFNA(LOOKUP(R151,[1]use_fish!A:A,[1]use_fish!J:J),0),_xlfn.IFNA(LOOKUP(S151,[1]use_fish!A:A,[1]use_fish!J:J),0),_xlfn.IFNA(LOOKUP(T151,[1]use_fish!A:A,[1]use_fish!J:J),0),_xlfn.IFNA(LOOKUP(U151,[1]use_fish!A:A,[1]use_fish!J:J),0),_xlfn.IFNA(LOOKUP(V151,[1]use_fish!A:A,[1]use_fish!J:J),0),_xlfn.IFNA(LOOKUP(W151,[1]use_fish!A:A,[1]use_fish!J:J),0),)</f>
        <v>0</v>
      </c>
      <c r="R151">
        <v>124</v>
      </c>
    </row>
    <row r="152" spans="1:18" x14ac:dyDescent="0.2">
      <c r="A152">
        <v>151</v>
      </c>
      <c r="B152">
        <v>1</v>
      </c>
      <c r="C152" t="s">
        <v>342</v>
      </c>
      <c r="E152" t="s">
        <v>341</v>
      </c>
      <c r="H152">
        <f>SUM(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_xlfn.IFNA(LOOKUP(X152,use_fish!A:A,use_fish!D:D),0),)</f>
        <v>200</v>
      </c>
      <c r="I152">
        <f>SUM(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_xlfn.IFNA(LOOKUP(X152,use_fish!A:A,use_fish!H:H),0),)</f>
        <v>200</v>
      </c>
      <c r="J152" s="2">
        <f>SUM(_xlfn.IFNA(LOOKUP(Q152,[1]use_fish!A:A,[1]use_fish!J:J),0),_xlfn.IFNA(LOOKUP(R152,[1]use_fish!A:A,[1]use_fish!J:J),0),_xlfn.IFNA(LOOKUP(S152,[1]use_fish!A:A,[1]use_fish!J:J),0),_xlfn.IFNA(LOOKUP(T152,[1]use_fish!A:A,[1]use_fish!J:J),0),_xlfn.IFNA(LOOKUP(U152,[1]use_fish!A:A,[1]use_fish!J:J),0),_xlfn.IFNA(LOOKUP(V152,[1]use_fish!A:A,[1]use_fish!J:J),0),_xlfn.IFNA(LOOKUP(W152,[1]use_fish!A:A,[1]use_fish!J:J),0),)</f>
        <v>0</v>
      </c>
      <c r="R152">
        <v>125</v>
      </c>
    </row>
    <row r="153" spans="1:18" x14ac:dyDescent="0.2">
      <c r="A153">
        <v>152</v>
      </c>
      <c r="B153">
        <v>1</v>
      </c>
      <c r="C153" t="s">
        <v>343</v>
      </c>
      <c r="E153" t="s">
        <v>341</v>
      </c>
      <c r="H153">
        <f>SUM(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_xlfn.IFNA(LOOKUP(X153,use_fish!A:A,use_fish!D:D),0),)</f>
        <v>210</v>
      </c>
      <c r="I153">
        <f>SUM(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_xlfn.IFNA(LOOKUP(X153,use_fish!A:A,use_fish!H:H),0),)</f>
        <v>210</v>
      </c>
      <c r="J153" s="2">
        <f>SUM(_xlfn.IFNA(LOOKUP(Q153,[1]use_fish!A:A,[1]use_fish!J:J),0),_xlfn.IFNA(LOOKUP(R153,[1]use_fish!A:A,[1]use_fish!J:J),0),_xlfn.IFNA(LOOKUP(S153,[1]use_fish!A:A,[1]use_fish!J:J),0),_xlfn.IFNA(LOOKUP(T153,[1]use_fish!A:A,[1]use_fish!J:J),0),_xlfn.IFNA(LOOKUP(U153,[1]use_fish!A:A,[1]use_fish!J:J),0),_xlfn.IFNA(LOOKUP(V153,[1]use_fish!A:A,[1]use_fish!J:J),0),_xlfn.IFNA(LOOKUP(W153,[1]use_fish!A:A,[1]use_fish!J:J),0),)</f>
        <v>0</v>
      </c>
      <c r="R153">
        <v>126</v>
      </c>
    </row>
    <row r="154" spans="1:18" x14ac:dyDescent="0.2">
      <c r="A154">
        <v>153</v>
      </c>
      <c r="B154">
        <v>1</v>
      </c>
      <c r="C154" t="s">
        <v>344</v>
      </c>
      <c r="E154" t="s">
        <v>341</v>
      </c>
      <c r="H154">
        <f>SUM(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_xlfn.IFNA(LOOKUP(X154,use_fish!A:A,use_fish!D:D),0),)</f>
        <v>220</v>
      </c>
      <c r="I154">
        <f>SUM(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_xlfn.IFNA(LOOKUP(X154,use_fish!A:A,use_fish!H:H),0),)</f>
        <v>220</v>
      </c>
      <c r="J154" s="2">
        <f>SUM(_xlfn.IFNA(LOOKUP(Q154,[1]use_fish!A:A,[1]use_fish!J:J),0),_xlfn.IFNA(LOOKUP(R154,[1]use_fish!A:A,[1]use_fish!J:J),0),_xlfn.IFNA(LOOKUP(S154,[1]use_fish!A:A,[1]use_fish!J:J),0),_xlfn.IFNA(LOOKUP(T154,[1]use_fish!A:A,[1]use_fish!J:J),0),_xlfn.IFNA(LOOKUP(U154,[1]use_fish!A:A,[1]use_fish!J:J),0),_xlfn.IFNA(LOOKUP(V154,[1]use_fish!A:A,[1]use_fish!J:J),0),_xlfn.IFNA(LOOKUP(W154,[1]use_fish!A:A,[1]use_fish!J:J),0),)</f>
        <v>0</v>
      </c>
      <c r="R154">
        <v>127</v>
      </c>
    </row>
    <row r="155" spans="1:18" x14ac:dyDescent="0.2">
      <c r="A155">
        <v>154</v>
      </c>
      <c r="B155">
        <v>1</v>
      </c>
      <c r="C155" t="s">
        <v>345</v>
      </c>
      <c r="E155" t="s">
        <v>341</v>
      </c>
      <c r="H155">
        <f>SUM(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_xlfn.IFNA(LOOKUP(X155,use_fish!A:A,use_fish!D:D),0),)</f>
        <v>250</v>
      </c>
      <c r="I155">
        <f>SUM(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_xlfn.IFNA(LOOKUP(X155,use_fish!A:A,use_fish!H:H),0),)</f>
        <v>250</v>
      </c>
      <c r="J155" s="2">
        <f>SUM(_xlfn.IFNA(LOOKUP(Q155,[1]use_fish!A:A,[1]use_fish!J:J),0),_xlfn.IFNA(LOOKUP(R155,[1]use_fish!A:A,[1]use_fish!J:J),0),_xlfn.IFNA(LOOKUP(S155,[1]use_fish!A:A,[1]use_fish!J:J),0),_xlfn.IFNA(LOOKUP(T155,[1]use_fish!A:A,[1]use_fish!J:J),0),_xlfn.IFNA(LOOKUP(U155,[1]use_fish!A:A,[1]use_fish!J:J),0),_xlfn.IFNA(LOOKUP(V155,[1]use_fish!A:A,[1]use_fish!J:J),0),_xlfn.IFNA(LOOKUP(W155,[1]use_fish!A:A,[1]use_fish!J:J),0),)</f>
        <v>0</v>
      </c>
      <c r="R155">
        <v>128</v>
      </c>
    </row>
    <row r="156" spans="1:18" x14ac:dyDescent="0.2">
      <c r="A156">
        <v>155</v>
      </c>
      <c r="B156">
        <v>1</v>
      </c>
      <c r="C156" t="s">
        <v>346</v>
      </c>
      <c r="E156" t="s">
        <v>341</v>
      </c>
      <c r="H156">
        <f>SUM(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_xlfn.IFNA(LOOKUP(X156,use_fish!A:A,use_fish!D:D),0),)</f>
        <v>83</v>
      </c>
      <c r="I156">
        <f>SUM(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_xlfn.IFNA(LOOKUP(X156,use_fish!A:A,use_fish!H:H),0),)</f>
        <v>83</v>
      </c>
      <c r="J156" s="2">
        <f>SUM(_xlfn.IFNA(LOOKUP(Q156,[1]use_fish!A:A,[1]use_fish!J:J),0),_xlfn.IFNA(LOOKUP(R156,[1]use_fish!A:A,[1]use_fish!J:J),0),_xlfn.IFNA(LOOKUP(S156,[1]use_fish!A:A,[1]use_fish!J:J),0),_xlfn.IFNA(LOOKUP(T156,[1]use_fish!A:A,[1]use_fish!J:J),0),_xlfn.IFNA(LOOKUP(U156,[1]use_fish!A:A,[1]use_fish!J:J),0),_xlfn.IFNA(LOOKUP(V156,[1]use_fish!A:A,[1]use_fish!J:J),0),_xlfn.IFNA(LOOKUP(W156,[1]use_fish!A:A,[1]use_fish!J:J),0),)</f>
        <v>0</v>
      </c>
      <c r="R156">
        <v>129</v>
      </c>
    </row>
    <row r="157" spans="1:18" x14ac:dyDescent="0.2">
      <c r="A157">
        <v>156</v>
      </c>
      <c r="B157">
        <v>1</v>
      </c>
      <c r="C157" t="s">
        <v>347</v>
      </c>
      <c r="E157" t="s">
        <v>341</v>
      </c>
      <c r="H157">
        <f>SUM(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_xlfn.IFNA(LOOKUP(X157,use_fish!A:A,use_fish!D:D),0),)</f>
        <v>93</v>
      </c>
      <c r="I157">
        <f>SUM(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_xlfn.IFNA(LOOKUP(X157,use_fish!A:A,use_fish!H:H),0),)</f>
        <v>93</v>
      </c>
      <c r="J157" s="2">
        <f>SUM(_xlfn.IFNA(LOOKUP(Q157,[1]use_fish!A:A,[1]use_fish!J:J),0),_xlfn.IFNA(LOOKUP(R157,[1]use_fish!A:A,[1]use_fish!J:J),0),_xlfn.IFNA(LOOKUP(S157,[1]use_fish!A:A,[1]use_fish!J:J),0),_xlfn.IFNA(LOOKUP(T157,[1]use_fish!A:A,[1]use_fish!J:J),0),_xlfn.IFNA(LOOKUP(U157,[1]use_fish!A:A,[1]use_fish!J:J),0),_xlfn.IFNA(LOOKUP(V157,[1]use_fish!A:A,[1]use_fish!J:J),0),_xlfn.IFNA(LOOKUP(W157,[1]use_fish!A:A,[1]use_fish!J:J),0),)</f>
        <v>0</v>
      </c>
      <c r="R157">
        <v>130</v>
      </c>
    </row>
    <row r="158" spans="1:18" x14ac:dyDescent="0.2">
      <c r="A158">
        <v>157</v>
      </c>
      <c r="B158">
        <v>1</v>
      </c>
      <c r="C158" t="s">
        <v>348</v>
      </c>
      <c r="E158" t="s">
        <v>341</v>
      </c>
      <c r="H158">
        <f>SUM(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_xlfn.IFNA(LOOKUP(X158,use_fish!A:A,use_fish!D:D),0),)</f>
        <v>103</v>
      </c>
      <c r="I158">
        <f>SUM(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_xlfn.IFNA(LOOKUP(X158,use_fish!A:A,use_fish!H:H),0),)</f>
        <v>103</v>
      </c>
      <c r="J158" s="2">
        <f>SUM(_xlfn.IFNA(LOOKUP(Q158,[1]use_fish!A:A,[1]use_fish!J:J),0),_xlfn.IFNA(LOOKUP(R158,[1]use_fish!A:A,[1]use_fish!J:J),0),_xlfn.IFNA(LOOKUP(S158,[1]use_fish!A:A,[1]use_fish!J:J),0),_xlfn.IFNA(LOOKUP(T158,[1]use_fish!A:A,[1]use_fish!J:J),0),_xlfn.IFNA(LOOKUP(U158,[1]use_fish!A:A,[1]use_fish!J:J),0),_xlfn.IFNA(LOOKUP(V158,[1]use_fish!A:A,[1]use_fish!J:J),0),_xlfn.IFNA(LOOKUP(W158,[1]use_fish!A:A,[1]use_fish!J:J),0),)</f>
        <v>0</v>
      </c>
      <c r="R158">
        <v>131</v>
      </c>
    </row>
    <row r="159" spans="1:18" x14ac:dyDescent="0.2">
      <c r="A159">
        <v>158</v>
      </c>
      <c r="B159">
        <v>1</v>
      </c>
      <c r="C159" t="s">
        <v>349</v>
      </c>
      <c r="E159" t="s">
        <v>341</v>
      </c>
      <c r="H159">
        <f>SUM(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_xlfn.IFNA(LOOKUP(X159,use_fish!A:A,use_fish!D:D),0),)</f>
        <v>113</v>
      </c>
      <c r="I159">
        <f>SUM(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_xlfn.IFNA(LOOKUP(X159,use_fish!A:A,use_fish!H:H),0),)</f>
        <v>113</v>
      </c>
      <c r="J159" s="2">
        <f>SUM(_xlfn.IFNA(LOOKUP(Q159,[1]use_fish!A:A,[1]use_fish!J:J),0),_xlfn.IFNA(LOOKUP(R159,[1]use_fish!A:A,[1]use_fish!J:J),0),_xlfn.IFNA(LOOKUP(S159,[1]use_fish!A:A,[1]use_fish!J:J),0),_xlfn.IFNA(LOOKUP(T159,[1]use_fish!A:A,[1]use_fish!J:J),0),_xlfn.IFNA(LOOKUP(U159,[1]use_fish!A:A,[1]use_fish!J:J),0),_xlfn.IFNA(LOOKUP(V159,[1]use_fish!A:A,[1]use_fish!J:J),0),_xlfn.IFNA(LOOKUP(W159,[1]use_fish!A:A,[1]use_fish!J:J),0),)</f>
        <v>0</v>
      </c>
      <c r="R159">
        <v>132</v>
      </c>
    </row>
    <row r="160" spans="1:18" x14ac:dyDescent="0.2">
      <c r="A160">
        <v>159</v>
      </c>
      <c r="B160">
        <v>1</v>
      </c>
      <c r="C160" t="s">
        <v>350</v>
      </c>
      <c r="E160" t="s">
        <v>341</v>
      </c>
      <c r="H160">
        <f>SUM(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_xlfn.IFNA(LOOKUP(X160,use_fish!A:A,use_fish!D:D),0),)</f>
        <v>123</v>
      </c>
      <c r="I160">
        <f>SUM(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_xlfn.IFNA(LOOKUP(X160,use_fish!A:A,use_fish!H:H),0),)</f>
        <v>123</v>
      </c>
      <c r="J160" s="2">
        <f>SUM(_xlfn.IFNA(LOOKUP(Q160,[1]use_fish!A:A,[1]use_fish!J:J),0),_xlfn.IFNA(LOOKUP(R160,[1]use_fish!A:A,[1]use_fish!J:J),0),_xlfn.IFNA(LOOKUP(S160,[1]use_fish!A:A,[1]use_fish!J:J),0),_xlfn.IFNA(LOOKUP(T160,[1]use_fish!A:A,[1]use_fish!J:J),0),_xlfn.IFNA(LOOKUP(U160,[1]use_fish!A:A,[1]use_fish!J:J),0),_xlfn.IFNA(LOOKUP(V160,[1]use_fish!A:A,[1]use_fish!J:J),0),_xlfn.IFNA(LOOKUP(W160,[1]use_fish!A:A,[1]use_fish!J:J),0),)</f>
        <v>0</v>
      </c>
      <c r="R160">
        <v>133</v>
      </c>
    </row>
    <row r="161" spans="1:18" x14ac:dyDescent="0.2">
      <c r="A161">
        <v>160</v>
      </c>
      <c r="B161">
        <v>1</v>
      </c>
      <c r="C161" t="s">
        <v>351</v>
      </c>
      <c r="E161" t="s">
        <v>341</v>
      </c>
      <c r="H161">
        <f>SUM(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_xlfn.IFNA(LOOKUP(X161,use_fish!A:A,use_fish!D:D),0),)</f>
        <v>133</v>
      </c>
      <c r="I161">
        <f>SUM(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_xlfn.IFNA(LOOKUP(X161,use_fish!A:A,use_fish!H:H),0),)</f>
        <v>133</v>
      </c>
      <c r="J161" s="2">
        <f>SUM(_xlfn.IFNA(LOOKUP(Q161,[1]use_fish!A:A,[1]use_fish!J:J),0),_xlfn.IFNA(LOOKUP(R161,[1]use_fish!A:A,[1]use_fish!J:J),0),_xlfn.IFNA(LOOKUP(S161,[1]use_fish!A:A,[1]use_fish!J:J),0),_xlfn.IFNA(LOOKUP(T161,[1]use_fish!A:A,[1]use_fish!J:J),0),_xlfn.IFNA(LOOKUP(U161,[1]use_fish!A:A,[1]use_fish!J:J),0),_xlfn.IFNA(LOOKUP(V161,[1]use_fish!A:A,[1]use_fish!J:J),0),_xlfn.IFNA(LOOKUP(W161,[1]use_fish!A:A,[1]use_fish!J:J),0),)</f>
        <v>0</v>
      </c>
      <c r="R161">
        <v>134</v>
      </c>
    </row>
    <row r="162" spans="1:18" x14ac:dyDescent="0.2">
      <c r="A162">
        <v>161</v>
      </c>
      <c r="B162">
        <v>1</v>
      </c>
      <c r="C162" t="s">
        <v>352</v>
      </c>
      <c r="E162" t="s">
        <v>341</v>
      </c>
      <c r="H162">
        <f>SUM(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_xlfn.IFNA(LOOKUP(X162,use_fish!A:A,use_fish!D:D),0),)</f>
        <v>163</v>
      </c>
      <c r="I162">
        <f>SUM(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_xlfn.IFNA(LOOKUP(X162,use_fish!A:A,use_fish!H:H),0),)</f>
        <v>163</v>
      </c>
      <c r="J162" s="2">
        <f>SUM(_xlfn.IFNA(LOOKUP(Q162,[1]use_fish!A:A,[1]use_fish!J:J),0),_xlfn.IFNA(LOOKUP(R162,[1]use_fish!A:A,[1]use_fish!J:J),0),_xlfn.IFNA(LOOKUP(S162,[1]use_fish!A:A,[1]use_fish!J:J),0),_xlfn.IFNA(LOOKUP(T162,[1]use_fish!A:A,[1]use_fish!J:J),0),_xlfn.IFNA(LOOKUP(U162,[1]use_fish!A:A,[1]use_fish!J:J),0),_xlfn.IFNA(LOOKUP(V162,[1]use_fish!A:A,[1]use_fish!J:J),0),_xlfn.IFNA(LOOKUP(W162,[1]use_fish!A:A,[1]use_fish!J:J),0),)</f>
        <v>0</v>
      </c>
      <c r="R162">
        <v>135</v>
      </c>
    </row>
    <row r="163" spans="1:18" x14ac:dyDescent="0.2">
      <c r="A163">
        <v>162</v>
      </c>
      <c r="B163">
        <v>1</v>
      </c>
      <c r="C163" t="s">
        <v>353</v>
      </c>
      <c r="H163">
        <f>SUM(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_xlfn.IFNA(LOOKUP(X163,use_fish!A:A,use_fish!D:D),0),)</f>
        <v>40</v>
      </c>
      <c r="I163">
        <f>SUM(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_xlfn.IFNA(LOOKUP(X163,use_fish!A:A,use_fish!H:H),0),)</f>
        <v>40</v>
      </c>
      <c r="J163" s="2">
        <f>SUM(_xlfn.IFNA(LOOKUP(Q163,[1]use_fish!A:A,[1]use_fish!J:J),0),_xlfn.IFNA(LOOKUP(R163,[1]use_fish!A:A,[1]use_fish!J:J),0),_xlfn.IFNA(LOOKUP(S163,[1]use_fish!A:A,[1]use_fish!J:J),0),_xlfn.IFNA(LOOKUP(T163,[1]use_fish!A:A,[1]use_fish!J:J),0),_xlfn.IFNA(LOOKUP(U163,[1]use_fish!A:A,[1]use_fish!J:J),0),_xlfn.IFNA(LOOKUP(V163,[1]use_fish!A:A,[1]use_fish!J:J),0),_xlfn.IFNA(LOOKUP(W163,[1]use_fish!A:A,[1]use_fish!J:J),0),)</f>
        <v>0</v>
      </c>
      <c r="R163">
        <v>136</v>
      </c>
    </row>
    <row r="164" spans="1:18" x14ac:dyDescent="0.2">
      <c r="A164">
        <v>163</v>
      </c>
      <c r="B164">
        <v>1</v>
      </c>
      <c r="C164" t="s">
        <v>354</v>
      </c>
      <c r="H164">
        <f>SUM(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_xlfn.IFNA(LOOKUP(X164,use_fish!A:A,use_fish!D:D),0),)</f>
        <v>50</v>
      </c>
      <c r="I164">
        <f>SUM(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_xlfn.IFNA(LOOKUP(X164,use_fish!A:A,use_fish!H:H),0),)</f>
        <v>50</v>
      </c>
      <c r="J164" s="2">
        <f>SUM(_xlfn.IFNA(LOOKUP(Q164,[1]use_fish!A:A,[1]use_fish!J:J),0),_xlfn.IFNA(LOOKUP(R164,[1]use_fish!A:A,[1]use_fish!J:J),0),_xlfn.IFNA(LOOKUP(S164,[1]use_fish!A:A,[1]use_fish!J:J),0),_xlfn.IFNA(LOOKUP(T164,[1]use_fish!A:A,[1]use_fish!J:J),0),_xlfn.IFNA(LOOKUP(U164,[1]use_fish!A:A,[1]use_fish!J:J),0),_xlfn.IFNA(LOOKUP(V164,[1]use_fish!A:A,[1]use_fish!J:J),0),_xlfn.IFNA(LOOKUP(W164,[1]use_fish!A:A,[1]use_fish!J:J),0),)</f>
        <v>0</v>
      </c>
      <c r="R164">
        <v>137</v>
      </c>
    </row>
    <row r="165" spans="1:18" x14ac:dyDescent="0.2">
      <c r="A165">
        <v>164</v>
      </c>
      <c r="B165">
        <v>1</v>
      </c>
      <c r="C165" t="s">
        <v>355</v>
      </c>
      <c r="H165">
        <f>SUM(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_xlfn.IFNA(LOOKUP(X165,use_fish!A:A,use_fish!D:D),0),)</f>
        <v>60</v>
      </c>
      <c r="I165">
        <f>SUM(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_xlfn.IFNA(LOOKUP(X165,use_fish!A:A,use_fish!H:H),0),)</f>
        <v>60</v>
      </c>
      <c r="J165" s="2">
        <f>SUM(_xlfn.IFNA(LOOKUP(Q165,[1]use_fish!A:A,[1]use_fish!J:J),0),_xlfn.IFNA(LOOKUP(R165,[1]use_fish!A:A,[1]use_fish!J:J),0),_xlfn.IFNA(LOOKUP(S165,[1]use_fish!A:A,[1]use_fish!J:J),0),_xlfn.IFNA(LOOKUP(T165,[1]use_fish!A:A,[1]use_fish!J:J),0),_xlfn.IFNA(LOOKUP(U165,[1]use_fish!A:A,[1]use_fish!J:J),0),_xlfn.IFNA(LOOKUP(V165,[1]use_fish!A:A,[1]use_fish!J:J),0),_xlfn.IFNA(LOOKUP(W165,[1]use_fish!A:A,[1]use_fish!J:J),0),)</f>
        <v>0</v>
      </c>
      <c r="R165">
        <v>138</v>
      </c>
    </row>
    <row r="166" spans="1:18" x14ac:dyDescent="0.2">
      <c r="A166">
        <v>165</v>
      </c>
      <c r="B166">
        <v>1</v>
      </c>
      <c r="C166" t="s">
        <v>356</v>
      </c>
      <c r="H166">
        <f>SUM(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_xlfn.IFNA(LOOKUP(X166,use_fish!A:A,use_fish!D:D),0),)</f>
        <v>70</v>
      </c>
      <c r="I166">
        <f>SUM(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_xlfn.IFNA(LOOKUP(X166,use_fish!A:A,use_fish!H:H),0),)</f>
        <v>70</v>
      </c>
      <c r="J166" s="2">
        <f>SUM(_xlfn.IFNA(LOOKUP(Q166,[1]use_fish!A:A,[1]use_fish!J:J),0),_xlfn.IFNA(LOOKUP(R166,[1]use_fish!A:A,[1]use_fish!J:J),0),_xlfn.IFNA(LOOKUP(S166,[1]use_fish!A:A,[1]use_fish!J:J),0),_xlfn.IFNA(LOOKUP(T166,[1]use_fish!A:A,[1]use_fish!J:J),0),_xlfn.IFNA(LOOKUP(U166,[1]use_fish!A:A,[1]use_fish!J:J),0),_xlfn.IFNA(LOOKUP(V166,[1]use_fish!A:A,[1]use_fish!J:J),0),_xlfn.IFNA(LOOKUP(W166,[1]use_fish!A:A,[1]use_fish!J:J),0),)</f>
        <v>0</v>
      </c>
      <c r="R166">
        <v>139</v>
      </c>
    </row>
    <row r="167" spans="1:18" x14ac:dyDescent="0.2">
      <c r="A167">
        <v>166</v>
      </c>
      <c r="B167">
        <v>1</v>
      </c>
      <c r="C167" t="s">
        <v>357</v>
      </c>
      <c r="H167">
        <f>SUM(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_xlfn.IFNA(LOOKUP(X167,use_fish!A:A,use_fish!D:D),0),)</f>
        <v>100</v>
      </c>
      <c r="I167">
        <f>SUM(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_xlfn.IFNA(LOOKUP(X167,use_fish!A:A,use_fish!H:H),0),)</f>
        <v>100</v>
      </c>
      <c r="J167" s="2">
        <f>SUM(_xlfn.IFNA(LOOKUP(Q167,[1]use_fish!A:A,[1]use_fish!J:J),0),_xlfn.IFNA(LOOKUP(R167,[1]use_fish!A:A,[1]use_fish!J:J),0),_xlfn.IFNA(LOOKUP(S167,[1]use_fish!A:A,[1]use_fish!J:J),0),_xlfn.IFNA(LOOKUP(T167,[1]use_fish!A:A,[1]use_fish!J:J),0),_xlfn.IFNA(LOOKUP(U167,[1]use_fish!A:A,[1]use_fish!J:J),0),_xlfn.IFNA(LOOKUP(V167,[1]use_fish!A:A,[1]use_fish!J:J),0),_xlfn.IFNA(LOOKUP(W167,[1]use_fish!A:A,[1]use_fish!J:J),0),)</f>
        <v>0</v>
      </c>
      <c r="R167">
        <v>140</v>
      </c>
    </row>
    <row r="168" spans="1:18" x14ac:dyDescent="0.2">
      <c r="A168">
        <v>167</v>
      </c>
      <c r="B168">
        <v>1</v>
      </c>
      <c r="C168" t="s">
        <v>373</v>
      </c>
      <c r="H168">
        <f>SUM(_xlfn.IFNA(LOOKUP(Q168,[1]use_fish!A:A,[1]use_fish!D:D),0),_xlfn.IFNA(LOOKUP(R168,[1]use_fish!A:A,[1]use_fish!D:D),0),_xlfn.IFNA(LOOKUP(S168,[1]use_fish!A:A,[1]use_fish!D:D),0),_xlfn.IFNA(LOOKUP(T168,[1]use_fish!A:A,[1]use_fish!D:D),0),_xlfn.IFNA(LOOKUP(U168,[1]use_fish!A:A,[1]use_fish!D:D),0),_xlfn.IFNA(LOOKUP(V168,[1]use_fish!A:A,[1]use_fish!D:D),0),_xlfn.IFNA(LOOKUP(W168,[1]use_fish!A:A,[1]use_fish!D:D),0),)</f>
        <v>100</v>
      </c>
      <c r="I168" s="12">
        <v>50100</v>
      </c>
      <c r="J168" s="2">
        <f>SUM(_xlfn.IFNA(LOOKUP(Q168,[1]use_fish!A:A,[1]use_fish!J:J),0),_xlfn.IFNA(LOOKUP(R168,[1]use_fish!A:A,[1]use_fish!J:J),0),_xlfn.IFNA(LOOKUP(S168,[1]use_fish!A:A,[1]use_fish!J:J),0),_xlfn.IFNA(LOOKUP(T168,[1]use_fish!A:A,[1]use_fish!J:J),0),_xlfn.IFNA(LOOKUP(U168,[1]use_fish!A:A,[1]use_fish!J:J),0),_xlfn.IFNA(LOOKUP(V168,[1]use_fish!A:A,[1]use_fish!J:J),0),_xlfn.IFNA(LOOKUP(W168,[1]use_fish!A:A,[1]use_fish!J:J),0),)</f>
        <v>0</v>
      </c>
      <c r="Q168">
        <v>141</v>
      </c>
    </row>
    <row r="169" spans="1:18" x14ac:dyDescent="0.2">
      <c r="A169">
        <v>168</v>
      </c>
      <c r="B169">
        <v>1</v>
      </c>
      <c r="C169" t="s">
        <v>374</v>
      </c>
      <c r="H169">
        <f>SUM(_xlfn.IFNA(LOOKUP(Q169,[1]use_fish!A:A,[1]use_fish!D:D),0),_xlfn.IFNA(LOOKUP(R169,[1]use_fish!A:A,[1]use_fish!D:D),0),_xlfn.IFNA(LOOKUP(S169,[1]use_fish!A:A,[1]use_fish!D:D),0),_xlfn.IFNA(LOOKUP(T169,[1]use_fish!A:A,[1]use_fish!D:D),0),_xlfn.IFNA(LOOKUP(U169,[1]use_fish!A:A,[1]use_fish!D:D),0),_xlfn.IFNA(LOOKUP(V169,[1]use_fish!A:A,[1]use_fish!D:D),0),_xlfn.IFNA(LOOKUP(W169,[1]use_fish!A:A,[1]use_fish!D:D),0),)</f>
        <v>200</v>
      </c>
      <c r="I169" s="12">
        <v>150200</v>
      </c>
      <c r="J169" s="2">
        <f>SUM(_xlfn.IFNA(LOOKUP(Q169,[1]use_fish!A:A,[1]use_fish!J:J),0),_xlfn.IFNA(LOOKUP(R169,[1]use_fish!A:A,[1]use_fish!J:J),0),_xlfn.IFNA(LOOKUP(S169,[1]use_fish!A:A,[1]use_fish!J:J),0),_xlfn.IFNA(LOOKUP(T169,[1]use_fish!A:A,[1]use_fish!J:J),0),_xlfn.IFNA(LOOKUP(U169,[1]use_fish!A:A,[1]use_fish!J:J),0),_xlfn.IFNA(LOOKUP(V169,[1]use_fish!A:A,[1]use_fish!J:J),0),_xlfn.IFNA(LOOKUP(W169,[1]use_fish!A:A,[1]use_fish!J:J),0),)</f>
        <v>0</v>
      </c>
      <c r="Q169">
        <v>142</v>
      </c>
    </row>
    <row r="170" spans="1:18" x14ac:dyDescent="0.2">
      <c r="A170">
        <v>169</v>
      </c>
      <c r="B170">
        <v>1</v>
      </c>
      <c r="C170" t="s">
        <v>375</v>
      </c>
      <c r="H170">
        <f>SUM(_xlfn.IFNA(LOOKUP(Q170,[1]use_fish!A:A,[1]use_fish!D:D),0),_xlfn.IFNA(LOOKUP(R170,[1]use_fish!A:A,[1]use_fish!D:D),0),_xlfn.IFNA(LOOKUP(S170,[1]use_fish!A:A,[1]use_fish!D:D),0),_xlfn.IFNA(LOOKUP(T170,[1]use_fish!A:A,[1]use_fish!D:D),0),_xlfn.IFNA(LOOKUP(U170,[1]use_fish!A:A,[1]use_fish!D:D),0),_xlfn.IFNA(LOOKUP(V170,[1]use_fish!A:A,[1]use_fish!D:D),0),_xlfn.IFNA(LOOKUP(W170,[1]use_fish!A:A,[1]use_fish!D:D),0),)</f>
        <v>300</v>
      </c>
      <c r="I170" s="12">
        <v>250300</v>
      </c>
      <c r="J170" s="2">
        <f>SUM(_xlfn.IFNA(LOOKUP(Q170,[1]use_fish!A:A,[1]use_fish!J:J),0),_xlfn.IFNA(LOOKUP(R170,[1]use_fish!A:A,[1]use_fish!J:J),0),_xlfn.IFNA(LOOKUP(S170,[1]use_fish!A:A,[1]use_fish!J:J),0),_xlfn.IFNA(LOOKUP(T170,[1]use_fish!A:A,[1]use_fish!J:J),0),_xlfn.IFNA(LOOKUP(U170,[1]use_fish!A:A,[1]use_fish!J:J),0),_xlfn.IFNA(LOOKUP(V170,[1]use_fish!A:A,[1]use_fish!J:J),0),_xlfn.IFNA(LOOKUP(W170,[1]use_fish!A:A,[1]use_fish!J:J),0),)</f>
        <v>0</v>
      </c>
      <c r="Q170">
        <v>143</v>
      </c>
    </row>
    <row r="171" spans="1:18" x14ac:dyDescent="0.2">
      <c r="A171">
        <v>170</v>
      </c>
      <c r="B171">
        <v>1</v>
      </c>
      <c r="C171" t="s">
        <v>376</v>
      </c>
      <c r="H171">
        <f>SUM(_xlfn.IFNA(LOOKUP(Q171,[1]use_fish!A:A,[1]use_fish!D:D),0),_xlfn.IFNA(LOOKUP(R171,[1]use_fish!A:A,[1]use_fish!D:D),0),_xlfn.IFNA(LOOKUP(S171,[1]use_fish!A:A,[1]use_fish!D:D),0),_xlfn.IFNA(LOOKUP(T171,[1]use_fish!A:A,[1]use_fish!D:D),0),_xlfn.IFNA(LOOKUP(U171,[1]use_fish!A:A,[1]use_fish!D:D),0),_xlfn.IFNA(LOOKUP(V171,[1]use_fish!A:A,[1]use_fish!D:D),0),_xlfn.IFNA(LOOKUP(W171,[1]use_fish!A:A,[1]use_fish!D:D),0),)</f>
        <v>500</v>
      </c>
      <c r="I171" s="12">
        <v>350500</v>
      </c>
      <c r="J171" s="2">
        <f>SUM(_xlfn.IFNA(LOOKUP(Q171,[1]use_fish!A:A,[1]use_fish!J:J),0),_xlfn.IFNA(LOOKUP(R171,[1]use_fish!A:A,[1]use_fish!J:J),0),_xlfn.IFNA(LOOKUP(S171,[1]use_fish!A:A,[1]use_fish!J:J),0),_xlfn.IFNA(LOOKUP(T171,[1]use_fish!A:A,[1]use_fish!J:J),0),_xlfn.IFNA(LOOKUP(U171,[1]use_fish!A:A,[1]use_fish!J:J),0),_xlfn.IFNA(LOOKUP(V171,[1]use_fish!A:A,[1]use_fish!J:J),0),_xlfn.IFNA(LOOKUP(W171,[1]use_fish!A:A,[1]use_fish!J:J),0),)</f>
        <v>0</v>
      </c>
      <c r="Q171">
        <v>144</v>
      </c>
    </row>
    <row r="172" spans="1:18" x14ac:dyDescent="0.2">
      <c r="A172">
        <v>171</v>
      </c>
      <c r="B172">
        <v>1</v>
      </c>
      <c r="C172" t="s">
        <v>394</v>
      </c>
      <c r="H172">
        <f>SUM(_xlfn.IFNA(LOOKUP(Q172,[2]use_fish!A:A,[2]use_fish!D:D),0),_xlfn.IFNA(LOOKUP(R172,[2]use_fish!A:A,[2]use_fish!D:D),0),_xlfn.IFNA(LOOKUP(S172,[2]use_fish!A:A,[2]use_fish!D:D),0),_xlfn.IFNA(LOOKUP(T172,[2]use_fish!A:A,[2]use_fish!D:D),0),_xlfn.IFNA(LOOKUP(U172,[2]use_fish!A:A,[2]use_fish!D:D),0),_xlfn.IFNA(LOOKUP(V172,[2]use_fish!A:A,[2]use_fish!D:D),0),_xlfn.IFNA(LOOKUP(W172,[2]use_fish!A:A,[2]use_fish!D:D),0),)</f>
        <v>100</v>
      </c>
      <c r="I172" s="12">
        <v>50100</v>
      </c>
      <c r="J172" s="2">
        <f>SUM(_xlfn.IFNA(LOOKUP(Q172,[2]use_fish!A:A,[2]use_fish!J:J),0),_xlfn.IFNA(LOOKUP(R172,[2]use_fish!A:A,[2]use_fish!J:J),0),_xlfn.IFNA(LOOKUP(S172,[2]use_fish!A:A,[2]use_fish!J:J),0),_xlfn.IFNA(LOOKUP(T172,[2]use_fish!A:A,[2]use_fish!J:J),0),_xlfn.IFNA(LOOKUP(U172,[2]use_fish!A:A,[2]use_fish!J:J),0),_xlfn.IFNA(LOOKUP(V172,[2]use_fish!A:A,[2]use_fish!J:J),0),_xlfn.IFNA(LOOKUP(W172,[2]use_fish!A:A,[2]use_fish!J:J),0),)</f>
        <v>0</v>
      </c>
      <c r="Q172">
        <v>145</v>
      </c>
    </row>
    <row r="173" spans="1:18" x14ac:dyDescent="0.2">
      <c r="A173">
        <v>172</v>
      </c>
      <c r="B173">
        <v>1</v>
      </c>
      <c r="C173" t="s">
        <v>395</v>
      </c>
      <c r="H173">
        <f>SUM(_xlfn.IFNA(LOOKUP(Q173,[2]use_fish!A:A,[2]use_fish!D:D),0),_xlfn.IFNA(LOOKUP(R173,[2]use_fish!A:A,[2]use_fish!D:D),0),_xlfn.IFNA(LOOKUP(S173,[2]use_fish!A:A,[2]use_fish!D:D),0),_xlfn.IFNA(LOOKUP(T173,[2]use_fish!A:A,[2]use_fish!D:D),0),_xlfn.IFNA(LOOKUP(U173,[2]use_fish!A:A,[2]use_fish!D:D),0),_xlfn.IFNA(LOOKUP(V173,[2]use_fish!A:A,[2]use_fish!D:D),0),_xlfn.IFNA(LOOKUP(W173,[2]use_fish!A:A,[2]use_fish!D:D),0),)</f>
        <v>200</v>
      </c>
      <c r="I173" s="12">
        <v>150200</v>
      </c>
      <c r="J173" s="2">
        <f>SUM(_xlfn.IFNA(LOOKUP(Q173,[2]use_fish!A:A,[2]use_fish!J:J),0),_xlfn.IFNA(LOOKUP(R173,[2]use_fish!A:A,[2]use_fish!J:J),0),_xlfn.IFNA(LOOKUP(S173,[2]use_fish!A:A,[2]use_fish!J:J),0),_xlfn.IFNA(LOOKUP(T173,[2]use_fish!A:A,[2]use_fish!J:J),0),_xlfn.IFNA(LOOKUP(U173,[2]use_fish!A:A,[2]use_fish!J:J),0),_xlfn.IFNA(LOOKUP(V173,[2]use_fish!A:A,[2]use_fish!J:J),0),_xlfn.IFNA(LOOKUP(W173,[2]use_fish!A:A,[2]use_fish!J:J),0),)</f>
        <v>0</v>
      </c>
      <c r="Q173">
        <v>146</v>
      </c>
    </row>
    <row r="174" spans="1:18" x14ac:dyDescent="0.2">
      <c r="A174">
        <v>173</v>
      </c>
      <c r="B174">
        <v>1</v>
      </c>
      <c r="C174" t="s">
        <v>396</v>
      </c>
      <c r="H174">
        <f>SUM(_xlfn.IFNA(LOOKUP(Q174,[2]use_fish!A:A,[2]use_fish!D:D),0),_xlfn.IFNA(LOOKUP(R174,[2]use_fish!A:A,[2]use_fish!D:D),0),_xlfn.IFNA(LOOKUP(S174,[2]use_fish!A:A,[2]use_fish!D:D),0),_xlfn.IFNA(LOOKUP(T174,[2]use_fish!A:A,[2]use_fish!D:D),0),_xlfn.IFNA(LOOKUP(U174,[2]use_fish!A:A,[2]use_fish!D:D),0),_xlfn.IFNA(LOOKUP(V174,[2]use_fish!A:A,[2]use_fish!D:D),0),_xlfn.IFNA(LOOKUP(W174,[2]use_fish!A:A,[2]use_fish!D:D),0),)</f>
        <v>300</v>
      </c>
      <c r="I174" s="12">
        <v>250300</v>
      </c>
      <c r="J174" s="2">
        <f>SUM(_xlfn.IFNA(LOOKUP(Q174,[2]use_fish!A:A,[2]use_fish!J:J),0),_xlfn.IFNA(LOOKUP(R174,[2]use_fish!A:A,[2]use_fish!J:J),0),_xlfn.IFNA(LOOKUP(S174,[2]use_fish!A:A,[2]use_fish!J:J),0),_xlfn.IFNA(LOOKUP(T174,[2]use_fish!A:A,[2]use_fish!J:J),0),_xlfn.IFNA(LOOKUP(U174,[2]use_fish!A:A,[2]use_fish!J:J),0),_xlfn.IFNA(LOOKUP(V174,[2]use_fish!A:A,[2]use_fish!J:J),0),_xlfn.IFNA(LOOKUP(W174,[2]use_fish!A:A,[2]use_fish!J:J),0),)</f>
        <v>0</v>
      </c>
      <c r="Q174">
        <v>147</v>
      </c>
    </row>
    <row r="175" spans="1:18" x14ac:dyDescent="0.2">
      <c r="A175">
        <v>174</v>
      </c>
      <c r="B175">
        <v>1</v>
      </c>
      <c r="C175" t="s">
        <v>397</v>
      </c>
      <c r="H175">
        <f>SUM(_xlfn.IFNA(LOOKUP(Q175,[2]use_fish!A:A,[2]use_fish!D:D),0),_xlfn.IFNA(LOOKUP(R175,[2]use_fish!A:A,[2]use_fish!D:D),0),_xlfn.IFNA(LOOKUP(S175,[2]use_fish!A:A,[2]use_fish!D:D),0),_xlfn.IFNA(LOOKUP(T175,[2]use_fish!A:A,[2]use_fish!D:D),0),_xlfn.IFNA(LOOKUP(U175,[2]use_fish!A:A,[2]use_fish!D:D),0),_xlfn.IFNA(LOOKUP(V175,[2]use_fish!A:A,[2]use_fish!D:D),0),_xlfn.IFNA(LOOKUP(W175,[2]use_fish!A:A,[2]use_fish!D:D),0),)</f>
        <v>500</v>
      </c>
      <c r="I175" s="12">
        <v>350500</v>
      </c>
      <c r="J175" s="2">
        <f>SUM(_xlfn.IFNA(LOOKUP(Q175,[2]use_fish!A:A,[2]use_fish!J:J),0),_xlfn.IFNA(LOOKUP(R175,[2]use_fish!A:A,[2]use_fish!J:J),0),_xlfn.IFNA(LOOKUP(S175,[2]use_fish!A:A,[2]use_fish!J:J),0),_xlfn.IFNA(LOOKUP(T175,[2]use_fish!A:A,[2]use_fish!J:J),0),_xlfn.IFNA(LOOKUP(U175,[2]use_fish!A:A,[2]use_fish!J:J),0),_xlfn.IFNA(LOOKUP(V175,[2]use_fish!A:A,[2]use_fish!J:J),0),_xlfn.IFNA(LOOKUP(W175,[2]use_fish!A:A,[2]use_fish!J:J),0),)</f>
        <v>0</v>
      </c>
      <c r="Q175">
        <v>148</v>
      </c>
    </row>
  </sheetData>
  <autoFilter ref="I1:I129"/>
  <dataConsolidate/>
  <phoneticPr fontId="1" type="noConversion"/>
  <conditionalFormatting sqref="I176:I1048576">
    <cfRule type="iconSet" priority="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M146:M148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:K12 K19:K129 K131:K148">
    <cfRule type="iconSet" priority="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4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9">
    <cfRule type="iconSet" priority="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67 J176:J104857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67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67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68:J171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8:H171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68:I171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2:J17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72:H17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72:I17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workbookViewId="0">
      <pane ySplit="1" topLeftCell="A119" activePane="bottomLeft" state="frozen"/>
      <selection pane="bottomLeft" activeCell="G146" sqref="G146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237</v>
      </c>
      <c r="B1" s="1" t="s">
        <v>238</v>
      </c>
      <c r="C1" s="1" t="s">
        <v>239</v>
      </c>
      <c r="D1" s="1" t="s">
        <v>251</v>
      </c>
      <c r="E1" s="1" t="s">
        <v>240</v>
      </c>
      <c r="F1" s="1" t="s">
        <v>241</v>
      </c>
      <c r="G1" s="1" t="s">
        <v>17</v>
      </c>
      <c r="H1" s="9" t="s">
        <v>334</v>
      </c>
      <c r="I1" s="9" t="s">
        <v>253</v>
      </c>
      <c r="J1" s="9" t="s">
        <v>281</v>
      </c>
      <c r="K1" s="9" t="s">
        <v>282</v>
      </c>
      <c r="L1" s="9" t="s">
        <v>283</v>
      </c>
      <c r="M1" s="9" t="s">
        <v>371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20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20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42" si="2">1/D4</f>
        <v>0.2</v>
      </c>
      <c r="F4" s="2" t="s">
        <v>20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20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20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20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20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20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20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20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20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20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20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20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20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20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20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20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si="2"/>
        <v>1.2048192771084338E-2</v>
      </c>
      <c r="F20" s="2" t="s">
        <v>20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2"/>
        <v>1.2048192771084338E-2</v>
      </c>
      <c r="F21" s="2" t="s">
        <v>20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2"/>
        <v>1.4285714285714285E-2</v>
      </c>
      <c r="F22" s="2" t="s">
        <v>20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2"/>
        <v>1.4285714285714285E-2</v>
      </c>
      <c r="F23" s="2" t="s">
        <v>20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2"/>
        <v>1.4285714285714285E-2</v>
      </c>
      <c r="F24" s="2" t="s">
        <v>20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2"/>
        <v>1.0752688172043012E-2</v>
      </c>
      <c r="F25" s="2" t="s">
        <v>20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2"/>
        <v>1.0752688172043012E-2</v>
      </c>
      <c r="F26" s="2" t="s">
        <v>20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2"/>
        <v>1.2500000000000001E-2</v>
      </c>
      <c r="F27" s="2" t="s">
        <v>20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2"/>
        <v>1.2500000000000001E-2</v>
      </c>
      <c r="F28" s="2" t="s">
        <v>20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2"/>
        <v>9.0909090909090905E-3</v>
      </c>
      <c r="F29" s="2" t="s">
        <v>20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LOOKUP([1]use_fish!B29,[1]base_fish!A:A,[1]base_fish!G:G)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2"/>
        <v>9.7087378640776691E-3</v>
      </c>
      <c r="F30" s="2" t="s">
        <v>20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2"/>
        <v>9.7087378640776691E-3</v>
      </c>
      <c r="F31" s="2" t="s">
        <v>20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2"/>
        <v>1.1111111111111112E-2</v>
      </c>
      <c r="F32" s="2" t="s">
        <v>20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2"/>
        <v>1.1111111111111112E-2</v>
      </c>
      <c r="F33" s="2" t="s">
        <v>20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2"/>
        <v>8.3333333333333332E-3</v>
      </c>
      <c r="F34" s="2" t="s">
        <v>20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LOOKUP([1]use_fish!B34,[1]base_fish!A:A,[1]base_fish!G:G)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2"/>
        <v>2.5000000000000001E-2</v>
      </c>
      <c r="F35" s="2" t="s">
        <v>20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2"/>
        <v>2.5000000000000001E-2</v>
      </c>
      <c r="F36" s="2" t="s">
        <v>20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si="2"/>
        <v>8.8495575221238937E-3</v>
      </c>
      <c r="F37" s="2" t="s">
        <v>20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2"/>
        <v>8.8495575221238937E-3</v>
      </c>
      <c r="F38" s="2" t="s">
        <v>20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2"/>
        <v>0.01</v>
      </c>
      <c r="F39" s="2" t="s">
        <v>20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2"/>
        <v>0.01</v>
      </c>
      <c r="F40" s="2" t="s">
        <v>20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2"/>
        <v>7.6923076923076927E-3</v>
      </c>
      <c r="F41" s="2" t="s">
        <v>20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LOOKUP([1]use_fish!B41,[1]base_fish!A:A,[1]base_fish!G:G)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2"/>
        <v>0.02</v>
      </c>
      <c r="F42" s="2" t="s">
        <v>20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20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20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20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3">1/D46</f>
        <v>8.130081300813009E-3</v>
      </c>
      <c r="F46" s="2" t="s">
        <v>20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3"/>
        <v>8.130081300813009E-3</v>
      </c>
      <c r="F47" s="2" t="s">
        <v>20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3"/>
        <v>9.0909090909090905E-3</v>
      </c>
      <c r="F48" s="2" t="s">
        <v>20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3"/>
        <v>9.0909090909090905E-3</v>
      </c>
      <c r="F49" s="2" t="s">
        <v>20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3"/>
        <v>7.1428571428571426E-3</v>
      </c>
      <c r="F50" s="2" t="s">
        <v>20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LOOKUP([1]use_fish!B50,[1]base_fish!A:A,[1]base_fish!G:G)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3"/>
        <v>1.6666666666666666E-2</v>
      </c>
      <c r="F51" s="2" t="s">
        <v>20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20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20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20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20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79" si="4">1/D56</f>
        <v>7.5187969924812026E-3</v>
      </c>
      <c r="F56" s="2" t="s">
        <v>20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4"/>
        <v>7.5187969924812026E-3</v>
      </c>
      <c r="F57" s="2" t="s">
        <v>20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4"/>
        <v>8.3333333333333332E-3</v>
      </c>
      <c r="F58" s="2" t="s">
        <v>20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4"/>
        <v>8.3333333333333332E-3</v>
      </c>
      <c r="F59" s="2" t="s">
        <v>20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4"/>
        <v>6.6666666666666671E-3</v>
      </c>
      <c r="F60" s="2" t="s">
        <v>20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LOOKUP([1]use_fish!B60,[1]base_fish!A:A,[1]base_fish!G:G)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4"/>
        <v>1.4285714285714285E-2</v>
      </c>
      <c r="F61" s="2" t="s">
        <v>20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4"/>
        <v>1.4285714285714285E-2</v>
      </c>
      <c r="F62" s="2" t="s">
        <v>20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4"/>
        <v>1.4285714285714285E-2</v>
      </c>
      <c r="F63" s="2" t="s">
        <v>20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4"/>
        <v>1.4285714285714285E-2</v>
      </c>
      <c r="F64" s="2" t="s">
        <v>20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4"/>
        <v>6.1349693251533744E-3</v>
      </c>
      <c r="F65" s="2" t="s">
        <v>20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4"/>
        <v>6.1349693251533744E-3</v>
      </c>
      <c r="F66" s="2" t="s">
        <v>20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4"/>
        <v>6.6666666666666671E-3</v>
      </c>
      <c r="F67" s="2" t="s">
        <v>20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22" si="5">H67</f>
        <v>150</v>
      </c>
      <c r="L67">
        <v>1</v>
      </c>
      <c r="M67">
        <f t="shared" ref="M67:M123" si="6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4"/>
        <v>6.6666666666666671E-3</v>
      </c>
      <c r="F68" s="2" t="s">
        <v>20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5"/>
        <v>150</v>
      </c>
      <c r="L68">
        <v>1</v>
      </c>
      <c r="M68">
        <f t="shared" si="6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4"/>
        <v>5.5555555555555558E-3</v>
      </c>
      <c r="F69" s="2" t="s">
        <v>20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LOOKUP([1]use_fish!B69,[1]base_fish!A:A,[1]base_fish!G:G)</f>
        <v>0</v>
      </c>
      <c r="K69">
        <f t="shared" si="5"/>
        <v>180</v>
      </c>
      <c r="L69">
        <v>1</v>
      </c>
      <c r="M69">
        <f t="shared" si="6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4"/>
        <v>0.01</v>
      </c>
      <c r="F70" s="2" t="s">
        <v>20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5"/>
        <v>100</v>
      </c>
      <c r="L70">
        <v>1</v>
      </c>
      <c r="M70">
        <f t="shared" si="6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4"/>
        <v>0.01</v>
      </c>
      <c r="F71" s="2" t="s">
        <v>20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5"/>
        <v>100</v>
      </c>
      <c r="L71">
        <v>1</v>
      </c>
      <c r="M71">
        <f t="shared" si="6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4"/>
        <v>0.01</v>
      </c>
      <c r="F72" s="2" t="s">
        <v>20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5"/>
        <v>100</v>
      </c>
      <c r="L72">
        <v>1</v>
      </c>
      <c r="M72">
        <f t="shared" si="6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si="4"/>
        <v>6.993006993006993E-3</v>
      </c>
      <c r="F73" s="2" t="s">
        <v>20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5"/>
        <v>143</v>
      </c>
      <c r="L73">
        <v>1</v>
      </c>
      <c r="M73">
        <f t="shared" si="6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4"/>
        <v>6.993006993006993E-3</v>
      </c>
      <c r="F74" s="2" t="s">
        <v>20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5"/>
        <v>143</v>
      </c>
      <c r="L74">
        <v>1</v>
      </c>
      <c r="M74">
        <f t="shared" si="6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4"/>
        <v>7.6923076923076927E-3</v>
      </c>
      <c r="F75" s="2" t="s">
        <v>20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5"/>
        <v>130</v>
      </c>
      <c r="L75">
        <v>1</v>
      </c>
      <c r="M75">
        <f t="shared" si="6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4"/>
        <v>7.6923076923076927E-3</v>
      </c>
      <c r="F76" s="2" t="s">
        <v>20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5"/>
        <v>130</v>
      </c>
      <c r="L76">
        <v>1</v>
      </c>
      <c r="M76">
        <f t="shared" si="6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4"/>
        <v>6.2500000000000003E-3</v>
      </c>
      <c r="F77" s="2" t="s">
        <v>20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LOOKUP([1]use_fish!B77,[1]base_fish!A:A,[1]base_fish!G:G)</f>
        <v>0</v>
      </c>
      <c r="K77">
        <f t="shared" si="5"/>
        <v>160</v>
      </c>
      <c r="L77">
        <v>1</v>
      </c>
      <c r="M77">
        <f t="shared" si="6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4"/>
        <v>1.2500000000000001E-2</v>
      </c>
      <c r="F78" s="2" t="s">
        <v>20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5"/>
        <v>80</v>
      </c>
      <c r="L78">
        <v>1</v>
      </c>
      <c r="M78">
        <f t="shared" si="6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4"/>
        <v>1.2500000000000001E-2</v>
      </c>
      <c r="F79" s="2" t="s">
        <v>20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5"/>
        <v>80</v>
      </c>
      <c r="L79">
        <v>1</v>
      </c>
      <c r="M79">
        <f t="shared" si="6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20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5"/>
        <v>80</v>
      </c>
      <c r="L80">
        <v>1</v>
      </c>
      <c r="M80">
        <f t="shared" si="6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20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5"/>
        <v>110</v>
      </c>
      <c r="L81">
        <v>1</v>
      </c>
      <c r="M81">
        <f t="shared" si="6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20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5"/>
        <v>100</v>
      </c>
      <c r="L82">
        <v>1</v>
      </c>
      <c r="M82">
        <f t="shared" si="6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7">1/D83</f>
        <v>6.1349693251533744E-3</v>
      </c>
      <c r="F83" s="2" t="s">
        <v>20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5"/>
        <v>163</v>
      </c>
      <c r="L83">
        <v>1</v>
      </c>
      <c r="M83">
        <f t="shared" si="6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7"/>
        <v>6.1349693251533744E-3</v>
      </c>
      <c r="F84" s="2" t="s">
        <v>20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5"/>
        <v>163</v>
      </c>
      <c r="L84">
        <v>1</v>
      </c>
      <c r="M84">
        <f t="shared" si="6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7"/>
        <v>6.6666666666666671E-3</v>
      </c>
      <c r="F85" s="2" t="s">
        <v>20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5"/>
        <v>150</v>
      </c>
      <c r="L85">
        <v>1</v>
      </c>
      <c r="M85">
        <f t="shared" si="6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7"/>
        <v>6.6666666666666671E-3</v>
      </c>
      <c r="F86" s="2" t="s">
        <v>20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5"/>
        <v>150</v>
      </c>
      <c r="L86">
        <v>1</v>
      </c>
      <c r="M86">
        <f t="shared" si="6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7"/>
        <v>5.5555555555555558E-3</v>
      </c>
      <c r="F87" s="2" t="s">
        <v>20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LOOKUP([1]use_fish!B87,[1]base_fish!A:A,[1]base_fish!G:G)</f>
        <v>0</v>
      </c>
      <c r="K87">
        <f t="shared" si="5"/>
        <v>180</v>
      </c>
      <c r="L87">
        <v>1</v>
      </c>
      <c r="M87">
        <f t="shared" si="6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7"/>
        <v>0.01</v>
      </c>
      <c r="F88" s="2" t="s">
        <v>20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5"/>
        <v>100</v>
      </c>
      <c r="L88">
        <v>1</v>
      </c>
      <c r="M88">
        <f t="shared" si="6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20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5"/>
        <v>100</v>
      </c>
      <c r="L89">
        <v>1</v>
      </c>
      <c r="M89">
        <f t="shared" si="6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20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5"/>
        <v>100</v>
      </c>
      <c r="L90">
        <v>1</v>
      </c>
      <c r="M90">
        <f t="shared" si="6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20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5"/>
        <v>130</v>
      </c>
      <c r="L91">
        <v>1</v>
      </c>
      <c r="M91">
        <f t="shared" si="6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20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5"/>
        <v>120</v>
      </c>
      <c r="L92">
        <v>1</v>
      </c>
      <c r="M92">
        <f t="shared" si="6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8">1/D93</f>
        <v>5.4644808743169399E-3</v>
      </c>
      <c r="F93" s="2" t="s">
        <v>20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5"/>
        <v>183</v>
      </c>
      <c r="L93">
        <v>1</v>
      </c>
      <c r="M93">
        <f t="shared" si="6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8"/>
        <v>5.4644808743169399E-3</v>
      </c>
      <c r="F94" s="2" t="s">
        <v>20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5"/>
        <v>183</v>
      </c>
      <c r="L94">
        <v>1</v>
      </c>
      <c r="M94">
        <f t="shared" si="6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8"/>
        <v>5.8823529411764705E-3</v>
      </c>
      <c r="F95" s="2" t="s">
        <v>20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5"/>
        <v>170</v>
      </c>
      <c r="L95">
        <v>1</v>
      </c>
      <c r="M95">
        <f t="shared" si="6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8"/>
        <v>5.8823529411764705E-3</v>
      </c>
      <c r="F96" s="2" t="s">
        <v>20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5"/>
        <v>170</v>
      </c>
      <c r="L96">
        <v>1</v>
      </c>
      <c r="M96">
        <f t="shared" si="6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8"/>
        <v>5.8823529411764705E-3</v>
      </c>
      <c r="F97" s="2" t="s">
        <v>20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5"/>
        <v>170</v>
      </c>
      <c r="L97">
        <v>1</v>
      </c>
      <c r="M97">
        <f t="shared" si="6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8"/>
        <v>8.3333333333333332E-3</v>
      </c>
      <c r="F98" s="2" t="s">
        <v>20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5"/>
        <v>120</v>
      </c>
      <c r="L98">
        <v>1</v>
      </c>
      <c r="M98">
        <f t="shared" si="6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8"/>
        <v>8.3333333333333332E-3</v>
      </c>
      <c r="F99" s="2" t="s">
        <v>20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5"/>
        <v>120</v>
      </c>
      <c r="L99">
        <v>1</v>
      </c>
      <c r="M99">
        <f t="shared" si="6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20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5"/>
        <v>120</v>
      </c>
      <c r="L100">
        <v>1</v>
      </c>
      <c r="M100">
        <f t="shared" si="6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20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5"/>
        <v>150</v>
      </c>
      <c r="L101">
        <v>1</v>
      </c>
      <c r="M101">
        <f t="shared" si="6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20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5"/>
        <v>140</v>
      </c>
      <c r="L102">
        <v>1</v>
      </c>
      <c r="M102">
        <f t="shared" si="6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8" si="9">1/D103</f>
        <v>0.16666666666666666</v>
      </c>
      <c r="F103" s="2" t="s">
        <v>20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5"/>
        <v>6</v>
      </c>
      <c r="L103">
        <v>1</v>
      </c>
      <c r="M103">
        <f t="shared" si="6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9"/>
        <v>0.1111111111111111</v>
      </c>
      <c r="F104" s="2" t="s">
        <v>20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5"/>
        <v>9</v>
      </c>
      <c r="L104">
        <v>1</v>
      </c>
      <c r="M104">
        <f t="shared" si="6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9"/>
        <v>6.25E-2</v>
      </c>
      <c r="F105" s="2" t="s">
        <v>20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5"/>
        <v>16</v>
      </c>
      <c r="L105">
        <v>1</v>
      </c>
      <c r="M105">
        <f t="shared" si="6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9"/>
        <v>4.7619047619047616E-2</v>
      </c>
      <c r="F106" s="2" t="s">
        <v>20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5"/>
        <v>21</v>
      </c>
      <c r="L106">
        <v>1</v>
      </c>
      <c r="M106">
        <f t="shared" si="6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9"/>
        <v>3.2258064516129031E-2</v>
      </c>
      <c r="F107" s="2" t="s">
        <v>20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5"/>
        <v>31</v>
      </c>
      <c r="L107">
        <v>1</v>
      </c>
      <c r="M107">
        <f t="shared" si="6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9"/>
        <v>2.4390243902439025E-2</v>
      </c>
      <c r="F108" s="2" t="s">
        <v>20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5"/>
        <v>41</v>
      </c>
      <c r="L108">
        <v>1</v>
      </c>
      <c r="M108">
        <f t="shared" si="6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9"/>
        <v>1.9607843137254902E-2</v>
      </c>
      <c r="F109" s="2" t="s">
        <v>20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5"/>
        <v>51</v>
      </c>
      <c r="L109">
        <v>1</v>
      </c>
      <c r="M109">
        <f t="shared" si="6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9"/>
        <v>1.6393442622950821E-2</v>
      </c>
      <c r="F110" s="2" t="s">
        <v>20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5"/>
        <v>61</v>
      </c>
      <c r="L110">
        <v>1</v>
      </c>
      <c r="M110">
        <f t="shared" si="6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9"/>
        <v>0.16666666666666666</v>
      </c>
      <c r="F111" s="2" t="s">
        <v>20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5"/>
        <v>6</v>
      </c>
      <c r="L111">
        <v>1</v>
      </c>
      <c r="M111">
        <f t="shared" si="6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9"/>
        <v>0.1111111111111111</v>
      </c>
      <c r="F112" s="2" t="s">
        <v>20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5"/>
        <v>9</v>
      </c>
      <c r="L112">
        <v>1</v>
      </c>
      <c r="M112">
        <f t="shared" si="6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9"/>
        <v>6.25E-2</v>
      </c>
      <c r="F113" s="2" t="s">
        <v>20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5"/>
        <v>16</v>
      </c>
      <c r="L113">
        <v>1</v>
      </c>
      <c r="M113">
        <f t="shared" si="6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9"/>
        <v>4.7619047619047616E-2</v>
      </c>
      <c r="F114" s="2" t="s">
        <v>20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5"/>
        <v>21</v>
      </c>
      <c r="L114">
        <v>1</v>
      </c>
      <c r="M114">
        <f t="shared" si="6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9"/>
        <v>3.2258064516129031E-2</v>
      </c>
      <c r="F115" s="2" t="s">
        <v>20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5"/>
        <v>31</v>
      </c>
      <c r="L115">
        <v>1</v>
      </c>
      <c r="M115">
        <f t="shared" si="6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9"/>
        <v>2.4390243902439025E-2</v>
      </c>
      <c r="F116" s="2" t="s">
        <v>20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>H116</f>
        <v>41</v>
      </c>
      <c r="L116">
        <v>1</v>
      </c>
      <c r="M116">
        <f t="shared" si="6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9"/>
        <v>1.9607843137254902E-2</v>
      </c>
      <c r="F117" s="2" t="s">
        <v>20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5"/>
        <v>51</v>
      </c>
      <c r="L117">
        <v>1</v>
      </c>
      <c r="M117">
        <f t="shared" si="6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9"/>
        <v>1.6393442622950821E-2</v>
      </c>
      <c r="F118" s="2" t="s">
        <v>20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5"/>
        <v>61</v>
      </c>
      <c r="L118">
        <v>1</v>
      </c>
      <c r="M118">
        <f t="shared" si="6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v>2.0000000000000002E-5</v>
      </c>
      <c r="F119" s="2" t="s">
        <v>336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LOOKUP(use_fish!B119,base_fish!A:A,base_fish!F:F)+_xlfn.IFNA(INDEX(activity!E:E,MATCH(use_fish!C119,activity!A:A,0)),0)</f>
        <v>0</v>
      </c>
      <c r="I119">
        <v>3</v>
      </c>
      <c r="J119">
        <f>LOOKUP([1]use_fish!B119,[1]base_fish!A:A,[1]base_fish!G:G)</f>
        <v>0</v>
      </c>
      <c r="K119">
        <f t="shared" si="5"/>
        <v>0</v>
      </c>
      <c r="L119">
        <v>1</v>
      </c>
      <c r="M119">
        <f t="shared" si="6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v>1.9999999999999999E-6</v>
      </c>
      <c r="F120" s="2" t="s">
        <v>336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LOOKUP(use_fish!B120,base_fish!A:A,base_fish!F:F)+_xlfn.IFNA(INDEX(activity!E:E,MATCH(use_fish!C120,activity!A:A,0)),0)</f>
        <v>0</v>
      </c>
      <c r="I120">
        <v>3</v>
      </c>
      <c r="J120">
        <f>LOOKUP([1]use_fish!B120,[1]base_fish!A:A,[1]base_fish!G:G)</f>
        <v>0</v>
      </c>
      <c r="K120">
        <f t="shared" si="5"/>
        <v>0</v>
      </c>
      <c r="L120">
        <v>1</v>
      </c>
      <c r="M120">
        <f t="shared" si="6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v>1.9999999999999999E-7</v>
      </c>
      <c r="F121" s="2" t="s">
        <v>336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LOOKUP(use_fish!B121,base_fish!A:A,base_fish!F:F)+_xlfn.IFNA(INDEX(activity!E:E,MATCH(use_fish!C121,activity!A:A,0)),0)</f>
        <v>0</v>
      </c>
      <c r="I121">
        <v>3</v>
      </c>
      <c r="J121">
        <f>LOOKUP([1]use_fish!B121,[1]base_fish!A:A,[1]base_fish!G:G)</f>
        <v>0</v>
      </c>
      <c r="K121">
        <f t="shared" si="5"/>
        <v>0</v>
      </c>
      <c r="L121">
        <v>1</v>
      </c>
      <c r="M121">
        <f t="shared" si="6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ref="E122" si="10">1/D122</f>
        <v>2E-3</v>
      </c>
      <c r="F122" s="2" t="s">
        <v>20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5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20</v>
      </c>
      <c r="G123" s="5" t="str">
        <f>INDEX(base_fish!E:E,MATCH(use_fish!B123,base_fish!A:A,0))&amp;_xlfn.IFNA("+"&amp;INDEX(activity!G:G,MATCH(use_fish!C123,activity!A:A,0)),"")</f>
        <v>贝壳鱼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6"/>
        <v>0</v>
      </c>
    </row>
    <row r="124" spans="1:13" x14ac:dyDescent="0.2">
      <c r="A124" s="3">
        <v>123</v>
      </c>
      <c r="B124" s="3">
        <v>28</v>
      </c>
      <c r="C124" s="3"/>
      <c r="D124" s="2" t="s">
        <v>358</v>
      </c>
      <c r="E124" s="2" t="s">
        <v>359</v>
      </c>
      <c r="F124" s="2" t="s">
        <v>20</v>
      </c>
      <c r="G124" t="s">
        <v>360</v>
      </c>
      <c r="H124" s="2" t="s">
        <v>361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49" si="11">1/D125</f>
        <v>6.6225165562913907E-3</v>
      </c>
      <c r="F125" s="2" t="s">
        <v>20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LOOKUP([1]use_fish!B125,[1]base_fish!A:A,[1]base_fish!G:G)</f>
        <v>0</v>
      </c>
      <c r="K125">
        <f t="shared" ref="K125:K141" si="12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1"/>
        <v>5.0000000000000001E-3</v>
      </c>
      <c r="F126" s="2" t="s">
        <v>20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LOOKUP([1]use_fish!B126,[1]base_fish!A:A,[1]base_fish!G:G)</f>
        <v>0</v>
      </c>
      <c r="K126">
        <f t="shared" si="12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1"/>
        <v>4.7619047619047623E-3</v>
      </c>
      <c r="F127" s="2" t="s">
        <v>20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LOOKUP([1]use_fish!B127,[1]base_fish!A:A,[1]base_fish!G:G)</f>
        <v>0</v>
      </c>
      <c r="K127">
        <f t="shared" si="12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1"/>
        <v>4.5454545454545452E-3</v>
      </c>
      <c r="F128" s="2" t="s">
        <v>20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LOOKUP([1]use_fish!B128,[1]base_fish!A:A,[1]base_fish!G:G)</f>
        <v>0</v>
      </c>
      <c r="K128">
        <f t="shared" si="12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1"/>
        <v>4.0000000000000001E-3</v>
      </c>
      <c r="F129" s="2" t="s">
        <v>20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LOOKUP([1]use_fish!B129,[1]base_fish!A:A,[1]base_fish!G:G)</f>
        <v>0</v>
      </c>
      <c r="K129">
        <f t="shared" si="12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1"/>
        <v>1.2048192771084338E-2</v>
      </c>
      <c r="F130" s="2" t="s">
        <v>20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2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1"/>
        <v>1.0752688172043012E-2</v>
      </c>
      <c r="F131" s="2" t="s">
        <v>20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si="12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1"/>
        <v>9.7087378640776691E-3</v>
      </c>
      <c r="F132" s="2" t="s">
        <v>20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2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1"/>
        <v>8.8495575221238937E-3</v>
      </c>
      <c r="F133" s="2" t="s">
        <v>20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2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1"/>
        <v>8.130081300813009E-3</v>
      </c>
      <c r="F134" s="2" t="s">
        <v>20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2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1"/>
        <v>7.5187969924812026E-3</v>
      </c>
      <c r="F135" s="2" t="s">
        <v>20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2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1"/>
        <v>6.1349693251533744E-3</v>
      </c>
      <c r="F136" s="2" t="s">
        <v>20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2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si="11"/>
        <v>2.5000000000000001E-2</v>
      </c>
      <c r="F137" s="2" t="s">
        <v>20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2"/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1"/>
        <v>0.02</v>
      </c>
      <c r="F138" s="2" t="s">
        <v>20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2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1"/>
        <v>1.6666666666666666E-2</v>
      </c>
      <c r="F139" s="2" t="s">
        <v>20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2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1"/>
        <v>1.4285714285714285E-2</v>
      </c>
      <c r="F140" s="2" t="s">
        <v>20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2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1"/>
        <v>0.01</v>
      </c>
      <c r="F141" s="2" t="s">
        <v>20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2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v>100</v>
      </c>
      <c r="E142" s="2">
        <f t="shared" si="11"/>
        <v>0.01</v>
      </c>
      <c r="F142" s="2" t="s">
        <v>20</v>
      </c>
      <c r="G142" s="5" t="str">
        <f>INDEX([1]base_fish!E:E,MATCH([1]use_fish!B142,[1]base_fish!A:A,0))&amp;_xlfn.IFNA("+"&amp;INDEX([1]activity!G:G,MATCH([1]use_fish!C142,[1]activity!A:A,0)),"")</f>
        <v>财神+财神</v>
      </c>
      <c r="H142" s="13">
        <v>50</v>
      </c>
      <c r="I142">
        <v>1</v>
      </c>
      <c r="J142">
        <f>LOOKUP([1]use_fish!B142,[1]base_fish!A:A,[1]base_fish!G:G)</f>
        <v>0</v>
      </c>
      <c r="K142">
        <v>50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v>200</v>
      </c>
      <c r="E143" s="2">
        <f t="shared" si="11"/>
        <v>5.0000000000000001E-3</v>
      </c>
      <c r="F143" s="2" t="s">
        <v>20</v>
      </c>
      <c r="G143" s="5" t="str">
        <f>INDEX([1]base_fish!E:E,MATCH([1]use_fish!B143,[1]base_fish!A:A,0))&amp;_xlfn.IFNA("+"&amp;INDEX([1]activity!G:G,MATCH([1]use_fish!C143,[1]activity!A:A,0)),"")</f>
        <v>财神+财神</v>
      </c>
      <c r="H143" s="13">
        <v>50</v>
      </c>
      <c r="I143">
        <v>1</v>
      </c>
      <c r="J143">
        <f>LOOKUP([1]use_fish!B143,[1]base_fish!A:A,[1]base_fish!G:G)</f>
        <v>0</v>
      </c>
      <c r="K143">
        <v>50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v>300</v>
      </c>
      <c r="E144" s="2">
        <f t="shared" si="11"/>
        <v>3.3333333333333335E-3</v>
      </c>
      <c r="F144" s="2" t="s">
        <v>20</v>
      </c>
      <c r="G144" s="5" t="str">
        <f>INDEX([1]base_fish!E:E,MATCH([1]use_fish!B144,[1]base_fish!A:A,0))&amp;_xlfn.IFNA("+"&amp;INDEX([1]activity!G:G,MATCH([1]use_fish!C144,[1]activity!A:A,0)),"")</f>
        <v>财神+财神</v>
      </c>
      <c r="H144" s="13">
        <v>50</v>
      </c>
      <c r="I144">
        <v>1</v>
      </c>
      <c r="J144">
        <f>LOOKUP([1]use_fish!B144,[1]base_fish!A:A,[1]base_fish!G:G)</f>
        <v>0</v>
      </c>
      <c r="K144">
        <v>50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v>500</v>
      </c>
      <c r="E145" s="2">
        <f t="shared" si="11"/>
        <v>2E-3</v>
      </c>
      <c r="F145" s="2" t="s">
        <v>20</v>
      </c>
      <c r="G145" s="5" t="str">
        <f>INDEX([1]base_fish!E:E,MATCH([1]use_fish!B145,[1]base_fish!A:A,0))&amp;_xlfn.IFNA("+"&amp;INDEX([1]activity!G:G,MATCH([1]use_fish!C145,[1]activity!A:A,0)),"")</f>
        <v>财神+财神</v>
      </c>
      <c r="H145" s="13">
        <v>50</v>
      </c>
      <c r="I145">
        <v>1</v>
      </c>
      <c r="J145">
        <f>LOOKUP([1]use_fish!B145,[1]base_fish!A:A,[1]base_fish!G:G)</f>
        <v>0</v>
      </c>
      <c r="K145">
        <v>50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v>100</v>
      </c>
      <c r="E146" s="2">
        <f t="shared" si="11"/>
        <v>0.01</v>
      </c>
      <c r="F146" s="2" t="s">
        <v>20</v>
      </c>
      <c r="G146" s="5" t="str">
        <f>INDEX([2]base_fish!E:E,MATCH([2]use_fish!B146,[2]base_fish!A:A,0))&amp;_xlfn.IFNA("+"&amp;INDEX([2]activity!G:G,MATCH([2]use_fish!C146,[2]activity!A:A,0)),"")</f>
        <v>亲嘴鱼+财神</v>
      </c>
      <c r="H146" s="13">
        <v>50</v>
      </c>
      <c r="I146">
        <v>1</v>
      </c>
      <c r="J146">
        <f>LOOKUP([2]use_fish!B146,[2]base_fish!A:A,[2]base_fish!G:G)</f>
        <v>0</v>
      </c>
      <c r="K146">
        <v>50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v>200</v>
      </c>
      <c r="E147" s="2">
        <f t="shared" si="11"/>
        <v>5.0000000000000001E-3</v>
      </c>
      <c r="F147" s="2" t="s">
        <v>20</v>
      </c>
      <c r="G147" s="5" t="str">
        <f>INDEX([2]base_fish!E:E,MATCH([2]use_fish!B147,[2]base_fish!A:A,0))&amp;_xlfn.IFNA("+"&amp;INDEX([2]activity!G:G,MATCH([2]use_fish!C147,[2]activity!A:A,0)),"")</f>
        <v>亲嘴鱼+财神</v>
      </c>
      <c r="H147" s="13">
        <v>50</v>
      </c>
      <c r="I147">
        <v>1</v>
      </c>
      <c r="J147">
        <f>LOOKUP([2]use_fish!B147,[2]base_fish!A:A,[2]base_fish!G:G)</f>
        <v>0</v>
      </c>
      <c r="K147">
        <v>50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v>300</v>
      </c>
      <c r="E148" s="2">
        <f t="shared" si="11"/>
        <v>3.3333333333333335E-3</v>
      </c>
      <c r="F148" s="2" t="s">
        <v>20</v>
      </c>
      <c r="G148" s="5" t="str">
        <f>INDEX([2]base_fish!E:E,MATCH([2]use_fish!B148,[2]base_fish!A:A,0))&amp;_xlfn.IFNA("+"&amp;INDEX([2]activity!G:G,MATCH([2]use_fish!C148,[2]activity!A:A,0)),"")</f>
        <v>亲嘴鱼+财神</v>
      </c>
      <c r="H148" s="13">
        <v>50</v>
      </c>
      <c r="I148">
        <v>1</v>
      </c>
      <c r="J148">
        <f>LOOKUP([2]use_fish!B148,[2]base_fish!A:A,[2]base_fish!G:G)</f>
        <v>0</v>
      </c>
      <c r="K148">
        <v>50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v>500</v>
      </c>
      <c r="E149" s="2">
        <f t="shared" si="11"/>
        <v>2E-3</v>
      </c>
      <c r="F149" s="2" t="s">
        <v>20</v>
      </c>
      <c r="G149" s="5" t="str">
        <f>INDEX([2]base_fish!E:E,MATCH([2]use_fish!B149,[2]base_fish!A:A,0))&amp;_xlfn.IFNA("+"&amp;INDEX([2]activity!G:G,MATCH([2]use_fish!C149,[2]activity!A:A,0)),"")</f>
        <v>亲嘴鱼+财神</v>
      </c>
      <c r="H149" s="13">
        <v>50</v>
      </c>
      <c r="I149">
        <v>1</v>
      </c>
      <c r="J149">
        <f>LOOKUP([2]use_fish!B149,[2]base_fish!A:A,[2]base_fish!G:G)</f>
        <v>0</v>
      </c>
      <c r="K149">
        <v>50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7"/>
  <sheetViews>
    <sheetView topLeftCell="A13" workbookViewId="0">
      <selection activeCell="C31" sqref="C31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284</v>
      </c>
      <c r="B1" s="1" t="s">
        <v>285</v>
      </c>
      <c r="C1" s="1" t="s">
        <v>286</v>
      </c>
      <c r="D1" s="1" t="s">
        <v>287</v>
      </c>
      <c r="E1" s="1" t="s">
        <v>288</v>
      </c>
      <c r="F1" s="1" t="s">
        <v>247</v>
      </c>
      <c r="G1" s="1" t="s">
        <v>289</v>
      </c>
      <c r="H1" s="1" t="s">
        <v>290</v>
      </c>
      <c r="I1" s="1" t="s">
        <v>290</v>
      </c>
      <c r="K1" s="1" t="s">
        <v>231</v>
      </c>
    </row>
    <row r="2" spans="1:11" x14ac:dyDescent="0.2">
      <c r="A2">
        <v>1</v>
      </c>
      <c r="B2">
        <v>1</v>
      </c>
      <c r="C2" t="s">
        <v>190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43</v>
      </c>
      <c r="K2" t="s">
        <v>291</v>
      </c>
    </row>
    <row r="3" spans="1:11" x14ac:dyDescent="0.2">
      <c r="A3">
        <v>2</v>
      </c>
      <c r="B3">
        <v>2</v>
      </c>
      <c r="C3" t="s">
        <v>292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44</v>
      </c>
    </row>
    <row r="4" spans="1:11" x14ac:dyDescent="0.2">
      <c r="A4">
        <v>3</v>
      </c>
      <c r="B4">
        <v>3</v>
      </c>
      <c r="C4" t="s">
        <v>292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45</v>
      </c>
    </row>
    <row r="5" spans="1:11" x14ac:dyDescent="0.2">
      <c r="A5">
        <v>4</v>
      </c>
      <c r="B5">
        <v>4</v>
      </c>
      <c r="C5" t="s">
        <v>293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46</v>
      </c>
    </row>
    <row r="6" spans="1:11" x14ac:dyDescent="0.2">
      <c r="A6">
        <v>5</v>
      </c>
      <c r="B6">
        <v>5</v>
      </c>
      <c r="C6" t="s">
        <v>295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47</v>
      </c>
    </row>
    <row r="7" spans="1:11" x14ac:dyDescent="0.2">
      <c r="A7">
        <v>6</v>
      </c>
      <c r="B7">
        <v>4</v>
      </c>
      <c r="C7" t="s">
        <v>296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48</v>
      </c>
    </row>
    <row r="8" spans="1:11" x14ac:dyDescent="0.2">
      <c r="A8">
        <v>7</v>
      </c>
      <c r="B8">
        <v>1</v>
      </c>
      <c r="C8" t="s">
        <v>294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297</v>
      </c>
    </row>
    <row r="9" spans="1:11" x14ac:dyDescent="0.2">
      <c r="A9">
        <v>8</v>
      </c>
      <c r="B9">
        <v>4</v>
      </c>
      <c r="C9" t="s">
        <v>190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298</v>
      </c>
    </row>
    <row r="10" spans="1:11" x14ac:dyDescent="0.2">
      <c r="A10">
        <v>9</v>
      </c>
      <c r="B10">
        <v>5</v>
      </c>
      <c r="C10" t="s">
        <v>299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300</v>
      </c>
    </row>
    <row r="11" spans="1:11" x14ac:dyDescent="0.2">
      <c r="A11">
        <v>10</v>
      </c>
      <c r="B11">
        <v>5</v>
      </c>
      <c r="C11" t="s">
        <v>294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301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302</v>
      </c>
    </row>
    <row r="13" spans="1:11" x14ac:dyDescent="0.2">
      <c r="A13">
        <v>12</v>
      </c>
      <c r="B13">
        <v>7</v>
      </c>
      <c r="C13" t="s">
        <v>39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368</v>
      </c>
    </row>
    <row r="14" spans="1:11" x14ac:dyDescent="0.2">
      <c r="A14">
        <v>13</v>
      </c>
      <c r="B14">
        <v>8</v>
      </c>
      <c r="C14" t="s">
        <v>39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369</v>
      </c>
    </row>
    <row r="15" spans="1:11" x14ac:dyDescent="0.2">
      <c r="A15">
        <v>14</v>
      </c>
      <c r="B15">
        <v>8</v>
      </c>
      <c r="C15" t="s">
        <v>39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370</v>
      </c>
    </row>
    <row r="16" spans="1:11" x14ac:dyDescent="0.2">
      <c r="A16">
        <v>15</v>
      </c>
      <c r="B16">
        <v>9</v>
      </c>
      <c r="C16" t="s">
        <v>303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248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366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367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372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 t="s">
        <v>39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4" t="s">
        <v>377</v>
      </c>
      <c r="D22" s="4">
        <v>0</v>
      </c>
      <c r="E22" s="4">
        <v>0</v>
      </c>
      <c r="F22">
        <v>100</v>
      </c>
      <c r="G22" t="s">
        <v>379</v>
      </c>
    </row>
    <row r="23" spans="1:7" x14ac:dyDescent="0.2">
      <c r="A23">
        <v>22</v>
      </c>
      <c r="B23">
        <v>20</v>
      </c>
      <c r="C23" s="14" t="s">
        <v>380</v>
      </c>
      <c r="D23" s="4">
        <v>0</v>
      </c>
      <c r="E23" s="4">
        <v>0</v>
      </c>
      <c r="F23">
        <v>200</v>
      </c>
      <c r="G23" t="s">
        <v>378</v>
      </c>
    </row>
    <row r="24" spans="1:7" x14ac:dyDescent="0.2">
      <c r="A24">
        <v>23</v>
      </c>
      <c r="B24">
        <v>20</v>
      </c>
      <c r="C24" s="14" t="s">
        <v>381</v>
      </c>
      <c r="D24" s="4">
        <v>0</v>
      </c>
      <c r="E24" s="4">
        <v>0</v>
      </c>
      <c r="F24">
        <v>300</v>
      </c>
      <c r="G24" t="s">
        <v>382</v>
      </c>
    </row>
    <row r="25" spans="1:7" x14ac:dyDescent="0.2">
      <c r="A25">
        <v>24</v>
      </c>
      <c r="B25">
        <v>20</v>
      </c>
      <c r="C25" s="14" t="s">
        <v>383</v>
      </c>
      <c r="D25" s="4">
        <v>0</v>
      </c>
      <c r="E25" s="4">
        <v>0</v>
      </c>
      <c r="F25">
        <v>500</v>
      </c>
      <c r="G25" t="s">
        <v>384</v>
      </c>
    </row>
    <row r="26" spans="1:7" x14ac:dyDescent="0.2">
      <c r="A26">
        <v>25</v>
      </c>
      <c r="B26">
        <v>26</v>
      </c>
      <c r="C26" t="s">
        <v>392</v>
      </c>
      <c r="D26" s="4">
        <v>1</v>
      </c>
      <c r="E26" s="4">
        <v>1</v>
      </c>
      <c r="F26">
        <v>100</v>
      </c>
      <c r="G26" t="s">
        <v>386</v>
      </c>
    </row>
    <row r="27" spans="1:7" x14ac:dyDescent="0.2">
      <c r="A27">
        <v>26</v>
      </c>
      <c r="B27">
        <v>27</v>
      </c>
      <c r="C27" t="s">
        <v>393</v>
      </c>
      <c r="D27" s="4">
        <v>1</v>
      </c>
      <c r="E27" s="4">
        <v>1</v>
      </c>
      <c r="F27">
        <v>300</v>
      </c>
      <c r="G27" t="s">
        <v>387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G9" sqref="G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304</v>
      </c>
      <c r="B1" s="1" t="s">
        <v>305</v>
      </c>
      <c r="C1" s="1" t="s">
        <v>306</v>
      </c>
      <c r="D1" s="1" t="s">
        <v>307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1"/>
  <sheetViews>
    <sheetView tabSelected="1" workbookViewId="0">
      <selection activeCell="A31" sqref="A31:G3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16</v>
      </c>
      <c r="B1" s="1" t="s">
        <v>15</v>
      </c>
      <c r="C1" s="1" t="s">
        <v>250</v>
      </c>
      <c r="D1" s="1" t="s">
        <v>0</v>
      </c>
      <c r="E1" s="1" t="s">
        <v>2</v>
      </c>
      <c r="F1" s="1" t="s">
        <v>308</v>
      </c>
      <c r="G1" s="10" t="s">
        <v>280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170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171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172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173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174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175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176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177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178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179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180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181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>IF(C20,1/C20,0)</f>
        <v>0</v>
      </c>
      <c r="E20" s="5" t="s">
        <v>225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245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309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310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311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312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313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314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315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362</v>
      </c>
      <c r="D29" s="2" t="s">
        <v>363</v>
      </c>
      <c r="E29" s="2" t="s">
        <v>364</v>
      </c>
      <c r="F29" s="2" t="s">
        <v>365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385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398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topLeftCell="A49" workbookViewId="0">
      <selection activeCell="A53" sqref="A53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162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6" workbookViewId="0">
      <selection activeCell="I25" sqref="I25"/>
    </sheetView>
  </sheetViews>
  <sheetFormatPr defaultRowHeight="14.25" x14ac:dyDescent="0.2"/>
  <sheetData>
    <row r="1" spans="1:4" s="1" customFormat="1" ht="43.5" customHeight="1" x14ac:dyDescent="0.2">
      <c r="A1" s="1" t="s">
        <v>21</v>
      </c>
      <c r="B1" s="1" t="s">
        <v>29</v>
      </c>
      <c r="C1" s="1" t="s">
        <v>30</v>
      </c>
      <c r="D1" s="1" t="s">
        <v>191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F14" sqref="F14"/>
    </sheetView>
  </sheetViews>
  <sheetFormatPr defaultRowHeight="14.25" x14ac:dyDescent="0.2"/>
  <sheetData>
    <row r="1" spans="1:2" s="1" customFormat="1" ht="39.75" customHeight="1" x14ac:dyDescent="0.2">
      <c r="A1" s="1" t="s">
        <v>31</v>
      </c>
      <c r="B1" s="1" t="s">
        <v>32</v>
      </c>
    </row>
    <row r="2" spans="1:2" x14ac:dyDescent="0.2">
      <c r="A2">
        <v>1</v>
      </c>
      <c r="B2">
        <v>10000</v>
      </c>
    </row>
    <row r="3" spans="1:2" x14ac:dyDescent="0.2">
      <c r="A3">
        <v>2</v>
      </c>
      <c r="B3">
        <v>20000</v>
      </c>
    </row>
    <row r="4" spans="1:2" x14ac:dyDescent="0.2">
      <c r="A4">
        <v>3</v>
      </c>
      <c r="B4">
        <v>30000</v>
      </c>
    </row>
    <row r="5" spans="1:2" x14ac:dyDescent="0.2">
      <c r="A5">
        <v>4</v>
      </c>
      <c r="B5">
        <v>40000</v>
      </c>
    </row>
    <row r="6" spans="1:2" x14ac:dyDescent="0.2">
      <c r="A6">
        <v>5</v>
      </c>
      <c r="B6">
        <v>50000</v>
      </c>
    </row>
    <row r="7" spans="1:2" x14ac:dyDescent="0.2">
      <c r="A7">
        <v>6</v>
      </c>
      <c r="B7">
        <v>60000</v>
      </c>
    </row>
    <row r="8" spans="1:2" x14ac:dyDescent="0.2">
      <c r="A8">
        <v>7</v>
      </c>
      <c r="B8">
        <v>70000</v>
      </c>
    </row>
    <row r="9" spans="1:2" x14ac:dyDescent="0.2">
      <c r="A9">
        <v>8</v>
      </c>
      <c r="B9">
        <v>80000</v>
      </c>
    </row>
    <row r="10" spans="1:2" x14ac:dyDescent="0.2">
      <c r="A10">
        <v>9</v>
      </c>
      <c r="B10">
        <v>90000</v>
      </c>
    </row>
    <row r="11" spans="1:2" x14ac:dyDescent="0.2">
      <c r="A11">
        <v>10</v>
      </c>
      <c r="B1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18</v>
      </c>
      <c r="B1" s="1" t="s">
        <v>163</v>
      </c>
      <c r="C1" s="1" t="s">
        <v>164</v>
      </c>
      <c r="D1" s="1" t="s">
        <v>165</v>
      </c>
      <c r="XFD1" s="1"/>
    </row>
    <row r="2" spans="1:4 16384:16384" x14ac:dyDescent="0.2">
      <c r="A2">
        <v>1</v>
      </c>
      <c r="B2" t="s">
        <v>166</v>
      </c>
      <c r="C2">
        <v>10</v>
      </c>
      <c r="D2">
        <v>0</v>
      </c>
    </row>
    <row r="3" spans="1:4 16384:16384" x14ac:dyDescent="0.2">
      <c r="A3">
        <v>2</v>
      </c>
      <c r="B3" t="s">
        <v>167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A7"/>
  <sheetViews>
    <sheetView workbookViewId="0">
      <selection activeCell="C9" sqref="C9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316</v>
      </c>
      <c r="B1" s="1" t="s">
        <v>317</v>
      </c>
      <c r="C1" s="1" t="s">
        <v>318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319</v>
      </c>
      <c r="C2" s="2"/>
    </row>
    <row r="3" spans="1:7 16381:16381" x14ac:dyDescent="0.2">
      <c r="A3" s="2">
        <v>2</v>
      </c>
      <c r="B3" s="2" t="s">
        <v>249</v>
      </c>
      <c r="C3" s="2" t="s">
        <v>320</v>
      </c>
    </row>
    <row r="4" spans="1:7 16381:16381" x14ac:dyDescent="0.2">
      <c r="A4" s="2">
        <v>3</v>
      </c>
      <c r="B4" s="2" t="s">
        <v>321</v>
      </c>
      <c r="C4" s="2" t="s">
        <v>322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4"/>
  <sheetViews>
    <sheetView workbookViewId="0">
      <selection activeCell="E10" sqref="E10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226</v>
      </c>
      <c r="B1" s="1" t="s">
        <v>227</v>
      </c>
      <c r="C1" s="1" t="s">
        <v>228</v>
      </c>
      <c r="D1" s="1" t="s">
        <v>229</v>
      </c>
      <c r="E1" s="1" t="s">
        <v>230</v>
      </c>
      <c r="F1" s="1" t="s">
        <v>231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232</v>
      </c>
      <c r="D2" s="2">
        <v>0</v>
      </c>
      <c r="E2" s="2"/>
      <c r="F2" t="s">
        <v>233</v>
      </c>
    </row>
    <row r="3" spans="1:10 16384:16384" ht="39" customHeight="1" x14ac:dyDescent="0.2">
      <c r="A3" s="2">
        <v>2</v>
      </c>
      <c r="B3" s="2">
        <v>1</v>
      </c>
      <c r="C3" s="2" t="s">
        <v>234</v>
      </c>
      <c r="D3" s="2">
        <v>1</v>
      </c>
      <c r="E3" s="2" t="s">
        <v>243</v>
      </c>
      <c r="F3" t="s">
        <v>235</v>
      </c>
    </row>
    <row r="4" spans="1:10 16384:16384" ht="63.75" customHeight="1" x14ac:dyDescent="0.2">
      <c r="A4" s="2">
        <v>3</v>
      </c>
      <c r="B4" s="2">
        <v>1</v>
      </c>
      <c r="C4" s="2" t="s">
        <v>234</v>
      </c>
      <c r="D4" s="2">
        <v>0</v>
      </c>
      <c r="E4" s="4" t="s">
        <v>244</v>
      </c>
      <c r="F4" t="s">
        <v>236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323</v>
      </c>
      <c r="B1" s="1" t="s">
        <v>324</v>
      </c>
      <c r="C1" s="1" t="s">
        <v>325</v>
      </c>
      <c r="D1" s="1" t="s">
        <v>326</v>
      </c>
      <c r="E1" s="1" t="s">
        <v>327</v>
      </c>
      <c r="F1" s="1" t="s">
        <v>328</v>
      </c>
      <c r="G1" s="1" t="s">
        <v>329</v>
      </c>
      <c r="H1" s="1" t="s">
        <v>330</v>
      </c>
      <c r="I1" s="1" t="s">
        <v>331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F12" sqref="F12"/>
    </sheetView>
  </sheetViews>
  <sheetFormatPr defaultRowHeight="14.25" x14ac:dyDescent="0.2"/>
  <sheetData>
    <row r="1" spans="1:2" x14ac:dyDescent="0.2">
      <c r="A1" t="s">
        <v>332</v>
      </c>
      <c r="B1" t="s">
        <v>333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sqref="A1:C2"/>
    </sheetView>
  </sheetViews>
  <sheetFormatPr defaultRowHeight="14.25" x14ac:dyDescent="0.2"/>
  <sheetData>
    <row r="1" spans="1:3" ht="40.5" x14ac:dyDescent="0.2">
      <c r="A1" s="1" t="s">
        <v>388</v>
      </c>
      <c r="B1" s="1" t="s">
        <v>389</v>
      </c>
      <c r="C1" t="s">
        <v>231</v>
      </c>
    </row>
    <row r="2" spans="1:3" x14ac:dyDescent="0.2">
      <c r="A2">
        <v>1</v>
      </c>
      <c r="B2" t="s">
        <v>390</v>
      </c>
      <c r="C2" t="s">
        <v>391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2020-05-08T06:06:42Z</dcterms:modified>
</cp:coreProperties>
</file>