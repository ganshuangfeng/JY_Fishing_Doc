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73" i="14" l="1"/>
  <c r="J190" i="7" l="1"/>
  <c r="H190" i="7"/>
  <c r="J189" i="7"/>
  <c r="I189" i="7"/>
  <c r="I174" i="14"/>
  <c r="L174" i="14" s="1"/>
  <c r="H174" i="14"/>
  <c r="H173" i="14"/>
  <c r="E173" i="14"/>
  <c r="F173" i="14" s="1"/>
  <c r="H189" i="7" l="1"/>
  <c r="I190" i="7"/>
  <c r="J181" i="7"/>
  <c r="J188" i="7"/>
  <c r="I187" i="7"/>
  <c r="K172" i="14"/>
  <c r="I172" i="14"/>
  <c r="L172" i="14" s="1"/>
  <c r="H172" i="14"/>
  <c r="E172" i="14"/>
  <c r="F172" i="14" s="1"/>
  <c r="K171" i="14"/>
  <c r="J187" i="7" s="1"/>
  <c r="I171" i="14"/>
  <c r="L171" i="14" s="1"/>
  <c r="H171" i="14"/>
  <c r="E171" i="14"/>
  <c r="F171" i="14" s="1"/>
  <c r="K170" i="14"/>
  <c r="J186" i="7" s="1"/>
  <c r="I170" i="14"/>
  <c r="L170" i="14" s="1"/>
  <c r="H170" i="14"/>
  <c r="E170" i="14"/>
  <c r="F170" i="14" s="1"/>
  <c r="K169" i="14"/>
  <c r="J185" i="7" s="1"/>
  <c r="I169" i="14"/>
  <c r="L169" i="14" s="1"/>
  <c r="H169" i="14"/>
  <c r="E169" i="14"/>
  <c r="F169" i="14" s="1"/>
  <c r="K168" i="14"/>
  <c r="J184" i="7" s="1"/>
  <c r="I168" i="14"/>
  <c r="L168" i="14" s="1"/>
  <c r="H168" i="14"/>
  <c r="E168" i="14"/>
  <c r="F168" i="14" s="1"/>
  <c r="K167" i="14"/>
  <c r="J183" i="7" s="1"/>
  <c r="I167" i="14"/>
  <c r="L167" i="14" s="1"/>
  <c r="H167" i="14"/>
  <c r="E167" i="14"/>
  <c r="F167" i="14" s="1"/>
  <c r="K166" i="14"/>
  <c r="J182" i="7" s="1"/>
  <c r="I166" i="14"/>
  <c r="L166" i="14" s="1"/>
  <c r="H166" i="14"/>
  <c r="E166" i="14"/>
  <c r="F166" i="14" s="1"/>
  <c r="K165" i="14"/>
  <c r="I165" i="14"/>
  <c r="L165" i="14" s="1"/>
  <c r="H165" i="14"/>
  <c r="E165" i="14"/>
  <c r="F165" i="14" s="1"/>
  <c r="K164" i="14"/>
  <c r="J180" i="7" s="1"/>
  <c r="I164" i="14"/>
  <c r="L164" i="14" s="1"/>
  <c r="H164" i="14"/>
  <c r="E164" i="14"/>
  <c r="F164" i="14" s="1"/>
  <c r="H186" i="7" l="1"/>
  <c r="H184" i="7"/>
  <c r="I185" i="7"/>
  <c r="I184" i="7"/>
  <c r="H187" i="7"/>
  <c r="H180" i="7"/>
  <c r="I183" i="7"/>
  <c r="H185" i="7"/>
  <c r="I188" i="7"/>
  <c r="I182" i="7"/>
  <c r="I181" i="7"/>
  <c r="H183" i="7"/>
  <c r="I186" i="7"/>
  <c r="I180" i="7"/>
  <c r="H188" i="7"/>
  <c r="H182" i="7"/>
  <c r="H181" i="7"/>
  <c r="K163" i="14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L63" i="14" l="1"/>
  <c r="I19" i="7"/>
  <c r="I21" i="7"/>
  <c r="I32" i="7"/>
  <c r="L59" i="14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<sst xmlns="http://schemas.openxmlformats.org/spreadsheetml/2006/main" count="793" uniqueCount="507">
  <si>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</si>
  <si>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</si>
  <si>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</si>
  <si>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</si>
  <si>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</si>
  <si>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</si>
  <si>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</si>
  <si>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</si>
  <si>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</si>
  <si>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</si>
  <si>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</si>
  <si>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</si>
  <si>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</si>
  <si>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</si>
  <si>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</si>
  <si>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</si>
  <si>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</si>
  <si>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</si>
  <si>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</si>
  <si>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</si>
  <si>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</si>
  <si>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</si>
  <si>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</si>
  <si>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</si>
  <si>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</si>
  <si>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</si>
  <si>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</si>
  <si>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</si>
  <si>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</si>
  <si>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</si>
  <si>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</si>
  <si>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</si>
  <si>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</si>
  <si>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</si>
  <si>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</si>
  <si>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</si>
  <si>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</si>
  <si>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</si>
  <si>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</si>
  <si>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</si>
  <si>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</si>
  <si>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</si>
  <si>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</si>
  <si>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</si>
  <si>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</si>
  <si>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</si>
  <si>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</si>
  <si>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</si>
  <si>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</si>
  <si>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</si>
  <si>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</si>
  <si>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</si>
  <si>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</si>
  <si>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</si>
  <si>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</si>
  <si>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</si>
  <si>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</si>
  <si>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</si>
  <si>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</si>
  <si>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</si>
  <si>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</si>
  <si>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</si>
  <si>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</si>
  <si>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</si>
  <si>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</si>
  <si>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</si>
  <si>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</si>
  <si>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</si>
  <si>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</si>
  <si>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</si>
  <si>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</si>
  <si>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</si>
  <si>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</si>
  <si>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</si>
  <si>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</si>
  <si>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</si>
  <si>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</si>
  <si>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</si>
  <si>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</si>
  <si>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</si>
  <si>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</si>
  <si>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</si>
  <si>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</si>
  <si>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</si>
  <si>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</si>
  <si>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</si>
  <si>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</si>
  <si>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</si>
  <si>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</si>
  <si>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</si>
  <si>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</si>
  <si>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</si>
  <si>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</si>
  <si>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</si>
  <si>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</si>
  <si>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</si>
  <si>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</si>
  <si>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</si>
  <si>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</si>
  <si>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</si>
  <si>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</si>
  <si>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</si>
  <si>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</si>
  <si>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</si>
  <si>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</si>
  <si>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</si>
  <si>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</si>
  <si>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</si>
  <si>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</si>
  <si>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</si>
  <si>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</si>
  <si>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</si>
  <si>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</si>
  <si>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</si>
  <si>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</si>
  <si>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</si>
  <si>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</si>
  <si>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</si>
  <si>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</si>
  <si>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</si>
  <si>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</si>
  <si>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</si>
  <si>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</si>
  <si>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</si>
  <si>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</si>
  <si>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</si>
  <si>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</si>
  <si>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</si>
  <si>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</si>
  <si>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</si>
  <si>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</si>
  <si>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</si>
  <si>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</si>
  <si>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</si>
  <si>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</si>
  <si>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</si>
  <si>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</si>
  <si>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</si>
  <si>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</si>
  <si>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</si>
  <si>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</si>
  <si>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</si>
  <si>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</si>
  <si>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</si>
  <si>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</si>
  <si>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</si>
  <si>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</si>
  <si>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</si>
  <si>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</si>
  <si>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</si>
  <si>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</si>
  <si>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</si>
  <si>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</si>
  <si>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</si>
  <si>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</si>
  <si>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</si>
  <si>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</si>
  <si>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</si>
  <si>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</si>
  <si>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</si>
  <si>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</si>
  <si>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</si>
  <si>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</si>
  <si>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</si>
  <si>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</si>
  <si>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</si>
  <si>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</si>
  <si>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</si>
  <si>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</si>
  <si>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</si>
  <si>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</si>
  <si>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</si>
  <si>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</si>
  <si>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</si>
  <si>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</si>
  <si>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</si>
  <si>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</si>
  <si>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</si>
  <si>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</si>
  <si>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</si>
  <si>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</si>
  <si>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</si>
  <si>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</si>
  <si>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</si>
  <si>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</si>
  <si>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</si>
  <si>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</si>
  <si>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</si>
  <si>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</si>
  <si>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</si>
  <si>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</si>
  <si>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</si>
  <si>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</si>
  <si>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</si>
  <si>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</si>
  <si>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</si>
  <si>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</si>
  <si>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</si>
  <si>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</si>
  <si>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</si>
  <si>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</si>
  <si>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</si>
  <si>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</si>
  <si>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</si>
  <si>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</si>
  <si>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</si>
  <si>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</si>
  <si>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</si>
  <si>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</si>
  <si>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</si>
  <si>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</si>
  <si>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</si>
  <si>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</si>
  <si>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</si>
  <si>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</si>
  <si>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</si>
  <si>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</si>
  <si>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</si>
  <si>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</si>
  <si>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</si>
  <si>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</si>
  <si>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</si>
  <si>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</si>
  <si>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</si>
  <si>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</si>
  <si>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</si>
  <si>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</si>
  <si>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</si>
  <si>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</si>
  <si>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</si>
  <si>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</si>
  <si>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</si>
  <si>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</si>
  <si>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</si>
  <si>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</si>
  <si>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</si>
  <si>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</si>
  <si>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</si>
  <si>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</si>
  <si>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</si>
  <si>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</si>
  <si>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</si>
  <si>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</si>
  <si>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</si>
  <si>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</si>
  <si>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</si>
  <si>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</si>
  <si>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</si>
  <si>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</si>
  <si>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</si>
  <si>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</si>
  <si>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</si>
  <si>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</si>
  <si>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</si>
  <si>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</si>
  <si>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</si>
  <si>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</si>
  <si>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</si>
  <si>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</si>
  <si>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</si>
  <si>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</si>
  <si>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</si>
  <si>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</si>
  <si>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</si>
  <si>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</si>
  <si>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</si>
  <si>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</si>
  <si>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</si>
  <si>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</si>
  <si>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</si>
  <si>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</si>
  <si>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</si>
  <si>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</si>
  <si>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</si>
  <si>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</si>
  <si>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</si>
  <si>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</si>
  <si>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</si>
  <si>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</si>
  <si>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</si>
  <si>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</si>
  <si>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</si>
  <si>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</si>
  <si>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</si>
  <si>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</si>
  <si>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</si>
  <si>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</si>
  <si>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</si>
  <si>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</si>
  <si>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</si>
  <si>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</si>
  <si>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</si>
  <si>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</si>
  <si>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</si>
  <si>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</si>
  <si>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</si>
  <si>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</si>
  <si>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</si>
  <si>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</si>
  <si>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</si>
  <si>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</si>
  <si>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</si>
  <si>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</si>
  <si>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</si>
  <si>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</si>
  <si>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</si>
  <si>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</si>
  <si>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</si>
  <si>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</si>
  <si>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</si>
  <si>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</si>
  <si>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</si>
  <si>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</si>
  <si>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</si>
  <si>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</si>
  <si>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</si>
  <si>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</si>
  <si>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</si>
  <si>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</si>
  <si>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</si>
  <si>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</si>
  <si>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</si>
  <si>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</si>
  <si>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</si>
  <si>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</si>
  <si>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</si>
  <si>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</si>
  <si>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</si>
  <si>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</si>
  <si>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</si>
  <si>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</si>
  <si>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</si>
  <si>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</si>
  <si>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</si>
  <si>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</si>
  <si>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</si>
  <si>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</si>
  <si>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</si>
  <si>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</si>
  <si>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</si>
  <si>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</si>
  <si>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</si>
  <si>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</si>
  <si>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</si>
  <si>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</si>
  <si>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</si>
  <si>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</si>
  <si>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</si>
  <si>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</si>
  <si>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</si>
  <si>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</si>
  <si>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</si>
  <si>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</si>
  <si>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</si>
  <si>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</si>
  <si>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</si>
  <si>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</si>
  <si>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</si>
  <si>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</si>
  <si>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</si>
  <si>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</si>
  <si>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</si>
  <si>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</si>
  <si>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</si>
  <si>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</si>
  <si>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</si>
  <si>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</si>
  <si>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</si>
  <si>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</si>
  <si>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</si>
  <si>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</si>
  <si>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</si>
  <si>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</si>
  <si>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</si>
  <si>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</si>
  <si>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</si>
  <si>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</si>
  <si>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</si>
  <si>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</si>
  <si>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</si>
  <si>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</si>
  <si>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</si>
  <si>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</si>
  <si>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</si>
  <si>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</si>
  <si>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</si>
  <si>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</si>
  <si>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</si>
  <si>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</si>
  <si>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</si>
  <si>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</si>
  <si>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</si>
  <si>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</si>
  <si>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</si>
  <si>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</si>
  <si>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</si>
  <si>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</si>
  <si>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</si>
  <si>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</si>
  <si>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</si>
  <si>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</si>
  <si>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</si>
  <si>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</si>
  <si>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</si>
  <si>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</si>
  <si>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</si>
  <si>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</si>
  <si>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</si>
  <si>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</si>
  <si>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</si>
  <si>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</si>
  <si>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</si>
  <si>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</si>
  <si>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</si>
  <si>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</si>
  <si>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</si>
  <si>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</si>
  <si>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</si>
  <si>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</si>
  <si>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</si>
  <si>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</si>
  <si>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</si>
  <si>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</si>
  <si>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</si>
  <si>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</si>
  <si>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</si>
  <si>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</si>
  <si>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</si>
  <si>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</si>
  <si>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</si>
  <si>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</si>
  <si>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</si>
  <si>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</si>
  <si>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</si>
  <si>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</si>
  <si>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</si>
  <si>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</si>
  <si>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</si>
  <si>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</si>
  <si>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</si>
  <si>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</si>
  <si>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</si>
  <si>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</si>
  <si>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</si>
  <si>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</si>
  <si>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</si>
  <si>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</si>
  <si>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</si>
  <si>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</si>
  <si>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</si>
  <si>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</si>
  <si>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</si>
  <si>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</si>
  <si>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</si>
  <si>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</si>
  <si>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</si>
  <si>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</si>
  <si>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</si>
  <si>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</si>
  <si>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</si>
  <si>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</si>
  <si>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</si>
  <si>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</si>
  <si>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</si>
  <si>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</si>
  <si>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</si>
  <si>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</si>
  <si>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</si>
  <si>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</si>
  <si>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</si>
  <si>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0,0,0.3,0.4</t>
    <phoneticPr fontId="1" type="noConversion"/>
  </si>
  <si>
    <t>活动boss</t>
    <phoneticPr fontId="1" type="noConversion"/>
  </si>
  <si>
    <t>0,0,0.4,0.5</t>
    <phoneticPr fontId="1" type="noConversion"/>
  </si>
  <si>
    <t>0,0,0.01,</t>
  </si>
  <si>
    <t>1,1,0.2,0.3</t>
    <phoneticPr fontId="1" type="noConversion"/>
  </si>
  <si>
    <t>1,1,0.3,0.4</t>
    <phoneticPr fontId="1" type="noConversion"/>
  </si>
  <si>
    <t>1,1,0.4,0.5</t>
    <phoneticPr fontId="1" type="noConversion"/>
  </si>
  <si>
    <t>1,1,0.01,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</si>
  <si>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</si>
  <si>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</si>
  <si>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</si>
  <si>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</si>
  <si>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</si>
  <si>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</si>
  <si>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</si>
  <si>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</si>
  <si>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</si>
  <si>
    <t>2,2,0.2,0.3</t>
    <phoneticPr fontId="1" type="noConversion"/>
  </si>
  <si>
    <t>2,2,0.3,0.4</t>
    <phoneticPr fontId="1" type="noConversion"/>
  </si>
  <si>
    <t>2,2,0.4,0.5</t>
    <phoneticPr fontId="1" type="noConversion"/>
  </si>
  <si>
    <t>2,2,0.01,</t>
    <phoneticPr fontId="1" type="noConversion"/>
  </si>
  <si>
    <t>163,</t>
  </si>
  <si>
    <t>164,</t>
  </si>
  <si>
    <t>165,</t>
  </si>
  <si>
    <t>166,</t>
  </si>
  <si>
    <t>167,</t>
  </si>
  <si>
    <t>168,</t>
  </si>
  <si>
    <t>169,</t>
  </si>
  <si>
    <t>170,</t>
  </si>
  <si>
    <t>171,</t>
  </si>
  <si>
    <t>红包鱼</t>
    <phoneticPr fontId="1" type="noConversion"/>
  </si>
  <si>
    <t>红包</t>
    <phoneticPr fontId="1" type="noConversion"/>
  </si>
  <si>
    <t>172,</t>
    <phoneticPr fontId="1" type="noConversion"/>
  </si>
  <si>
    <t>173,</t>
    <phoneticPr fontId="1" type="noConversion"/>
  </si>
  <si>
    <t>0,0,0.2,0.3</t>
    <phoneticPr fontId="1" type="noConversion"/>
  </si>
  <si>
    <t>100,300</t>
    <phoneticPr fontId="1" type="noConversion"/>
  </si>
  <si>
    <t>"shop_gold_sum",8,0.05,0.15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</si>
</sst>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0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9" borderId="0" xfId="0" applyFill="1"/>
    <xf numFmtId="0" fontId="0" fillId="19" borderId="0" xfId="0" applyFill="1" applyBorder="1" applyAlignment="1">
      <alignment horizontal="center" vertic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3" fillId="2" borderId="1" xfId="1" applyNumberFormat="1" applyFont="1" applyFill="1" applyBorder="1" applyAlignment="1" applyProtection="1">
      <alignment horizontal="right" vertical="center" wrapText="1"/>
    </xf>
    <xf numFmtId="0" fontId="0" fillId="6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19" borderId="0" xfId="0" applyFill="1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67" activePane="bottomLeft" state="frozen"/>
      <selection pane="bottomLeft" activeCell="A190" sqref="A190"/>
    </sheetView>
  </sheetViews>
  <sheetFormatPr defaultColWidth="8.625" defaultRowHeight="14.25" outlineLevelCol="1" x14ac:dyDescent="0.2"/>
  <cols>
    <col min="2" max="2" width="17.125" customWidth="1"/>
    <col min="3" max="3" width="17.875" style="103" bestFit="1" customWidth="1"/>
    <col min="7" max="7" width="20.625" bestFit="1" customWidth="1"/>
    <col min="8" max="8" width="10.625" customWidth="1"/>
    <col min="9" max="9" width="12" customWidth="1"/>
    <col min="10" max="10" width="19.625" customWidth="1"/>
    <col min="11" max="11" width="18.875" bestFit="1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88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89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89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89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89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89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89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89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89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89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89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89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9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9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9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9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9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9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91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91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91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91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92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92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92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92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91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91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91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91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91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91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91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91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92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92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92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92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92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92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92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92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93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93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93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93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93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93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93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93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93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93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94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94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94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94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94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94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94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94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95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95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95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95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89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89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89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94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94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94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94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94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94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94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94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94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94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94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94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94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94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94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94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94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94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94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94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94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94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94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94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94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94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94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94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96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94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94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94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94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94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94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94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94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94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94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94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97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97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97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97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97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97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97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97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97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97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98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98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98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98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98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98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98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98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98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99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99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100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100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100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100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100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100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100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100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100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101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101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101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101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101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101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92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92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92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92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92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92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101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101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101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101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101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101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92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92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92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92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92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92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94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94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94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94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94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94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94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94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94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98" t="s">
        <v>478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98" t="s">
        <v>479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98" t="s">
        <v>480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98" t="s">
        <v>481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98" t="s">
        <v>482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98" t="s">
        <v>483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98" t="s">
        <v>484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98" t="s">
        <v>485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98" t="s">
        <v>486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A180" s="83">
        <v>179</v>
      </c>
      <c r="B180" s="83">
        <v>1</v>
      </c>
      <c r="C180" s="104" t="s">
        <v>491</v>
      </c>
      <c r="D180" s="83"/>
      <c r="E180" s="83"/>
      <c r="F180" s="83"/>
      <c r="G180" s="83"/>
      <c r="H180" s="83">
        <f>SUM(_xlfn.IFNA(LOOKUP(Q180,use_fish!A:A,use_fish!E:E),0),_xlfn.IFNA(LOOKUP(R180,use_fish!A:A,use_fish!E:E),0),_xlfn.IFNA(LOOKUP(S180,use_fish!A:A,use_fish!E:E),0),_xlfn.IFNA(LOOKUP(T180,use_fish!A:A,use_fish!E:E),0),_xlfn.IFNA(LOOKUP(U180,use_fish!A:A,use_fish!E:E),0),_xlfn.IFNA(LOOKUP(V180,use_fish!A:A,use_fish!E:E),0),_xlfn.IFNA(LOOKUP(W180,use_fish!A:A,use_fish!E:E),0),)</f>
        <v>30</v>
      </c>
      <c r="I180" s="83">
        <f>SUM(_xlfn.IFNA(LOOKUP(Q180,use_fish!A:A,use_fish!I:I),0),_xlfn.IFNA(LOOKUP(R180,use_fish!A:A,use_fish!I:I),0),_xlfn.IFNA(LOOKUP(S180,use_fish!A:A,use_fish!I:I),0),_xlfn.IFNA(LOOKUP(T180,use_fish!A:A,use_fish!I:I),0),_xlfn.IFNA(LOOKUP(U180,use_fish!A:A,use_fish!I:I),0),_xlfn.IFNA(LOOKUP(V180,use_fish!A:A,use_fish!I:I),0),_xlfn.IFNA(LOOKUP(W180,use_fish!A:A,use_fish!I:I),0),)</f>
        <v>30</v>
      </c>
      <c r="J180" s="86">
        <f>SUM(_xlfn.IFNA(LOOKUP(Q180,use_fish!A:A,use_fish!K:K),0),_xlfn.IFNA(LOOKUP(R180,use_fish!A:A,use_fish!K:K),0),_xlfn.IFNA(LOOKUP(S180,use_fish!A:A,use_fish!K:K),0),_xlfn.IFNA(LOOKUP(T180,use_fish!A:A,use_fish!K:K),0),_xlfn.IFNA(LOOKUP(U180,use_fish!A:A,use_fish!K:K),0),_xlfn.IFNA(LOOKUP(V180,use_fish!A:A,use_fish!K:K),0),_xlfn.IFNA(LOOKUP(W180,use_fish!A:A,use_fish!K:K),0),)</f>
        <v>0</v>
      </c>
      <c r="K180" s="83"/>
      <c r="L180" s="83"/>
      <c r="M180" s="83"/>
      <c r="N180" s="83"/>
      <c r="O180" s="83"/>
      <c r="P180" s="83"/>
      <c r="Q180" s="83">
        <v>163</v>
      </c>
    </row>
    <row r="181" spans="1:17" s="55" customFormat="1" x14ac:dyDescent="0.2">
      <c r="A181" s="83">
        <v>180</v>
      </c>
      <c r="B181" s="83">
        <v>1</v>
      </c>
      <c r="C181" s="104" t="s">
        <v>492</v>
      </c>
      <c r="D181" s="83"/>
      <c r="E181" s="83"/>
      <c r="F181" s="83"/>
      <c r="G181" s="83"/>
      <c r="H181" s="83">
        <f>SUM(_xlfn.IFNA(LOOKUP(Q181,use_fish!A:A,use_fish!E:E),0),_xlfn.IFNA(LOOKUP(R181,use_fish!A:A,use_fish!E:E),0),_xlfn.IFNA(LOOKUP(S181,use_fish!A:A,use_fish!E:E),0),_xlfn.IFNA(LOOKUP(T181,use_fish!A:A,use_fish!E:E),0),_xlfn.IFNA(LOOKUP(U181,use_fish!A:A,use_fish!E:E),0),_xlfn.IFNA(LOOKUP(V181,use_fish!A:A,use_fish!E:E),0),_xlfn.IFNA(LOOKUP(W181,use_fish!A:A,use_fish!E:E),0),)</f>
        <v>35</v>
      </c>
      <c r="I181" s="83">
        <f>SUM(_xlfn.IFNA(LOOKUP(Q181,use_fish!A:A,use_fish!I:I),0),_xlfn.IFNA(LOOKUP(R181,use_fish!A:A,use_fish!I:I),0),_xlfn.IFNA(LOOKUP(S181,use_fish!A:A,use_fish!I:I),0),_xlfn.IFNA(LOOKUP(T181,use_fish!A:A,use_fish!I:I),0),_xlfn.IFNA(LOOKUP(U181,use_fish!A:A,use_fish!I:I),0),_xlfn.IFNA(LOOKUP(V181,use_fish!A:A,use_fish!I:I),0),_xlfn.IFNA(LOOKUP(W181,use_fish!A:A,use_fish!I:I),0),)</f>
        <v>35</v>
      </c>
      <c r="J181" s="86">
        <f>SUM(_xlfn.IFNA(LOOKUP(Q181,use_fish!A:A,use_fish!K:K),0),_xlfn.IFNA(LOOKUP(R181,use_fish!A:A,use_fish!K:K),0),_xlfn.IFNA(LOOKUP(S181,use_fish!A:A,use_fish!K:K),0),_xlfn.IFNA(LOOKUP(T181,use_fish!A:A,use_fish!K:K),0),_xlfn.IFNA(LOOKUP(U181,use_fish!A:A,use_fish!K:K),0),_xlfn.IFNA(LOOKUP(V181,use_fish!A:A,use_fish!K:K),0),_xlfn.IFNA(LOOKUP(W181,use_fish!A:A,use_fish!K:K),0),)</f>
        <v>0</v>
      </c>
      <c r="K181" s="83"/>
      <c r="L181" s="83"/>
      <c r="M181" s="83"/>
      <c r="N181" s="83"/>
      <c r="O181" s="83"/>
      <c r="P181" s="83"/>
      <c r="Q181" s="83">
        <v>164</v>
      </c>
    </row>
    <row r="182" spans="1:17" s="55" customFormat="1" x14ac:dyDescent="0.2">
      <c r="A182" s="83">
        <v>181</v>
      </c>
      <c r="B182" s="83">
        <v>1</v>
      </c>
      <c r="C182" s="104" t="s">
        <v>493</v>
      </c>
      <c r="D182" s="83"/>
      <c r="E182" s="83"/>
      <c r="F182" s="83"/>
      <c r="G182" s="83"/>
      <c r="H182" s="83">
        <f>SUM(_xlfn.IFNA(LOOKUP(Q182,use_fish!A:A,use_fish!E:E),0),_xlfn.IFNA(LOOKUP(R182,use_fish!A:A,use_fish!E:E),0),_xlfn.IFNA(LOOKUP(S182,use_fish!A:A,use_fish!E:E),0),_xlfn.IFNA(LOOKUP(T182,use_fish!A:A,use_fish!E:E),0),_xlfn.IFNA(LOOKUP(U182,use_fish!A:A,use_fish!E:E),0),_xlfn.IFNA(LOOKUP(V182,use_fish!A:A,use_fish!E:E),0),_xlfn.IFNA(LOOKUP(W182,use_fish!A:A,use_fish!E:E),0),)</f>
        <v>40</v>
      </c>
      <c r="I182" s="83">
        <f>SUM(_xlfn.IFNA(LOOKUP(Q182,use_fish!A:A,use_fish!I:I),0),_xlfn.IFNA(LOOKUP(R182,use_fish!A:A,use_fish!I:I),0),_xlfn.IFNA(LOOKUP(S182,use_fish!A:A,use_fish!I:I),0),_xlfn.IFNA(LOOKUP(T182,use_fish!A:A,use_fish!I:I),0),_xlfn.IFNA(LOOKUP(U182,use_fish!A:A,use_fish!I:I),0),_xlfn.IFNA(LOOKUP(V182,use_fish!A:A,use_fish!I:I),0),_xlfn.IFNA(LOOKUP(W182,use_fish!A:A,use_fish!I:I),0),)</f>
        <v>40</v>
      </c>
      <c r="J182" s="86">
        <f>SUM(_xlfn.IFNA(LOOKUP(Q182,use_fish!A:A,use_fish!K:K),0),_xlfn.IFNA(LOOKUP(R182,use_fish!A:A,use_fish!K:K),0),_xlfn.IFNA(LOOKUP(S182,use_fish!A:A,use_fish!K:K),0),_xlfn.IFNA(LOOKUP(T182,use_fish!A:A,use_fish!K:K),0),_xlfn.IFNA(LOOKUP(U182,use_fish!A:A,use_fish!K:K),0),_xlfn.IFNA(LOOKUP(V182,use_fish!A:A,use_fish!K:K),0),_xlfn.IFNA(LOOKUP(W182,use_fish!A:A,use_fish!K:K),0),)</f>
        <v>0</v>
      </c>
      <c r="K182" s="83"/>
      <c r="L182" s="83"/>
      <c r="M182" s="83"/>
      <c r="N182" s="83"/>
      <c r="O182" s="83"/>
      <c r="P182" s="83"/>
      <c r="Q182" s="83">
        <v>165</v>
      </c>
    </row>
    <row r="183" spans="1:17" s="55" customFormat="1" x14ac:dyDescent="0.2">
      <c r="A183" s="83">
        <v>182</v>
      </c>
      <c r="B183" s="83">
        <v>1</v>
      </c>
      <c r="C183" s="104" t="s">
        <v>494</v>
      </c>
      <c r="D183" s="83"/>
      <c r="E183" s="83"/>
      <c r="F183" s="83"/>
      <c r="G183" s="83"/>
      <c r="H183" s="83">
        <f>SUM(_xlfn.IFNA(LOOKUP(Q183,use_fish!A:A,use_fish!E:E),0),_xlfn.IFNA(LOOKUP(R183,use_fish!A:A,use_fish!E:E),0),_xlfn.IFNA(LOOKUP(S183,use_fish!A:A,use_fish!E:E),0),_xlfn.IFNA(LOOKUP(T183,use_fish!A:A,use_fish!E:E),0),_xlfn.IFNA(LOOKUP(U183,use_fish!A:A,use_fish!E:E),0),_xlfn.IFNA(LOOKUP(V183,use_fish!A:A,use_fish!E:E),0),_xlfn.IFNA(LOOKUP(W183,use_fish!A:A,use_fish!E:E),0),)</f>
        <v>45</v>
      </c>
      <c r="I183" s="83">
        <f>SUM(_xlfn.IFNA(LOOKUP(Q183,use_fish!A:A,use_fish!I:I),0),_xlfn.IFNA(LOOKUP(R183,use_fish!A:A,use_fish!I:I),0),_xlfn.IFNA(LOOKUP(S183,use_fish!A:A,use_fish!I:I),0),_xlfn.IFNA(LOOKUP(T183,use_fish!A:A,use_fish!I:I),0),_xlfn.IFNA(LOOKUP(U183,use_fish!A:A,use_fish!I:I),0),_xlfn.IFNA(LOOKUP(V183,use_fish!A:A,use_fish!I:I),0),_xlfn.IFNA(LOOKUP(W183,use_fish!A:A,use_fish!I:I),0),)</f>
        <v>45</v>
      </c>
      <c r="J183" s="86">
        <f>SUM(_xlfn.IFNA(LOOKUP(Q183,use_fish!A:A,use_fish!K:K),0),_xlfn.IFNA(LOOKUP(R183,use_fish!A:A,use_fish!K:K),0),_xlfn.IFNA(LOOKUP(S183,use_fish!A:A,use_fish!K:K),0),_xlfn.IFNA(LOOKUP(T183,use_fish!A:A,use_fish!K:K),0),_xlfn.IFNA(LOOKUP(U183,use_fish!A:A,use_fish!K:K),0),_xlfn.IFNA(LOOKUP(V183,use_fish!A:A,use_fish!K:K),0),_xlfn.IFNA(LOOKUP(W183,use_fish!A:A,use_fish!K:K),0),)</f>
        <v>0</v>
      </c>
      <c r="K183" s="83"/>
      <c r="L183" s="83"/>
      <c r="M183" s="83"/>
      <c r="N183" s="83"/>
      <c r="O183" s="83"/>
      <c r="P183" s="83"/>
      <c r="Q183" s="83">
        <v>166</v>
      </c>
    </row>
    <row r="184" spans="1:17" s="55" customFormat="1" x14ac:dyDescent="0.2">
      <c r="A184" s="83">
        <v>183</v>
      </c>
      <c r="B184" s="83">
        <v>1</v>
      </c>
      <c r="C184" s="104" t="s">
        <v>495</v>
      </c>
      <c r="D184" s="83"/>
      <c r="E184" s="83"/>
      <c r="F184" s="83"/>
      <c r="G184" s="83"/>
      <c r="H184" s="83">
        <f>SUM(_xlfn.IFNA(LOOKUP(Q184,use_fish!A:A,use_fish!E:E),0),_xlfn.IFNA(LOOKUP(R184,use_fish!A:A,use_fish!E:E),0),_xlfn.IFNA(LOOKUP(S184,use_fish!A:A,use_fish!E:E),0),_xlfn.IFNA(LOOKUP(T184,use_fish!A:A,use_fish!E:E),0),_xlfn.IFNA(LOOKUP(U184,use_fish!A:A,use_fish!E:E),0),_xlfn.IFNA(LOOKUP(V184,use_fish!A:A,use_fish!E:E),0),_xlfn.IFNA(LOOKUP(W184,use_fish!A:A,use_fish!E:E),0),)</f>
        <v>50</v>
      </c>
      <c r="I184" s="83">
        <f>SUM(_xlfn.IFNA(LOOKUP(Q184,use_fish!A:A,use_fish!I:I),0),_xlfn.IFNA(LOOKUP(R184,use_fish!A:A,use_fish!I:I),0),_xlfn.IFNA(LOOKUP(S184,use_fish!A:A,use_fish!I:I),0),_xlfn.IFNA(LOOKUP(T184,use_fish!A:A,use_fish!I:I),0),_xlfn.IFNA(LOOKUP(U184,use_fish!A:A,use_fish!I:I),0),_xlfn.IFNA(LOOKUP(V184,use_fish!A:A,use_fish!I:I),0),_xlfn.IFNA(LOOKUP(W184,use_fish!A:A,use_fish!I:I),0),)</f>
        <v>50</v>
      </c>
      <c r="J184" s="86">
        <f>SUM(_xlfn.IFNA(LOOKUP(Q184,use_fish!A:A,use_fish!K:K),0),_xlfn.IFNA(LOOKUP(R184,use_fish!A:A,use_fish!K:K),0),_xlfn.IFNA(LOOKUP(S184,use_fish!A:A,use_fish!K:K),0),_xlfn.IFNA(LOOKUP(T184,use_fish!A:A,use_fish!K:K),0),_xlfn.IFNA(LOOKUP(U184,use_fish!A:A,use_fish!K:K),0),_xlfn.IFNA(LOOKUP(V184,use_fish!A:A,use_fish!K:K),0),_xlfn.IFNA(LOOKUP(W184,use_fish!A:A,use_fish!K:K),0),)</f>
        <v>0</v>
      </c>
      <c r="K184" s="83"/>
      <c r="L184" s="83"/>
      <c r="M184" s="83"/>
      <c r="N184" s="83"/>
      <c r="O184" s="83"/>
      <c r="P184" s="83"/>
      <c r="Q184" s="83">
        <v>167</v>
      </c>
    </row>
    <row r="185" spans="1:17" s="55" customFormat="1" x14ac:dyDescent="0.2">
      <c r="A185" s="83">
        <v>184</v>
      </c>
      <c r="B185" s="83">
        <v>1</v>
      </c>
      <c r="C185" s="104" t="s">
        <v>496</v>
      </c>
      <c r="D185" s="83"/>
      <c r="E185" s="83"/>
      <c r="F185" s="83"/>
      <c r="G185" s="83"/>
      <c r="H185" s="83">
        <f>SUM(_xlfn.IFNA(LOOKUP(Q185,use_fish!A:A,use_fish!E:E),0),_xlfn.IFNA(LOOKUP(R185,use_fish!A:A,use_fish!E:E),0),_xlfn.IFNA(LOOKUP(S185,use_fish!A:A,use_fish!E:E),0),_xlfn.IFNA(LOOKUP(T185,use_fish!A:A,use_fish!E:E),0),_xlfn.IFNA(LOOKUP(U185,use_fish!A:A,use_fish!E:E),0),_xlfn.IFNA(LOOKUP(V185,use_fish!A:A,use_fish!E:E),0),_xlfn.IFNA(LOOKUP(W185,use_fish!A:A,use_fish!E:E),0),)</f>
        <v>70</v>
      </c>
      <c r="I185" s="83">
        <f>SUM(_xlfn.IFNA(LOOKUP(Q185,use_fish!A:A,use_fish!I:I),0),_xlfn.IFNA(LOOKUP(R185,use_fish!A:A,use_fish!I:I),0),_xlfn.IFNA(LOOKUP(S185,use_fish!A:A,use_fish!I:I),0),_xlfn.IFNA(LOOKUP(T185,use_fish!A:A,use_fish!I:I),0),_xlfn.IFNA(LOOKUP(U185,use_fish!A:A,use_fish!I:I),0),_xlfn.IFNA(LOOKUP(V185,use_fish!A:A,use_fish!I:I),0),_xlfn.IFNA(LOOKUP(W185,use_fish!A:A,use_fish!I:I),0),)</f>
        <v>70</v>
      </c>
      <c r="J185" s="86">
        <f>SUM(_xlfn.IFNA(LOOKUP(Q185,use_fish!A:A,use_fish!K:K),0),_xlfn.IFNA(LOOKUP(R185,use_fish!A:A,use_fish!K:K),0),_xlfn.IFNA(LOOKUP(S185,use_fish!A:A,use_fish!K:K),0),_xlfn.IFNA(LOOKUP(T185,use_fish!A:A,use_fish!K:K),0),_xlfn.IFNA(LOOKUP(U185,use_fish!A:A,use_fish!K:K),0),_xlfn.IFNA(LOOKUP(V185,use_fish!A:A,use_fish!K:K),0),_xlfn.IFNA(LOOKUP(W185,use_fish!A:A,use_fish!K:K),0),)</f>
        <v>0</v>
      </c>
      <c r="K185" s="83"/>
      <c r="L185" s="83"/>
      <c r="M185" s="83"/>
      <c r="N185" s="83"/>
      <c r="O185" s="83"/>
      <c r="P185" s="83"/>
      <c r="Q185" s="83">
        <v>168</v>
      </c>
    </row>
    <row r="186" spans="1:17" s="55" customFormat="1" x14ac:dyDescent="0.2">
      <c r="A186" s="83">
        <v>185</v>
      </c>
      <c r="B186" s="83">
        <v>1</v>
      </c>
      <c r="C186" s="104" t="s">
        <v>497</v>
      </c>
      <c r="D186" s="83"/>
      <c r="E186" s="83"/>
      <c r="F186" s="83"/>
      <c r="G186" s="83"/>
      <c r="H186" s="83">
        <f>SUM(_xlfn.IFNA(LOOKUP(Q186,use_fish!A:A,use_fish!E:E),0),_xlfn.IFNA(LOOKUP(R186,use_fish!A:A,use_fish!E:E),0),_xlfn.IFNA(LOOKUP(S186,use_fish!A:A,use_fish!E:E),0),_xlfn.IFNA(LOOKUP(T186,use_fish!A:A,use_fish!E:E),0),_xlfn.IFNA(LOOKUP(U186,use_fish!A:A,use_fish!E:E),0),_xlfn.IFNA(LOOKUP(V186,use_fish!A:A,use_fish!E:E),0),_xlfn.IFNA(LOOKUP(W186,use_fish!A:A,use_fish!E:E),0),)</f>
        <v>250</v>
      </c>
      <c r="I186" s="83">
        <f>SUM(_xlfn.IFNA(LOOKUP(Q186,use_fish!A:A,use_fish!I:I),0),_xlfn.IFNA(LOOKUP(R186,use_fish!A:A,use_fish!I:I),0),_xlfn.IFNA(LOOKUP(S186,use_fish!A:A,use_fish!I:I),0),_xlfn.IFNA(LOOKUP(T186,use_fish!A:A,use_fish!I:I),0),_xlfn.IFNA(LOOKUP(U186,use_fish!A:A,use_fish!I:I),0),_xlfn.IFNA(LOOKUP(V186,use_fish!A:A,use_fish!I:I),0),_xlfn.IFNA(LOOKUP(W186,use_fish!A:A,use_fish!I:I),0),)</f>
        <v>250</v>
      </c>
      <c r="J186" s="86">
        <f>SUM(_xlfn.IFNA(LOOKUP(Q186,use_fish!A:A,use_fish!K:K),0),_xlfn.IFNA(LOOKUP(R186,use_fish!A:A,use_fish!K:K),0),_xlfn.IFNA(LOOKUP(S186,use_fish!A:A,use_fish!K:K),0),_xlfn.IFNA(LOOKUP(T186,use_fish!A:A,use_fish!K:K),0),_xlfn.IFNA(LOOKUP(U186,use_fish!A:A,use_fish!K:K),0),_xlfn.IFNA(LOOKUP(V186,use_fish!A:A,use_fish!K:K),0),_xlfn.IFNA(LOOKUP(W186,use_fish!A:A,use_fish!K:K),0),)</f>
        <v>0</v>
      </c>
      <c r="K186" s="83"/>
      <c r="L186" s="83"/>
      <c r="M186" s="83"/>
      <c r="N186" s="83"/>
      <c r="O186" s="83"/>
      <c r="P186" s="83"/>
      <c r="Q186" s="83">
        <v>169</v>
      </c>
    </row>
    <row r="187" spans="1:17" s="55" customFormat="1" x14ac:dyDescent="0.2">
      <c r="A187" s="83">
        <v>186</v>
      </c>
      <c r="B187" s="83">
        <v>1</v>
      </c>
      <c r="C187" s="104" t="s">
        <v>498</v>
      </c>
      <c r="D187" s="83"/>
      <c r="E187" s="83"/>
      <c r="F187" s="83"/>
      <c r="G187" s="83"/>
      <c r="H187" s="83">
        <f>SUM(_xlfn.IFNA(LOOKUP(Q187,use_fish!A:A,use_fish!E:E),0),_xlfn.IFNA(LOOKUP(R187,use_fish!A:A,use_fish!E:E),0),_xlfn.IFNA(LOOKUP(S187,use_fish!A:A,use_fish!E:E),0),_xlfn.IFNA(LOOKUP(T187,use_fish!A:A,use_fish!E:E),0),_xlfn.IFNA(LOOKUP(U187,use_fish!A:A,use_fish!E:E),0),_xlfn.IFNA(LOOKUP(V187,use_fish!A:A,use_fish!E:E),0),_xlfn.IFNA(LOOKUP(W187,use_fish!A:A,use_fish!E:E),0),)</f>
        <v>350</v>
      </c>
      <c r="I187" s="83">
        <f>SUM(_xlfn.IFNA(LOOKUP(Q187,use_fish!A:A,use_fish!I:I),0),_xlfn.IFNA(LOOKUP(R187,use_fish!A:A,use_fish!I:I),0),_xlfn.IFNA(LOOKUP(S187,use_fish!A:A,use_fish!I:I),0),_xlfn.IFNA(LOOKUP(T187,use_fish!A:A,use_fish!I:I),0),_xlfn.IFNA(LOOKUP(U187,use_fish!A:A,use_fish!I:I),0),_xlfn.IFNA(LOOKUP(V187,use_fish!A:A,use_fish!I:I),0),_xlfn.IFNA(LOOKUP(W187,use_fish!A:A,use_fish!I:I),0),)</f>
        <v>350</v>
      </c>
      <c r="J187" s="86">
        <f>SUM(_xlfn.IFNA(LOOKUP(Q187,use_fish!A:A,use_fish!K:K),0),_xlfn.IFNA(LOOKUP(R187,use_fish!A:A,use_fish!K:K),0),_xlfn.IFNA(LOOKUP(S187,use_fish!A:A,use_fish!K:K),0),_xlfn.IFNA(LOOKUP(T187,use_fish!A:A,use_fish!K:K),0),_xlfn.IFNA(LOOKUP(U187,use_fish!A:A,use_fish!K:K),0),_xlfn.IFNA(LOOKUP(V187,use_fish!A:A,use_fish!K:K),0),_xlfn.IFNA(LOOKUP(W187,use_fish!A:A,use_fish!K:K),0),)</f>
        <v>0</v>
      </c>
      <c r="K187" s="83"/>
      <c r="L187" s="83"/>
      <c r="M187" s="83"/>
      <c r="N187" s="83"/>
      <c r="O187" s="83"/>
      <c r="P187" s="83"/>
      <c r="Q187" s="83">
        <v>170</v>
      </c>
    </row>
    <row r="188" spans="1:17" s="55" customFormat="1" x14ac:dyDescent="0.2">
      <c r="A188" s="83">
        <v>187</v>
      </c>
      <c r="B188" s="83">
        <v>1</v>
      </c>
      <c r="C188" s="104" t="s">
        <v>499</v>
      </c>
      <c r="D188" s="83"/>
      <c r="E188" s="83"/>
      <c r="F188" s="83"/>
      <c r="G188" s="83"/>
      <c r="H188" s="83">
        <f>SUM(_xlfn.IFNA(LOOKUP(Q188,use_fish!A:A,use_fish!E:E),0),_xlfn.IFNA(LOOKUP(R188,use_fish!A:A,use_fish!E:E),0),_xlfn.IFNA(LOOKUP(S188,use_fish!A:A,use_fish!E:E),0),_xlfn.IFNA(LOOKUP(T188,use_fish!A:A,use_fish!E:E),0),_xlfn.IFNA(LOOKUP(U188,use_fish!A:A,use_fish!E:E),0),_xlfn.IFNA(LOOKUP(V188,use_fish!A:A,use_fish!E:E),0),_xlfn.IFNA(LOOKUP(W188,use_fish!A:A,use_fish!E:E),0),)</f>
        <v>450</v>
      </c>
      <c r="I188" s="83">
        <f>SUM(_xlfn.IFNA(LOOKUP(Q188,use_fish!A:A,use_fish!I:I),0),_xlfn.IFNA(LOOKUP(R188,use_fish!A:A,use_fish!I:I),0),_xlfn.IFNA(LOOKUP(S188,use_fish!A:A,use_fish!I:I),0),_xlfn.IFNA(LOOKUP(T188,use_fish!A:A,use_fish!I:I),0),_xlfn.IFNA(LOOKUP(U188,use_fish!A:A,use_fish!I:I),0),_xlfn.IFNA(LOOKUP(V188,use_fish!A:A,use_fish!I:I),0),_xlfn.IFNA(LOOKUP(W188,use_fish!A:A,use_fish!I:I),0),)</f>
        <v>450</v>
      </c>
      <c r="J188" s="86">
        <f>SUM(_xlfn.IFNA(LOOKUP(Q188,use_fish!A:A,use_fish!K:K),0),_xlfn.IFNA(LOOKUP(R188,use_fish!A:A,use_fish!K:K),0),_xlfn.IFNA(LOOKUP(S188,use_fish!A:A,use_fish!K:K),0),_xlfn.IFNA(LOOKUP(T188,use_fish!A:A,use_fish!K:K),0),_xlfn.IFNA(LOOKUP(U188,use_fish!A:A,use_fish!K:K),0),_xlfn.IFNA(LOOKUP(V188,use_fish!A:A,use_fish!K:K),0),_xlfn.IFNA(LOOKUP(W188,use_fish!A:A,use_fish!K:K),0),)</f>
        <v>0</v>
      </c>
      <c r="K188" s="83"/>
      <c r="L188" s="83"/>
      <c r="M188" s="83"/>
      <c r="N188" s="83"/>
      <c r="O188" s="83"/>
      <c r="P188" s="83"/>
      <c r="Q188" s="83">
        <v>171</v>
      </c>
    </row>
    <row r="189" spans="1:17" s="55" customFormat="1" x14ac:dyDescent="0.2">
      <c r="A189" s="83">
        <v>188</v>
      </c>
      <c r="B189" s="83">
        <v>1</v>
      </c>
      <c r="C189" s="104" t="s">
        <v>502</v>
      </c>
      <c r="D189" s="83"/>
      <c r="E189" s="83"/>
      <c r="F189" s="83"/>
      <c r="G189" s="83"/>
      <c r="H189" s="83">
        <f>SUM(_xlfn.IFNA(LOOKUP(Q189,use_fish!A:A,use_fish!E:E),0),_xlfn.IFNA(LOOKUP(R189,use_fish!A:A,use_fish!E:E),0),_xlfn.IFNA(LOOKUP(S189,use_fish!A:A,use_fish!E:E),0),_xlfn.IFNA(LOOKUP(T189,use_fish!A:A,use_fish!E:E),0),_xlfn.IFNA(LOOKUP(U189,use_fish!A:A,use_fish!E:E),0),_xlfn.IFNA(LOOKUP(V189,use_fish!A:A,use_fish!E:E),0),_xlfn.IFNA(LOOKUP(W189,use_fish!A:A,use_fish!E:E),0),)</f>
        <v>200</v>
      </c>
      <c r="I189" s="83">
        <f>SUM(_xlfn.IFNA(LOOKUP(Q189,use_fish!A:A,use_fish!I:I),0),_xlfn.IFNA(LOOKUP(R189,use_fish!A:A,use_fish!I:I),0),_xlfn.IFNA(LOOKUP(S189,use_fish!A:A,use_fish!I:I),0),_xlfn.IFNA(LOOKUP(T189,use_fish!A:A,use_fish!I:I),0),_xlfn.IFNA(LOOKUP(U189,use_fish!A:A,use_fish!I:I),0),_xlfn.IFNA(LOOKUP(V189,use_fish!A:A,use_fish!I:I),0),_xlfn.IFNA(LOOKUP(W189,use_fish!A:A,use_fish!I:I),0),)</f>
        <v>200</v>
      </c>
      <c r="J189" s="86">
        <f>SUM(_xlfn.IFNA(LOOKUP(Q189,use_fish!A:A,use_fish!K:K),0),_xlfn.IFNA(LOOKUP(R189,use_fish!A:A,use_fish!K:K),0),_xlfn.IFNA(LOOKUP(S189,use_fish!A:A,use_fish!K:K),0),_xlfn.IFNA(LOOKUP(T189,use_fish!A:A,use_fish!K:K),0),_xlfn.IFNA(LOOKUP(U189,use_fish!A:A,use_fish!K:K),0),_xlfn.IFNA(LOOKUP(V189,use_fish!A:A,use_fish!K:K),0),_xlfn.IFNA(LOOKUP(W189,use_fish!A:A,use_fish!K:K),0),)</f>
        <v>0</v>
      </c>
      <c r="K189" s="83"/>
      <c r="L189" s="83"/>
      <c r="M189" s="83"/>
      <c r="N189" s="83"/>
      <c r="O189" s="83"/>
      <c r="P189" s="83"/>
      <c r="Q189" s="83">
        <v>172</v>
      </c>
    </row>
    <row r="190" spans="1:17" s="55" customFormat="1" x14ac:dyDescent="0.2">
      <c r="A190" s="83">
        <v>189</v>
      </c>
      <c r="B190" s="83">
        <v>1</v>
      </c>
      <c r="C190" s="104" t="s">
        <v>503</v>
      </c>
      <c r="D190" s="83"/>
      <c r="E190" s="83"/>
      <c r="F190" s="83"/>
      <c r="G190" s="83"/>
      <c r="H190" s="83">
        <f>SUM(_xlfn.IFNA(LOOKUP(Q190,use_fish!A:A,use_fish!E:E),0),_xlfn.IFNA(LOOKUP(R190,use_fish!A:A,use_fish!E:E),0),_xlfn.IFNA(LOOKUP(S190,use_fish!A:A,use_fish!E:E),0),_xlfn.IFNA(LOOKUP(T190,use_fish!A:A,use_fish!E:E),0),_xlfn.IFNA(LOOKUP(U190,use_fish!A:A,use_fish!E:E),0),_xlfn.IFNA(LOOKUP(V190,use_fish!A:A,use_fish!E:E),0),_xlfn.IFNA(LOOKUP(W190,use_fish!A:A,use_fish!E:E),0),)</f>
        <v>0</v>
      </c>
      <c r="I190" s="83">
        <f>SUM(_xlfn.IFNA(LOOKUP(Q190,use_fish!A:A,use_fish!I:I),0),_xlfn.IFNA(LOOKUP(R190,use_fish!A:A,use_fish!I:I),0),_xlfn.IFNA(LOOKUP(S190,use_fish!A:A,use_fish!I:I),0),_xlfn.IFNA(LOOKUP(T190,use_fish!A:A,use_fish!I:I),0),_xlfn.IFNA(LOOKUP(U190,use_fish!A:A,use_fish!I:I),0),_xlfn.IFNA(LOOKUP(V190,use_fish!A:A,use_fish!I:I),0),_xlfn.IFNA(LOOKUP(W190,use_fish!A:A,use_fish!I:I),0),)</f>
        <v>0</v>
      </c>
      <c r="J190" s="86">
        <f>SUM(_xlfn.IFNA(LOOKUP(Q190,use_fish!A:A,use_fish!K:K),0),_xlfn.IFNA(LOOKUP(R190,use_fish!A:A,use_fish!K:K),0),_xlfn.IFNA(LOOKUP(S190,use_fish!A:A,use_fish!K:K),0),_xlfn.IFNA(LOOKUP(T190,use_fish!A:A,use_fish!K:K),0),_xlfn.IFNA(LOOKUP(U190,use_fish!A:A,use_fish!K:K),0),_xlfn.IFNA(LOOKUP(V190,use_fish!A:A,use_fish!K:K),0),_xlfn.IFNA(LOOKUP(W190,use_fish!A:A,use_fish!K:K),0),)</f>
        <v>0</v>
      </c>
      <c r="K190" s="83"/>
      <c r="L190" s="83"/>
      <c r="M190" s="83"/>
      <c r="N190" s="83"/>
      <c r="O190" s="83"/>
      <c r="P190" s="83"/>
      <c r="Q190" s="83">
        <v>173</v>
      </c>
    </row>
    <row r="191" spans="1:17" s="55" customFormat="1" x14ac:dyDescent="0.2">
      <c r="C191" s="102"/>
      <c r="J191" s="13"/>
    </row>
    <row r="192" spans="1:17" s="55" customFormat="1" x14ac:dyDescent="0.2">
      <c r="C192" s="102"/>
      <c r="J192" s="13"/>
    </row>
    <row r="193" spans="3:10" s="55" customFormat="1" x14ac:dyDescent="0.2">
      <c r="C193" s="102"/>
      <c r="J193" s="13"/>
    </row>
    <row r="194" spans="3:10" s="55" customFormat="1" x14ac:dyDescent="0.2">
      <c r="C194" s="102"/>
      <c r="J194" s="13"/>
    </row>
    <row r="195" spans="3:10" s="55" customFormat="1" x14ac:dyDescent="0.2">
      <c r="C195" s="102"/>
      <c r="J195" s="13"/>
    </row>
    <row r="196" spans="3:10" s="55" customFormat="1" x14ac:dyDescent="0.2">
      <c r="C196" s="102"/>
      <c r="J196" s="13"/>
    </row>
    <row r="197" spans="3:10" s="55" customFormat="1" x14ac:dyDescent="0.2">
      <c r="C197" s="102"/>
      <c r="J197" s="13"/>
    </row>
  </sheetData>
  <autoFilter ref="I1:I46"/>
  <dataConsolidate/>
  <phoneticPr fontId="1" type="noConversion"/>
  <conditionalFormatting sqref="J12">
    <cfRule type="iconSet" priority="3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88 I191:I197">
    <cfRule type="iconSet" priority="19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88 J191:J197">
    <cfRule type="iconSet" priority="19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88 H191:H197">
    <cfRule type="iconSet" priority="20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89:I19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9:J190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89:H19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zoomScaleNormal="100" workbookViewId="0">
      <pane ySplit="1" topLeftCell="A143" activePane="bottomLeft" state="frozen"/>
      <selection pane="bottomLeft" activeCell="L173" sqref="L173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83" customFormat="1" x14ac:dyDescent="0.2">
      <c r="A164" s="85">
        <v>163</v>
      </c>
      <c r="B164" s="86">
        <v>13</v>
      </c>
      <c r="C164" s="85">
        <v>85</v>
      </c>
      <c r="D164" s="85"/>
      <c r="E164" s="86">
        <f>LOOKUP(use_fish!B164,base_fish!A:A,base_fish!C:C)+_xlfn.IFNA(INDEX(activity!F:F,MATCH(use_fish!C164,activity!A:A,0)),0)</f>
        <v>30</v>
      </c>
      <c r="F164" s="86">
        <f t="shared" ref="F164:F173" si="27">1/E164</f>
        <v>3.3333333333333333E-2</v>
      </c>
      <c r="G164" s="86" t="s">
        <v>22</v>
      </c>
      <c r="H164" s="87" t="str">
        <f>INDEX(base_fish!E:E,MATCH(use_fish!B164,base_fish!A:A,0))&amp;_xlfn.IFNA("+"&amp;INDEX(activity!G:G,MATCH(use_fish!C164,activity!A:A,0)),"")</f>
        <v>蝴蝶鱼+临时活动</v>
      </c>
      <c r="I164" s="86">
        <f>LOOKUP(use_fish!B164,base_fish!A:A,base_fish!F:F)+_xlfn.IFNA(INDEX(activity!F:F,MATCH(use_fish!C164,activity!A:A,0)),0)</f>
        <v>30</v>
      </c>
      <c r="J164" s="83">
        <v>1</v>
      </c>
      <c r="K164" s="83">
        <f>LOOKUP(use_fish!B164,base_fish!A:A,base_fish!G:G)</f>
        <v>0</v>
      </c>
      <c r="L164" s="83">
        <f t="shared" ref="L164:L174" si="28">I164</f>
        <v>30</v>
      </c>
      <c r="M164" s="83">
        <v>1</v>
      </c>
      <c r="N164" s="83">
        <v>0</v>
      </c>
      <c r="O164" s="83">
        <v>1</v>
      </c>
    </row>
    <row r="165" spans="1:15" s="83" customFormat="1" x14ac:dyDescent="0.2">
      <c r="A165" s="85">
        <v>164</v>
      </c>
      <c r="B165" s="86">
        <v>14</v>
      </c>
      <c r="C165" s="85">
        <v>85</v>
      </c>
      <c r="D165" s="85"/>
      <c r="E165" s="86">
        <f>LOOKUP(use_fish!B165,base_fish!A:A,base_fish!C:C)+_xlfn.IFNA(INDEX(activity!F:F,MATCH(use_fish!C165,activity!A:A,0)),0)</f>
        <v>35</v>
      </c>
      <c r="F165" s="86">
        <f t="shared" si="27"/>
        <v>2.8571428571428571E-2</v>
      </c>
      <c r="G165" s="86" t="s">
        <v>22</v>
      </c>
      <c r="H165" s="87" t="str">
        <f>INDEX(base_fish!E:E,MATCH(use_fish!B165,base_fish!A:A,0))&amp;_xlfn.IFNA("+"&amp;INDEX(activity!G:G,MATCH(use_fish!C165,activity!A:A,0)),"")</f>
        <v>巨大小丑鱼+临时活动</v>
      </c>
      <c r="I165" s="86">
        <f>LOOKUP(use_fish!B165,base_fish!A:A,base_fish!F:F)+_xlfn.IFNA(INDEX(activity!F:F,MATCH(use_fish!C165,activity!A:A,0)),0)</f>
        <v>35</v>
      </c>
      <c r="J165" s="83">
        <v>1</v>
      </c>
      <c r="K165" s="83">
        <f>LOOKUP(use_fish!B165,base_fish!A:A,base_fish!G:G)</f>
        <v>0</v>
      </c>
      <c r="L165" s="83">
        <f t="shared" si="28"/>
        <v>35</v>
      </c>
      <c r="M165" s="83">
        <v>1</v>
      </c>
      <c r="N165" s="83">
        <v>0</v>
      </c>
      <c r="O165" s="83">
        <v>1</v>
      </c>
    </row>
    <row r="166" spans="1:15" s="83" customFormat="1" x14ac:dyDescent="0.2">
      <c r="A166" s="85">
        <v>165</v>
      </c>
      <c r="B166" s="86">
        <v>15</v>
      </c>
      <c r="C166" s="85">
        <v>85</v>
      </c>
      <c r="D166" s="85"/>
      <c r="E166" s="86">
        <f>LOOKUP(use_fish!B166,base_fish!A:A,base_fish!C:C)+_xlfn.IFNA(INDEX(activity!F:F,MATCH(use_fish!C166,activity!A:A,0)),0)</f>
        <v>40</v>
      </c>
      <c r="F166" s="86">
        <f t="shared" si="27"/>
        <v>2.5000000000000001E-2</v>
      </c>
      <c r="G166" s="86" t="s">
        <v>22</v>
      </c>
      <c r="H166" s="87" t="str">
        <f>INDEX(base_fish!E:E,MATCH(use_fish!B166,base_fish!A:A,0))&amp;_xlfn.IFNA("+"&amp;INDEX(activity!G:G,MATCH(use_fish!C166,activity!A:A,0)),"")</f>
        <v>巨大灯笼鱼+临时活动</v>
      </c>
      <c r="I166" s="86">
        <f>LOOKUP(use_fish!B166,base_fish!A:A,base_fish!F:F)+_xlfn.IFNA(INDEX(activity!F:F,MATCH(use_fish!C166,activity!A:A,0)),0)</f>
        <v>40</v>
      </c>
      <c r="J166" s="83">
        <v>1</v>
      </c>
      <c r="K166" s="83">
        <f>LOOKUP(use_fish!B166,base_fish!A:A,base_fish!G:G)</f>
        <v>0</v>
      </c>
      <c r="L166" s="83">
        <f t="shared" si="28"/>
        <v>40</v>
      </c>
      <c r="M166" s="83">
        <v>1</v>
      </c>
      <c r="N166" s="83">
        <v>0</v>
      </c>
      <c r="O166" s="83">
        <v>1</v>
      </c>
    </row>
    <row r="167" spans="1:15" s="83" customFormat="1" x14ac:dyDescent="0.2">
      <c r="A167" s="85">
        <v>166</v>
      </c>
      <c r="B167" s="86">
        <v>16</v>
      </c>
      <c r="C167" s="85">
        <v>85</v>
      </c>
      <c r="D167" s="85"/>
      <c r="E167" s="86">
        <f>LOOKUP(use_fish!B167,base_fish!A:A,base_fish!C:C)+_xlfn.IFNA(INDEX(activity!F:F,MATCH(use_fish!C167,activity!A:A,0)),0)</f>
        <v>45</v>
      </c>
      <c r="F167" s="86">
        <f t="shared" si="27"/>
        <v>2.2222222222222223E-2</v>
      </c>
      <c r="G167" s="86" t="s">
        <v>22</v>
      </c>
      <c r="H167" s="87" t="str">
        <f>INDEX(base_fish!E:E,MATCH(use_fish!B167,base_fish!A:A,0))&amp;_xlfn.IFNA("+"&amp;INDEX(activity!G:G,MATCH(use_fish!C167,activity!A:A,0)),"")</f>
        <v>巨大燕鱼+临时活动</v>
      </c>
      <c r="I167" s="86">
        <f>LOOKUP(use_fish!B167,base_fish!A:A,base_fish!F:F)+_xlfn.IFNA(INDEX(activity!F:F,MATCH(use_fish!C167,activity!A:A,0)),0)</f>
        <v>45</v>
      </c>
      <c r="J167" s="83">
        <v>1</v>
      </c>
      <c r="K167" s="83">
        <f>LOOKUP(use_fish!B167,base_fish!A:A,base_fish!G:G)</f>
        <v>0</v>
      </c>
      <c r="L167" s="83">
        <f t="shared" si="28"/>
        <v>45</v>
      </c>
      <c r="M167" s="83">
        <v>1</v>
      </c>
      <c r="N167" s="83">
        <v>0</v>
      </c>
      <c r="O167" s="83">
        <v>1</v>
      </c>
    </row>
    <row r="168" spans="1:15" s="83" customFormat="1" x14ac:dyDescent="0.2">
      <c r="A168" s="85">
        <v>167</v>
      </c>
      <c r="B168" s="86">
        <v>17</v>
      </c>
      <c r="C168" s="85">
        <v>85</v>
      </c>
      <c r="D168" s="85"/>
      <c r="E168" s="86">
        <f>LOOKUP(use_fish!B168,base_fish!A:A,base_fish!C:C)+_xlfn.IFNA(INDEX(activity!F:F,MATCH(use_fish!C168,activity!A:A,0)),0)</f>
        <v>50</v>
      </c>
      <c r="F168" s="86">
        <f t="shared" si="27"/>
        <v>0.02</v>
      </c>
      <c r="G168" s="86" t="s">
        <v>22</v>
      </c>
      <c r="H168" s="87" t="str">
        <f>INDEX(base_fish!E:E,MATCH(use_fish!B168,base_fish!A:A,0))&amp;_xlfn.IFNA("+"&amp;INDEX(activity!G:G,MATCH(use_fish!C168,activity!A:A,0)),"")</f>
        <v>魔鬼鱼+临时活动</v>
      </c>
      <c r="I168" s="86">
        <f>LOOKUP(use_fish!B168,base_fish!A:A,base_fish!F:F)+_xlfn.IFNA(INDEX(activity!F:F,MATCH(use_fish!C168,activity!A:A,0)),0)</f>
        <v>50</v>
      </c>
      <c r="J168" s="83">
        <v>1</v>
      </c>
      <c r="K168" s="83">
        <f>LOOKUP(use_fish!B168,base_fish!A:A,base_fish!G:G)</f>
        <v>0</v>
      </c>
      <c r="L168" s="83">
        <f t="shared" si="28"/>
        <v>50</v>
      </c>
      <c r="M168" s="83">
        <v>1</v>
      </c>
      <c r="N168" s="83">
        <v>0</v>
      </c>
      <c r="O168" s="83">
        <v>1</v>
      </c>
    </row>
    <row r="169" spans="1:15" s="83" customFormat="1" x14ac:dyDescent="0.2">
      <c r="A169" s="85">
        <v>168</v>
      </c>
      <c r="B169" s="86">
        <v>18</v>
      </c>
      <c r="C169" s="85">
        <v>85</v>
      </c>
      <c r="D169" s="85"/>
      <c r="E169" s="86">
        <f>LOOKUP(use_fish!B169,base_fish!A:A,base_fish!C:C)+_xlfn.IFNA(INDEX(activity!F:F,MATCH(use_fish!C169,activity!A:A,0)),0)</f>
        <v>70</v>
      </c>
      <c r="F169" s="86">
        <f t="shared" si="27"/>
        <v>1.4285714285714285E-2</v>
      </c>
      <c r="G169" s="86" t="s">
        <v>22</v>
      </c>
      <c r="H169" s="87" t="str">
        <f>INDEX(base_fish!E:E,MATCH(use_fish!B169,base_fish!A:A,0))&amp;_xlfn.IFNA("+"&amp;INDEX(activity!G:G,MATCH(use_fish!C169,activity!A:A,0)),"")</f>
        <v>虎鲸+临时活动</v>
      </c>
      <c r="I169" s="86">
        <f>LOOKUP(use_fish!B169,base_fish!A:A,base_fish!F:F)+_xlfn.IFNA(INDEX(activity!F:F,MATCH(use_fish!C169,activity!A:A,0)),0)</f>
        <v>70</v>
      </c>
      <c r="J169" s="83">
        <v>1</v>
      </c>
      <c r="K169" s="83">
        <f>LOOKUP(use_fish!B169,base_fish!A:A,base_fish!G:G)</f>
        <v>0</v>
      </c>
      <c r="L169" s="83">
        <f t="shared" si="28"/>
        <v>70</v>
      </c>
      <c r="M169" s="83">
        <v>1</v>
      </c>
      <c r="N169" s="83">
        <v>0</v>
      </c>
      <c r="O169" s="83">
        <v>1</v>
      </c>
    </row>
    <row r="170" spans="1:15" s="83" customFormat="1" x14ac:dyDescent="0.2">
      <c r="A170" s="85">
        <v>169</v>
      </c>
      <c r="B170" s="85">
        <v>61</v>
      </c>
      <c r="C170" s="85">
        <v>82</v>
      </c>
      <c r="D170" s="85"/>
      <c r="E170" s="86">
        <f>LOOKUP(use_fish!B170,base_fish!A:A,base_fish!C:C)+_xlfn.IFNA(INDEX(activity!F:F,MATCH(use_fish!C170,activity!A:A,0)),0)</f>
        <v>250</v>
      </c>
      <c r="F170" s="86">
        <f t="shared" si="27"/>
        <v>4.0000000000000001E-3</v>
      </c>
      <c r="G170" s="86" t="s">
        <v>22</v>
      </c>
      <c r="H170" s="87" t="str">
        <f>INDEX(base_fish!E:E,MATCH(use_fish!B170,base_fish!A:A,0))&amp;_xlfn.IFNA("+"&amp;INDEX(activity!G:G,MATCH(use_fish!C170,activity!A:A,0)),"")</f>
        <v>活动boss+临时活动</v>
      </c>
      <c r="I170" s="86">
        <f>LOOKUP(use_fish!B170,base_fish!A:A,base_fish!F:F)+_xlfn.IFNA(INDEX(activity!F:F,MATCH(use_fish!C170,activity!A:A,0)),0)</f>
        <v>250</v>
      </c>
      <c r="J170" s="83">
        <v>1</v>
      </c>
      <c r="K170" s="83">
        <f>LOOKUP(use_fish!B170,base_fish!A:A,base_fish!G:G)</f>
        <v>0</v>
      </c>
      <c r="L170" s="83">
        <f t="shared" si="28"/>
        <v>250</v>
      </c>
      <c r="M170" s="83">
        <v>1</v>
      </c>
      <c r="N170" s="83">
        <v>1</v>
      </c>
      <c r="O170" s="83">
        <v>1</v>
      </c>
    </row>
    <row r="171" spans="1:15" s="83" customFormat="1" x14ac:dyDescent="0.2">
      <c r="A171" s="85">
        <v>170</v>
      </c>
      <c r="B171" s="85">
        <v>61</v>
      </c>
      <c r="C171" s="85">
        <v>83</v>
      </c>
      <c r="D171" s="85"/>
      <c r="E171" s="86">
        <f>LOOKUP(use_fish!B171,base_fish!A:A,base_fish!C:C)+_xlfn.IFNA(INDEX(activity!F:F,MATCH(use_fish!C171,activity!A:A,0)),0)</f>
        <v>350</v>
      </c>
      <c r="F171" s="86">
        <f t="shared" si="27"/>
        <v>2.8571428571428571E-3</v>
      </c>
      <c r="G171" s="86" t="s">
        <v>22</v>
      </c>
      <c r="H171" s="87" t="str">
        <f>INDEX(base_fish!E:E,MATCH(use_fish!B171,base_fish!A:A,0))&amp;_xlfn.IFNA("+"&amp;INDEX(activity!G:G,MATCH(use_fish!C171,activity!A:A,0)),"")</f>
        <v>活动boss+临时活动</v>
      </c>
      <c r="I171" s="86">
        <f>LOOKUP(use_fish!B171,base_fish!A:A,base_fish!F:F)+_xlfn.IFNA(INDEX(activity!F:F,MATCH(use_fish!C171,activity!A:A,0)),0)</f>
        <v>350</v>
      </c>
      <c r="J171" s="83">
        <v>1</v>
      </c>
      <c r="K171" s="83">
        <f>LOOKUP(use_fish!B171,base_fish!A:A,base_fish!G:G)</f>
        <v>0</v>
      </c>
      <c r="L171" s="83">
        <f t="shared" si="28"/>
        <v>350</v>
      </c>
      <c r="M171" s="83">
        <v>1</v>
      </c>
      <c r="N171" s="83">
        <v>1</v>
      </c>
      <c r="O171" s="83">
        <v>1</v>
      </c>
    </row>
    <row r="172" spans="1:15" s="83" customFormat="1" x14ac:dyDescent="0.2">
      <c r="A172" s="85">
        <v>171</v>
      </c>
      <c r="B172" s="85">
        <v>61</v>
      </c>
      <c r="C172" s="85">
        <v>84</v>
      </c>
      <c r="D172" s="85"/>
      <c r="E172" s="86">
        <f>LOOKUP(use_fish!B172,base_fish!A:A,base_fish!C:C)+_xlfn.IFNA(INDEX(activity!F:F,MATCH(use_fish!C172,activity!A:A,0)),0)</f>
        <v>450</v>
      </c>
      <c r="F172" s="86">
        <f t="shared" si="27"/>
        <v>2.2222222222222222E-3</v>
      </c>
      <c r="G172" s="86" t="s">
        <v>22</v>
      </c>
      <c r="H172" s="87" t="str">
        <f>INDEX(base_fish!E:E,MATCH(use_fish!B172,base_fish!A:A,0))&amp;_xlfn.IFNA("+"&amp;INDEX(activity!G:G,MATCH(use_fish!C172,activity!A:A,0)),"")</f>
        <v>活动boss+临时活动</v>
      </c>
      <c r="I172" s="86">
        <f>LOOKUP(use_fish!B172,base_fish!A:A,base_fish!F:F)+_xlfn.IFNA(INDEX(activity!F:F,MATCH(use_fish!C172,activity!A:A,0)),0)</f>
        <v>450</v>
      </c>
      <c r="J172" s="83">
        <v>1</v>
      </c>
      <c r="K172" s="83">
        <f>LOOKUP(use_fish!B172,base_fish!A:A,base_fish!G:G)</f>
        <v>0</v>
      </c>
      <c r="L172" s="83">
        <f t="shared" si="28"/>
        <v>450</v>
      </c>
      <c r="M172" s="83">
        <v>1</v>
      </c>
      <c r="N172" s="83">
        <v>1</v>
      </c>
      <c r="O172" s="83">
        <v>1</v>
      </c>
    </row>
    <row r="173" spans="1:15" s="65" customFormat="1" x14ac:dyDescent="0.2">
      <c r="A173" s="66">
        <v>172</v>
      </c>
      <c r="B173" s="66">
        <v>62</v>
      </c>
      <c r="C173" s="66">
        <v>86</v>
      </c>
      <c r="D173" s="66"/>
      <c r="E173" s="57">
        <f>LOOKUP(use_fish!B173,base_fish!A:A,base_fish!C:C)+_xlfn.IFNA(INDEX(activity!F:F,MATCH(use_fish!C173,activity!A:A,0)),0)</f>
        <v>200</v>
      </c>
      <c r="F173" s="67">
        <f t="shared" si="27"/>
        <v>5.0000000000000001E-3</v>
      </c>
      <c r="G173" s="67" t="s">
        <v>339</v>
      </c>
      <c r="H173" s="68" t="str">
        <f>INDEX(base_fish!E:E,MATCH(use_fish!B173,base_fish!A:A,0))&amp;_xlfn.IFNA("+"&amp;INDEX(activity!G:G,MATCH(use_fish!C173,activity!A:A,0)),"")</f>
        <v>红包鱼+红包</v>
      </c>
      <c r="I173" s="67">
        <f>LOOKUP(use_fish!B173,base_fish!A:A,base_fish!F:F)+_xlfn.IFNA(INDEX(activity!F:F,MATCH(use_fish!C173,activity!A:A,0)),0)</f>
        <v>200</v>
      </c>
      <c r="J173" s="65">
        <v>1</v>
      </c>
      <c r="K173" s="65">
        <v>0</v>
      </c>
      <c r="L173" s="65">
        <v>200</v>
      </c>
      <c r="M173" s="65">
        <v>1</v>
      </c>
      <c r="N173" s="65">
        <v>1</v>
      </c>
      <c r="O173" s="65">
        <v>1</v>
      </c>
    </row>
    <row r="174" spans="1:15" s="65" customFormat="1" x14ac:dyDescent="0.2">
      <c r="A174" s="66">
        <v>173</v>
      </c>
      <c r="B174" s="66">
        <v>62</v>
      </c>
      <c r="C174" s="66"/>
      <c r="D174" s="79" t="s">
        <v>505</v>
      </c>
      <c r="E174" s="57">
        <v>0</v>
      </c>
      <c r="F174" s="67">
        <v>0</v>
      </c>
      <c r="G174" s="67" t="s">
        <v>339</v>
      </c>
      <c r="H174" s="68" t="str">
        <f>INDEX(base_fish!E:E,MATCH(use_fish!B174,base_fish!A:A,0))&amp;_xlfn.IFNA("+"&amp;INDEX(activity!G:G,MATCH(use_fish!C174,activity!A:A,0)),"")</f>
        <v>红包鱼</v>
      </c>
      <c r="I174" s="67">
        <f>LOOKUP(use_fish!B174,base_fish!A:A,base_fish!F:F)+_xlfn.IFNA(INDEX(activity!F:F,MATCH(use_fish!C174,activity!A:A,0)),0)</f>
        <v>0</v>
      </c>
      <c r="J174" s="65">
        <v>1</v>
      </c>
      <c r="K174" s="65">
        <v>0</v>
      </c>
      <c r="L174" s="65">
        <f t="shared" si="28"/>
        <v>0</v>
      </c>
      <c r="M174" s="65">
        <v>1</v>
      </c>
      <c r="N174" s="65">
        <v>1</v>
      </c>
      <c r="O174" s="65">
        <v>1</v>
      </c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tabSelected="1" zoomScale="115" zoomScaleNormal="115" workbookViewId="0">
      <pane ySplit="1" topLeftCell="A64" activePane="bottomLeft" state="frozen"/>
      <selection pane="bottomLeft" activeCell="C88" sqref="C88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504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470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472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473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474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475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476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477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A83">
        <v>82</v>
      </c>
      <c r="B83" s="83">
        <v>9</v>
      </c>
      <c r="C83" s="83" t="s">
        <v>487</v>
      </c>
      <c r="D83" s="84">
        <v>0</v>
      </c>
      <c r="E83" s="84">
        <v>1</v>
      </c>
      <c r="F83" s="83">
        <v>250</v>
      </c>
      <c r="G83" s="83" t="s">
        <v>88</v>
      </c>
    </row>
    <row r="84" spans="1:7" s="55" customFormat="1" x14ac:dyDescent="0.2">
      <c r="A84">
        <v>83</v>
      </c>
      <c r="B84" s="83">
        <v>9</v>
      </c>
      <c r="C84" s="83" t="s">
        <v>488</v>
      </c>
      <c r="D84" s="84">
        <v>0</v>
      </c>
      <c r="E84" s="84">
        <v>1</v>
      </c>
      <c r="F84" s="83">
        <v>350</v>
      </c>
      <c r="G84" s="83" t="s">
        <v>88</v>
      </c>
    </row>
    <row r="85" spans="1:7" s="55" customFormat="1" x14ac:dyDescent="0.2">
      <c r="A85">
        <v>84</v>
      </c>
      <c r="B85" s="83">
        <v>9</v>
      </c>
      <c r="C85" s="83" t="s">
        <v>489</v>
      </c>
      <c r="D85" s="84">
        <v>0</v>
      </c>
      <c r="E85" s="84">
        <v>1</v>
      </c>
      <c r="F85" s="83">
        <v>450</v>
      </c>
      <c r="G85" s="83" t="s">
        <v>88</v>
      </c>
    </row>
    <row r="86" spans="1:7" s="55" customFormat="1" x14ac:dyDescent="0.2">
      <c r="A86">
        <v>85</v>
      </c>
      <c r="B86" s="83">
        <v>9</v>
      </c>
      <c r="C86" s="83" t="s">
        <v>490</v>
      </c>
      <c r="D86" s="84">
        <v>1</v>
      </c>
      <c r="E86" s="84">
        <v>1</v>
      </c>
      <c r="F86" s="83">
        <v>10</v>
      </c>
      <c r="G86" s="83" t="s">
        <v>88</v>
      </c>
    </row>
    <row r="87" spans="1:7" s="65" customFormat="1" x14ac:dyDescent="0.2">
      <c r="A87">
        <v>86</v>
      </c>
      <c r="B87" s="65">
        <v>9</v>
      </c>
      <c r="C87" s="65" t="s">
        <v>506</v>
      </c>
      <c r="D87" s="66">
        <v>1</v>
      </c>
      <c r="E87" s="66">
        <v>1</v>
      </c>
      <c r="F87" s="65">
        <v>200</v>
      </c>
      <c r="G87" s="65" t="s">
        <v>501</v>
      </c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3" sqref="A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471</v>
      </c>
      <c r="F62" s="30">
        <v>0</v>
      </c>
      <c r="G62" s="30">
        <v>0</v>
      </c>
    </row>
    <row r="63" spans="1:7" x14ac:dyDescent="0.2">
      <c r="A63" s="2">
        <v>62</v>
      </c>
      <c r="B63" s="2">
        <v>1</v>
      </c>
      <c r="C63" s="2">
        <v>0</v>
      </c>
      <c r="D63" s="2">
        <v>0</v>
      </c>
      <c r="E63" s="2" t="s">
        <v>500</v>
      </c>
      <c r="F63" s="2">
        <v>0</v>
      </c>
      <c r="G63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70" workbookViewId="0">
      <selection activeCell="E97" sqref="E97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2021-01-27T09:49:23Z</dcterms:modified>
</cp:coreProperties>
</file>