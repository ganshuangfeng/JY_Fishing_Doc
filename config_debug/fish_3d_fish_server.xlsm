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1" i="7" l="1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E81" i="14" l="1"/>
  <c r="E82" i="14"/>
  <c r="E83" i="14"/>
  <c r="H99" i="7" s="1"/>
  <c r="E84" i="14"/>
  <c r="H100" i="7" s="1"/>
  <c r="D52" i="1"/>
  <c r="J97" i="7"/>
  <c r="J98" i="7"/>
  <c r="J99" i="7"/>
  <c r="J100" i="7"/>
  <c r="I84" i="14"/>
  <c r="I100" i="7" s="1"/>
  <c r="H84" i="14"/>
  <c r="H83" i="14"/>
  <c r="I83" i="14"/>
  <c r="I99" i="7" s="1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E73" i="14"/>
  <c r="F73" i="14" s="1"/>
  <c r="I72" i="14"/>
  <c r="I88" i="7" s="1"/>
  <c r="K72" i="14"/>
  <c r="J88" i="7"/>
  <c r="H72" i="14"/>
  <c r="E72" i="14"/>
  <c r="H88" i="7" s="1"/>
  <c r="N71" i="14"/>
  <c r="I71" i="14"/>
  <c r="L71" i="14" s="1"/>
  <c r="K71" i="14"/>
  <c r="H71" i="14"/>
  <c r="E71" i="14"/>
  <c r="F71" i="14" s="1"/>
  <c r="N70" i="14"/>
  <c r="I70" i="14"/>
  <c r="L70" i="14" s="1"/>
  <c r="K70" i="14"/>
  <c r="J86" i="7"/>
  <c r="H70" i="14"/>
  <c r="E70" i="14"/>
  <c r="H86" i="7" s="1"/>
  <c r="N69" i="14"/>
  <c r="I69" i="14"/>
  <c r="L69" i="14" s="1"/>
  <c r="K69" i="14"/>
  <c r="J85" i="7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/>
  <c r="K65" i="14"/>
  <c r="J81" i="7" s="1"/>
  <c r="H65" i="14"/>
  <c r="F65" i="14"/>
  <c r="I64" i="14"/>
  <c r="I80" i="7" s="1"/>
  <c r="K64" i="14"/>
  <c r="J80" i="7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/>
  <c r="H62" i="14"/>
  <c r="F62" i="14"/>
  <c r="I61" i="14"/>
  <c r="I77" i="7"/>
  <c r="K61" i="14"/>
  <c r="J77" i="7" s="1"/>
  <c r="H61" i="14"/>
  <c r="F61" i="14"/>
  <c r="I60" i="14"/>
  <c r="I76" i="7" s="1"/>
  <c r="K60" i="14"/>
  <c r="J76" i="7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E34" i="14"/>
  <c r="H48" i="7" s="1"/>
  <c r="K33" i="14"/>
  <c r="E33" i="14"/>
  <c r="F33" i="14" s="1"/>
  <c r="J60" i="7"/>
  <c r="F8" i="1"/>
  <c r="D8" i="1"/>
  <c r="K29" i="14"/>
  <c r="J43" i="7"/>
  <c r="I30" i="14"/>
  <c r="I44" i="7" s="1"/>
  <c r="K30" i="14"/>
  <c r="J44" i="7"/>
  <c r="K31" i="14"/>
  <c r="J45" i="7" s="1"/>
  <c r="K32" i="14"/>
  <c r="J46" i="7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/>
  <c r="H25" i="14"/>
  <c r="K25" i="14"/>
  <c r="J39" i="7" s="1"/>
  <c r="H26" i="14"/>
  <c r="K26" i="14"/>
  <c r="J40" i="7" s="1"/>
  <c r="K27" i="14"/>
  <c r="J41" i="7"/>
  <c r="F28" i="14"/>
  <c r="H28" i="14"/>
  <c r="K28" i="14"/>
  <c r="J42" i="7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I41" i="7"/>
  <c r="D23" i="1"/>
  <c r="F23" i="1"/>
  <c r="D22" i="1"/>
  <c r="F22" i="1"/>
  <c r="D21" i="1"/>
  <c r="F21" i="1"/>
  <c r="K3" i="14"/>
  <c r="K4" i="14"/>
  <c r="K5" i="14"/>
  <c r="J65" i="7" s="1"/>
  <c r="K6" i="14"/>
  <c r="J66" i="7"/>
  <c r="K7" i="14"/>
  <c r="K8" i="14"/>
  <c r="J16" i="7" s="1"/>
  <c r="K9" i="14"/>
  <c r="J21" i="7" s="1"/>
  <c r="K10" i="14"/>
  <c r="K11" i="14"/>
  <c r="J11" i="7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K33" i="7" s="1" a="1"/>
  <c r="K33" i="7" s="1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48" i="7"/>
  <c r="J55" i="7"/>
  <c r="J62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20" i="7"/>
  <c r="J17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14" i="7"/>
  <c r="J7" i="7"/>
  <c r="J4" i="7"/>
  <c r="I50" i="14"/>
  <c r="I64" i="7" s="1"/>
  <c r="I44" i="14"/>
  <c r="L44" i="14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L50" i="14"/>
  <c r="H46" i="7"/>
  <c r="H9" i="7"/>
  <c r="F36" i="14"/>
  <c r="F66" i="14"/>
  <c r="L66" i="14"/>
  <c r="I11" i="7"/>
  <c r="H62" i="7"/>
  <c r="H56" i="7"/>
  <c r="F40" i="14"/>
  <c r="F18" i="14"/>
  <c r="L46" i="14"/>
  <c r="L9" i="14"/>
  <c r="L27" i="14"/>
  <c r="H25" i="7"/>
  <c r="F56" i="14"/>
  <c r="I12" i="7"/>
  <c r="H5" i="7"/>
  <c r="I16" i="7"/>
  <c r="I57" i="7"/>
  <c r="I24" i="7"/>
  <c r="F34" i="14"/>
  <c r="H22" i="7"/>
  <c r="L33" i="14"/>
  <c r="F13" i="14"/>
  <c r="H15" i="7"/>
  <c r="I50" i="7"/>
  <c r="L48" i="14"/>
  <c r="I43" i="7"/>
  <c r="F15" i="14"/>
  <c r="H53" i="7"/>
  <c r="H21" i="7"/>
  <c r="H11" i="7"/>
  <c r="F2" i="14"/>
  <c r="I29" i="7"/>
  <c r="H23" i="7"/>
  <c r="L30" i="14"/>
  <c r="H29" i="7"/>
  <c r="H33" i="7"/>
  <c r="L26" i="14"/>
  <c r="I58" i="7"/>
  <c r="F70" i="14"/>
  <c r="H2" i="7"/>
  <c r="H6" i="7"/>
  <c r="I33" i="7"/>
  <c r="I10" i="7"/>
  <c r="H89" i="7"/>
  <c r="K40" i="7" a="1"/>
  <c r="K40" i="7" s="1"/>
  <c r="F52" i="14"/>
  <c r="F55" i="14"/>
  <c r="K38" i="7" a="1"/>
  <c r="K38" i="7" s="1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 s="1"/>
  <c r="I22" i="7"/>
  <c r="K41" i="7" a="1"/>
  <c r="K41" i="7" s="1"/>
  <c r="I13" i="7"/>
  <c r="I19" i="7"/>
  <c r="K37" i="7" a="1"/>
  <c r="K37" i="7" s="1"/>
  <c r="I35" i="7"/>
  <c r="L17" i="14"/>
  <c r="I90" i="7"/>
  <c r="I86" i="7"/>
  <c r="I74" i="7"/>
  <c r="I70" i="7"/>
  <c r="K34" i="7" a="1"/>
  <c r="K34" i="7" s="1"/>
  <c r="K12" i="7" a="1"/>
  <c r="K12" i="7" s="1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  <c r="K18" i="7" l="1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L83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L84" i="14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<sst xmlns="http://schemas.openxmlformats.org/spreadsheetml/2006/main" count="501" uniqueCount="362">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</sst>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3"/>
  <sheetViews>
    <sheetView tabSelected="1" workbookViewId="0">
      <pane ySplit="1" topLeftCell="A79" activePane="bottomLeft" state="frozen"/>
      <selection pane="bottomLeft" activeCell="G105" sqref="G10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359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360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361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4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4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3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3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3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7"/>
  <sheetViews>
    <sheetView zoomScaleNormal="100" workbookViewId="0">
      <pane ySplit="1" topLeftCell="A71" activePane="bottomLeft" state="frozen"/>
      <selection pane="bottomLeft" activeCell="A85" sqref="A85:A8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343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345</v>
      </c>
      <c r="H85" s="38" t="str">
        <f>INDEX(base_fish!E:E,MATCH(use_fish!B85,base_fish!A:A,0))&amp;_xlfn.IFNA("+"&amp;INDEX(activity!G:G,MATCH(use_fish!C85,activity!A:A,0)),"")</f>
        <v>接吻鱼+临时活动</v>
      </c>
      <c r="I85" s="36">
        <v>75</v>
      </c>
      <c r="J85" s="39">
        <v>1</v>
      </c>
      <c r="K85" s="39">
        <v>0</v>
      </c>
      <c r="L85" s="39"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343</v>
      </c>
      <c r="H86" s="38" t="str">
        <f>INDEX(base_fish!E:E,MATCH(use_fish!B86,base_fish!A:A,0))&amp;_xlfn.IFNA("+"&amp;INDEX(activity!G:G,MATCH(use_fish!C86,activity!A:A,0)),"")</f>
        <v>接吻鱼+临时活动</v>
      </c>
      <c r="I86" s="36">
        <v>150</v>
      </c>
      <c r="J86" s="39">
        <v>1</v>
      </c>
      <c r="K86" s="39">
        <v>0</v>
      </c>
      <c r="L86" s="39"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343</v>
      </c>
      <c r="H87" s="38" t="str">
        <f>INDEX(base_fish!E:E,MATCH(use_fish!B87,base_fish!A:A,0))&amp;_xlfn.IFNA("+"&amp;INDEX(activity!G:G,MATCH(use_fish!C87,activity!A:A,0)),"")</f>
        <v>接吻鱼+临时活动</v>
      </c>
      <c r="I87" s="36">
        <v>250</v>
      </c>
      <c r="J87" s="39">
        <v>1</v>
      </c>
      <c r="K87" s="39">
        <v>0</v>
      </c>
      <c r="L87" s="39">
        <v>250</v>
      </c>
      <c r="M87" s="39">
        <v>1</v>
      </c>
      <c r="N87" s="39">
        <v>1</v>
      </c>
      <c r="O87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2"/>
  <sheetViews>
    <sheetView topLeftCell="A25" workbookViewId="0">
      <selection activeCell="A50" sqref="A50:A5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s="55" customFormat="1" x14ac:dyDescent="0.2">
      <c r="A45" s="55">
        <v>44</v>
      </c>
      <c r="B45" s="55">
        <v>9</v>
      </c>
      <c r="C45" s="55" t="s">
        <v>350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351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352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354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353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356</v>
      </c>
      <c r="D50" s="4">
        <v>0</v>
      </c>
      <c r="E50" s="4">
        <v>0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357</v>
      </c>
      <c r="D51" s="4">
        <v>0</v>
      </c>
      <c r="E51" s="4">
        <v>0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358</v>
      </c>
      <c r="D52" s="4">
        <v>0</v>
      </c>
      <c r="E52" s="4">
        <v>0</v>
      </c>
      <c r="F52" s="55">
        <v>250</v>
      </c>
      <c r="G52" s="55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3"/>
  <sheetViews>
    <sheetView topLeftCell="A28" zoomScaleNormal="100" workbookViewId="0">
      <selection activeCell="D56" sqref="D5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3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355</v>
      </c>
      <c r="F53" s="2">
        <v>0</v>
      </c>
      <c r="G5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2020-08-18T03:30:13Z</dcterms:modified>
</cp:coreProperties>
</file>