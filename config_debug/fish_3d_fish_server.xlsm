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4" i="7" l="1"/>
  <c r="I104" i="7"/>
  <c r="J104" i="7"/>
  <c r="H105" i="7"/>
  <c r="I105" i="7"/>
  <c r="J105" i="7"/>
  <c r="H106" i="7"/>
  <c r="I106" i="7"/>
  <c r="J106" i="7"/>
  <c r="H107" i="7"/>
  <c r="I107" i="7"/>
  <c r="J107" i="7"/>
  <c r="L88" i="14"/>
  <c r="L89" i="14"/>
  <c r="L90" i="14"/>
  <c r="L91" i="14"/>
  <c r="L83" i="14"/>
  <c r="L84" i="14"/>
  <c r="L85" i="14"/>
  <c r="L86" i="14"/>
  <c r="L87" i="14"/>
  <c r="I88" i="14"/>
  <c r="I89" i="14"/>
  <c r="I90" i="14"/>
  <c r="I91" i="14"/>
  <c r="I84" i="14"/>
  <c r="I85" i="14"/>
  <c r="I86" i="14"/>
  <c r="I87" i="14"/>
  <c r="H88" i="14"/>
  <c r="H89" i="14"/>
  <c r="H90" i="14"/>
  <c r="H91" i="14"/>
  <c r="F88" i="14"/>
  <c r="F89" i="14"/>
  <c r="F90" i="14"/>
  <c r="F91" i="14"/>
  <c r="E91" i="14"/>
  <c r="E90" i="14"/>
  <c r="E89" i="14"/>
  <c r="E88" i="14"/>
  <c r="E72" i="14"/>
  <c r="E73" i="14"/>
  <c r="E81" i="14"/>
  <c r="E82" i="14"/>
  <c r="E83" i="14"/>
  <c r="E84" i="14"/>
  <c r="H101" i="7" l="1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99" i="7" s="1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/>
  <c r="H72" i="14"/>
  <c r="H88" i="7"/>
  <c r="N71" i="14"/>
  <c r="I71" i="14"/>
  <c r="L71" i="14" s="1"/>
  <c r="K71" i="14"/>
  <c r="H71" i="14"/>
  <c r="E71" i="14"/>
  <c r="F71" i="14" s="1"/>
  <c r="N70" i="14"/>
  <c r="I70" i="14"/>
  <c r="L70" i="14" s="1"/>
  <c r="K70" i="14"/>
  <c r="J86" i="7"/>
  <c r="H70" i="14"/>
  <c r="E70" i="14"/>
  <c r="H86" i="7" s="1"/>
  <c r="N69" i="14"/>
  <c r="I69" i="14"/>
  <c r="L69" i="14" s="1"/>
  <c r="K69" i="14"/>
  <c r="J85" i="7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/>
  <c r="K65" i="14"/>
  <c r="J81" i="7" s="1"/>
  <c r="H65" i="14"/>
  <c r="F65" i="14"/>
  <c r="I64" i="14"/>
  <c r="I80" i="7" s="1"/>
  <c r="K64" i="14"/>
  <c r="J80" i="7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/>
  <c r="H62" i="14"/>
  <c r="F62" i="14"/>
  <c r="I61" i="14"/>
  <c r="I77" i="7"/>
  <c r="K61" i="14"/>
  <c r="J77" i="7" s="1"/>
  <c r="H61" i="14"/>
  <c r="F61" i="14"/>
  <c r="I60" i="14"/>
  <c r="I76" i="7" s="1"/>
  <c r="K60" i="14"/>
  <c r="J76" i="7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E34" i="14"/>
  <c r="H48" i="7" s="1"/>
  <c r="K33" i="14"/>
  <c r="E33" i="14"/>
  <c r="F33" i="14" s="1"/>
  <c r="J60" i="7"/>
  <c r="F8" i="1"/>
  <c r="D8" i="1"/>
  <c r="K29" i="14"/>
  <c r="J43" i="7"/>
  <c r="I30" i="14"/>
  <c r="I44" i="7" s="1"/>
  <c r="K30" i="14"/>
  <c r="J44" i="7"/>
  <c r="K31" i="14"/>
  <c r="J45" i="7" s="1"/>
  <c r="K32" i="14"/>
  <c r="J46" i="7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/>
  <c r="H25" i="14"/>
  <c r="K25" i="14"/>
  <c r="J39" i="7" s="1"/>
  <c r="H26" i="14"/>
  <c r="K26" i="14"/>
  <c r="J40" i="7" s="1"/>
  <c r="K27" i="14"/>
  <c r="J41" i="7"/>
  <c r="F28" i="14"/>
  <c r="H28" i="14"/>
  <c r="K28" i="14"/>
  <c r="J42" i="7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I41" i="7"/>
  <c r="D23" i="1"/>
  <c r="F23" i="1"/>
  <c r="D22" i="1"/>
  <c r="F22" i="1"/>
  <c r="D21" i="1"/>
  <c r="F21" i="1"/>
  <c r="K3" i="14"/>
  <c r="K4" i="14"/>
  <c r="K5" i="14"/>
  <c r="J65" i="7" s="1"/>
  <c r="K6" i="14"/>
  <c r="J66" i="7"/>
  <c r="K7" i="14"/>
  <c r="K8" i="14"/>
  <c r="J16" i="7" s="1"/>
  <c r="K9" i="14"/>
  <c r="J21" i="7" s="1"/>
  <c r="K10" i="14"/>
  <c r="K11" i="14"/>
  <c r="J11" i="7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H13" i="7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K40" i="7" s="1" a="1"/>
  <c r="K40" i="7" s="1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48" i="7"/>
  <c r="J55" i="7"/>
  <c r="J62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20" i="7"/>
  <c r="J17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14" i="7"/>
  <c r="J7" i="7"/>
  <c r="J4" i="7"/>
  <c r="I50" i="14"/>
  <c r="I64" i="7" s="1"/>
  <c r="I44" i="14"/>
  <c r="L44" i="14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L50" i="14"/>
  <c r="H9" i="7"/>
  <c r="F36" i="14"/>
  <c r="F66" i="14"/>
  <c r="L66" i="14"/>
  <c r="I11" i="7"/>
  <c r="H62" i="7"/>
  <c r="H56" i="7"/>
  <c r="F18" i="14"/>
  <c r="L46" i="14"/>
  <c r="L9" i="14"/>
  <c r="H25" i="7"/>
  <c r="F56" i="14"/>
  <c r="I12" i="7"/>
  <c r="I16" i="7"/>
  <c r="I57" i="7"/>
  <c r="I24" i="7"/>
  <c r="H22" i="7"/>
  <c r="L33" i="14"/>
  <c r="F13" i="14"/>
  <c r="I50" i="7"/>
  <c r="I43" i="7"/>
  <c r="F15" i="14"/>
  <c r="H53" i="7"/>
  <c r="H21" i="7"/>
  <c r="H11" i="7"/>
  <c r="I29" i="7"/>
  <c r="H23" i="7"/>
  <c r="L30" i="14"/>
  <c r="H29" i="7"/>
  <c r="H33" i="7"/>
  <c r="L26" i="14"/>
  <c r="I58" i="7"/>
  <c r="F70" i="14"/>
  <c r="H2" i="7"/>
  <c r="H6" i="7"/>
  <c r="I33" i="7"/>
  <c r="H89" i="7"/>
  <c r="F52" i="14"/>
  <c r="K38" i="7" a="1"/>
  <c r="K38" i="7" s="1"/>
  <c r="F59" i="14"/>
  <c r="L60" i="14"/>
  <c r="H85" i="7"/>
  <c r="L8" i="14"/>
  <c r="I67" i="7"/>
  <c r="L63" i="14"/>
  <c r="I37" i="7"/>
  <c r="I23" i="7"/>
  <c r="L13" i="14"/>
  <c r="L64" i="14"/>
  <c r="L77" i="14"/>
  <c r="I28" i="7"/>
  <c r="I17" i="7"/>
  <c r="J23" i="7"/>
  <c r="J13" i="7"/>
  <c r="J26" i="7"/>
  <c r="K44" i="7" a="1"/>
  <c r="K44" i="7" s="1"/>
  <c r="I22" i="7"/>
  <c r="I19" i="7"/>
  <c r="K37" i="7" a="1"/>
  <c r="K37" i="7" s="1"/>
  <c r="I35" i="7"/>
  <c r="I90" i="7"/>
  <c r="I86" i="7"/>
  <c r="I74" i="7"/>
  <c r="I70" i="7"/>
  <c r="K34" i="7" a="1"/>
  <c r="K34" i="7" s="1"/>
  <c r="K12" i="7" a="1"/>
  <c r="K12" i="7" s="1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I91" i="7"/>
  <c r="I87" i="7"/>
  <c r="I83" i="7"/>
  <c r="H70" i="7"/>
  <c r="I61" i="7"/>
  <c r="J25" i="7"/>
  <c r="F5" i="14"/>
  <c r="H63" i="7"/>
  <c r="F16" i="14"/>
  <c r="H20" i="7"/>
  <c r="J8" i="7"/>
  <c r="I38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  <c r="K41" i="7" l="1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<sst xmlns="http://schemas.openxmlformats.org/spreadsheetml/2006/main" count="517" uniqueCount="366">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</sst>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7"/>
  <sheetViews>
    <sheetView tabSelected="1" topLeftCell="D1" workbookViewId="0">
      <pane ySplit="1" topLeftCell="A85" activePane="bottomLeft" state="frozen"/>
      <selection pane="bottomLeft" activeCell="M112" sqref="M11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359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360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361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362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120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120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363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80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80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364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365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40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40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91"/>
  <sheetViews>
    <sheetView zoomScaleNormal="100" workbookViewId="0">
      <pane ySplit="1" topLeftCell="A67" activePane="bottomLeft" state="frozen"/>
      <selection pane="bottomLeft" activeCell="A88" sqref="A88:A9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9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9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343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345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343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343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6">
        <v>18</v>
      </c>
      <c r="C88" s="36">
        <v>52</v>
      </c>
      <c r="D88" s="36"/>
      <c r="E88" s="37">
        <f>LOOKUP(use_fish!B88,base_fish!A:A,base_fish!C:C)+_xlfn.IFNA(INDEX(activity!F:F,MATCH(use_fish!C88,activity!A:A,0)),0)</f>
        <v>120</v>
      </c>
      <c r="F88" s="37">
        <f t="shared" si="16"/>
        <v>8.3333333333333332E-3</v>
      </c>
      <c r="G88" s="37" t="s">
        <v>345</v>
      </c>
      <c r="H88" s="38" t="str">
        <f>INDEX(base_fish!E:E,MATCH(use_fish!B88,base_fish!A:A,0))&amp;_xlfn.IFNA("+"&amp;INDEX(activity!G:G,MATCH(use_fish!C88,activity!A:A,0)),"")</f>
        <v>虎鲸+临时活动</v>
      </c>
      <c r="I88" s="37">
        <f>LOOKUP(use_fish!B88,base_fish!A:A,base_fish!F:F)+_xlfn.IFNA(INDEX(activity!F:F,MATCH(use_fish!C88,activity!A:A,0)),0)</f>
        <v>120</v>
      </c>
      <c r="J88" s="39">
        <v>1</v>
      </c>
      <c r="K88" s="39">
        <v>0</v>
      </c>
      <c r="L88" s="39">
        <f t="shared" si="17"/>
        <v>120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6">
        <v>17</v>
      </c>
      <c r="C89" s="36">
        <v>53</v>
      </c>
      <c r="D89" s="36"/>
      <c r="E89" s="37">
        <f>LOOKUP(use_fish!B89,base_fish!A:A,base_fish!C:C)+_xlfn.IFNA(INDEX(activity!F:F,MATCH(use_fish!C89,activity!A:A,0)),0)</f>
        <v>80</v>
      </c>
      <c r="F89" s="37">
        <f t="shared" si="16"/>
        <v>1.2500000000000001E-2</v>
      </c>
      <c r="G89" s="37" t="s">
        <v>343</v>
      </c>
      <c r="H89" s="38" t="str">
        <f>INDEX(base_fish!E:E,MATCH(use_fish!B89,base_fish!A:A,0))&amp;_xlfn.IFNA("+"&amp;INDEX(activity!G:G,MATCH(use_fish!C89,activity!A:A,0)),"")</f>
        <v>魔鬼鱼+临时活动</v>
      </c>
      <c r="I89" s="37">
        <f>LOOKUP(use_fish!B89,base_fish!A:A,base_fish!F:F)+_xlfn.IFNA(INDEX(activity!F:F,MATCH(use_fish!C89,activity!A:A,0)),0)</f>
        <v>80</v>
      </c>
      <c r="J89" s="39">
        <v>1</v>
      </c>
      <c r="K89" s="39">
        <v>0</v>
      </c>
      <c r="L89" s="39">
        <f t="shared" si="17"/>
        <v>80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6">
        <v>15</v>
      </c>
      <c r="C90" s="36">
        <v>54</v>
      </c>
      <c r="D90" s="36"/>
      <c r="E90" s="37">
        <f>LOOKUP(use_fish!B90,base_fish!A:A,base_fish!C:C)+_xlfn.IFNA(INDEX(activity!F:F,MATCH(use_fish!C90,activity!A:A,0)),0)</f>
        <v>60</v>
      </c>
      <c r="F90" s="37">
        <f t="shared" si="16"/>
        <v>1.6666666666666666E-2</v>
      </c>
      <c r="G90" s="37" t="s">
        <v>343</v>
      </c>
      <c r="H90" s="38" t="str">
        <f>INDEX(base_fish!E:E,MATCH(use_fish!B90,base_fish!A:A,0))&amp;_xlfn.IFNA("+"&amp;INDEX(activity!G:G,MATCH(use_fish!C90,activity!A:A,0)),"")</f>
        <v>巨大灯笼鱼+临时活动</v>
      </c>
      <c r="I90" s="37">
        <f>LOOKUP(use_fish!B90,base_fish!A:A,base_fish!F:F)+_xlfn.IFNA(INDEX(activity!F:F,MATCH(use_fish!C90,activity!A:A,0)),0)</f>
        <v>60</v>
      </c>
      <c r="J90" s="39">
        <v>1</v>
      </c>
      <c r="K90" s="39">
        <v>0</v>
      </c>
      <c r="L90" s="39">
        <f t="shared" si="17"/>
        <v>60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6">
        <v>13</v>
      </c>
      <c r="C91" s="36">
        <v>55</v>
      </c>
      <c r="D91" s="36"/>
      <c r="E91" s="37">
        <f>LOOKUP(use_fish!B91,base_fish!A:A,base_fish!C:C)+_xlfn.IFNA(INDEX(activity!F:F,MATCH(use_fish!C91,activity!A:A,0)),0)</f>
        <v>40</v>
      </c>
      <c r="F91" s="37">
        <f t="shared" si="16"/>
        <v>2.5000000000000001E-2</v>
      </c>
      <c r="G91" s="37" t="s">
        <v>345</v>
      </c>
      <c r="H91" s="38" t="str">
        <f>INDEX(base_fish!E:E,MATCH(use_fish!B91,base_fish!A:A,0))&amp;_xlfn.IFNA("+"&amp;INDEX(activity!G:G,MATCH(use_fish!C91,activity!A:A,0)),"")</f>
        <v>蝴蝶鱼+临时活动</v>
      </c>
      <c r="I91" s="37">
        <f>LOOKUP(use_fish!B91,base_fish!A:A,base_fish!F:F)+_xlfn.IFNA(INDEX(activity!F:F,MATCH(use_fish!C91,activity!A:A,0)),0)</f>
        <v>40</v>
      </c>
      <c r="J91" s="39">
        <v>1</v>
      </c>
      <c r="K91" s="39">
        <v>0</v>
      </c>
      <c r="L91" s="39">
        <f t="shared" si="17"/>
        <v>40</v>
      </c>
      <c r="M91" s="39">
        <v>1</v>
      </c>
      <c r="N91" s="39">
        <v>0</v>
      </c>
      <c r="O91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6"/>
  <sheetViews>
    <sheetView topLeftCell="A25" workbookViewId="0">
      <selection activeCell="E58" sqref="E5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s="55" customFormat="1" x14ac:dyDescent="0.2">
      <c r="A45" s="55">
        <v>44</v>
      </c>
      <c r="B45" s="55">
        <v>9</v>
      </c>
      <c r="C45" s="55" t="s">
        <v>350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351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352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354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353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356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357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358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351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352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354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353</v>
      </c>
      <c r="D56" s="4">
        <v>1</v>
      </c>
      <c r="E56" s="4">
        <v>1</v>
      </c>
      <c r="F56" s="55">
        <v>20</v>
      </c>
      <c r="G56" s="55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3"/>
  <sheetViews>
    <sheetView topLeftCell="A28" zoomScaleNormal="100" workbookViewId="0">
      <selection activeCell="D56" sqref="D5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3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355</v>
      </c>
      <c r="F53" s="2">
        <v>0</v>
      </c>
      <c r="G5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2020-08-25T06:06:42Z</dcterms:modified>
</cp:coreProperties>
</file>