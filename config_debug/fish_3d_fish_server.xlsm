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54" i="14" l="1"/>
  <c r="H170" i="7" s="1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J163" i="7"/>
  <c r="J167" i="7"/>
  <c r="K146" i="14"/>
  <c r="J162" i="7" s="1"/>
  <c r="K147" i="14"/>
  <c r="K148" i="14"/>
  <c r="J164" i="7" s="1"/>
  <c r="K149" i="14"/>
  <c r="J165" i="7" s="1"/>
  <c r="K150" i="14"/>
  <c r="J166" i="7" s="1"/>
  <c r="K151" i="14"/>
  <c r="K152" i="14"/>
  <c r="J168" i="7" s="1"/>
  <c r="K153" i="14"/>
  <c r="J169" i="7" s="1"/>
  <c r="K154" i="14"/>
  <c r="J170" i="7" s="1"/>
  <c r="I146" i="14"/>
  <c r="L146" i="14" s="1"/>
  <c r="I147" i="14"/>
  <c r="I163" i="7" s="1"/>
  <c r="I148" i="14"/>
  <c r="I164" i="7" s="1"/>
  <c r="I149" i="14"/>
  <c r="I165" i="7" s="1"/>
  <c r="I150" i="14"/>
  <c r="L150" i="14" s="1"/>
  <c r="I151" i="14"/>
  <c r="I167" i="7" s="1"/>
  <c r="I152" i="14"/>
  <c r="I168" i="7" s="1"/>
  <c r="I153" i="14"/>
  <c r="I169" i="7" s="1"/>
  <c r="I154" i="14"/>
  <c r="L154" i="14" s="1"/>
  <c r="H146" i="14"/>
  <c r="H147" i="14"/>
  <c r="H148" i="14"/>
  <c r="H149" i="14"/>
  <c r="H150" i="14"/>
  <c r="H151" i="14"/>
  <c r="H152" i="14"/>
  <c r="H153" i="14"/>
  <c r="H154" i="14"/>
  <c r="F146" i="14"/>
  <c r="F150" i="14"/>
  <c r="F153" i="14"/>
  <c r="F154" i="14"/>
  <c r="L149" i="14" l="1"/>
  <c r="H167" i="7"/>
  <c r="F149" i="14"/>
  <c r="I166" i="7"/>
  <c r="I170" i="7"/>
  <c r="L153" i="14"/>
  <c r="I162" i="7"/>
  <c r="H163" i="7"/>
  <c r="L152" i="14"/>
  <c r="L148" i="14"/>
  <c r="H164" i="7"/>
  <c r="H168" i="7"/>
  <c r="L151" i="14"/>
  <c r="L147" i="14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3" i="14"/>
  <c r="L113" i="14" s="1"/>
  <c r="I114" i="14"/>
  <c r="I130" i="7" s="1"/>
  <c r="I115" i="14"/>
  <c r="L115" i="14" s="1"/>
  <c r="I116" i="14"/>
  <c r="I132" i="7" s="1"/>
  <c r="I117" i="14"/>
  <c r="I133" i="7" s="1"/>
  <c r="I118" i="14"/>
  <c r="I134" i="7" s="1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L116" i="14"/>
  <c r="I129" i="7"/>
  <c r="F120" i="14"/>
  <c r="F115" i="14"/>
  <c r="F121" i="14"/>
  <c r="H137" i="7"/>
  <c r="F118" i="14"/>
  <c r="F114" i="14"/>
  <c r="L120" i="14"/>
  <c r="I136" i="7"/>
  <c r="L118" i="14"/>
  <c r="L114" i="14"/>
  <c r="I131" i="7"/>
  <c r="F119" i="14"/>
  <c r="H135" i="7"/>
  <c r="L117" i="14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I72" i="14"/>
  <c r="I88" i="7" s="1"/>
  <c r="K72" i="14"/>
  <c r="J88" i="7" s="1"/>
  <c r="H72" i="14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5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L72" i="14"/>
  <c r="I83" i="7"/>
  <c r="J19" i="7"/>
  <c r="J16" i="7"/>
  <c r="L30" i="14"/>
  <c r="I99" i="7"/>
  <c r="L83" i="14"/>
  <c r="L17" i="14" l="1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L66" i="14"/>
  <c r="I97" i="7"/>
  <c r="L59" i="14"/>
  <c r="L55" i="14"/>
  <c r="L61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<sst xmlns="http://schemas.openxmlformats.org/spreadsheetml/2006/main" count="734" uniqueCount="476">
  <si>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</si>
  <si>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</si>
  <si>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</si>
  <si>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</si>
  <si>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</si>
  <si>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</si>
  <si>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</si>
  <si>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</si>
  <si>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</si>
  <si>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</si>
  <si>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</si>
  <si>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</si>
  <si>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</si>
  <si>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</si>
  <si>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</si>
  <si>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</si>
  <si>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</si>
  <si>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</si>
  <si>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</si>
  <si>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</si>
  <si>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</si>
  <si>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</si>
  <si>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</si>
  <si>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</si>
  <si>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</si>
  <si>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</si>
  <si>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</si>
  <si>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</si>
  <si>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</si>
  <si>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</si>
  <si>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</si>
  <si>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</si>
  <si>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</si>
  <si>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</si>
  <si>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</si>
  <si>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</si>
  <si>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</si>
  <si>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</si>
  <si>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</si>
  <si>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</si>
  <si>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</si>
  <si>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</si>
  <si>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</si>
  <si>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</si>
  <si>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</si>
  <si>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</si>
  <si>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</si>
  <si>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</si>
  <si>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</si>
  <si>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</si>
  <si>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</si>
  <si>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</si>
  <si>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</si>
  <si>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</si>
  <si>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</si>
  <si>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</si>
  <si>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</si>
  <si>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</si>
  <si>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</si>
  <si>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</si>
  <si>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</si>
  <si>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</si>
  <si>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</si>
  <si>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</si>
  <si>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</si>
  <si>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</si>
  <si>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</si>
  <si>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</si>
  <si>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</si>
  <si>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</si>
  <si>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</si>
  <si>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</si>
  <si>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</si>
  <si>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</si>
  <si>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</si>
  <si>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</si>
  <si>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</si>
  <si>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</si>
  <si>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</si>
  <si>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</si>
  <si>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</si>
  <si>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</si>
  <si>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</si>
  <si>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</si>
  <si>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</si>
  <si>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</si>
  <si>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</si>
  <si>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</si>
  <si>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</si>
  <si>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</si>
  <si>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</si>
  <si>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</si>
  <si>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</si>
  <si>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</si>
  <si>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</si>
  <si>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</si>
  <si>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</si>
  <si>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</si>
  <si>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</si>
  <si>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</si>
  <si>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</si>
  <si>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</si>
  <si>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</si>
  <si>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</si>
  <si>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</si>
  <si>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</si>
  <si>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</si>
  <si>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</si>
  <si>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</si>
  <si>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</si>
  <si>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</si>
  <si>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</si>
  <si>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</si>
  <si>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</si>
  <si>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</si>
  <si>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</si>
  <si>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</si>
  <si>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</si>
  <si>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</si>
  <si>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</si>
  <si>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</si>
  <si>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</si>
  <si>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</si>
  <si>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</si>
  <si>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</si>
  <si>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</si>
  <si>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</si>
  <si>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</si>
  <si>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</si>
  <si>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</si>
  <si>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</si>
  <si>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</si>
  <si>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</si>
  <si>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</si>
  <si>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</si>
  <si>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</si>
  <si>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</si>
  <si>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</si>
  <si>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</si>
  <si>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</si>
  <si>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</si>
  <si>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</si>
  <si>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</si>
  <si>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</si>
  <si>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</si>
  <si>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</si>
  <si>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</si>
  <si>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</si>
  <si>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</si>
  <si>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</si>
  <si>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</si>
  <si>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</si>
  <si>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</si>
  <si>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</si>
  <si>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</si>
  <si>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</si>
  <si>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</si>
  <si>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</si>
  <si>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</si>
  <si>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</si>
  <si>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</si>
  <si>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</si>
  <si>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</si>
  <si>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</si>
  <si>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</si>
  <si>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</si>
  <si>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</si>
  <si>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</si>
  <si>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</si>
  <si>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</si>
  <si>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</si>
  <si>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</si>
  <si>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</si>
  <si>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</si>
  <si>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</si>
  <si>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</si>
  <si>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</si>
  <si>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</si>
  <si>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</si>
  <si>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</si>
  <si>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</si>
  <si>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</si>
  <si>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</si>
  <si>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</si>
  <si>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</si>
  <si>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</si>
  <si>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</si>
  <si>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</si>
  <si>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</si>
  <si>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</si>
  <si>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</si>
  <si>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</si>
  <si>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</si>
  <si>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</si>
  <si>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</si>
  <si>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</si>
  <si>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</si>
  <si>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</si>
  <si>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</si>
  <si>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</si>
  <si>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</si>
  <si>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</si>
  <si>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</si>
  <si>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</si>
  <si>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</si>
  <si>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</si>
  <si>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</si>
  <si>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</si>
  <si>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</si>
  <si>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</si>
  <si>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</si>
  <si>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</si>
  <si>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</si>
  <si>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</si>
  <si>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</si>
  <si>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</si>
  <si>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</si>
  <si>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</si>
  <si>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</si>
  <si>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</si>
  <si>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</si>
  <si>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</si>
  <si>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</si>
  <si>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</si>
  <si>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</si>
  <si>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</si>
  <si>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</si>
  <si>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</si>
  <si>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</si>
  <si>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</si>
  <si>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</si>
  <si>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</si>
  <si>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</si>
  <si>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</si>
  <si>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</si>
  <si>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</si>
  <si>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</si>
  <si>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</si>
  <si>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</si>
  <si>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</si>
  <si>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</si>
  <si>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</si>
  <si>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</si>
  <si>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</si>
  <si>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</si>
  <si>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</si>
  <si>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</si>
  <si>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</si>
  <si>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</si>
  <si>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</si>
  <si>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</si>
  <si>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</si>
  <si>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</si>
  <si>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</si>
  <si>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</si>
  <si>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</si>
  <si>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</si>
  <si>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</si>
  <si>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</si>
  <si>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</si>
  <si>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</si>
  <si>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</si>
  <si>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</si>
  <si>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</si>
  <si>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</si>
  <si>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</si>
  <si>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</si>
  <si>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</si>
  <si>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</si>
  <si>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</si>
  <si>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</si>
  <si>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</si>
  <si>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</si>
  <si>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</si>
  <si>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</si>
  <si>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</si>
  <si>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</si>
  <si>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</si>
  <si>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</si>
  <si>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</si>
  <si>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</si>
  <si>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</si>
  <si>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</si>
  <si>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</si>
  <si>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</si>
  <si>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</si>
  <si>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</si>
  <si>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</si>
  <si>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</si>
  <si>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</si>
  <si>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</si>
  <si>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</si>
  <si>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</si>
  <si>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</si>
  <si>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</si>
  <si>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</si>
  <si>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</si>
  <si>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</si>
  <si>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</si>
  <si>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</si>
  <si>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</si>
  <si>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</si>
  <si>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</si>
  <si>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</si>
  <si>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</si>
  <si>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</si>
  <si>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</si>
  <si>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</si>
  <si>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</si>
  <si>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</si>
  <si>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</si>
  <si>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</si>
  <si>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</si>
  <si>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</si>
  <si>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</si>
  <si>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</si>
  <si>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</si>
  <si>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</si>
  <si>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</si>
  <si>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</si>
  <si>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</si>
  <si>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</si>
  <si>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</si>
  <si>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</si>
  <si>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</si>
  <si>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</si>
  <si>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</si>
  <si>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</si>
  <si>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</si>
  <si>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</si>
  <si>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</si>
  <si>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</si>
  <si>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</si>
  <si>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</si>
  <si>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</si>
  <si>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</si>
  <si>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</si>
  <si>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</si>
  <si>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</si>
  <si>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</si>
  <si>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</si>
  <si>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</si>
  <si>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</si>
  <si>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</si>
  <si>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</si>
  <si>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</si>
  <si>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</si>
  <si>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</si>
  <si>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</si>
  <si>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</si>
  <si>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</si>
  <si>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</si>
  <si>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</si>
  <si>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</si>
  <si>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</si>
  <si>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</si>
  <si>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</si>
  <si>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</si>
  <si>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</si>
  <si>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</si>
  <si>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</si>
  <si>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</si>
  <si>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</si>
  <si>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</si>
  <si>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</si>
  <si>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</si>
  <si>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</si>
  <si>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</si>
  <si>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</si>
  <si>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</si>
  <si>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</si>
  <si>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</si>
  <si>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</si>
  <si>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</si>
  <si>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</si>
  <si>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</si>
  <si>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</si>
  <si>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</si>
  <si>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</si>
  <si>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</si>
  <si>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</si>
  <si>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</si>
  <si>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</si>
  <si>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</si>
  <si>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</si>
  <si>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</si>
  <si>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</si>
  <si>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</si>
  <si>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</si>
  <si>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</si>
  <si>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</si>
  <si>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</si>
  <si>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</si>
  <si>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</si>
  <si>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</si>
  <si>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</si>
  <si>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</si>
  <si>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</si>
  <si>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</si>
  <si>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</si>
  <si>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</si>
  <si>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</si>
  <si>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</si>
  <si>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</si>
  <si>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</si>
  <si>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</si>
  <si>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</si>
  <si>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</si>
  <si>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</si>
  <si>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</si>
  <si>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</si>
  <si>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</si>
  <si>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</si>
  <si>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</si>
  <si>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</si>
  <si>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</si>
  <si>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</si>
  <si>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</si>
  <si>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</si>
  <si>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</si>
  <si>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</si>
  <si>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</si>
  <si>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</si>
  <si>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</si>
  <si>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</si>
  <si>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</si>
  <si>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</si>
  <si>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</si>
  <si>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</si>
  <si>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</si>
  <si>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</si>
  <si>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</si>
  <si>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</si>
  <si>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</si>
  <si>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</si>
  <si>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</si>
  <si>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</si>
  <si>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</si>
  <si>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</si>
  <si>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</si>
  <si>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</si>
  <si>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</si>
  <si>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</si>
  <si>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</si>
  <si>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</si>
  <si>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</si>
  <si>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</si>
  <si>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</si>
  <si>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</si>
  <si>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</si>
  <si>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</si>
  <si>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</si>
  <si>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</si>
  <si>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</si>
  <si>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</si>
  <si>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</si>
  <si>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</si>
  <si>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</si>
  <si>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</si>
  <si>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</si>
  <si>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</si>
  <si>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</si>
  <si>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</si>
  <si>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</si>
  <si>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</si>
  <si>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</si>
  <si>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</si>
  <si>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</si>
  <si>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</si>
  <si>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</si>
  <si>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袜子boss</t>
    <phoneticPr fontId="1" type="noConversion"/>
  </si>
  <si>
    <t>星星boss</t>
    <phoneticPr fontId="1" type="noConversion"/>
  </si>
  <si>
    <t>"prop_hlqd_xx",0,0.1,0.2</t>
  </si>
  <si>
    <t>"prop_hlqd_xx",0,0.2,0.3</t>
  </si>
  <si>
    <t>"prop_hlqd_xx",0,0.3,0.4</t>
  </si>
  <si>
    <t>"prop_hlqd_xx",1,0.01,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</si>
</sst>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70"/>
  <sheetViews>
    <sheetView workbookViewId="0">
      <pane ySplit="1" topLeftCell="A147" activePane="bottomLeft" state="frozen"/>
      <selection pane="bottomLeft" activeCell="G171" sqref="G171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150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150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250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250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350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350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70">
    <cfRule type="iconSet" priority="18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70">
    <cfRule type="iconSet" priority="18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 J2:J11 J13:J25 J27:J64 J171:J1048576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I25 I1:I11 I27:I64 I171:I1048576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70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54"/>
  <sheetViews>
    <sheetView zoomScaleNormal="100" workbookViewId="0">
      <pane ySplit="1" topLeftCell="A131" activePane="bottomLeft" state="frozen"/>
      <selection pane="bottomLeft" activeCell="H151" sqref="H151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62</v>
      </c>
      <c r="C152" s="28">
        <v>74</v>
      </c>
      <c r="D152" s="28"/>
      <c r="E152" s="72">
        <f>LOOKUP(use_fish!B152,base_fish!A:A,base_fish!C:C)+_xlfn.IFNA(INDEX(activity!F:F,MATCH(use_fish!C152,activity!A:A,0)),0)</f>
        <v>150</v>
      </c>
      <c r="F152" s="30">
        <f t="shared" si="23"/>
        <v>6.6666666666666671E-3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星星boss+临时活动</v>
      </c>
      <c r="I152" s="30">
        <f>LOOKUP(use_fish!B152,base_fish!A:A,base_fish!F:F)+_xlfn.IFNA(INDEX(activity!F:F,MATCH(use_fish!C152,activity!A:A,0)),0)</f>
        <v>150</v>
      </c>
      <c r="J152" s="29">
        <v>1</v>
      </c>
      <c r="K152" s="29">
        <f>LOOKUP(use_fish!B152,base_fish!A:A,base_fish!G:G)</f>
        <v>0</v>
      </c>
      <c r="L152" s="29">
        <f t="shared" si="24"/>
        <v>150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62</v>
      </c>
      <c r="C153" s="28">
        <v>75</v>
      </c>
      <c r="D153" s="28"/>
      <c r="E153" s="72">
        <f>LOOKUP(use_fish!B153,base_fish!A:A,base_fish!C:C)+_xlfn.IFNA(INDEX(activity!F:F,MATCH(use_fish!C153,activity!A:A,0)),0)</f>
        <v>250</v>
      </c>
      <c r="F153" s="30">
        <f t="shared" si="23"/>
        <v>4.0000000000000001E-3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星星boss+临时活动</v>
      </c>
      <c r="I153" s="30">
        <f>LOOKUP(use_fish!B153,base_fish!A:A,base_fish!F:F)+_xlfn.IFNA(INDEX(activity!F:F,MATCH(use_fish!C153,activity!A:A,0)),0)</f>
        <v>250</v>
      </c>
      <c r="J153" s="29">
        <v>1</v>
      </c>
      <c r="K153" s="29">
        <f>LOOKUP(use_fish!B153,base_fish!A:A,base_fish!G:G)</f>
        <v>0</v>
      </c>
      <c r="L153" s="29">
        <f t="shared" si="24"/>
        <v>250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62</v>
      </c>
      <c r="C154" s="28">
        <v>76</v>
      </c>
      <c r="D154" s="28"/>
      <c r="E154" s="72">
        <f>LOOKUP(use_fish!B154,base_fish!A:A,base_fish!C:C)+_xlfn.IFNA(INDEX(activity!F:F,MATCH(use_fish!C154,activity!A:A,0)),0)</f>
        <v>350</v>
      </c>
      <c r="F154" s="30">
        <f t="shared" si="23"/>
        <v>2.8571428571428571E-3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星星boss+临时活动</v>
      </c>
      <c r="I154" s="30">
        <f>LOOKUP(use_fish!B154,base_fish!A:A,base_fish!F:F)+_xlfn.IFNA(INDEX(activity!F:F,MATCH(use_fish!C154,activity!A:A,0)),0)</f>
        <v>350</v>
      </c>
      <c r="J154" s="29">
        <v>1</v>
      </c>
      <c r="K154" s="29">
        <f>LOOKUP(use_fish!B154,base_fish!A:A,base_fish!G:G)</f>
        <v>0</v>
      </c>
      <c r="L154" s="29">
        <f t="shared" si="24"/>
        <v>350</v>
      </c>
      <c r="M154" s="29">
        <v>1</v>
      </c>
      <c r="N154" s="29">
        <v>1</v>
      </c>
      <c r="O154" s="2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8"/>
  <sheetViews>
    <sheetView tabSelected="1" zoomScale="130" zoomScaleNormal="130" workbookViewId="0">
      <pane ySplit="1" topLeftCell="A62" activePane="bottomLeft" state="frozen"/>
      <selection pane="bottomLeft" activeCell="C75" sqref="C75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 s="69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 s="69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 s="29">
        <v>74</v>
      </c>
      <c r="B75" s="29">
        <v>9</v>
      </c>
      <c r="C75" s="29" t="s">
        <v>472</v>
      </c>
      <c r="D75" s="80">
        <v>0</v>
      </c>
      <c r="E75" s="80">
        <v>1</v>
      </c>
      <c r="F75" s="29">
        <v>150</v>
      </c>
      <c r="G75" s="29" t="s">
        <v>88</v>
      </c>
    </row>
    <row r="76" spans="1:7" x14ac:dyDescent="0.2">
      <c r="A76" s="29">
        <v>75</v>
      </c>
      <c r="B76" s="29">
        <v>9</v>
      </c>
      <c r="C76" s="29" t="s">
        <v>473</v>
      </c>
      <c r="D76" s="80">
        <v>0</v>
      </c>
      <c r="E76" s="80">
        <v>1</v>
      </c>
      <c r="F76" s="29">
        <v>250</v>
      </c>
      <c r="G76" s="29" t="s">
        <v>88</v>
      </c>
    </row>
    <row r="77" spans="1:7" x14ac:dyDescent="0.2">
      <c r="A77" s="29">
        <v>76</v>
      </c>
      <c r="B77" s="29">
        <v>9</v>
      </c>
      <c r="C77" s="29" t="s">
        <v>474</v>
      </c>
      <c r="D77" s="80">
        <v>0</v>
      </c>
      <c r="E77" s="80">
        <v>1</v>
      </c>
      <c r="F77" s="29">
        <v>350</v>
      </c>
      <c r="G77" s="29" t="s">
        <v>88</v>
      </c>
    </row>
    <row r="78" spans="1:7" x14ac:dyDescent="0.2">
      <c r="A78" s="29">
        <v>77</v>
      </c>
      <c r="B78" s="29">
        <v>9</v>
      </c>
      <c r="C78" s="29" t="s">
        <v>475</v>
      </c>
      <c r="D78" s="80">
        <v>1</v>
      </c>
      <c r="E78" s="80">
        <v>1</v>
      </c>
      <c r="F78" s="29">
        <v>10</v>
      </c>
      <c r="G78" s="2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E63" sqref="E6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470</v>
      </c>
      <c r="F62" s="30">
        <v>0</v>
      </c>
      <c r="G62" s="30">
        <v>0</v>
      </c>
    </row>
    <row r="63" spans="1:7" x14ac:dyDescent="0.2">
      <c r="A63" s="30">
        <v>62</v>
      </c>
      <c r="B63" s="30">
        <v>1</v>
      </c>
      <c r="C63" s="30">
        <v>0</v>
      </c>
      <c r="D63" s="30">
        <v>0</v>
      </c>
      <c r="E63" s="30" t="s">
        <v>471</v>
      </c>
      <c r="F63" s="30">
        <v>0</v>
      </c>
      <c r="G63" s="30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2021-01-06T06:43:56Z</dcterms:modified>
</cp:coreProperties>
</file>