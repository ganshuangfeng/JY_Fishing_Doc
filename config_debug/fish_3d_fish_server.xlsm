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4" i="14" l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/>
  <c r="H170" i="7" l="1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9" i="14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I26" i="7" l="1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<sst xmlns="http://schemas.openxmlformats.org/spreadsheetml/2006/main" count="734" uniqueCount="476">
  <si>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</si>
  <si>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</si>
  <si>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</si>
  <si>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</si>
  <si>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</si>
  <si>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</si>
  <si>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</si>
  <si>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</si>
  <si>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</si>
  <si>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</si>
  <si>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</si>
  <si>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</si>
  <si>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</si>
  <si>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</si>
  <si>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</si>
  <si>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</si>
  <si>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</si>
  <si>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</si>
  <si>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</si>
  <si>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</si>
  <si>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</si>
  <si>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</si>
  <si>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</si>
  <si>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</si>
  <si>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</si>
  <si>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</si>
  <si>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</si>
  <si>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</si>
  <si>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</si>
  <si>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</si>
  <si>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</si>
  <si>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</si>
  <si>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</si>
  <si>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</si>
  <si>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</si>
  <si>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</si>
  <si>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</si>
  <si>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</si>
  <si>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</si>
  <si>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</si>
  <si>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</si>
  <si>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</si>
  <si>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</si>
  <si>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</si>
  <si>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</si>
  <si>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</si>
  <si>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</si>
  <si>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</si>
  <si>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</si>
  <si>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</si>
  <si>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</si>
  <si>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</si>
  <si>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</si>
  <si>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</si>
  <si>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</si>
  <si>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</si>
  <si>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</si>
  <si>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</si>
  <si>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</si>
  <si>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</si>
  <si>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</si>
  <si>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</si>
  <si>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</si>
  <si>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</si>
  <si>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</si>
  <si>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</si>
  <si>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</si>
  <si>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</si>
  <si>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</si>
  <si>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</si>
  <si>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</si>
  <si>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</si>
  <si>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</si>
  <si>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</si>
  <si>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</si>
  <si>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</si>
  <si>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</si>
  <si>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</si>
  <si>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</si>
  <si>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</si>
  <si>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</si>
  <si>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</si>
  <si>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</si>
  <si>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</si>
  <si>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</si>
  <si>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</si>
  <si>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</si>
  <si>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</si>
  <si>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</si>
  <si>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</si>
  <si>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</si>
  <si>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</si>
  <si>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</si>
  <si>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</si>
  <si>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</si>
  <si>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</si>
  <si>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</si>
  <si>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</si>
  <si>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</si>
  <si>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</si>
  <si>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</si>
  <si>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</si>
  <si>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</si>
  <si>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</si>
  <si>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</si>
  <si>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</si>
  <si>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</si>
  <si>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</si>
  <si>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</si>
  <si>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</si>
  <si>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</si>
  <si>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</si>
  <si>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</si>
  <si>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</si>
  <si>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</si>
  <si>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</si>
  <si>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</si>
  <si>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</si>
  <si>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</si>
  <si>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</si>
  <si>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</si>
  <si>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</si>
  <si>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</si>
  <si>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</si>
  <si>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</si>
  <si>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</si>
  <si>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</si>
  <si>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</si>
  <si>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</si>
  <si>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</si>
  <si>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</si>
  <si>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</si>
  <si>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</si>
  <si>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</si>
  <si>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</si>
  <si>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</si>
  <si>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</si>
  <si>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</si>
  <si>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</si>
  <si>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</si>
  <si>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</si>
  <si>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</si>
  <si>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</si>
  <si>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</si>
  <si>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</si>
  <si>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</si>
  <si>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</si>
  <si>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</si>
  <si>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</si>
  <si>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</si>
  <si>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</si>
  <si>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</si>
  <si>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</si>
  <si>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</si>
  <si>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</si>
  <si>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</si>
  <si>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</si>
  <si>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</si>
  <si>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</si>
  <si>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</si>
  <si>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</si>
  <si>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</si>
  <si>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</si>
  <si>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</si>
  <si>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</si>
  <si>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</si>
  <si>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</si>
  <si>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</si>
  <si>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</si>
  <si>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</si>
  <si>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</si>
  <si>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</si>
  <si>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</si>
  <si>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</si>
  <si>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</si>
  <si>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</si>
  <si>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</si>
  <si>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</si>
  <si>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</si>
  <si>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</si>
  <si>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</si>
  <si>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</si>
  <si>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</si>
  <si>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</si>
  <si>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</si>
  <si>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</si>
  <si>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</si>
  <si>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</si>
  <si>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</si>
  <si>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</si>
  <si>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</si>
  <si>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</si>
  <si>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</si>
  <si>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</si>
  <si>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</si>
  <si>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</si>
  <si>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</si>
  <si>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</si>
  <si>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</si>
  <si>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</si>
  <si>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</si>
  <si>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</si>
  <si>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</si>
  <si>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</si>
  <si>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</si>
  <si>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</si>
  <si>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</si>
  <si>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</si>
  <si>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</si>
  <si>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</si>
  <si>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</si>
  <si>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</si>
  <si>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</si>
  <si>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</si>
  <si>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</si>
  <si>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</si>
  <si>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</si>
  <si>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</si>
  <si>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</si>
  <si>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</si>
  <si>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</si>
  <si>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</si>
  <si>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</si>
  <si>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</si>
  <si>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</si>
  <si>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</si>
  <si>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</si>
  <si>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</si>
  <si>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</si>
  <si>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</si>
  <si>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</si>
  <si>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</si>
  <si>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</si>
  <si>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</si>
  <si>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</si>
  <si>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</si>
  <si>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</si>
  <si>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</si>
  <si>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</si>
  <si>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</si>
  <si>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</si>
  <si>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</si>
  <si>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</si>
  <si>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</si>
  <si>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</si>
  <si>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</si>
  <si>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</si>
  <si>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</si>
  <si>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</si>
  <si>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</si>
  <si>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</si>
  <si>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</si>
  <si>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</si>
  <si>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</si>
  <si>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</si>
  <si>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</si>
  <si>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</si>
  <si>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</si>
  <si>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</si>
  <si>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</si>
  <si>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</si>
  <si>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</si>
  <si>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</si>
  <si>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</si>
  <si>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</si>
  <si>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</si>
  <si>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</si>
  <si>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</si>
  <si>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</si>
  <si>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</si>
  <si>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</si>
  <si>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</si>
  <si>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</si>
  <si>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</si>
  <si>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</si>
  <si>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</si>
  <si>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</si>
  <si>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</si>
  <si>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</si>
  <si>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</si>
  <si>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</si>
  <si>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</si>
  <si>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</si>
  <si>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</si>
  <si>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</si>
  <si>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</si>
  <si>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</si>
  <si>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</si>
  <si>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</si>
  <si>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</si>
  <si>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</si>
  <si>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</si>
  <si>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</si>
  <si>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</si>
  <si>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</si>
  <si>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</si>
  <si>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</si>
  <si>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</si>
  <si>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</si>
  <si>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</si>
  <si>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</si>
  <si>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</si>
  <si>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</si>
  <si>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</si>
  <si>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</si>
  <si>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</si>
  <si>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</si>
  <si>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</si>
  <si>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</si>
  <si>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</si>
  <si>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</si>
  <si>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</si>
  <si>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</si>
  <si>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</si>
  <si>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</si>
  <si>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</si>
  <si>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</si>
  <si>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</si>
  <si>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</si>
  <si>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</si>
  <si>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</si>
  <si>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</si>
  <si>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</si>
  <si>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</si>
  <si>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</si>
  <si>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</si>
  <si>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</si>
  <si>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</si>
  <si>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</si>
  <si>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</si>
  <si>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</si>
  <si>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</si>
  <si>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</si>
  <si>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</si>
  <si>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</si>
  <si>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</si>
  <si>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</si>
  <si>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</si>
  <si>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</si>
  <si>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</si>
  <si>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</si>
  <si>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</si>
  <si>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</si>
  <si>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</si>
  <si>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</si>
  <si>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</si>
  <si>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</si>
  <si>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</si>
  <si>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</si>
  <si>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</si>
  <si>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</si>
  <si>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</si>
  <si>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</si>
  <si>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</si>
  <si>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</si>
  <si>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</si>
  <si>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</si>
  <si>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</si>
  <si>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</si>
  <si>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</si>
  <si>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</si>
  <si>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</si>
  <si>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</si>
  <si>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</si>
  <si>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</si>
  <si>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</si>
  <si>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</si>
  <si>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</si>
  <si>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</si>
  <si>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</si>
  <si>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</si>
  <si>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</si>
  <si>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</si>
  <si>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</si>
  <si>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</si>
  <si>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</si>
  <si>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</si>
  <si>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</si>
  <si>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</si>
  <si>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</si>
  <si>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</si>
  <si>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</si>
  <si>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</si>
  <si>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</si>
  <si>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</si>
  <si>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</si>
  <si>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</si>
  <si>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</si>
  <si>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</si>
  <si>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</si>
  <si>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</si>
  <si>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</si>
  <si>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</si>
  <si>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</si>
  <si>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</si>
  <si>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</si>
  <si>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</si>
  <si>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</si>
  <si>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</si>
  <si>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</si>
  <si>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</si>
  <si>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</si>
  <si>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</si>
  <si>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</si>
  <si>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</si>
  <si>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</si>
  <si>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</si>
  <si>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</si>
  <si>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</si>
  <si>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</si>
  <si>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</si>
  <si>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</si>
  <si>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</si>
  <si>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</si>
  <si>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</si>
  <si>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</si>
  <si>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</si>
  <si>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</si>
  <si>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</si>
  <si>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</si>
  <si>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</si>
  <si>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</si>
  <si>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</si>
  <si>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</si>
  <si>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</si>
  <si>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</si>
  <si>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</si>
  <si>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</si>
  <si>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</si>
  <si>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</si>
  <si>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</si>
  <si>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</si>
  <si>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</si>
  <si>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</si>
  <si>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</si>
  <si>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</si>
  <si>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</si>
  <si>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</si>
  <si>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</si>
  <si>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</si>
  <si>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</si>
  <si>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</si>
  <si>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</si>
  <si>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</si>
  <si>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</si>
  <si>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</si>
  <si>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</si>
  <si>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</si>
  <si>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</si>
  <si>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</si>
  <si>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</si>
  <si>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</si>
  <si>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</si>
  <si>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</si>
  <si>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</si>
  <si>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</si>
  <si>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</si>
  <si>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</si>
  <si>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</si>
  <si>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</si>
  <si>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</si>
  <si>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</si>
  <si>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</si>
  <si>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</si>
  <si>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</si>
  <si>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</si>
  <si>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</si>
  <si>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</si>
  <si>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</si>
  <si>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</si>
  <si>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</si>
  <si>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0,0,0.1,0.2</t>
    <phoneticPr fontId="1" type="noConversion"/>
  </si>
  <si>
    <t>0,0,0.2,0.3</t>
    <phoneticPr fontId="1" type="noConversion"/>
  </si>
  <si>
    <t>0,0,0.3,0.4</t>
    <phoneticPr fontId="1" type="noConversion"/>
  </si>
  <si>
    <t>0,0,0.01,</t>
    <phoneticPr fontId="1" type="noConversion"/>
  </si>
  <si>
    <t>小丑boss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</si>
</sst>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1"/>
  <sheetViews>
    <sheetView tabSelected="1" workbookViewId="0">
      <pane ySplit="1" topLeftCell="A152" activePane="bottomLeft" state="frozen"/>
      <selection pane="bottomLeft" activeCell="G175" sqref="G17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150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150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250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250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350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350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/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1:J1048576 K1 J2:J11 J13:J25 J27:J64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71:I1048576 I13:I25 I1:I11 I27:I64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9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9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20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34" activePane="bottomLeft" state="frozen"/>
      <selection pane="bottomLeft" activeCell="G160" sqref="G16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150</v>
      </c>
      <c r="F152" s="30">
        <f t="shared" si="23"/>
        <v>6.6666666666666671E-3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小丑boss+临时活动</v>
      </c>
      <c r="I152" s="30">
        <f>LOOKUP(use_fish!B152,base_fish!A:A,base_fish!F:F)+_xlfn.IFNA(INDEX(activity!F:F,MATCH(use_fish!C152,activity!A:A,0)),0)</f>
        <v>150</v>
      </c>
      <c r="J152" s="29">
        <v>1</v>
      </c>
      <c r="K152" s="29">
        <f>LOOKUP(use_fish!B152,base_fish!A:A,base_fish!G:G)</f>
        <v>0</v>
      </c>
      <c r="L152" s="29">
        <f t="shared" si="24"/>
        <v>150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250</v>
      </c>
      <c r="F153" s="30">
        <f t="shared" si="23"/>
        <v>4.0000000000000001E-3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小丑boss+临时活动</v>
      </c>
      <c r="I153" s="30">
        <f>LOOKUP(use_fish!B153,base_fish!A:A,base_fish!F:F)+_xlfn.IFNA(INDEX(activity!F:F,MATCH(use_fish!C153,activity!A:A,0)),0)</f>
        <v>250</v>
      </c>
      <c r="J153" s="29">
        <v>1</v>
      </c>
      <c r="K153" s="29">
        <f>LOOKUP(use_fish!B153,base_fish!A:A,base_fish!G:G)</f>
        <v>0</v>
      </c>
      <c r="L153" s="29">
        <f t="shared" si="24"/>
        <v>250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350</v>
      </c>
      <c r="F154" s="30">
        <f t="shared" si="23"/>
        <v>2.8571428571428571E-3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小丑boss+临时活动</v>
      </c>
      <c r="I154" s="30">
        <f>LOOKUP(use_fish!B154,base_fish!A:A,base_fish!F:F)+_xlfn.IFNA(INDEX(activity!F:F,MATCH(use_fish!C154,activity!A:A,0)),0)</f>
        <v>350</v>
      </c>
      <c r="J154" s="29">
        <v>1</v>
      </c>
      <c r="K154" s="29">
        <f>LOOKUP(use_fish!B154,base_fish!A:A,base_fish!G:G)</f>
        <v>0</v>
      </c>
      <c r="L154" s="29">
        <f t="shared" si="24"/>
        <v>350</v>
      </c>
      <c r="M154" s="29">
        <v>1</v>
      </c>
      <c r="N154" s="29">
        <v>1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zoomScale="130" zoomScaleNormal="130" workbookViewId="0">
      <pane ySplit="1" topLeftCell="A59" activePane="bottomLeft" state="frozen"/>
      <selection pane="bottomLeft" activeCell="C80" sqref="C80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471</v>
      </c>
      <c r="D75" s="80">
        <v>0</v>
      </c>
      <c r="E75" s="80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472</v>
      </c>
      <c r="D76" s="80">
        <v>0</v>
      </c>
      <c r="E76" s="80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473</v>
      </c>
      <c r="D77" s="80">
        <v>0</v>
      </c>
      <c r="E77" s="80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474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P59" sqref="P5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475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2020-12-31T02:15:37Z</dcterms:modified>
</cp:coreProperties>
</file>