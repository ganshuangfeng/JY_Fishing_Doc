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8" i="1" l="1"/>
  <c r="D65" i="1" l="1"/>
  <c r="D66" i="1"/>
  <c r="D67" i="1"/>
  <c r="D68" i="1"/>
  <c r="D69" i="1"/>
  <c r="D64" i="1"/>
  <c r="F65" i="1"/>
  <c r="F66" i="1"/>
  <c r="F67" i="1"/>
  <c r="F69" i="1"/>
  <c r="F64" i="1"/>
  <c r="H191" i="7" l="1"/>
  <c r="I191" i="7"/>
  <c r="J191" i="7"/>
  <c r="H192" i="7"/>
  <c r="I192" i="7"/>
  <c r="J192" i="7"/>
  <c r="H193" i="7"/>
  <c r="I193" i="7"/>
  <c r="J193" i="7"/>
  <c r="H194" i="7"/>
  <c r="I194" i="7"/>
  <c r="J194" i="7"/>
  <c r="H195" i="7"/>
  <c r="I195" i="7"/>
  <c r="J195" i="7"/>
  <c r="H196" i="7"/>
  <c r="I196" i="7"/>
  <c r="J196" i="7"/>
  <c r="F176" i="14"/>
  <c r="F177" i="14"/>
  <c r="F178" i="14"/>
  <c r="F179" i="14"/>
  <c r="F180" i="14"/>
  <c r="F175" i="14"/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K172" i="14"/>
  <c r="J188" i="7" s="1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J181" i="7" s="1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I187" i="7" l="1"/>
  <c r="H186" i="7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<sst xmlns="http://schemas.openxmlformats.org/spreadsheetml/2006/main" count="823" uniqueCount="519">
  <si>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</si>
  <si>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</si>
  <si>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</si>
  <si>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</si>
  <si>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</si>
  <si>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</si>
  <si>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</si>
  <si>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</si>
  <si>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</si>
  <si>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</si>
  <si>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</si>
  <si>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</si>
  <si>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</si>
  <si>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</si>
  <si>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</si>
  <si>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</si>
  <si>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</si>
  <si>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</si>
  <si>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</si>
  <si>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</si>
  <si>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</si>
  <si>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</si>
  <si>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</si>
  <si>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</si>
  <si>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</si>
  <si>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</si>
  <si>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</si>
  <si>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</si>
  <si>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</si>
  <si>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</si>
  <si>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</si>
  <si>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</si>
  <si>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</si>
  <si>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</si>
  <si>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</si>
  <si>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</si>
  <si>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</si>
  <si>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</si>
  <si>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</si>
  <si>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</si>
  <si>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</si>
  <si>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</si>
  <si>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</si>
  <si>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</si>
  <si>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</si>
  <si>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</si>
  <si>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</si>
  <si>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</si>
  <si>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</si>
  <si>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</si>
  <si>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</si>
  <si>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</si>
  <si>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</si>
  <si>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</si>
  <si>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</si>
  <si>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</si>
  <si>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</si>
  <si>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</si>
  <si>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</si>
  <si>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</si>
  <si>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</si>
  <si>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</si>
  <si>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</si>
  <si>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</si>
  <si>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</si>
  <si>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</si>
  <si>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</si>
  <si>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</si>
  <si>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</si>
  <si>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</si>
  <si>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</si>
  <si>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</si>
  <si>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</si>
  <si>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</si>
  <si>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</si>
  <si>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</si>
  <si>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</si>
  <si>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</si>
  <si>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</si>
  <si>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</si>
  <si>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</si>
  <si>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</si>
  <si>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</si>
  <si>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</si>
  <si>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</si>
  <si>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</si>
  <si>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</si>
  <si>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</si>
  <si>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</si>
  <si>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</si>
  <si>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</si>
  <si>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</si>
  <si>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</si>
  <si>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</si>
  <si>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</si>
  <si>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</si>
  <si>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</si>
  <si>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</si>
  <si>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</si>
  <si>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</si>
  <si>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</si>
  <si>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</si>
  <si>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</si>
  <si>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</si>
  <si>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</si>
  <si>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</si>
  <si>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</si>
  <si>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</si>
  <si>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</si>
  <si>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</si>
  <si>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</si>
  <si>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</si>
  <si>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</si>
  <si>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</si>
  <si>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</si>
  <si>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</si>
  <si>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</si>
  <si>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</si>
  <si>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</si>
  <si>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</si>
  <si>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</si>
  <si>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</si>
  <si>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</si>
  <si>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</si>
  <si>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</si>
  <si>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</si>
  <si>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</si>
  <si>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</si>
  <si>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</si>
  <si>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</si>
  <si>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</si>
  <si>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</si>
  <si>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</si>
  <si>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</si>
  <si>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</si>
  <si>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</si>
  <si>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</si>
  <si>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</si>
  <si>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</si>
  <si>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</si>
  <si>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</si>
  <si>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</si>
  <si>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</si>
  <si>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</si>
  <si>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</si>
  <si>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</si>
  <si>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</si>
  <si>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</si>
  <si>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</si>
  <si>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</si>
  <si>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</si>
  <si>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</si>
  <si>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</si>
  <si>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</si>
  <si>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</si>
  <si>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</si>
  <si>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</si>
  <si>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</si>
  <si>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</si>
  <si>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</si>
  <si>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</si>
  <si>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</si>
  <si>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</si>
  <si>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</si>
  <si>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</si>
  <si>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</si>
  <si>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</si>
  <si>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</si>
  <si>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</si>
  <si>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</si>
  <si>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</si>
  <si>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</si>
  <si>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</si>
  <si>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</si>
  <si>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</si>
  <si>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</si>
  <si>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</si>
  <si>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</si>
  <si>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</si>
  <si>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</si>
  <si>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</si>
  <si>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</si>
  <si>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</si>
  <si>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</si>
  <si>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</si>
  <si>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</si>
  <si>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</si>
  <si>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</si>
  <si>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</si>
  <si>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</si>
  <si>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</si>
  <si>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</si>
  <si>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</si>
  <si>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</si>
  <si>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</si>
  <si>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</si>
  <si>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</si>
  <si>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</si>
  <si>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</si>
  <si>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</si>
  <si>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</si>
  <si>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</si>
  <si>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</si>
  <si>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</si>
  <si>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</si>
  <si>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</si>
  <si>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</si>
  <si>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</si>
  <si>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</si>
  <si>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</si>
  <si>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</si>
  <si>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</si>
  <si>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</si>
  <si>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</si>
  <si>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</si>
  <si>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</si>
  <si>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</si>
  <si>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</si>
  <si>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</si>
  <si>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</si>
  <si>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</si>
  <si>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</si>
  <si>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</si>
  <si>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</si>
  <si>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</si>
  <si>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</si>
  <si>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</si>
  <si>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</si>
  <si>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</si>
  <si>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</si>
  <si>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</si>
  <si>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</si>
  <si>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</si>
  <si>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</si>
  <si>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</si>
  <si>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</si>
  <si>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</si>
  <si>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</si>
  <si>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</si>
  <si>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</si>
  <si>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</si>
  <si>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</si>
  <si>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</si>
  <si>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</si>
  <si>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</si>
  <si>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</si>
  <si>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</si>
  <si>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</si>
  <si>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</si>
  <si>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</si>
  <si>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</si>
  <si>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</si>
  <si>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</si>
  <si>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</si>
  <si>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</si>
  <si>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</si>
  <si>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</si>
  <si>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</si>
  <si>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</si>
  <si>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</si>
  <si>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</si>
  <si>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</si>
  <si>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</si>
  <si>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</si>
  <si>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</si>
  <si>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</si>
  <si>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</si>
  <si>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</si>
  <si>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</si>
  <si>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</si>
  <si>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</si>
  <si>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</si>
  <si>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</si>
  <si>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</si>
  <si>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</si>
  <si>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</si>
  <si>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</si>
  <si>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</si>
  <si>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</si>
  <si>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</si>
  <si>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</si>
  <si>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</si>
  <si>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</si>
  <si>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</si>
  <si>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</si>
  <si>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</si>
  <si>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</si>
  <si>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</si>
  <si>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</si>
  <si>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</si>
  <si>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</si>
  <si>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</si>
  <si>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</si>
  <si>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</si>
  <si>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</si>
  <si>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</si>
  <si>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</si>
  <si>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</si>
  <si>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</si>
  <si>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</si>
  <si>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</si>
  <si>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</si>
  <si>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</si>
  <si>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</si>
  <si>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</si>
  <si>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</si>
  <si>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</si>
  <si>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</si>
  <si>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</si>
  <si>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</si>
  <si>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</si>
  <si>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</si>
  <si>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</si>
  <si>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</si>
  <si>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</si>
  <si>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</si>
  <si>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</si>
  <si>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</si>
  <si>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</si>
  <si>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</si>
  <si>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</si>
  <si>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</si>
  <si>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</si>
  <si>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</si>
  <si>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</si>
  <si>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</si>
  <si>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</si>
  <si>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</si>
  <si>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</si>
  <si>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</si>
  <si>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</si>
  <si>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</si>
  <si>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</si>
  <si>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</si>
  <si>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</si>
  <si>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</si>
  <si>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</si>
  <si>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</si>
  <si>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</si>
  <si>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</si>
  <si>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</si>
  <si>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</si>
  <si>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</si>
  <si>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</si>
  <si>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</si>
  <si>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</si>
  <si>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</si>
  <si>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</si>
  <si>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</si>
  <si>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</si>
  <si>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</si>
  <si>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</si>
  <si>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</si>
  <si>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</si>
  <si>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</si>
  <si>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</si>
  <si>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</si>
  <si>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</si>
  <si>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</si>
  <si>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</si>
  <si>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</si>
  <si>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</si>
  <si>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</si>
  <si>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</si>
  <si>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</si>
  <si>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</si>
  <si>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</si>
  <si>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</si>
  <si>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</si>
  <si>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</si>
  <si>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</si>
  <si>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</si>
  <si>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</si>
  <si>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</si>
  <si>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</si>
  <si>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</si>
  <si>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</si>
  <si>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</si>
  <si>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</si>
  <si>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</si>
  <si>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</si>
  <si>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</si>
  <si>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</si>
  <si>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</si>
  <si>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</si>
  <si>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</si>
  <si>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</si>
  <si>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</si>
  <si>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</si>
  <si>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</si>
  <si>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</si>
  <si>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</si>
  <si>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</si>
  <si>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</si>
  <si>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</si>
  <si>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</si>
  <si>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</si>
  <si>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</si>
  <si>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</si>
  <si>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</si>
  <si>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</si>
  <si>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</si>
  <si>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</si>
  <si>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</si>
  <si>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</si>
  <si>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</si>
  <si>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</si>
  <si>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</si>
  <si>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</si>
  <si>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</si>
  <si>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</si>
  <si>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</si>
  <si>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</si>
  <si>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</si>
  <si>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</si>
  <si>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</si>
  <si>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</si>
  <si>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</si>
  <si>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</si>
  <si>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</si>
  <si>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</si>
  <si>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</si>
  <si>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</si>
  <si>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</si>
  <si>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</si>
  <si>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</si>
  <si>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</si>
  <si>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</si>
  <si>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</si>
  <si>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</si>
  <si>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</si>
  <si>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</si>
  <si>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</si>
  <si>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</si>
  <si>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</si>
  <si>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</si>
  <si>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</si>
  <si>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</si>
  <si>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</si>
  <si>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</si>
  <si>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</si>
  <si>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</si>
  <si>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</si>
  <si>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</si>
  <si>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</si>
  <si>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</si>
  <si>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</si>
  <si>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</si>
  <si>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</si>
  <si>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</si>
  <si>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</si>
  <si>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</si>
  <si>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</si>
  <si>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</si>
  <si>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</si>
  <si>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</si>
  <si>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</si>
  <si>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</si>
  <si>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</si>
  <si>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</si>
  <si>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</si>
  <si>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</si>
  <si>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</si>
  <si>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</si>
  <si>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</si>
  <si>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</si>
  <si>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</si>
  <si>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</si>
  <si>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</si>
  <si>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</si>
  <si>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</si>
  <si>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</si>
  <si>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</si>
  <si>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</si>
  <si>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</si>
  <si>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</si>
  <si>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</si>
  <si>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</si>
  <si>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</si>
  <si>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</si>
  <si>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</si>
  <si>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</si>
  <si>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</si>
  <si>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</si>
  <si>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</si>
  <si>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</si>
  <si>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</si>
  <si>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</si>
  <si>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</si>
  <si>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</si>
  <si>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</si>
  <si>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</si>
  <si>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</si>
  <si>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</si>
  <si>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</si>
  <si>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</si>
  <si>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</si>
  <si>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</si>
  <si>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</si>
  <si>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</si>
  <si>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</si>
  <si>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</si>
  <si>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</si>
  <si>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</si>
  <si>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</si>
  <si>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</si>
  <si>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</si>
  <si>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黄金灯笼鱼</t>
  </si>
  <si>
    <t>0,40</t>
    <phoneticPr fontId="1" type="noConversion"/>
  </si>
  <si>
    <t>0,80</t>
    <phoneticPr fontId="1" type="noConversion"/>
  </si>
  <si>
    <t>0,120</t>
    <phoneticPr fontId="1" type="noConversion"/>
  </si>
  <si>
    <t>0,40</t>
    <phoneticPr fontId="1" type="noConversion"/>
  </si>
  <si>
    <t>0,80</t>
    <phoneticPr fontId="1" type="noConversion"/>
  </si>
  <si>
    <t>174,</t>
  </si>
  <si>
    <t>175,</t>
  </si>
  <si>
    <t>176,</t>
  </si>
  <si>
    <t>177,</t>
  </si>
  <si>
    <t>178,</t>
  </si>
  <si>
    <t>179,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</si>
</sst>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73" activePane="bottomLeft" state="frozen"/>
      <selection pane="bottomLeft" activeCell="H191" sqref="H191:I196"/>
    </sheetView>
  </sheetViews>
  <sheetFormatPr defaultColWidth="8.625" defaultRowHeight="14.25" outlineLevelCol="1" x14ac:dyDescent="0.2"/>
  <cols>
    <col min="2" max="2" width="17.125" customWidth="1"/>
    <col min="3" max="3" width="17.875" style="103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8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9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9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9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9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9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9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9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9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9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9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9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9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9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9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9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9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9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1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1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1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1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2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2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2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2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1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1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1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1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1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1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1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1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2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2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2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2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2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2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2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2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3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3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3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3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3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3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3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3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3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3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4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4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4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4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4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4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4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4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5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5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5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5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9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9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9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4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4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4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4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4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4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4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4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4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4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4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4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4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4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4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4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4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4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4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4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4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4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4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4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4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4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4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4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6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4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4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4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4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4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4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4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4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4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4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4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7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7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7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7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7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7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7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7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7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7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8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8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8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8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8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8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8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8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8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9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9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100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100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100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100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100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100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100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100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100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1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1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1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1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1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1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2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2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2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2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2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2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1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1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1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1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1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1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2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2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2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2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2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2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4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4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4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4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4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4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4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4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4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8" t="s">
        <v>471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8" t="s">
        <v>472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8" t="s">
        <v>473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8" t="s">
        <v>474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8" t="s">
        <v>475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8" t="s">
        <v>476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8" t="s">
        <v>477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8" t="s">
        <v>478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8" t="s">
        <v>479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3">
        <v>179</v>
      </c>
      <c r="B180" s="83">
        <v>1</v>
      </c>
      <c r="C180" s="104" t="s">
        <v>480</v>
      </c>
      <c r="D180" s="83"/>
      <c r="E180" s="83"/>
      <c r="F180" s="83"/>
      <c r="G180" s="83"/>
      <c r="H180" s="83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3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6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3"/>
      <c r="L180" s="83"/>
      <c r="M180" s="83"/>
      <c r="N180" s="83"/>
      <c r="O180" s="83"/>
      <c r="P180" s="83"/>
      <c r="Q180" s="83">
        <v>163</v>
      </c>
    </row>
    <row r="181" spans="1:17" s="55" customFormat="1" x14ac:dyDescent="0.2">
      <c r="A181" s="83">
        <v>180</v>
      </c>
      <c r="B181" s="83">
        <v>1</v>
      </c>
      <c r="C181" s="104" t="s">
        <v>481</v>
      </c>
      <c r="D181" s="83"/>
      <c r="E181" s="83"/>
      <c r="F181" s="83"/>
      <c r="G181" s="83"/>
      <c r="H181" s="83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3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6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3"/>
      <c r="L181" s="83"/>
      <c r="M181" s="83"/>
      <c r="N181" s="83"/>
      <c r="O181" s="83"/>
      <c r="P181" s="83"/>
      <c r="Q181" s="83">
        <v>164</v>
      </c>
    </row>
    <row r="182" spans="1:17" s="55" customFormat="1" x14ac:dyDescent="0.2">
      <c r="A182" s="83">
        <v>181</v>
      </c>
      <c r="B182" s="83">
        <v>1</v>
      </c>
      <c r="C182" s="104" t="s">
        <v>482</v>
      </c>
      <c r="D182" s="83"/>
      <c r="E182" s="83"/>
      <c r="F182" s="83"/>
      <c r="G182" s="83"/>
      <c r="H182" s="83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3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6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3"/>
      <c r="L182" s="83"/>
      <c r="M182" s="83"/>
      <c r="N182" s="83"/>
      <c r="O182" s="83"/>
      <c r="P182" s="83"/>
      <c r="Q182" s="83">
        <v>165</v>
      </c>
    </row>
    <row r="183" spans="1:17" s="55" customFormat="1" x14ac:dyDescent="0.2">
      <c r="A183" s="83">
        <v>182</v>
      </c>
      <c r="B183" s="83">
        <v>1</v>
      </c>
      <c r="C183" s="104" t="s">
        <v>483</v>
      </c>
      <c r="D183" s="83"/>
      <c r="E183" s="83"/>
      <c r="F183" s="83"/>
      <c r="G183" s="83"/>
      <c r="H183" s="83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3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6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3"/>
      <c r="L183" s="83"/>
      <c r="M183" s="83"/>
      <c r="N183" s="83"/>
      <c r="O183" s="83"/>
      <c r="P183" s="83"/>
      <c r="Q183" s="83">
        <v>166</v>
      </c>
    </row>
    <row r="184" spans="1:17" s="55" customFormat="1" x14ac:dyDescent="0.2">
      <c r="A184" s="83">
        <v>183</v>
      </c>
      <c r="B184" s="83">
        <v>1</v>
      </c>
      <c r="C184" s="104" t="s">
        <v>484</v>
      </c>
      <c r="D184" s="83"/>
      <c r="E184" s="83"/>
      <c r="F184" s="83"/>
      <c r="G184" s="83"/>
      <c r="H184" s="83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3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6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3"/>
      <c r="L184" s="83"/>
      <c r="M184" s="83"/>
      <c r="N184" s="83"/>
      <c r="O184" s="83"/>
      <c r="P184" s="83"/>
      <c r="Q184" s="83">
        <v>167</v>
      </c>
    </row>
    <row r="185" spans="1:17" s="55" customFormat="1" x14ac:dyDescent="0.2">
      <c r="A185" s="83">
        <v>184</v>
      </c>
      <c r="B185" s="83">
        <v>1</v>
      </c>
      <c r="C185" s="104" t="s">
        <v>485</v>
      </c>
      <c r="D185" s="83"/>
      <c r="E185" s="83"/>
      <c r="F185" s="83"/>
      <c r="G185" s="83"/>
      <c r="H185" s="83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3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6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3"/>
      <c r="L185" s="83"/>
      <c r="M185" s="83"/>
      <c r="N185" s="83"/>
      <c r="O185" s="83"/>
      <c r="P185" s="83"/>
      <c r="Q185" s="83">
        <v>168</v>
      </c>
    </row>
    <row r="186" spans="1:17" s="55" customFormat="1" x14ac:dyDescent="0.2">
      <c r="A186" s="83">
        <v>185</v>
      </c>
      <c r="B186" s="83">
        <v>1</v>
      </c>
      <c r="C186" s="104" t="s">
        <v>486</v>
      </c>
      <c r="D186" s="83"/>
      <c r="E186" s="83"/>
      <c r="F186" s="83"/>
      <c r="G186" s="83"/>
      <c r="H186" s="83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3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6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3"/>
      <c r="L186" s="83"/>
      <c r="M186" s="83"/>
      <c r="N186" s="83"/>
      <c r="O186" s="83"/>
      <c r="P186" s="83"/>
      <c r="Q186" s="83">
        <v>169</v>
      </c>
    </row>
    <row r="187" spans="1:17" s="55" customFormat="1" x14ac:dyDescent="0.2">
      <c r="A187" s="83">
        <v>186</v>
      </c>
      <c r="B187" s="83">
        <v>1</v>
      </c>
      <c r="C187" s="104" t="s">
        <v>487</v>
      </c>
      <c r="D187" s="83"/>
      <c r="E187" s="83"/>
      <c r="F187" s="83"/>
      <c r="G187" s="83"/>
      <c r="H187" s="83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3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6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3"/>
      <c r="L187" s="83"/>
      <c r="M187" s="83"/>
      <c r="N187" s="83"/>
      <c r="O187" s="83"/>
      <c r="P187" s="83"/>
      <c r="Q187" s="83">
        <v>170</v>
      </c>
    </row>
    <row r="188" spans="1:17" s="55" customFormat="1" x14ac:dyDescent="0.2">
      <c r="A188" s="83">
        <v>187</v>
      </c>
      <c r="B188" s="83">
        <v>1</v>
      </c>
      <c r="C188" s="104" t="s">
        <v>488</v>
      </c>
      <c r="D188" s="83"/>
      <c r="E188" s="83"/>
      <c r="F188" s="83"/>
      <c r="G188" s="83"/>
      <c r="H188" s="83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3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6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3"/>
      <c r="L188" s="83"/>
      <c r="M188" s="83"/>
      <c r="N188" s="83"/>
      <c r="O188" s="83"/>
      <c r="P188" s="83"/>
      <c r="Q188" s="83">
        <v>171</v>
      </c>
    </row>
    <row r="189" spans="1:17" s="55" customFormat="1" x14ac:dyDescent="0.2">
      <c r="A189" s="83">
        <v>188</v>
      </c>
      <c r="B189" s="83">
        <v>1</v>
      </c>
      <c r="C189" s="104" t="s">
        <v>491</v>
      </c>
      <c r="D189" s="83"/>
      <c r="E189" s="83"/>
      <c r="F189" s="83"/>
      <c r="G189" s="83"/>
      <c r="H189" s="83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3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6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3"/>
      <c r="L189" s="83"/>
      <c r="M189" s="83"/>
      <c r="N189" s="83"/>
      <c r="O189" s="83"/>
      <c r="P189" s="83"/>
      <c r="Q189" s="83">
        <v>172</v>
      </c>
    </row>
    <row r="190" spans="1:17" s="55" customFormat="1" x14ac:dyDescent="0.2">
      <c r="A190" s="83">
        <v>189</v>
      </c>
      <c r="B190" s="83">
        <v>1</v>
      </c>
      <c r="C190" s="104" t="s">
        <v>492</v>
      </c>
      <c r="D190" s="83"/>
      <c r="E190" s="83"/>
      <c r="F190" s="83"/>
      <c r="G190" s="83"/>
      <c r="H190" s="83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3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6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3"/>
      <c r="L190" s="83"/>
      <c r="M190" s="83"/>
      <c r="N190" s="83"/>
      <c r="O190" s="83"/>
      <c r="P190" s="83"/>
      <c r="Q190" s="83">
        <v>173</v>
      </c>
    </row>
    <row r="191" spans="1:17" s="62" customFormat="1" x14ac:dyDescent="0.2">
      <c r="A191" s="62">
        <v>190</v>
      </c>
      <c r="B191" s="62">
        <v>1</v>
      </c>
      <c r="C191" s="98" t="s">
        <v>513</v>
      </c>
      <c r="H191" s="62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62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1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62">
        <v>174</v>
      </c>
    </row>
    <row r="192" spans="1:17" s="62" customFormat="1" x14ac:dyDescent="0.2">
      <c r="A192" s="62">
        <v>191</v>
      </c>
      <c r="B192" s="62">
        <v>1</v>
      </c>
      <c r="C192" s="98" t="s">
        <v>514</v>
      </c>
      <c r="H192" s="62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62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1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62">
        <v>175</v>
      </c>
    </row>
    <row r="193" spans="1:17" s="62" customFormat="1" x14ac:dyDescent="0.2">
      <c r="A193" s="62">
        <v>192</v>
      </c>
      <c r="B193" s="62">
        <v>1</v>
      </c>
      <c r="C193" s="98" t="s">
        <v>515</v>
      </c>
      <c r="H193" s="62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62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1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62">
        <v>176</v>
      </c>
    </row>
    <row r="194" spans="1:17" s="62" customFormat="1" x14ac:dyDescent="0.2">
      <c r="A194" s="62">
        <v>193</v>
      </c>
      <c r="B194" s="62">
        <v>1</v>
      </c>
      <c r="C194" s="98" t="s">
        <v>516</v>
      </c>
      <c r="H194" s="62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62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1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62">
        <v>177</v>
      </c>
    </row>
    <row r="195" spans="1:17" s="62" customFormat="1" x14ac:dyDescent="0.2">
      <c r="A195" s="62">
        <v>194</v>
      </c>
      <c r="B195" s="62">
        <v>1</v>
      </c>
      <c r="C195" s="98" t="s">
        <v>517</v>
      </c>
      <c r="H195" s="62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62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1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62">
        <v>178</v>
      </c>
    </row>
    <row r="196" spans="1:17" s="62" customFormat="1" x14ac:dyDescent="0.2">
      <c r="A196" s="62">
        <v>195</v>
      </c>
      <c r="B196" s="62">
        <v>1</v>
      </c>
      <c r="C196" s="98" t="s">
        <v>518</v>
      </c>
      <c r="H196" s="62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62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1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62">
        <v>179</v>
      </c>
    </row>
    <row r="197" spans="1:17" s="55" customFormat="1" x14ac:dyDescent="0.2">
      <c r="C197" s="102"/>
      <c r="J197" s="13"/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 I197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 J197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 H197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196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196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19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zoomScaleNormal="100" workbookViewId="0">
      <pane ySplit="1" topLeftCell="A158" activePane="bottomLeft" state="frozen"/>
      <selection pane="bottomLeft" activeCell="H179" sqref="H179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3" customFormat="1" x14ac:dyDescent="0.2">
      <c r="A164" s="85">
        <v>163</v>
      </c>
      <c r="B164" s="86">
        <v>13</v>
      </c>
      <c r="C164" s="85">
        <v>85</v>
      </c>
      <c r="D164" s="85"/>
      <c r="E164" s="86">
        <f>LOOKUP(use_fish!B164,base_fish!A:A,base_fish!C:C)+_xlfn.IFNA(INDEX(activity!F:F,MATCH(use_fish!C164,activity!A:A,0)),0)</f>
        <v>30</v>
      </c>
      <c r="F164" s="86">
        <f t="shared" ref="F164:F173" si="27">1/E164</f>
        <v>3.3333333333333333E-2</v>
      </c>
      <c r="G164" s="86" t="s">
        <v>22</v>
      </c>
      <c r="H164" s="87" t="str">
        <f>INDEX(base_fish!E:E,MATCH(use_fish!B164,base_fish!A:A,0))&amp;_xlfn.IFNA("+"&amp;INDEX(activity!G:G,MATCH(use_fish!C164,activity!A:A,0)),"")</f>
        <v>蝴蝶鱼+临时活动</v>
      </c>
      <c r="I164" s="86">
        <f>LOOKUP(use_fish!B164,base_fish!A:A,base_fish!F:F)+_xlfn.IFNA(INDEX(activity!F:F,MATCH(use_fish!C164,activity!A:A,0)),0)</f>
        <v>30</v>
      </c>
      <c r="J164" s="83">
        <v>1</v>
      </c>
      <c r="K164" s="83">
        <f>LOOKUP(use_fish!B164,base_fish!A:A,base_fish!G:G)</f>
        <v>0</v>
      </c>
      <c r="L164" s="83">
        <f t="shared" ref="L164:L174" si="28">I164</f>
        <v>30</v>
      </c>
      <c r="M164" s="83">
        <v>1</v>
      </c>
      <c r="N164" s="83">
        <v>0</v>
      </c>
      <c r="O164" s="83">
        <v>1</v>
      </c>
    </row>
    <row r="165" spans="1:15" s="83" customFormat="1" x14ac:dyDescent="0.2">
      <c r="A165" s="85">
        <v>164</v>
      </c>
      <c r="B165" s="86">
        <v>14</v>
      </c>
      <c r="C165" s="85">
        <v>85</v>
      </c>
      <c r="D165" s="85"/>
      <c r="E165" s="86">
        <f>LOOKUP(use_fish!B165,base_fish!A:A,base_fish!C:C)+_xlfn.IFNA(INDEX(activity!F:F,MATCH(use_fish!C165,activity!A:A,0)),0)</f>
        <v>35</v>
      </c>
      <c r="F165" s="86">
        <f t="shared" si="27"/>
        <v>2.8571428571428571E-2</v>
      </c>
      <c r="G165" s="86" t="s">
        <v>22</v>
      </c>
      <c r="H165" s="87" t="str">
        <f>INDEX(base_fish!E:E,MATCH(use_fish!B165,base_fish!A:A,0))&amp;_xlfn.IFNA("+"&amp;INDEX(activity!G:G,MATCH(use_fish!C165,activity!A:A,0)),"")</f>
        <v>巨大小丑鱼+临时活动</v>
      </c>
      <c r="I165" s="86">
        <f>LOOKUP(use_fish!B165,base_fish!A:A,base_fish!F:F)+_xlfn.IFNA(INDEX(activity!F:F,MATCH(use_fish!C165,activity!A:A,0)),0)</f>
        <v>35</v>
      </c>
      <c r="J165" s="83">
        <v>1</v>
      </c>
      <c r="K165" s="83">
        <f>LOOKUP(use_fish!B165,base_fish!A:A,base_fish!G:G)</f>
        <v>0</v>
      </c>
      <c r="L165" s="83">
        <f t="shared" si="28"/>
        <v>35</v>
      </c>
      <c r="M165" s="83">
        <v>1</v>
      </c>
      <c r="N165" s="83">
        <v>0</v>
      </c>
      <c r="O165" s="83">
        <v>1</v>
      </c>
    </row>
    <row r="166" spans="1:15" s="83" customFormat="1" x14ac:dyDescent="0.2">
      <c r="A166" s="85">
        <v>165</v>
      </c>
      <c r="B166" s="86">
        <v>15</v>
      </c>
      <c r="C166" s="85">
        <v>85</v>
      </c>
      <c r="D166" s="85"/>
      <c r="E166" s="86">
        <f>LOOKUP(use_fish!B166,base_fish!A:A,base_fish!C:C)+_xlfn.IFNA(INDEX(activity!F:F,MATCH(use_fish!C166,activity!A:A,0)),0)</f>
        <v>40</v>
      </c>
      <c r="F166" s="86">
        <f t="shared" si="27"/>
        <v>2.5000000000000001E-2</v>
      </c>
      <c r="G166" s="86" t="s">
        <v>22</v>
      </c>
      <c r="H166" s="87" t="str">
        <f>INDEX(base_fish!E:E,MATCH(use_fish!B166,base_fish!A:A,0))&amp;_xlfn.IFNA("+"&amp;INDEX(activity!G:G,MATCH(use_fish!C166,activity!A:A,0)),"")</f>
        <v>巨大灯笼鱼+临时活动</v>
      </c>
      <c r="I166" s="86">
        <f>LOOKUP(use_fish!B166,base_fish!A:A,base_fish!F:F)+_xlfn.IFNA(INDEX(activity!F:F,MATCH(use_fish!C166,activity!A:A,0)),0)</f>
        <v>40</v>
      </c>
      <c r="J166" s="83">
        <v>1</v>
      </c>
      <c r="K166" s="83">
        <f>LOOKUP(use_fish!B166,base_fish!A:A,base_fish!G:G)</f>
        <v>0</v>
      </c>
      <c r="L166" s="83">
        <f t="shared" si="28"/>
        <v>40</v>
      </c>
      <c r="M166" s="83">
        <v>1</v>
      </c>
      <c r="N166" s="83">
        <v>0</v>
      </c>
      <c r="O166" s="83">
        <v>1</v>
      </c>
    </row>
    <row r="167" spans="1:15" s="83" customFormat="1" x14ac:dyDescent="0.2">
      <c r="A167" s="85">
        <v>166</v>
      </c>
      <c r="B167" s="86">
        <v>16</v>
      </c>
      <c r="C167" s="85">
        <v>85</v>
      </c>
      <c r="D167" s="85"/>
      <c r="E167" s="86">
        <f>LOOKUP(use_fish!B167,base_fish!A:A,base_fish!C:C)+_xlfn.IFNA(INDEX(activity!F:F,MATCH(use_fish!C167,activity!A:A,0)),0)</f>
        <v>45</v>
      </c>
      <c r="F167" s="86">
        <f t="shared" si="27"/>
        <v>2.2222222222222223E-2</v>
      </c>
      <c r="G167" s="86" t="s">
        <v>22</v>
      </c>
      <c r="H167" s="87" t="str">
        <f>INDEX(base_fish!E:E,MATCH(use_fish!B167,base_fish!A:A,0))&amp;_xlfn.IFNA("+"&amp;INDEX(activity!G:G,MATCH(use_fish!C167,activity!A:A,0)),"")</f>
        <v>巨大燕鱼+临时活动</v>
      </c>
      <c r="I167" s="86">
        <f>LOOKUP(use_fish!B167,base_fish!A:A,base_fish!F:F)+_xlfn.IFNA(INDEX(activity!F:F,MATCH(use_fish!C167,activity!A:A,0)),0)</f>
        <v>45</v>
      </c>
      <c r="J167" s="83">
        <v>1</v>
      </c>
      <c r="K167" s="83">
        <f>LOOKUP(use_fish!B167,base_fish!A:A,base_fish!G:G)</f>
        <v>0</v>
      </c>
      <c r="L167" s="83">
        <f t="shared" si="28"/>
        <v>45</v>
      </c>
      <c r="M167" s="83">
        <v>1</v>
      </c>
      <c r="N167" s="83">
        <v>0</v>
      </c>
      <c r="O167" s="83">
        <v>1</v>
      </c>
    </row>
    <row r="168" spans="1:15" s="83" customFormat="1" x14ac:dyDescent="0.2">
      <c r="A168" s="85">
        <v>167</v>
      </c>
      <c r="B168" s="86">
        <v>17</v>
      </c>
      <c r="C168" s="85">
        <v>85</v>
      </c>
      <c r="D168" s="85"/>
      <c r="E168" s="86">
        <f>LOOKUP(use_fish!B168,base_fish!A:A,base_fish!C:C)+_xlfn.IFNA(INDEX(activity!F:F,MATCH(use_fish!C168,activity!A:A,0)),0)</f>
        <v>50</v>
      </c>
      <c r="F168" s="86">
        <f t="shared" si="27"/>
        <v>0.02</v>
      </c>
      <c r="G168" s="86" t="s">
        <v>22</v>
      </c>
      <c r="H168" s="87" t="str">
        <f>INDEX(base_fish!E:E,MATCH(use_fish!B168,base_fish!A:A,0))&amp;_xlfn.IFNA("+"&amp;INDEX(activity!G:G,MATCH(use_fish!C168,activity!A:A,0)),"")</f>
        <v>魔鬼鱼+临时活动</v>
      </c>
      <c r="I168" s="86">
        <f>LOOKUP(use_fish!B168,base_fish!A:A,base_fish!F:F)+_xlfn.IFNA(INDEX(activity!F:F,MATCH(use_fish!C168,activity!A:A,0)),0)</f>
        <v>50</v>
      </c>
      <c r="J168" s="83">
        <v>1</v>
      </c>
      <c r="K168" s="83">
        <f>LOOKUP(use_fish!B168,base_fish!A:A,base_fish!G:G)</f>
        <v>0</v>
      </c>
      <c r="L168" s="83">
        <f t="shared" si="28"/>
        <v>50</v>
      </c>
      <c r="M168" s="83">
        <v>1</v>
      </c>
      <c r="N168" s="83">
        <v>0</v>
      </c>
      <c r="O168" s="83">
        <v>1</v>
      </c>
    </row>
    <row r="169" spans="1:15" s="83" customFormat="1" x14ac:dyDescent="0.2">
      <c r="A169" s="85">
        <v>168</v>
      </c>
      <c r="B169" s="86">
        <v>18</v>
      </c>
      <c r="C169" s="85">
        <v>85</v>
      </c>
      <c r="D169" s="85"/>
      <c r="E169" s="86">
        <f>LOOKUP(use_fish!B169,base_fish!A:A,base_fish!C:C)+_xlfn.IFNA(INDEX(activity!F:F,MATCH(use_fish!C169,activity!A:A,0)),0)</f>
        <v>70</v>
      </c>
      <c r="F169" s="86">
        <f t="shared" si="27"/>
        <v>1.4285714285714285E-2</v>
      </c>
      <c r="G169" s="86" t="s">
        <v>22</v>
      </c>
      <c r="H169" s="87" t="str">
        <f>INDEX(base_fish!E:E,MATCH(use_fish!B169,base_fish!A:A,0))&amp;_xlfn.IFNA("+"&amp;INDEX(activity!G:G,MATCH(use_fish!C169,activity!A:A,0)),"")</f>
        <v>虎鲸+临时活动</v>
      </c>
      <c r="I169" s="86">
        <f>LOOKUP(use_fish!B169,base_fish!A:A,base_fish!F:F)+_xlfn.IFNA(INDEX(activity!F:F,MATCH(use_fish!C169,activity!A:A,0)),0)</f>
        <v>70</v>
      </c>
      <c r="J169" s="83">
        <v>1</v>
      </c>
      <c r="K169" s="83">
        <f>LOOKUP(use_fish!B169,base_fish!A:A,base_fish!G:G)</f>
        <v>0</v>
      </c>
      <c r="L169" s="83">
        <f t="shared" si="28"/>
        <v>70</v>
      </c>
      <c r="M169" s="83">
        <v>1</v>
      </c>
      <c r="N169" s="83">
        <v>0</v>
      </c>
      <c r="O169" s="83">
        <v>1</v>
      </c>
    </row>
    <row r="170" spans="1:15" s="83" customFormat="1" x14ac:dyDescent="0.2">
      <c r="A170" s="85">
        <v>169</v>
      </c>
      <c r="B170" s="85">
        <v>61</v>
      </c>
      <c r="C170" s="85">
        <v>82</v>
      </c>
      <c r="D170" s="85"/>
      <c r="E170" s="86">
        <f>LOOKUP(use_fish!B170,base_fish!A:A,base_fish!C:C)+_xlfn.IFNA(INDEX(activity!F:F,MATCH(use_fish!C170,activity!A:A,0)),0)</f>
        <v>250</v>
      </c>
      <c r="F170" s="86">
        <f t="shared" si="27"/>
        <v>4.0000000000000001E-3</v>
      </c>
      <c r="G170" s="86" t="s">
        <v>22</v>
      </c>
      <c r="H170" s="87" t="str">
        <f>INDEX(base_fish!E:E,MATCH(use_fish!B170,base_fish!A:A,0))&amp;_xlfn.IFNA("+"&amp;INDEX(activity!G:G,MATCH(use_fish!C170,activity!A:A,0)),"")</f>
        <v>活动boss+临时活动</v>
      </c>
      <c r="I170" s="86">
        <f>LOOKUP(use_fish!B170,base_fish!A:A,base_fish!F:F)+_xlfn.IFNA(INDEX(activity!F:F,MATCH(use_fish!C170,activity!A:A,0)),0)</f>
        <v>250</v>
      </c>
      <c r="J170" s="83">
        <v>1</v>
      </c>
      <c r="K170" s="83">
        <f>LOOKUP(use_fish!B170,base_fish!A:A,base_fish!G:G)</f>
        <v>0</v>
      </c>
      <c r="L170" s="83">
        <f t="shared" si="28"/>
        <v>250</v>
      </c>
      <c r="M170" s="83">
        <v>1</v>
      </c>
      <c r="N170" s="83">
        <v>1</v>
      </c>
      <c r="O170" s="83">
        <v>1</v>
      </c>
    </row>
    <row r="171" spans="1:15" s="83" customFormat="1" x14ac:dyDescent="0.2">
      <c r="A171" s="85">
        <v>170</v>
      </c>
      <c r="B171" s="85">
        <v>61</v>
      </c>
      <c r="C171" s="85">
        <v>83</v>
      </c>
      <c r="D171" s="85"/>
      <c r="E171" s="86">
        <f>LOOKUP(use_fish!B171,base_fish!A:A,base_fish!C:C)+_xlfn.IFNA(INDEX(activity!F:F,MATCH(use_fish!C171,activity!A:A,0)),0)</f>
        <v>350</v>
      </c>
      <c r="F171" s="86">
        <f t="shared" si="27"/>
        <v>2.8571428571428571E-3</v>
      </c>
      <c r="G171" s="86" t="s">
        <v>22</v>
      </c>
      <c r="H171" s="87" t="str">
        <f>INDEX(base_fish!E:E,MATCH(use_fish!B171,base_fish!A:A,0))&amp;_xlfn.IFNA("+"&amp;INDEX(activity!G:G,MATCH(use_fish!C171,activity!A:A,0)),"")</f>
        <v>活动boss+临时活动</v>
      </c>
      <c r="I171" s="86">
        <f>LOOKUP(use_fish!B171,base_fish!A:A,base_fish!F:F)+_xlfn.IFNA(INDEX(activity!F:F,MATCH(use_fish!C171,activity!A:A,0)),0)</f>
        <v>350</v>
      </c>
      <c r="J171" s="83">
        <v>1</v>
      </c>
      <c r="K171" s="83">
        <f>LOOKUP(use_fish!B171,base_fish!A:A,base_fish!G:G)</f>
        <v>0</v>
      </c>
      <c r="L171" s="83">
        <f t="shared" si="28"/>
        <v>350</v>
      </c>
      <c r="M171" s="83">
        <v>1</v>
      </c>
      <c r="N171" s="83">
        <v>1</v>
      </c>
      <c r="O171" s="83">
        <v>1</v>
      </c>
    </row>
    <row r="172" spans="1:15" s="83" customFormat="1" x14ac:dyDescent="0.2">
      <c r="A172" s="85">
        <v>171</v>
      </c>
      <c r="B172" s="85">
        <v>61</v>
      </c>
      <c r="C172" s="85">
        <v>84</v>
      </c>
      <c r="D172" s="85"/>
      <c r="E172" s="86">
        <f>LOOKUP(use_fish!B172,base_fish!A:A,base_fish!C:C)+_xlfn.IFNA(INDEX(activity!F:F,MATCH(use_fish!C172,activity!A:A,0)),0)</f>
        <v>450</v>
      </c>
      <c r="F172" s="86">
        <f t="shared" si="27"/>
        <v>2.2222222222222222E-3</v>
      </c>
      <c r="G172" s="86" t="s">
        <v>22</v>
      </c>
      <c r="H172" s="87" t="str">
        <f>INDEX(base_fish!E:E,MATCH(use_fish!B172,base_fish!A:A,0))&amp;_xlfn.IFNA("+"&amp;INDEX(activity!G:G,MATCH(use_fish!C172,activity!A:A,0)),"")</f>
        <v>活动boss+临时活动</v>
      </c>
      <c r="I172" s="86">
        <f>LOOKUP(use_fish!B172,base_fish!A:A,base_fish!F:F)+_xlfn.IFNA(INDEX(activity!F:F,MATCH(use_fish!C172,activity!A:A,0)),0)</f>
        <v>450</v>
      </c>
      <c r="J172" s="83">
        <v>1</v>
      </c>
      <c r="K172" s="83">
        <f>LOOKUP(use_fish!B172,base_fish!A:A,base_fish!G:G)</f>
        <v>0</v>
      </c>
      <c r="L172" s="83">
        <f t="shared" si="28"/>
        <v>450</v>
      </c>
      <c r="M172" s="83">
        <v>1</v>
      </c>
      <c r="N172" s="83">
        <v>1</v>
      </c>
      <c r="O172" s="83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493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19" customFormat="1" x14ac:dyDescent="0.2">
      <c r="A175" s="16">
        <v>174</v>
      </c>
      <c r="B175" s="16">
        <v>63</v>
      </c>
      <c r="C175" s="16"/>
      <c r="D175" s="16" t="s">
        <v>508</v>
      </c>
      <c r="E175" s="17">
        <v>126</v>
      </c>
      <c r="F175" s="17">
        <f>1/E175</f>
        <v>7.9365079365079361E-3</v>
      </c>
      <c r="G175" s="17" t="s">
        <v>22</v>
      </c>
      <c r="H175" s="18" t="s">
        <v>507</v>
      </c>
      <c r="I175" s="17">
        <v>120</v>
      </c>
      <c r="J175" s="19">
        <v>1</v>
      </c>
      <c r="K175" s="19">
        <v>0</v>
      </c>
      <c r="L175" s="19">
        <v>120</v>
      </c>
      <c r="M175" s="19">
        <v>1</v>
      </c>
      <c r="N175" s="19">
        <v>0</v>
      </c>
      <c r="O175" s="19">
        <v>2</v>
      </c>
    </row>
    <row r="176" spans="1:15" s="19" customFormat="1" x14ac:dyDescent="0.2">
      <c r="A176" s="16">
        <v>175</v>
      </c>
      <c r="B176" s="16">
        <v>64</v>
      </c>
      <c r="C176" s="16"/>
      <c r="D176" s="16" t="s">
        <v>509</v>
      </c>
      <c r="E176" s="17">
        <v>126</v>
      </c>
      <c r="F176" s="17">
        <f t="shared" ref="F176:F180" si="29">1/E176</f>
        <v>7.9365079365079361E-3</v>
      </c>
      <c r="G176" s="17" t="s">
        <v>22</v>
      </c>
      <c r="H176" s="18" t="s">
        <v>197</v>
      </c>
      <c r="I176" s="17">
        <v>120</v>
      </c>
      <c r="J176" s="19">
        <v>1</v>
      </c>
      <c r="K176" s="19">
        <v>0</v>
      </c>
      <c r="L176" s="19">
        <v>120</v>
      </c>
      <c r="M176" s="19">
        <v>1</v>
      </c>
      <c r="N176" s="19">
        <v>0</v>
      </c>
      <c r="O176" s="19">
        <v>2</v>
      </c>
    </row>
    <row r="177" spans="1:15" s="19" customFormat="1" x14ac:dyDescent="0.2">
      <c r="A177" s="16">
        <v>176</v>
      </c>
      <c r="B177" s="16">
        <v>65</v>
      </c>
      <c r="C177" s="16"/>
      <c r="D177" s="16" t="s">
        <v>510</v>
      </c>
      <c r="E177" s="17">
        <v>126</v>
      </c>
      <c r="F177" s="17">
        <f t="shared" si="29"/>
        <v>7.9365079365079361E-3</v>
      </c>
      <c r="G177" s="17" t="s">
        <v>22</v>
      </c>
      <c r="H177" s="18" t="s">
        <v>198</v>
      </c>
      <c r="I177" s="17">
        <v>120</v>
      </c>
      <c r="J177" s="19">
        <v>1</v>
      </c>
      <c r="K177" s="19">
        <v>0</v>
      </c>
      <c r="L177" s="19">
        <v>120</v>
      </c>
      <c r="M177" s="19">
        <v>1</v>
      </c>
      <c r="N177" s="19">
        <v>0</v>
      </c>
      <c r="O177" s="19">
        <v>2</v>
      </c>
    </row>
    <row r="178" spans="1:15" s="19" customFormat="1" x14ac:dyDescent="0.2">
      <c r="A178" s="16">
        <v>177</v>
      </c>
      <c r="B178" s="16">
        <v>66</v>
      </c>
      <c r="C178" s="16"/>
      <c r="D178" s="16" t="s">
        <v>511</v>
      </c>
      <c r="E178" s="17">
        <v>168</v>
      </c>
      <c r="F178" s="17">
        <f t="shared" si="29"/>
        <v>5.9523809523809521E-3</v>
      </c>
      <c r="G178" s="17" t="s">
        <v>22</v>
      </c>
      <c r="H178" s="18" t="s">
        <v>111</v>
      </c>
      <c r="I178" s="17">
        <v>160</v>
      </c>
      <c r="J178" s="19">
        <v>1</v>
      </c>
      <c r="K178" s="19">
        <v>0</v>
      </c>
      <c r="L178" s="19">
        <v>160</v>
      </c>
      <c r="M178" s="19">
        <v>1</v>
      </c>
      <c r="N178" s="19">
        <v>0</v>
      </c>
      <c r="O178" s="19">
        <v>2</v>
      </c>
    </row>
    <row r="179" spans="1:15" s="19" customFormat="1" x14ac:dyDescent="0.2">
      <c r="A179" s="16">
        <v>178</v>
      </c>
      <c r="B179" s="16">
        <v>67</v>
      </c>
      <c r="C179" s="16"/>
      <c r="D179" s="16" t="s">
        <v>512</v>
      </c>
      <c r="E179" s="17">
        <v>210</v>
      </c>
      <c r="F179" s="17">
        <f t="shared" si="29"/>
        <v>4.7619047619047623E-3</v>
      </c>
      <c r="G179" s="17" t="s">
        <v>22</v>
      </c>
      <c r="H179" s="18" t="s">
        <v>110</v>
      </c>
      <c r="I179" s="17">
        <v>200</v>
      </c>
      <c r="J179" s="19">
        <v>1</v>
      </c>
      <c r="K179" s="19">
        <v>0</v>
      </c>
      <c r="L179" s="19">
        <v>200</v>
      </c>
      <c r="M179" s="19">
        <v>1</v>
      </c>
      <c r="N179" s="19">
        <v>0</v>
      </c>
      <c r="O179" s="19">
        <v>2</v>
      </c>
    </row>
    <row r="180" spans="1:15" s="19" customFormat="1" x14ac:dyDescent="0.2">
      <c r="A180" s="16">
        <v>179</v>
      </c>
      <c r="B180" s="16">
        <v>68</v>
      </c>
      <c r="C180" s="16"/>
      <c r="D180" s="16" t="s">
        <v>509</v>
      </c>
      <c r="E180" s="17">
        <v>210</v>
      </c>
      <c r="F180" s="17">
        <f t="shared" si="29"/>
        <v>4.7619047619047623E-3</v>
      </c>
      <c r="G180" s="17" t="s">
        <v>22</v>
      </c>
      <c r="H180" s="18" t="s">
        <v>200</v>
      </c>
      <c r="I180" s="17">
        <v>200</v>
      </c>
      <c r="J180" s="19">
        <v>1</v>
      </c>
      <c r="K180" s="19">
        <v>0</v>
      </c>
      <c r="L180" s="19">
        <v>200</v>
      </c>
      <c r="M180" s="19">
        <v>1</v>
      </c>
      <c r="N180" s="19">
        <v>0</v>
      </c>
      <c r="O180" s="19">
        <v>2</v>
      </c>
    </row>
    <row r="181" spans="1:15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4" activePane="bottomLeft" state="frozen"/>
      <selection pane="bottomLeft" activeCell="C81" sqref="C81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504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505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506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495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496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497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498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3">
        <v>9</v>
      </c>
      <c r="C83" s="83" t="s">
        <v>499</v>
      </c>
      <c r="D83" s="84">
        <v>0</v>
      </c>
      <c r="E83" s="84">
        <v>1</v>
      </c>
      <c r="F83" s="83">
        <v>250</v>
      </c>
      <c r="G83" s="83" t="s">
        <v>88</v>
      </c>
    </row>
    <row r="84" spans="1:7" s="55" customFormat="1" x14ac:dyDescent="0.2">
      <c r="A84">
        <v>83</v>
      </c>
      <c r="B84" s="83">
        <v>9</v>
      </c>
      <c r="C84" s="83" t="s">
        <v>500</v>
      </c>
      <c r="D84" s="84">
        <v>0</v>
      </c>
      <c r="E84" s="84">
        <v>1</v>
      </c>
      <c r="F84" s="83">
        <v>350</v>
      </c>
      <c r="G84" s="83" t="s">
        <v>88</v>
      </c>
    </row>
    <row r="85" spans="1:7" s="55" customFormat="1" x14ac:dyDescent="0.2">
      <c r="A85">
        <v>84</v>
      </c>
      <c r="B85" s="83">
        <v>9</v>
      </c>
      <c r="C85" s="83" t="s">
        <v>501</v>
      </c>
      <c r="D85" s="84">
        <v>0</v>
      </c>
      <c r="E85" s="84">
        <v>1</v>
      </c>
      <c r="F85" s="83">
        <v>450</v>
      </c>
      <c r="G85" s="83" t="s">
        <v>88</v>
      </c>
    </row>
    <row r="86" spans="1:7" s="55" customFormat="1" x14ac:dyDescent="0.2">
      <c r="A86">
        <v>85</v>
      </c>
      <c r="B86" s="83">
        <v>9</v>
      </c>
      <c r="C86" s="83" t="s">
        <v>502</v>
      </c>
      <c r="D86" s="84">
        <v>1</v>
      </c>
      <c r="E86" s="84">
        <v>1</v>
      </c>
      <c r="F86" s="83">
        <v>10</v>
      </c>
      <c r="G86" s="83" t="s">
        <v>88</v>
      </c>
    </row>
    <row r="87" spans="1:7" s="65" customFormat="1" x14ac:dyDescent="0.2">
      <c r="A87">
        <v>86</v>
      </c>
      <c r="B87" s="65">
        <v>9</v>
      </c>
      <c r="C87" s="65" t="s">
        <v>494</v>
      </c>
      <c r="D87" s="66">
        <v>1</v>
      </c>
      <c r="E87" s="66">
        <v>1</v>
      </c>
      <c r="F87" s="65">
        <v>200</v>
      </c>
      <c r="G87" s="65" t="s">
        <v>490</v>
      </c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9"/>
  <sheetViews>
    <sheetView tabSelected="1" zoomScaleNormal="100" workbookViewId="0">
      <pane ySplit="1" topLeftCell="A50" activePane="bottomLeft" state="frozen"/>
      <selection pane="bottomLeft" activeCell="A68" sqref="A6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489</v>
      </c>
      <c r="F63" s="2">
        <v>0</v>
      </c>
      <c r="G63" s="2">
        <v>0</v>
      </c>
    </row>
    <row r="64" spans="1:7" s="13" customFormat="1" x14ac:dyDescent="0.2">
      <c r="A64" s="2">
        <v>63</v>
      </c>
      <c r="B64" s="13">
        <v>1</v>
      </c>
      <c r="C64" s="13">
        <v>120</v>
      </c>
      <c r="D64" s="13">
        <f>1/C64</f>
        <v>8.3333333333333332E-3</v>
      </c>
      <c r="E64" s="15" t="s">
        <v>214</v>
      </c>
      <c r="F64" s="13">
        <f>C64</f>
        <v>120</v>
      </c>
      <c r="G64" s="13">
        <v>0</v>
      </c>
    </row>
    <row r="65" spans="1:7" s="13" customFormat="1" x14ac:dyDescent="0.2">
      <c r="A65" s="2">
        <v>64</v>
      </c>
      <c r="B65" s="13">
        <v>1</v>
      </c>
      <c r="C65" s="13">
        <v>120</v>
      </c>
      <c r="D65" s="13">
        <f t="shared" ref="D65:D69" si="5">1/C65</f>
        <v>8.3333333333333332E-3</v>
      </c>
      <c r="E65" s="14" t="s">
        <v>197</v>
      </c>
      <c r="F65" s="13">
        <f t="shared" ref="F65:F69" si="6">C65</f>
        <v>120</v>
      </c>
      <c r="G65" s="13">
        <v>0</v>
      </c>
    </row>
    <row r="66" spans="1:7" s="13" customFormat="1" x14ac:dyDescent="0.2">
      <c r="A66" s="2">
        <v>65</v>
      </c>
      <c r="B66" s="13">
        <v>1</v>
      </c>
      <c r="C66" s="13">
        <v>120</v>
      </c>
      <c r="D66" s="13">
        <f t="shared" si="5"/>
        <v>8.3333333333333332E-3</v>
      </c>
      <c r="E66" s="14" t="s">
        <v>198</v>
      </c>
      <c r="F66" s="13">
        <f t="shared" si="6"/>
        <v>120</v>
      </c>
      <c r="G66" s="13">
        <v>0</v>
      </c>
    </row>
    <row r="67" spans="1:7" s="13" customFormat="1" x14ac:dyDescent="0.2">
      <c r="A67" s="2">
        <v>66</v>
      </c>
      <c r="B67" s="13">
        <v>1</v>
      </c>
      <c r="C67" s="13">
        <v>160</v>
      </c>
      <c r="D67" s="13">
        <f t="shared" si="5"/>
        <v>6.2500000000000003E-3</v>
      </c>
      <c r="E67" s="14" t="s">
        <v>111</v>
      </c>
      <c r="F67" s="13">
        <f t="shared" si="6"/>
        <v>160</v>
      </c>
      <c r="G67" s="13">
        <v>0</v>
      </c>
    </row>
    <row r="68" spans="1:7" s="13" customFormat="1" x14ac:dyDescent="0.2">
      <c r="A68" s="2">
        <v>67</v>
      </c>
      <c r="B68" s="13">
        <v>1</v>
      </c>
      <c r="C68" s="13">
        <v>200</v>
      </c>
      <c r="D68" s="13">
        <f t="shared" si="5"/>
        <v>5.0000000000000001E-3</v>
      </c>
      <c r="E68" s="14" t="s">
        <v>110</v>
      </c>
      <c r="F68" s="13">
        <f t="shared" si="6"/>
        <v>200</v>
      </c>
      <c r="G68" s="13">
        <v>0</v>
      </c>
    </row>
    <row r="69" spans="1:7" s="13" customFormat="1" x14ac:dyDescent="0.2">
      <c r="A69" s="2">
        <v>68</v>
      </c>
      <c r="B69" s="13">
        <v>1</v>
      </c>
      <c r="C69" s="13">
        <v>200</v>
      </c>
      <c r="D69" s="13">
        <f t="shared" si="5"/>
        <v>5.0000000000000001E-3</v>
      </c>
      <c r="E69" s="14" t="s">
        <v>200</v>
      </c>
      <c r="F69" s="13">
        <f t="shared" si="6"/>
        <v>200</v>
      </c>
      <c r="G69" s="13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2021-03-18T01:33:27Z</dcterms:modified>
</cp:coreProperties>
</file>