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1" i="14" l="1"/>
  <c r="E82" i="14"/>
  <c r="E83" i="14"/>
  <c r="E84" i="14"/>
  <c r="D52" i="1"/>
  <c r="J97" i="7"/>
  <c r="J98" i="7"/>
  <c r="J99" i="7"/>
  <c r="H100" i="7"/>
  <c r="I100" i="7"/>
  <c r="J100" i="7"/>
  <c r="L80" i="14"/>
  <c r="L81" i="14"/>
  <c r="I84" i="14"/>
  <c r="L84" i="14"/>
  <c r="H84" i="14"/>
  <c r="F84" i="14"/>
  <c r="H83" i="14"/>
  <c r="I83" i="14"/>
  <c r="I99" i="7"/>
  <c r="H99" i="7"/>
  <c r="I80" i="14"/>
  <c r="I81" i="14"/>
  <c r="I97" i="7"/>
  <c r="I82" i="14"/>
  <c r="L82" i="14"/>
  <c r="H82" i="14"/>
  <c r="F82" i="14"/>
  <c r="H98" i="7"/>
  <c r="F81" i="14"/>
  <c r="I98" i="7"/>
  <c r="L83" i="14"/>
  <c r="H97" i="7"/>
  <c r="F83" i="14"/>
  <c r="H81" i="14"/>
  <c r="H96" i="7"/>
  <c r="I96" i="7"/>
  <c r="J96" i="7"/>
  <c r="H80" i="14"/>
  <c r="F80" i="14"/>
  <c r="H95" i="7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/>
  <c r="K79" i="14"/>
  <c r="J95" i="7"/>
  <c r="H79" i="14"/>
  <c r="F79" i="14"/>
  <c r="I78" i="14"/>
  <c r="L78" i="14"/>
  <c r="K78" i="14"/>
  <c r="J94" i="7"/>
  <c r="H78" i="14"/>
  <c r="F78" i="14"/>
  <c r="I77" i="14"/>
  <c r="I93" i="7"/>
  <c r="K77" i="14"/>
  <c r="J93" i="7"/>
  <c r="H77" i="14"/>
  <c r="F77" i="14"/>
  <c r="I76" i="14"/>
  <c r="L76" i="14"/>
  <c r="K76" i="14"/>
  <c r="J92" i="7"/>
  <c r="H76" i="14"/>
  <c r="F76" i="14"/>
  <c r="I75" i="14"/>
  <c r="L75" i="14"/>
  <c r="K75" i="14"/>
  <c r="J91" i="7"/>
  <c r="H75" i="14"/>
  <c r="F75" i="14"/>
  <c r="I74" i="14"/>
  <c r="L74" i="14"/>
  <c r="K74" i="14"/>
  <c r="J90" i="7"/>
  <c r="H74" i="14"/>
  <c r="F74" i="14"/>
  <c r="I73" i="14"/>
  <c r="I89" i="7"/>
  <c r="K73" i="14"/>
  <c r="J89" i="7"/>
  <c r="H73" i="14"/>
  <c r="E73" i="14"/>
  <c r="F73" i="14"/>
  <c r="I72" i="14"/>
  <c r="I88" i="7"/>
  <c r="K72" i="14"/>
  <c r="J88" i="7"/>
  <c r="H72" i="14"/>
  <c r="E72" i="14"/>
  <c r="H88" i="7"/>
  <c r="N71" i="14"/>
  <c r="I71" i="14"/>
  <c r="L71" i="14"/>
  <c r="K71" i="14"/>
  <c r="H71" i="14"/>
  <c r="E71" i="14"/>
  <c r="F71" i="14"/>
  <c r="N70" i="14"/>
  <c r="I70" i="14"/>
  <c r="L70" i="14"/>
  <c r="K70" i="14"/>
  <c r="J86" i="7"/>
  <c r="H70" i="14"/>
  <c r="E70" i="14"/>
  <c r="H86" i="7"/>
  <c r="N69" i="14"/>
  <c r="I69" i="14"/>
  <c r="I85" i="7"/>
  <c r="L69" i="14"/>
  <c r="K69" i="14"/>
  <c r="J85" i="7"/>
  <c r="H69" i="14"/>
  <c r="E69" i="14"/>
  <c r="F69" i="14"/>
  <c r="N68" i="14"/>
  <c r="I68" i="14"/>
  <c r="I84" i="7"/>
  <c r="K68" i="14"/>
  <c r="J84" i="7"/>
  <c r="H68" i="14"/>
  <c r="E68" i="14"/>
  <c r="H84" i="7"/>
  <c r="N67" i="14"/>
  <c r="I67" i="14"/>
  <c r="L67" i="14"/>
  <c r="K67" i="14"/>
  <c r="J83" i="7"/>
  <c r="H67" i="14"/>
  <c r="E67" i="14"/>
  <c r="F67" i="14"/>
  <c r="N66" i="14"/>
  <c r="I66" i="14"/>
  <c r="I82" i="7"/>
  <c r="K66" i="14"/>
  <c r="J82" i="7"/>
  <c r="H66" i="14"/>
  <c r="E66" i="14"/>
  <c r="H82" i="7"/>
  <c r="I65" i="14"/>
  <c r="I81" i="7"/>
  <c r="K65" i="14"/>
  <c r="J81" i="7"/>
  <c r="H65" i="14"/>
  <c r="F65" i="14"/>
  <c r="I64" i="14"/>
  <c r="I80" i="7"/>
  <c r="K64" i="14"/>
  <c r="J80" i="7"/>
  <c r="H64" i="14"/>
  <c r="F64" i="14"/>
  <c r="I63" i="14"/>
  <c r="I79" i="7"/>
  <c r="K63" i="14"/>
  <c r="J79" i="7"/>
  <c r="H63" i="14"/>
  <c r="F63" i="14"/>
  <c r="I62" i="14"/>
  <c r="L62" i="14"/>
  <c r="K62" i="14"/>
  <c r="J78" i="7"/>
  <c r="H62" i="14"/>
  <c r="F62" i="14"/>
  <c r="I61" i="14"/>
  <c r="I77" i="7"/>
  <c r="K61" i="14"/>
  <c r="J77" i="7"/>
  <c r="H61" i="14"/>
  <c r="F61" i="14"/>
  <c r="I60" i="14"/>
  <c r="I76" i="7"/>
  <c r="K60" i="14"/>
  <c r="J76" i="7"/>
  <c r="H60" i="14"/>
  <c r="F60" i="14"/>
  <c r="I59" i="14"/>
  <c r="I75" i="7"/>
  <c r="K59" i="14"/>
  <c r="J75" i="7"/>
  <c r="H59" i="14"/>
  <c r="E59" i="14"/>
  <c r="H75" i="7"/>
  <c r="I58" i="14"/>
  <c r="L58" i="14"/>
  <c r="K58" i="14"/>
  <c r="J74" i="7"/>
  <c r="H58" i="14"/>
  <c r="E58" i="14"/>
  <c r="F58" i="14"/>
  <c r="N57" i="14"/>
  <c r="I57" i="14"/>
  <c r="I73" i="7"/>
  <c r="K57" i="14"/>
  <c r="J73" i="7"/>
  <c r="H57" i="14"/>
  <c r="E57" i="14"/>
  <c r="F57" i="14"/>
  <c r="N56" i="14"/>
  <c r="I56" i="14"/>
  <c r="I72" i="7"/>
  <c r="K56" i="14"/>
  <c r="J72" i="7"/>
  <c r="H56" i="14"/>
  <c r="E56" i="14"/>
  <c r="H72" i="7"/>
  <c r="N55" i="14"/>
  <c r="I55" i="14"/>
  <c r="I71" i="7"/>
  <c r="K55" i="14"/>
  <c r="J71" i="7"/>
  <c r="H55" i="14"/>
  <c r="E55" i="14"/>
  <c r="H71" i="7"/>
  <c r="N54" i="14"/>
  <c r="I54" i="14"/>
  <c r="L54" i="14"/>
  <c r="K54" i="14"/>
  <c r="J70" i="7"/>
  <c r="H54" i="14"/>
  <c r="E54" i="14"/>
  <c r="F54" i="14"/>
  <c r="N53" i="14"/>
  <c r="I53" i="14"/>
  <c r="I69" i="7"/>
  <c r="K53" i="14"/>
  <c r="J69" i="7"/>
  <c r="H53" i="14"/>
  <c r="E53" i="14"/>
  <c r="F53" i="14"/>
  <c r="N52" i="14"/>
  <c r="I52" i="14"/>
  <c r="I68" i="7"/>
  <c r="K52" i="14"/>
  <c r="J68" i="7"/>
  <c r="H52" i="14"/>
  <c r="E52" i="14"/>
  <c r="H68" i="7"/>
  <c r="G31" i="5"/>
  <c r="H36" i="14"/>
  <c r="G32" i="5"/>
  <c r="H31" i="14"/>
  <c r="G33" i="5"/>
  <c r="F42" i="1"/>
  <c r="F39" i="1"/>
  <c r="H40" i="7"/>
  <c r="F26" i="1"/>
  <c r="I26" i="14"/>
  <c r="I40" i="7"/>
  <c r="D26" i="1"/>
  <c r="F26" i="14"/>
  <c r="G36" i="5"/>
  <c r="F51" i="1"/>
  <c r="D51" i="1"/>
  <c r="I7" i="14"/>
  <c r="L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/>
  <c r="E10" i="14"/>
  <c r="F10" i="14"/>
  <c r="E11" i="14"/>
  <c r="F11" i="14"/>
  <c r="E12" i="14"/>
  <c r="F12" i="14"/>
  <c r="E13" i="14"/>
  <c r="H27" i="7"/>
  <c r="E14" i="14"/>
  <c r="H28" i="7"/>
  <c r="E15" i="14"/>
  <c r="E16" i="14"/>
  <c r="H30" i="7"/>
  <c r="E17" i="14"/>
  <c r="H31" i="7"/>
  <c r="E18" i="14"/>
  <c r="H32" i="7"/>
  <c r="E19" i="14"/>
  <c r="F19" i="14"/>
  <c r="E20" i="14"/>
  <c r="F20" i="14"/>
  <c r="E29" i="14"/>
  <c r="H43" i="7"/>
  <c r="E30" i="14"/>
  <c r="F30" i="14"/>
  <c r="E31" i="14"/>
  <c r="H45" i="7"/>
  <c r="E32" i="14"/>
  <c r="F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/>
  <c r="D24" i="1"/>
  <c r="F9" i="1"/>
  <c r="I9" i="14"/>
  <c r="I9" i="7"/>
  <c r="F10" i="1"/>
  <c r="I10" i="14"/>
  <c r="L10" i="14"/>
  <c r="D9" i="1"/>
  <c r="D10" i="1"/>
  <c r="H42" i="7"/>
  <c r="H37" i="7"/>
  <c r="H41" i="7"/>
  <c r="H36" i="7"/>
  <c r="H35" i="7"/>
  <c r="F24" i="14"/>
  <c r="H38" i="7"/>
  <c r="H10" i="7"/>
  <c r="H12" i="7"/>
  <c r="F38" i="1"/>
  <c r="D38" i="1"/>
  <c r="E8" i="14"/>
  <c r="H67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E49" i="14"/>
  <c r="F49" i="14"/>
  <c r="K48" i="14"/>
  <c r="E48" i="14"/>
  <c r="F48" i="14"/>
  <c r="K47" i="14"/>
  <c r="E47" i="14"/>
  <c r="F47" i="14"/>
  <c r="K46" i="14"/>
  <c r="E46" i="14"/>
  <c r="H60" i="7"/>
  <c r="K45" i="14"/>
  <c r="J59" i="7"/>
  <c r="E45" i="14"/>
  <c r="H59" i="7"/>
  <c r="K44" i="14"/>
  <c r="E44" i="14"/>
  <c r="F44" i="14"/>
  <c r="K43" i="14"/>
  <c r="J57" i="7"/>
  <c r="E43" i="14"/>
  <c r="H57" i="7"/>
  <c r="K42" i="14"/>
  <c r="E42" i="14"/>
  <c r="F42" i="14"/>
  <c r="K41" i="14"/>
  <c r="E41" i="14"/>
  <c r="H55" i="7"/>
  <c r="K40" i="14"/>
  <c r="E40" i="14"/>
  <c r="H54" i="7"/>
  <c r="K39" i="14"/>
  <c r="J53" i="7"/>
  <c r="E39" i="14"/>
  <c r="F39" i="14"/>
  <c r="K38" i="14"/>
  <c r="E38" i="14"/>
  <c r="H52" i="7"/>
  <c r="K37" i="14"/>
  <c r="J51" i="7"/>
  <c r="E37" i="14"/>
  <c r="F37" i="14"/>
  <c r="K36" i="14"/>
  <c r="E36" i="14"/>
  <c r="H50" i="7"/>
  <c r="K35" i="14"/>
  <c r="J49" i="7"/>
  <c r="E35" i="14"/>
  <c r="F35" i="14"/>
  <c r="K34" i="14"/>
  <c r="E34" i="14"/>
  <c r="H48" i="7"/>
  <c r="K33" i="14"/>
  <c r="E33" i="14"/>
  <c r="F33" i="14"/>
  <c r="J60" i="7"/>
  <c r="F8" i="1"/>
  <c r="D8" i="1"/>
  <c r="K29" i="14"/>
  <c r="J43" i="7"/>
  <c r="I30" i="14"/>
  <c r="I44" i="7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/>
  <c r="F31" i="1"/>
  <c r="I31" i="14"/>
  <c r="I45" i="7"/>
  <c r="I32" i="14"/>
  <c r="L32" i="14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/>
  <c r="D27" i="1"/>
  <c r="F27" i="1"/>
  <c r="I27" i="14"/>
  <c r="I41" i="7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J16" i="7"/>
  <c r="K9" i="14"/>
  <c r="J9" i="7"/>
  <c r="K10" i="14"/>
  <c r="K11" i="14"/>
  <c r="J11" i="7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/>
  <c r="F12" i="1"/>
  <c r="I12" i="14"/>
  <c r="L12" i="14"/>
  <c r="F13" i="1"/>
  <c r="I13" i="14"/>
  <c r="I27" i="7"/>
  <c r="F16" i="1"/>
  <c r="I49" i="14"/>
  <c r="I63" i="7"/>
  <c r="F15" i="1"/>
  <c r="I15" i="14"/>
  <c r="L15" i="14"/>
  <c r="I16" i="14"/>
  <c r="I30" i="7"/>
  <c r="F17" i="1"/>
  <c r="I17" i="14"/>
  <c r="I31" i="7"/>
  <c r="F18" i="1"/>
  <c r="F19" i="1"/>
  <c r="I19" i="14"/>
  <c r="L19" i="14"/>
  <c r="F20" i="1"/>
  <c r="E3" i="14"/>
  <c r="F3" i="14"/>
  <c r="E4" i="14"/>
  <c r="F4" i="14"/>
  <c r="E5" i="14"/>
  <c r="E6" i="14"/>
  <c r="H66" i="7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/>
  <c r="F14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30" i="7"/>
  <c r="J47" i="7"/>
  <c r="J50" i="7"/>
  <c r="J54" i="7"/>
  <c r="J58" i="7"/>
  <c r="J48" i="7"/>
  <c r="J55" i="7"/>
  <c r="J62" i="7"/>
  <c r="J52" i="7"/>
  <c r="J56" i="7"/>
  <c r="J61" i="7"/>
  <c r="J63" i="7"/>
  <c r="I43" i="14"/>
  <c r="L43" i="14"/>
  <c r="I39" i="14"/>
  <c r="L39" i="14"/>
  <c r="I20" i="14"/>
  <c r="L20" i="14"/>
  <c r="I41" i="14"/>
  <c r="L41" i="14"/>
  <c r="I8" i="14"/>
  <c r="I2" i="14"/>
  <c r="I6" i="7"/>
  <c r="I28" i="14"/>
  <c r="L28" i="14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18" i="7"/>
  <c r="J5" i="7"/>
  <c r="J20" i="7"/>
  <c r="J17" i="7"/>
  <c r="J10" i="7"/>
  <c r="J2" i="7"/>
  <c r="I23" i="14"/>
  <c r="L23" i="14"/>
  <c r="I18" i="14"/>
  <c r="L18" i="14"/>
  <c r="I38" i="14"/>
  <c r="I52" i="7"/>
  <c r="I36" i="14"/>
  <c r="L36" i="14"/>
  <c r="I14" i="14"/>
  <c r="L14" i="14"/>
  <c r="I5" i="14"/>
  <c r="L5" i="14"/>
  <c r="H44" i="7"/>
  <c r="F27" i="14"/>
  <c r="J14" i="7"/>
  <c r="J7" i="7"/>
  <c r="J4" i="7"/>
  <c r="J21" i="7"/>
  <c r="I50" i="14"/>
  <c r="I64" i="7"/>
  <c r="I44" i="14"/>
  <c r="L44" i="14"/>
  <c r="I37" i="14"/>
  <c r="I51" i="7"/>
  <c r="I48" i="14"/>
  <c r="I62" i="7"/>
  <c r="I42" i="14"/>
  <c r="L42" i="14"/>
  <c r="I34" i="14"/>
  <c r="I48" i="7"/>
  <c r="I46" i="14"/>
  <c r="I60" i="7"/>
  <c r="I40" i="14"/>
  <c r="I54" i="7"/>
  <c r="I33" i="14"/>
  <c r="I47" i="7"/>
  <c r="I6" i="14"/>
  <c r="I66" i="7"/>
  <c r="I3" i="14"/>
  <c r="L3" i="14"/>
  <c r="I22" i="14"/>
  <c r="I36" i="7"/>
  <c r="I21" i="14"/>
  <c r="L21" i="14"/>
  <c r="I49" i="7"/>
  <c r="L35" i="14"/>
  <c r="L50" i="14"/>
  <c r="H46" i="7"/>
  <c r="H9" i="7"/>
  <c r="F6" i="14"/>
  <c r="F36" i="14"/>
  <c r="F66" i="14"/>
  <c r="L66" i="14"/>
  <c r="I11" i="7"/>
  <c r="I55" i="7"/>
  <c r="H62" i="7"/>
  <c r="H56" i="7"/>
  <c r="F50" i="14"/>
  <c r="F40" i="14"/>
  <c r="F18" i="14"/>
  <c r="L46" i="14"/>
  <c r="H51" i="7"/>
  <c r="I15" i="7"/>
  <c r="L9" i="14"/>
  <c r="H49" i="7"/>
  <c r="L27" i="14"/>
  <c r="H18" i="7"/>
  <c r="H25" i="7"/>
  <c r="F56" i="14"/>
  <c r="L2" i="14"/>
  <c r="I3" i="7"/>
  <c r="F17" i="14"/>
  <c r="I25" i="7"/>
  <c r="I46" i="7"/>
  <c r="I12" i="7"/>
  <c r="L37" i="14"/>
  <c r="H5" i="7"/>
  <c r="H14" i="7"/>
  <c r="H8" i="7"/>
  <c r="L40" i="14"/>
  <c r="I16" i="7"/>
  <c r="L22" i="14"/>
  <c r="F8" i="14"/>
  <c r="I56" i="7"/>
  <c r="I32" i="7"/>
  <c r="I57" i="7"/>
  <c r="I24" i="7"/>
  <c r="L16" i="14"/>
  <c r="F34" i="14"/>
  <c r="H22" i="7"/>
  <c r="L33" i="14"/>
  <c r="L6" i="14"/>
  <c r="I2" i="7"/>
  <c r="L38" i="14"/>
  <c r="H47" i="7"/>
  <c r="H4" i="7"/>
  <c r="F13" i="14"/>
  <c r="F29" i="14"/>
  <c r="H15" i="7"/>
  <c r="I50" i="7"/>
  <c r="I21" i="7"/>
  <c r="H3" i="7"/>
  <c r="L48" i="14"/>
  <c r="L34" i="14"/>
  <c r="H26" i="7"/>
  <c r="F41" i="14"/>
  <c r="I53" i="7"/>
  <c r="I7" i="7"/>
  <c r="H58" i="7"/>
  <c r="I43" i="7"/>
  <c r="F15" i="14"/>
  <c r="H53" i="7"/>
  <c r="H21" i="7"/>
  <c r="H17" i="7"/>
  <c r="K45" i="7" a="1"/>
  <c r="K45" i="7"/>
  <c r="L15" i="7" a="1"/>
  <c r="L15" i="7"/>
  <c r="K10" i="7" a="1"/>
  <c r="K10" i="7"/>
  <c r="K9" i="7" a="1"/>
  <c r="K9" i="7"/>
  <c r="K11" i="7" a="1"/>
  <c r="K11" i="7"/>
  <c r="L16" i="7" a="1"/>
  <c r="L16" i="7"/>
  <c r="K35" i="7" a="1"/>
  <c r="K35" i="7"/>
  <c r="K67" i="7" a="1"/>
  <c r="K67" i="7"/>
  <c r="K17" i="7" a="1"/>
  <c r="K17" i="7"/>
  <c r="H11" i="7"/>
  <c r="I5" i="7"/>
  <c r="I4" i="7"/>
  <c r="I26" i="7"/>
  <c r="F2" i="14"/>
  <c r="I29" i="7"/>
  <c r="H19" i="7"/>
  <c r="H23" i="7"/>
  <c r="L30" i="14"/>
  <c r="H29" i="7"/>
  <c r="H33" i="7"/>
  <c r="L26" i="14"/>
  <c r="I58" i="7"/>
  <c r="I14" i="7"/>
  <c r="F70" i="14"/>
  <c r="K39" i="7" a="1"/>
  <c r="K39" i="7"/>
  <c r="K8" i="7" a="1"/>
  <c r="K8" i="7"/>
  <c r="K18" i="7" a="1"/>
  <c r="K18" i="7"/>
  <c r="I34" i="7"/>
  <c r="K33" i="7" a="1"/>
  <c r="K33" i="7"/>
  <c r="H2" i="7"/>
  <c r="H6" i="7"/>
  <c r="L45" i="14"/>
  <c r="I33" i="7"/>
  <c r="I10" i="7"/>
  <c r="H89" i="7"/>
  <c r="K40" i="7" a="1"/>
  <c r="K40" i="7"/>
  <c r="K36" i="7" a="1"/>
  <c r="K36" i="7"/>
  <c r="F52" i="14"/>
  <c r="F55" i="14"/>
  <c r="K38" i="7" a="1"/>
  <c r="K38" i="7"/>
  <c r="F59" i="14"/>
  <c r="L60" i="14"/>
  <c r="H85" i="7"/>
  <c r="L8" i="14"/>
  <c r="I67" i="7"/>
  <c r="L63" i="14"/>
  <c r="I8" i="7"/>
  <c r="I37" i="7"/>
  <c r="I23" i="7"/>
  <c r="L13" i="14"/>
  <c r="L55" i="14"/>
  <c r="L64" i="14"/>
  <c r="L77" i="14"/>
  <c r="I28" i="7"/>
  <c r="I20" i="7"/>
  <c r="I17" i="7"/>
  <c r="J23" i="7"/>
  <c r="J13" i="7"/>
  <c r="J26" i="7"/>
  <c r="K44" i="7" a="1"/>
  <c r="K44" i="7"/>
  <c r="I22" i="7"/>
  <c r="I18" i="7"/>
  <c r="I65" i="7"/>
  <c r="K41" i="7" a="1"/>
  <c r="K41" i="7"/>
  <c r="I13" i="7"/>
  <c r="I19" i="7"/>
  <c r="I42" i="7"/>
  <c r="K37" i="7" a="1"/>
  <c r="K37" i="7"/>
  <c r="I35" i="7"/>
  <c r="L17" i="14"/>
  <c r="I90" i="7"/>
  <c r="I86" i="7"/>
  <c r="I74" i="7"/>
  <c r="I70" i="7"/>
  <c r="K34" i="7" a="1"/>
  <c r="K34" i="7"/>
  <c r="K12" i="7" a="1"/>
  <c r="K12" i="7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H16" i="7"/>
  <c r="I91" i="7"/>
  <c r="I87" i="7"/>
  <c r="I83" i="7"/>
  <c r="H74" i="7"/>
  <c r="H70" i="7"/>
  <c r="I61" i="7"/>
  <c r="J25" i="7"/>
  <c r="L49" i="14"/>
  <c r="F5" i="14"/>
  <c r="H63" i="7"/>
  <c r="F16" i="14"/>
  <c r="H13" i="7"/>
  <c r="H20" i="7"/>
  <c r="J8" i="7"/>
  <c r="I38" i="7"/>
  <c r="H34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<sst xmlns="http://schemas.openxmlformats.org/spreadsheetml/2006/main" count="488" uniqueCount="355">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</sst>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12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0"/>
  <sheetViews>
    <sheetView workbookViewId="0">
      <pane ySplit="1" topLeftCell="A79" activePane="bottomLeft" state="frozen"/>
      <selection pane="bottomLeft" activeCell="D105" sqref="D105:D10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50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50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30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30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1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1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0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0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0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4"/>
  <sheetViews>
    <sheetView zoomScaleNormal="100" workbookViewId="0">
      <pane ySplit="1" topLeftCell="A65" activePane="bottomLeft" state="frozen"/>
      <selection pane="bottomLeft" activeCell="J91" sqref="J9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4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4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14</v>
      </c>
      <c r="C83" s="36">
        <v>47</v>
      </c>
      <c r="D83" s="36"/>
      <c r="E83" s="37">
        <f>LOOKUP(use_fish!B83,base_fish!A:A,base_fish!C:C)+_xlfn.IFNA(INDEX(activity!F:F,MATCH(use_fish!C83,activity!A:A,0)),0)</f>
        <v>50</v>
      </c>
      <c r="F83" s="37">
        <f t="shared" si="16"/>
        <v>0.02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巨大小丑鱼+临时活动</v>
      </c>
      <c r="I83" s="37">
        <f>LOOKUP(use_fish!B83,base_fish!A:A,base_fish!F:F)+_xlfn.IFNA(INDEX(activity!F:F,MATCH(use_fish!C83,activity!A:A,0)),0)</f>
        <v>50</v>
      </c>
      <c r="J83" s="39">
        <v>1</v>
      </c>
      <c r="K83" s="39">
        <v>0</v>
      </c>
      <c r="L83" s="39">
        <f t="shared" si="17"/>
        <v>50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11</v>
      </c>
      <c r="C84" s="36">
        <v>48</v>
      </c>
      <c r="D84" s="36"/>
      <c r="E84" s="37">
        <f>LOOKUP(use_fish!B84,base_fish!A:A,base_fish!C:C)+_xlfn.IFNA(INDEX(activity!F:F,MATCH(use_fish!C84,activity!A:A,0)),0)</f>
        <v>30</v>
      </c>
      <c r="F84" s="37">
        <f t="shared" si="16"/>
        <v>3.3333333333333333E-2</v>
      </c>
      <c r="G84" s="37" t="s">
        <v>343</v>
      </c>
      <c r="H84" s="38" t="str">
        <f>INDEX(base_fish!E:E,MATCH(use_fish!B84,base_fish!A:A,0))&amp;_xlfn.IFNA("+"&amp;INDEX(activity!G:G,MATCH(use_fish!C84,activity!A:A,0)),"")</f>
        <v>小海龟+临时活动</v>
      </c>
      <c r="I84" s="37">
        <f>LOOKUP(use_fish!B84,base_fish!A:A,base_fish!F:F)+_xlfn.IFNA(INDEX(activity!F:F,MATCH(use_fish!C84,activity!A:A,0)),0)</f>
        <v>30</v>
      </c>
      <c r="J84" s="39">
        <v>1</v>
      </c>
      <c r="K84" s="39">
        <v>0</v>
      </c>
      <c r="L84" s="39">
        <f t="shared" si="17"/>
        <v>30</v>
      </c>
      <c r="M84" s="39">
        <v>1</v>
      </c>
      <c r="N84" s="39">
        <v>0</v>
      </c>
      <c r="O84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9"/>
  <sheetViews>
    <sheetView tabSelected="1" topLeftCell="A22" workbookViewId="0">
      <selection activeCell="F55" sqref="F5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x14ac:dyDescent="0.2">
      <c r="A45" s="54">
        <v>44</v>
      </c>
      <c r="B45" s="54">
        <v>9</v>
      </c>
      <c r="C45" s="54" t="s">
        <v>350</v>
      </c>
      <c r="D45" s="55">
        <v>0</v>
      </c>
      <c r="E45" s="55">
        <v>1</v>
      </c>
      <c r="F45" s="54">
        <v>200</v>
      </c>
      <c r="G45" s="54" t="s">
        <v>88</v>
      </c>
    </row>
    <row r="46" spans="1:7" x14ac:dyDescent="0.2">
      <c r="A46" s="39">
        <v>45</v>
      </c>
      <c r="B46" s="39">
        <v>9</v>
      </c>
      <c r="C46" s="39" t="s">
        <v>351</v>
      </c>
      <c r="D46" s="56">
        <v>1</v>
      </c>
      <c r="E46" s="56">
        <v>1</v>
      </c>
      <c r="F46" s="39">
        <v>60</v>
      </c>
      <c r="G46" s="39" t="s">
        <v>88</v>
      </c>
    </row>
    <row r="47" spans="1:7" x14ac:dyDescent="0.2">
      <c r="A47" s="39">
        <v>46</v>
      </c>
      <c r="B47" s="39">
        <v>9</v>
      </c>
      <c r="C47" s="39" t="s">
        <v>352</v>
      </c>
      <c r="D47" s="56">
        <v>1</v>
      </c>
      <c r="E47" s="56">
        <v>1</v>
      </c>
      <c r="F47" s="39">
        <v>40</v>
      </c>
      <c r="G47" s="39" t="s">
        <v>88</v>
      </c>
    </row>
    <row r="48" spans="1:7" x14ac:dyDescent="0.2">
      <c r="A48" s="39">
        <v>47</v>
      </c>
      <c r="B48" s="39">
        <v>9</v>
      </c>
      <c r="C48" s="39" t="s">
        <v>353</v>
      </c>
      <c r="D48" s="56">
        <v>1</v>
      </c>
      <c r="E48" s="56">
        <v>1</v>
      </c>
      <c r="F48" s="39">
        <v>25</v>
      </c>
      <c r="G48" s="39" t="s">
        <v>88</v>
      </c>
    </row>
    <row r="49" spans="1:7" x14ac:dyDescent="0.2">
      <c r="A49" s="39">
        <v>48</v>
      </c>
      <c r="B49" s="39">
        <v>9</v>
      </c>
      <c r="C49" s="39" t="s">
        <v>354</v>
      </c>
      <c r="D49" s="56">
        <v>1</v>
      </c>
      <c r="E49" s="56">
        <v>1</v>
      </c>
      <c r="F49" s="39">
        <v>15</v>
      </c>
      <c r="G49" s="3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2"/>
  <sheetViews>
    <sheetView topLeftCell="A28" zoomScaleNormal="100" workbookViewId="0">
      <selection activeCell="E58" sqref="E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2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2020-08-12T06:26:55Z</dcterms:modified>
</cp:coreProperties>
</file>