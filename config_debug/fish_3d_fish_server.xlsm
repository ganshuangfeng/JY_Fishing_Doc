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activeTab="2"/>
  </bookViews>
  <sheets>
    <sheet name="group" sheetId="7" r:id="rId1"/>
    <sheet name="use_fish" sheetId="14" r:id="rId2"/>
    <sheet name="activity" sheetId="5" r:id="rId3"/>
    <sheet name="box_fish_activity" sheetId="33" r:id="rId4"/>
    <sheet name="base_fish" sheetId="1" r:id="rId5"/>
    <sheet name="path" sheetId="2" r:id="rId6"/>
    <sheet name="skill" sheetId="29" r:id="rId7"/>
    <sheet name="dead_mode" sheetId="31" r:id="rId8"/>
    <sheet name="box_fish_award" sheetId="32" r:id="rId9"/>
    <sheet name="summon_fish" sheetId="37" r:id="rId10"/>
  </sheets>
  <definedNames>
    <definedName name="_xlnm._FilterDatabase" localSheetId="0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202" i="7" l="1"/>
  <c r="I202" i="7"/>
  <c r="J202" i="7"/>
  <c r="H197" i="7"/>
  <c r="I197" i="7"/>
  <c r="J197" i="7"/>
  <c r="H198" i="7"/>
  <c r="I198" i="7"/>
  <c r="J198" i="7"/>
  <c r="H199" i="7"/>
  <c r="I199" i="7"/>
  <c r="J199" i="7"/>
  <c r="H200" i="7"/>
  <c r="I200" i="7"/>
  <c r="J200" i="7"/>
  <c r="H201" i="7"/>
  <c r="I201" i="7"/>
  <c r="J201" i="7"/>
  <c r="H182" i="14" l="1"/>
  <c r="H183" i="14"/>
  <c r="H184" i="14"/>
  <c r="H185" i="14"/>
  <c r="H186" i="14"/>
  <c r="H181" i="14"/>
  <c r="F68" i="1" l="1"/>
  <c r="D65" i="1" l="1"/>
  <c r="D66" i="1"/>
  <c r="D67" i="1"/>
  <c r="D68" i="1"/>
  <c r="D69" i="1"/>
  <c r="D64" i="1"/>
  <c r="F65" i="1"/>
  <c r="F66" i="1"/>
  <c r="F67" i="1"/>
  <c r="F69" i="1"/>
  <c r="F64" i="1"/>
  <c r="H191" i="7" l="1"/>
  <c r="I191" i="7"/>
  <c r="J191" i="7"/>
  <c r="H192" i="7"/>
  <c r="I192" i="7"/>
  <c r="J192" i="7"/>
  <c r="H193" i="7"/>
  <c r="I193" i="7"/>
  <c r="J193" i="7"/>
  <c r="H194" i="7"/>
  <c r="I194" i="7"/>
  <c r="J194" i="7"/>
  <c r="H195" i="7"/>
  <c r="I195" i="7"/>
  <c r="J195" i="7"/>
  <c r="H196" i="7"/>
  <c r="I196" i="7"/>
  <c r="J196" i="7"/>
  <c r="F176" i="14"/>
  <c r="F177" i="14"/>
  <c r="F178" i="14"/>
  <c r="F179" i="14"/>
  <c r="F180" i="14"/>
  <c r="F175" i="14"/>
  <c r="I173" i="14" l="1"/>
  <c r="J190" i="7" l="1"/>
  <c r="H190" i="7"/>
  <c r="J189" i="7"/>
  <c r="I189" i="7"/>
  <c r="I174" i="14"/>
  <c r="L174" i="14" s="1"/>
  <c r="H174" i="14"/>
  <c r="H173" i="14"/>
  <c r="E173" i="14"/>
  <c r="F173" i="14" s="1"/>
  <c r="H189" i="7" l="1"/>
  <c r="I190" i="7"/>
  <c r="K172" i="14"/>
  <c r="J188" i="7" s="1"/>
  <c r="I172" i="14"/>
  <c r="L172" i="14" s="1"/>
  <c r="H172" i="14"/>
  <c r="E172" i="14"/>
  <c r="F172" i="14" s="1"/>
  <c r="K171" i="14"/>
  <c r="J187" i="7" s="1"/>
  <c r="I171" i="14"/>
  <c r="L171" i="14" s="1"/>
  <c r="H171" i="14"/>
  <c r="E171" i="14"/>
  <c r="F171" i="14" s="1"/>
  <c r="K170" i="14"/>
  <c r="J186" i="7" s="1"/>
  <c r="I170" i="14"/>
  <c r="L170" i="14" s="1"/>
  <c r="H170" i="14"/>
  <c r="E170" i="14"/>
  <c r="F170" i="14" s="1"/>
  <c r="K169" i="14"/>
  <c r="J185" i="7" s="1"/>
  <c r="I169" i="14"/>
  <c r="L169" i="14" s="1"/>
  <c r="H169" i="14"/>
  <c r="E169" i="14"/>
  <c r="F169" i="14" s="1"/>
  <c r="K168" i="14"/>
  <c r="J184" i="7" s="1"/>
  <c r="I168" i="14"/>
  <c r="L168" i="14" s="1"/>
  <c r="H168" i="14"/>
  <c r="E168" i="14"/>
  <c r="F168" i="14" s="1"/>
  <c r="K167" i="14"/>
  <c r="J183" i="7" s="1"/>
  <c r="I167" i="14"/>
  <c r="L167" i="14" s="1"/>
  <c r="H167" i="14"/>
  <c r="E167" i="14"/>
  <c r="F167" i="14" s="1"/>
  <c r="K166" i="14"/>
  <c r="J182" i="7" s="1"/>
  <c r="I166" i="14"/>
  <c r="L166" i="14" s="1"/>
  <c r="H166" i="14"/>
  <c r="E166" i="14"/>
  <c r="F166" i="14" s="1"/>
  <c r="K165" i="14"/>
  <c r="J181" i="7" s="1"/>
  <c r="I165" i="14"/>
  <c r="L165" i="14" s="1"/>
  <c r="H165" i="14"/>
  <c r="E165" i="14"/>
  <c r="F165" i="14" s="1"/>
  <c r="K164" i="14"/>
  <c r="J180" i="7" s="1"/>
  <c r="I164" i="14"/>
  <c r="L164" i="14" s="1"/>
  <c r="H164" i="14"/>
  <c r="E164" i="14"/>
  <c r="F164" i="14" s="1"/>
  <c r="I187" i="7" l="1"/>
  <c r="H186" i="7"/>
  <c r="H184" i="7"/>
  <c r="I185" i="7"/>
  <c r="I184" i="7"/>
  <c r="H187" i="7"/>
  <c r="H180" i="7"/>
  <c r="I183" i="7"/>
  <c r="H185" i="7"/>
  <c r="I188" i="7"/>
  <c r="I182" i="7"/>
  <c r="I181" i="7"/>
  <c r="H183" i="7"/>
  <c r="I186" i="7"/>
  <c r="I180" i="7"/>
  <c r="H188" i="7"/>
  <c r="H182" i="7"/>
  <c r="H181" i="7"/>
  <c r="K163" i="14"/>
  <c r="J179" i="7" s="1"/>
  <c r="I163" i="14"/>
  <c r="L163" i="14" s="1"/>
  <c r="H163" i="14"/>
  <c r="E163" i="14"/>
  <c r="F163" i="14" s="1"/>
  <c r="K162" i="14"/>
  <c r="J178" i="7" s="1"/>
  <c r="I162" i="14"/>
  <c r="L162" i="14" s="1"/>
  <c r="H162" i="14"/>
  <c r="E162" i="14"/>
  <c r="F162" i="14" s="1"/>
  <c r="K161" i="14"/>
  <c r="J177" i="7" s="1"/>
  <c r="I161" i="14"/>
  <c r="L161" i="14" s="1"/>
  <c r="H161" i="14"/>
  <c r="E161" i="14"/>
  <c r="F161" i="14" s="1"/>
  <c r="K160" i="14"/>
  <c r="J176" i="7" s="1"/>
  <c r="I160" i="14"/>
  <c r="L160" i="14" s="1"/>
  <c r="H160" i="14"/>
  <c r="E160" i="14"/>
  <c r="F160" i="14" s="1"/>
  <c r="K159" i="14"/>
  <c r="J175" i="7" s="1"/>
  <c r="I159" i="14"/>
  <c r="L159" i="14" s="1"/>
  <c r="H159" i="14"/>
  <c r="E159" i="14"/>
  <c r="F159" i="14" s="1"/>
  <c r="K158" i="14"/>
  <c r="J174" i="7" s="1"/>
  <c r="I158" i="14"/>
  <c r="L158" i="14" s="1"/>
  <c r="H158" i="14"/>
  <c r="E158" i="14"/>
  <c r="F158" i="14" s="1"/>
  <c r="K157" i="14"/>
  <c r="J173" i="7" s="1"/>
  <c r="I157" i="14"/>
  <c r="L157" i="14" s="1"/>
  <c r="H157" i="14"/>
  <c r="E157" i="14"/>
  <c r="F157" i="14" s="1"/>
  <c r="K156" i="14"/>
  <c r="J172" i="7" s="1"/>
  <c r="I156" i="14"/>
  <c r="L156" i="14" s="1"/>
  <c r="H156" i="14"/>
  <c r="E156" i="14"/>
  <c r="F156" i="14" s="1"/>
  <c r="K155" i="14"/>
  <c r="J171" i="7" s="1"/>
  <c r="I155" i="14"/>
  <c r="L155" i="14" s="1"/>
  <c r="H155" i="14"/>
  <c r="E155" i="14"/>
  <c r="F155" i="14" s="1"/>
  <c r="I179" i="7" l="1"/>
  <c r="I175" i="7"/>
  <c r="H177" i="7"/>
  <c r="H174" i="7"/>
  <c r="I171" i="7"/>
  <c r="H178" i="7"/>
  <c r="H173" i="7"/>
  <c r="I178" i="7"/>
  <c r="I174" i="7"/>
  <c r="H176" i="7"/>
  <c r="H172" i="7"/>
  <c r="I177" i="7"/>
  <c r="I173" i="7"/>
  <c r="H179" i="7"/>
  <c r="H175" i="7"/>
  <c r="H171" i="7"/>
  <c r="I176" i="7"/>
  <c r="I172" i="7"/>
  <c r="E154" i="14"/>
  <c r="E153" i="14"/>
  <c r="H169" i="7" s="1"/>
  <c r="E152" i="14"/>
  <c r="F152" i="14" s="1"/>
  <c r="E151" i="14"/>
  <c r="F151" i="14" s="1"/>
  <c r="E150" i="14"/>
  <c r="H166" i="7" s="1"/>
  <c r="E149" i="14"/>
  <c r="H165" i="7" s="1"/>
  <c r="E148" i="14"/>
  <c r="F148" i="14" s="1"/>
  <c r="E147" i="14"/>
  <c r="F147" i="14" s="1"/>
  <c r="E146" i="14"/>
  <c r="H162" i="7" s="1"/>
  <c r="H138" i="7"/>
  <c r="H139" i="7"/>
  <c r="H140" i="7"/>
  <c r="H141" i="7"/>
  <c r="H142" i="7"/>
  <c r="H143" i="7"/>
  <c r="H144" i="7"/>
  <c r="H145" i="7"/>
  <c r="H146" i="7"/>
  <c r="H147" i="7"/>
  <c r="H148" i="7"/>
  <c r="H149" i="7"/>
  <c r="H150" i="7"/>
  <c r="H151" i="7"/>
  <c r="H152" i="7"/>
  <c r="H153" i="7"/>
  <c r="H154" i="7"/>
  <c r="H155" i="7"/>
  <c r="H156" i="7"/>
  <c r="H157" i="7"/>
  <c r="H158" i="7"/>
  <c r="H159" i="7"/>
  <c r="H160" i="7"/>
  <c r="H161" i="7"/>
  <c r="K146" i="14"/>
  <c r="J162" i="7" s="1"/>
  <c r="K147" i="14"/>
  <c r="J163" i="7" s="1"/>
  <c r="K148" i="14"/>
  <c r="J164" i="7" s="1"/>
  <c r="K149" i="14"/>
  <c r="J165" i="7" s="1"/>
  <c r="K150" i="14"/>
  <c r="J166" i="7" s="1"/>
  <c r="K151" i="14"/>
  <c r="J167" i="7" s="1"/>
  <c r="K152" i="14"/>
  <c r="J168" i="7" s="1"/>
  <c r="K153" i="14"/>
  <c r="J169" i="7" s="1"/>
  <c r="K154" i="14"/>
  <c r="I152" i="14"/>
  <c r="I168" i="7" s="1"/>
  <c r="I153" i="14"/>
  <c r="I169" i="7" s="1"/>
  <c r="I154" i="14"/>
  <c r="H146" i="14"/>
  <c r="H147" i="14"/>
  <c r="H148" i="14"/>
  <c r="H149" i="14"/>
  <c r="H150" i="14"/>
  <c r="H151" i="14"/>
  <c r="H152" i="14"/>
  <c r="H153" i="14"/>
  <c r="H154" i="14"/>
  <c r="F153" i="14" l="1"/>
  <c r="H170" i="7"/>
  <c r="L154" i="14"/>
  <c r="J170" i="7"/>
  <c r="F154" i="14"/>
  <c r="F150" i="14"/>
  <c r="F146" i="14"/>
  <c r="H167" i="7"/>
  <c r="F149" i="14"/>
  <c r="I170" i="7"/>
  <c r="L153" i="14"/>
  <c r="H163" i="7"/>
  <c r="L152" i="14"/>
  <c r="H164" i="7"/>
  <c r="H168" i="7"/>
  <c r="I138" i="7"/>
  <c r="I139" i="7"/>
  <c r="I140" i="7"/>
  <c r="I141" i="7"/>
  <c r="I142" i="7"/>
  <c r="I143" i="7"/>
  <c r="I144" i="7"/>
  <c r="I145" i="7"/>
  <c r="I146" i="7"/>
  <c r="I147" i="7"/>
  <c r="I148" i="7"/>
  <c r="I149" i="7"/>
  <c r="I150" i="7"/>
  <c r="I151" i="7"/>
  <c r="I152" i="7"/>
  <c r="I153" i="7"/>
  <c r="I154" i="7"/>
  <c r="I155" i="7"/>
  <c r="I156" i="7"/>
  <c r="I157" i="7"/>
  <c r="I158" i="7"/>
  <c r="I159" i="7"/>
  <c r="I160" i="7"/>
  <c r="I161" i="7"/>
  <c r="L145" i="14" l="1"/>
  <c r="K145" i="14"/>
  <c r="J161" i="7" s="1"/>
  <c r="H145" i="14"/>
  <c r="F145" i="14"/>
  <c r="L144" i="14"/>
  <c r="K144" i="14"/>
  <c r="J160" i="7" s="1"/>
  <c r="H144" i="14"/>
  <c r="F144" i="14"/>
  <c r="L143" i="14"/>
  <c r="K143" i="14"/>
  <c r="J159" i="7" s="1"/>
  <c r="H143" i="14"/>
  <c r="F143" i="14"/>
  <c r="L142" i="14"/>
  <c r="K142" i="14"/>
  <c r="J158" i="7" s="1"/>
  <c r="H142" i="14"/>
  <c r="F142" i="14"/>
  <c r="L141" i="14"/>
  <c r="K141" i="14"/>
  <c r="J157" i="7" s="1"/>
  <c r="H141" i="14"/>
  <c r="F141" i="14"/>
  <c r="L140" i="14"/>
  <c r="K140" i="14"/>
  <c r="J156" i="7" s="1"/>
  <c r="H140" i="14"/>
  <c r="F140" i="14"/>
  <c r="L139" i="14"/>
  <c r="K139" i="14"/>
  <c r="J155" i="7" s="1"/>
  <c r="H139" i="14"/>
  <c r="F139" i="14"/>
  <c r="L138" i="14"/>
  <c r="K138" i="14"/>
  <c r="J154" i="7" s="1"/>
  <c r="H138" i="14"/>
  <c r="F138" i="14"/>
  <c r="L137" i="14"/>
  <c r="K137" i="14"/>
  <c r="J153" i="7" s="1"/>
  <c r="H137" i="14"/>
  <c r="F137" i="14"/>
  <c r="L136" i="14"/>
  <c r="K136" i="14"/>
  <c r="J152" i="7" s="1"/>
  <c r="H136" i="14"/>
  <c r="F136" i="14"/>
  <c r="L135" i="14"/>
  <c r="K135" i="14"/>
  <c r="J151" i="7" s="1"/>
  <c r="H135" i="14"/>
  <c r="F135" i="14"/>
  <c r="L134" i="14"/>
  <c r="K134" i="14"/>
  <c r="J150" i="7" s="1"/>
  <c r="H134" i="14"/>
  <c r="F134" i="14"/>
  <c r="L133" i="14"/>
  <c r="K133" i="14"/>
  <c r="J149" i="7" s="1"/>
  <c r="H133" i="14"/>
  <c r="F133" i="14"/>
  <c r="L132" i="14"/>
  <c r="K132" i="14"/>
  <c r="J148" i="7" s="1"/>
  <c r="H132" i="14"/>
  <c r="F132" i="14"/>
  <c r="L131" i="14"/>
  <c r="K131" i="14"/>
  <c r="J147" i="7" s="1"/>
  <c r="H131" i="14"/>
  <c r="F131" i="14"/>
  <c r="L130" i="14"/>
  <c r="K130" i="14"/>
  <c r="J146" i="7" s="1"/>
  <c r="H130" i="14"/>
  <c r="F130" i="14"/>
  <c r="L129" i="14"/>
  <c r="K129" i="14"/>
  <c r="J145" i="7" s="1"/>
  <c r="H129" i="14"/>
  <c r="F129" i="14"/>
  <c r="L128" i="14"/>
  <c r="K128" i="14"/>
  <c r="J144" i="7" s="1"/>
  <c r="H128" i="14"/>
  <c r="F128" i="14"/>
  <c r="F125" i="14"/>
  <c r="F126" i="14"/>
  <c r="F127" i="14"/>
  <c r="F122" i="14"/>
  <c r="K127" i="14"/>
  <c r="J143" i="7" s="1"/>
  <c r="L127" i="14"/>
  <c r="H127" i="14"/>
  <c r="K126" i="14"/>
  <c r="J142" i="7" s="1"/>
  <c r="L126" i="14"/>
  <c r="H126" i="14"/>
  <c r="K125" i="14"/>
  <c r="J141" i="7" s="1"/>
  <c r="L125" i="14"/>
  <c r="H125" i="14"/>
  <c r="K124" i="14"/>
  <c r="J140" i="7" s="1"/>
  <c r="L124" i="14"/>
  <c r="H124" i="14"/>
  <c r="F124" i="14"/>
  <c r="K123" i="14"/>
  <c r="J139" i="7" s="1"/>
  <c r="L123" i="14"/>
  <c r="H123" i="14"/>
  <c r="F123" i="14"/>
  <c r="K122" i="14"/>
  <c r="J138" i="7" s="1"/>
  <c r="L122" i="14"/>
  <c r="H122" i="14"/>
  <c r="J134" i="7" l="1"/>
  <c r="J135" i="7"/>
  <c r="J136" i="7"/>
  <c r="J137" i="7"/>
  <c r="J129" i="7" l="1"/>
  <c r="J130" i="7"/>
  <c r="J131" i="7"/>
  <c r="J132" i="7"/>
  <c r="J133" i="7"/>
  <c r="I119" i="14"/>
  <c r="I135" i="7" s="1"/>
  <c r="I120" i="14"/>
  <c r="I121" i="14"/>
  <c r="I137" i="7" s="1"/>
  <c r="H113" i="14"/>
  <c r="H114" i="14"/>
  <c r="H115" i="14"/>
  <c r="H116" i="14"/>
  <c r="H117" i="14"/>
  <c r="H118" i="14"/>
  <c r="H119" i="14"/>
  <c r="H120" i="14"/>
  <c r="H121" i="14"/>
  <c r="E111" i="14"/>
  <c r="E113" i="14"/>
  <c r="H129" i="7" s="1"/>
  <c r="E114" i="14"/>
  <c r="H130" i="7" s="1"/>
  <c r="E115" i="14"/>
  <c r="H131" i="7" s="1"/>
  <c r="E116" i="14"/>
  <c r="H132" i="7" s="1"/>
  <c r="E117" i="14"/>
  <c r="F117" i="14" s="1"/>
  <c r="E118" i="14"/>
  <c r="H134" i="7" s="1"/>
  <c r="E119" i="14"/>
  <c r="E120" i="14"/>
  <c r="H136" i="7" s="1"/>
  <c r="E121" i="14"/>
  <c r="H133" i="7" l="1"/>
  <c r="F113" i="14"/>
  <c r="F116" i="14"/>
  <c r="F120" i="14"/>
  <c r="F115" i="14"/>
  <c r="F121" i="14"/>
  <c r="H137" i="7"/>
  <c r="F118" i="14"/>
  <c r="F114" i="14"/>
  <c r="L120" i="14"/>
  <c r="I136" i="7"/>
  <c r="F119" i="14"/>
  <c r="H135" i="7"/>
  <c r="L121" i="14"/>
  <c r="L119" i="14"/>
  <c r="J127" i="7"/>
  <c r="J128" i="7"/>
  <c r="I111" i="14"/>
  <c r="I127" i="7" s="1"/>
  <c r="I112" i="14"/>
  <c r="I128" i="7" s="1"/>
  <c r="H111" i="14"/>
  <c r="H112" i="14"/>
  <c r="H127" i="7"/>
  <c r="H128" i="7"/>
  <c r="E110" i="14"/>
  <c r="F111" i="14" l="1"/>
  <c r="L112" i="14"/>
  <c r="L111" i="14"/>
  <c r="J126" i="7"/>
  <c r="J118" i="7" l="1"/>
  <c r="J119" i="7"/>
  <c r="J120" i="7"/>
  <c r="J121" i="7"/>
  <c r="J122" i="7"/>
  <c r="J123" i="7"/>
  <c r="J124" i="7"/>
  <c r="J125" i="7"/>
  <c r="I108" i="14"/>
  <c r="I124" i="7" s="1"/>
  <c r="I109" i="14"/>
  <c r="I125" i="7" s="1"/>
  <c r="I110" i="14"/>
  <c r="I126" i="7" s="1"/>
  <c r="H102" i="14"/>
  <c r="H103" i="14"/>
  <c r="H104" i="14"/>
  <c r="H105" i="14"/>
  <c r="H106" i="14"/>
  <c r="H107" i="14"/>
  <c r="H108" i="14"/>
  <c r="H109" i="14"/>
  <c r="H110" i="14"/>
  <c r="E102" i="14"/>
  <c r="H118" i="7" s="1"/>
  <c r="E103" i="14"/>
  <c r="F103" i="14" s="1"/>
  <c r="E104" i="14"/>
  <c r="F104" i="14" s="1"/>
  <c r="E105" i="14"/>
  <c r="F105" i="14" s="1"/>
  <c r="E106" i="14"/>
  <c r="H122" i="7" s="1"/>
  <c r="E107" i="14"/>
  <c r="F107" i="14" s="1"/>
  <c r="E108" i="14"/>
  <c r="F108" i="14" s="1"/>
  <c r="E109" i="14"/>
  <c r="F109" i="14" s="1"/>
  <c r="H126" i="7"/>
  <c r="F106" i="14" l="1"/>
  <c r="F102" i="14"/>
  <c r="L109" i="14"/>
  <c r="F110" i="14"/>
  <c r="H125" i="7"/>
  <c r="H121" i="7"/>
  <c r="L108" i="14"/>
  <c r="H124" i="7"/>
  <c r="H120" i="7"/>
  <c r="H123" i="7"/>
  <c r="H119" i="7"/>
  <c r="L110" i="14"/>
  <c r="E95" i="14"/>
  <c r="H111" i="7" s="1"/>
  <c r="E96" i="14"/>
  <c r="H112" i="7" s="1"/>
  <c r="E97" i="14"/>
  <c r="F97" i="14" s="1"/>
  <c r="E98" i="14"/>
  <c r="H114" i="7" s="1"/>
  <c r="E99" i="14"/>
  <c r="F99" i="14" s="1"/>
  <c r="E100" i="14"/>
  <c r="F100" i="14" s="1"/>
  <c r="E101" i="14"/>
  <c r="F101" i="14" s="1"/>
  <c r="J108" i="7"/>
  <c r="J109" i="7"/>
  <c r="J110" i="7"/>
  <c r="J111" i="7"/>
  <c r="J112" i="7"/>
  <c r="J113" i="7"/>
  <c r="J114" i="7"/>
  <c r="J115" i="7"/>
  <c r="J116" i="7"/>
  <c r="J117" i="7"/>
  <c r="I96" i="14"/>
  <c r="I112" i="7" s="1"/>
  <c r="I100" i="14"/>
  <c r="I116" i="7" s="1"/>
  <c r="H95" i="14"/>
  <c r="H96" i="14"/>
  <c r="H97" i="14"/>
  <c r="H98" i="14"/>
  <c r="H99" i="14"/>
  <c r="H100" i="14"/>
  <c r="H101" i="14"/>
  <c r="I94" i="14"/>
  <c r="I110" i="7" s="1"/>
  <c r="H94" i="14"/>
  <c r="E94" i="14"/>
  <c r="H110" i="7" s="1"/>
  <c r="I93" i="14"/>
  <c r="I109" i="7" s="1"/>
  <c r="H93" i="14"/>
  <c r="E93" i="14"/>
  <c r="H109" i="7" s="1"/>
  <c r="I92" i="14"/>
  <c r="L92" i="14" s="1"/>
  <c r="H92" i="14"/>
  <c r="E92" i="14"/>
  <c r="H108" i="7" s="1"/>
  <c r="D57" i="1"/>
  <c r="D56" i="1"/>
  <c r="D55" i="1"/>
  <c r="D54" i="1"/>
  <c r="J104" i="7"/>
  <c r="J105" i="7"/>
  <c r="J106" i="7"/>
  <c r="J107" i="7"/>
  <c r="I88" i="14"/>
  <c r="I104" i="7" s="1"/>
  <c r="I89" i="14"/>
  <c r="I105" i="7" s="1"/>
  <c r="I90" i="14"/>
  <c r="I106" i="7" s="1"/>
  <c r="I91" i="14"/>
  <c r="I107" i="7" s="1"/>
  <c r="I85" i="14"/>
  <c r="L85" i="14" s="1"/>
  <c r="I86" i="14"/>
  <c r="L86" i="14" s="1"/>
  <c r="I87" i="14"/>
  <c r="I103" i="7" s="1"/>
  <c r="H88" i="14"/>
  <c r="H89" i="14"/>
  <c r="H90" i="14"/>
  <c r="H91" i="14"/>
  <c r="E91" i="14"/>
  <c r="F91" i="14" s="1"/>
  <c r="E90" i="14"/>
  <c r="H106" i="7" s="1"/>
  <c r="E89" i="14"/>
  <c r="H105" i="7" s="1"/>
  <c r="E88" i="14"/>
  <c r="F88" i="14" s="1"/>
  <c r="E72" i="14"/>
  <c r="F72" i="14" s="1"/>
  <c r="E73" i="14"/>
  <c r="F73" i="14" s="1"/>
  <c r="E81" i="14"/>
  <c r="F81" i="14" s="1"/>
  <c r="E82" i="14"/>
  <c r="F82" i="14" s="1"/>
  <c r="E83" i="14"/>
  <c r="H99" i="7" s="1"/>
  <c r="E84" i="14"/>
  <c r="H100" i="7" s="1"/>
  <c r="H101" i="7"/>
  <c r="J101" i="7"/>
  <c r="H102" i="7"/>
  <c r="J102" i="7"/>
  <c r="H103" i="7"/>
  <c r="J103" i="7"/>
  <c r="F85" i="14"/>
  <c r="F86" i="14"/>
  <c r="F87" i="14"/>
  <c r="H85" i="14"/>
  <c r="H86" i="14"/>
  <c r="H87" i="14"/>
  <c r="D53" i="1"/>
  <c r="D52" i="1"/>
  <c r="J97" i="7"/>
  <c r="J98" i="7"/>
  <c r="J99" i="7"/>
  <c r="J100" i="7"/>
  <c r="H84" i="14"/>
  <c r="H83" i="14"/>
  <c r="I80" i="14"/>
  <c r="L80" i="14" s="1"/>
  <c r="I82" i="14"/>
  <c r="L82" i="14" s="1"/>
  <c r="H82" i="14"/>
  <c r="H81" i="14"/>
  <c r="H96" i="7"/>
  <c r="J96" i="7"/>
  <c r="H80" i="14"/>
  <c r="F80" i="14"/>
  <c r="H95" i="7"/>
  <c r="H76" i="7"/>
  <c r="H77" i="7"/>
  <c r="H78" i="7"/>
  <c r="H79" i="7"/>
  <c r="H80" i="7"/>
  <c r="H81" i="7"/>
  <c r="H90" i="7"/>
  <c r="H91" i="7"/>
  <c r="H92" i="7"/>
  <c r="H93" i="7"/>
  <c r="H94" i="7"/>
  <c r="I79" i="14"/>
  <c r="I95" i="7" s="1"/>
  <c r="K79" i="14"/>
  <c r="J95" i="7" s="1"/>
  <c r="H79" i="14"/>
  <c r="F79" i="14"/>
  <c r="I78" i="14"/>
  <c r="L78" i="14" s="1"/>
  <c r="K78" i="14"/>
  <c r="J94" i="7" s="1"/>
  <c r="H78" i="14"/>
  <c r="F78" i="14"/>
  <c r="K77" i="14"/>
  <c r="J93" i="7" s="1"/>
  <c r="H77" i="14"/>
  <c r="F77" i="14"/>
  <c r="K76" i="14"/>
  <c r="J92" i="7" s="1"/>
  <c r="H76" i="14"/>
  <c r="F76" i="14"/>
  <c r="K75" i="14"/>
  <c r="J91" i="7" s="1"/>
  <c r="H75" i="14"/>
  <c r="F75" i="14"/>
  <c r="K74" i="14"/>
  <c r="J90" i="7" s="1"/>
  <c r="H74" i="14"/>
  <c r="F74" i="14"/>
  <c r="K73" i="14"/>
  <c r="J89" i="7" s="1"/>
  <c r="H73" i="14"/>
  <c r="K72" i="14"/>
  <c r="J88" i="7" s="1"/>
  <c r="H72" i="14"/>
  <c r="N71" i="14"/>
  <c r="K71" i="14"/>
  <c r="J87" i="7" s="1"/>
  <c r="H71" i="14"/>
  <c r="E71" i="14"/>
  <c r="F71" i="14" s="1"/>
  <c r="N70" i="14"/>
  <c r="K70" i="14"/>
  <c r="J86" i="7" s="1"/>
  <c r="H70" i="14"/>
  <c r="E70" i="14"/>
  <c r="H86" i="7" s="1"/>
  <c r="N69" i="14"/>
  <c r="I69" i="14"/>
  <c r="L69" i="14" s="1"/>
  <c r="K69" i="14"/>
  <c r="J85" i="7" s="1"/>
  <c r="H69" i="14"/>
  <c r="E69" i="14"/>
  <c r="F69" i="14" s="1"/>
  <c r="N68" i="14"/>
  <c r="K68" i="14"/>
  <c r="J84" i="7" s="1"/>
  <c r="H68" i="14"/>
  <c r="E68" i="14"/>
  <c r="H84" i="7" s="1"/>
  <c r="N67" i="14"/>
  <c r="K67" i="14"/>
  <c r="J83" i="7" s="1"/>
  <c r="H67" i="14"/>
  <c r="E67" i="14"/>
  <c r="F67" i="14" s="1"/>
  <c r="N66" i="14"/>
  <c r="K66" i="14"/>
  <c r="J82" i="7" s="1"/>
  <c r="H66" i="14"/>
  <c r="E66" i="14"/>
  <c r="H82" i="7" s="1"/>
  <c r="I65" i="14"/>
  <c r="I81" i="7" s="1"/>
  <c r="K65" i="14"/>
  <c r="J81" i="7" s="1"/>
  <c r="H65" i="14"/>
  <c r="F65" i="14"/>
  <c r="I64" i="14"/>
  <c r="I80" i="7" s="1"/>
  <c r="K64" i="14"/>
  <c r="J80" i="7" s="1"/>
  <c r="H64" i="14"/>
  <c r="F64" i="14"/>
  <c r="K63" i="14"/>
  <c r="J79" i="7" s="1"/>
  <c r="H63" i="14"/>
  <c r="F63" i="14"/>
  <c r="K62" i="14"/>
  <c r="J78" i="7" s="1"/>
  <c r="H62" i="14"/>
  <c r="F62" i="14"/>
  <c r="K61" i="14"/>
  <c r="J77" i="7" s="1"/>
  <c r="H61" i="14"/>
  <c r="F61" i="14"/>
  <c r="K60" i="14"/>
  <c r="J76" i="7" s="1"/>
  <c r="H60" i="14"/>
  <c r="F60" i="14"/>
  <c r="K59" i="14"/>
  <c r="J75" i="7" s="1"/>
  <c r="H59" i="14"/>
  <c r="E59" i="14"/>
  <c r="H75" i="7" s="1"/>
  <c r="K58" i="14"/>
  <c r="J74" i="7" s="1"/>
  <c r="H58" i="14"/>
  <c r="E58" i="14"/>
  <c r="F58" i="14" s="1"/>
  <c r="N57" i="14"/>
  <c r="I57" i="14"/>
  <c r="I73" i="7" s="1"/>
  <c r="K57" i="14"/>
  <c r="J73" i="7" s="1"/>
  <c r="H57" i="14"/>
  <c r="E57" i="14"/>
  <c r="F57" i="14" s="1"/>
  <c r="N56" i="14"/>
  <c r="K56" i="14"/>
  <c r="J72" i="7" s="1"/>
  <c r="H56" i="14"/>
  <c r="E56" i="14"/>
  <c r="H72" i="7" s="1"/>
  <c r="N55" i="14"/>
  <c r="K55" i="14"/>
  <c r="J71" i="7" s="1"/>
  <c r="H55" i="14"/>
  <c r="E55" i="14"/>
  <c r="H71" i="7" s="1"/>
  <c r="N54" i="14"/>
  <c r="I54" i="14"/>
  <c r="L54" i="14" s="1"/>
  <c r="K54" i="14"/>
  <c r="J70" i="7" s="1"/>
  <c r="H54" i="14"/>
  <c r="E54" i="14"/>
  <c r="F54" i="14" s="1"/>
  <c r="N53" i="14"/>
  <c r="I53" i="14"/>
  <c r="I69" i="7" s="1"/>
  <c r="K53" i="14"/>
  <c r="J69" i="7" s="1"/>
  <c r="H53" i="14"/>
  <c r="E53" i="14"/>
  <c r="F53" i="14" s="1"/>
  <c r="N52" i="14"/>
  <c r="K52" i="14"/>
  <c r="J68" i="7" s="1"/>
  <c r="H52" i="14"/>
  <c r="E52" i="14"/>
  <c r="H68" i="7" s="1"/>
  <c r="G31" i="5"/>
  <c r="H36" i="14" s="1"/>
  <c r="G32" i="5"/>
  <c r="H31" i="14" s="1"/>
  <c r="G33" i="5"/>
  <c r="H33" i="14" s="1"/>
  <c r="F42" i="1"/>
  <c r="F39" i="1"/>
  <c r="H40" i="7"/>
  <c r="F26" i="1"/>
  <c r="I26" i="14" s="1"/>
  <c r="I40" i="7" s="1"/>
  <c r="D26" i="1"/>
  <c r="F26" i="14"/>
  <c r="G36" i="5"/>
  <c r="H50" i="14" s="1"/>
  <c r="F51" i="1"/>
  <c r="D51" i="1"/>
  <c r="I7" i="14"/>
  <c r="L7" i="14" s="1"/>
  <c r="E7" i="14"/>
  <c r="F7" i="14" s="1"/>
  <c r="F7" i="1"/>
  <c r="D7" i="1"/>
  <c r="D39" i="1"/>
  <c r="D40" i="1"/>
  <c r="D41" i="1"/>
  <c r="D42" i="1"/>
  <c r="D43" i="1"/>
  <c r="D44" i="1"/>
  <c r="D45" i="1"/>
  <c r="D46" i="1"/>
  <c r="D47" i="1"/>
  <c r="D48" i="1"/>
  <c r="D49" i="1"/>
  <c r="D50" i="1"/>
  <c r="E9" i="14"/>
  <c r="F9" i="14" s="1"/>
  <c r="E10" i="14"/>
  <c r="F10" i="14" s="1"/>
  <c r="E11" i="14"/>
  <c r="H12" i="7" s="1"/>
  <c r="E12" i="14"/>
  <c r="F12" i="14" s="1"/>
  <c r="E13" i="14"/>
  <c r="H27" i="7" s="1"/>
  <c r="E14" i="14"/>
  <c r="H28" i="7" s="1"/>
  <c r="E15" i="14"/>
  <c r="F15" i="14" s="1"/>
  <c r="E16" i="14"/>
  <c r="H30" i="7" s="1"/>
  <c r="E17" i="14"/>
  <c r="H31" i="7" s="1"/>
  <c r="E18" i="14"/>
  <c r="H32" i="7" s="1"/>
  <c r="E19" i="14"/>
  <c r="F19" i="14" s="1"/>
  <c r="E20" i="14"/>
  <c r="F20" i="14" s="1"/>
  <c r="E29" i="14"/>
  <c r="F29" i="14" s="1"/>
  <c r="E30" i="14"/>
  <c r="F30" i="14" s="1"/>
  <c r="E31" i="14"/>
  <c r="H45" i="7" s="1"/>
  <c r="E32" i="14"/>
  <c r="F32" i="14" s="1"/>
  <c r="F40" i="1"/>
  <c r="F41" i="1"/>
  <c r="I41" i="14" s="1"/>
  <c r="L41" i="14" s="1"/>
  <c r="F43" i="1"/>
  <c r="F44" i="1"/>
  <c r="F45" i="1"/>
  <c r="F46" i="1"/>
  <c r="I46" i="14" s="1"/>
  <c r="I60" i="7" s="1"/>
  <c r="F47" i="1"/>
  <c r="F48" i="1"/>
  <c r="F49" i="1"/>
  <c r="I49" i="14" s="1"/>
  <c r="I63" i="7" s="1"/>
  <c r="F50" i="1"/>
  <c r="F28" i="1"/>
  <c r="F29" i="1"/>
  <c r="F30" i="1"/>
  <c r="F24" i="1"/>
  <c r="I24" i="14" s="1"/>
  <c r="L24" i="14" s="1"/>
  <c r="D24" i="1"/>
  <c r="F9" i="1"/>
  <c r="I9" i="14"/>
  <c r="I9" i="7" s="1"/>
  <c r="F10" i="1"/>
  <c r="I10" i="14" s="1"/>
  <c r="L10" i="14" s="1"/>
  <c r="D9" i="1"/>
  <c r="D10" i="1"/>
  <c r="H42" i="7"/>
  <c r="H37" i="7"/>
  <c r="H41" i="7"/>
  <c r="H36" i="7"/>
  <c r="H35" i="7"/>
  <c r="F24" i="14"/>
  <c r="H38" i="7"/>
  <c r="F38" i="1"/>
  <c r="I38" i="14" s="1"/>
  <c r="I52" i="7" s="1"/>
  <c r="D38" i="1"/>
  <c r="E8" i="14"/>
  <c r="H67" i="7" s="1"/>
  <c r="F32" i="1"/>
  <c r="I32" i="14" s="1"/>
  <c r="L32" i="14" s="1"/>
  <c r="F33" i="1"/>
  <c r="F34" i="1"/>
  <c r="F36" i="1"/>
  <c r="F37" i="1"/>
  <c r="I37" i="14" s="1"/>
  <c r="I51" i="7" s="1"/>
  <c r="D37" i="1"/>
  <c r="D36" i="1"/>
  <c r="G30" i="5"/>
  <c r="H32" i="14"/>
  <c r="D35" i="1"/>
  <c r="D34" i="1"/>
  <c r="D28" i="1"/>
  <c r="D29" i="1"/>
  <c r="D30" i="1"/>
  <c r="D31" i="1"/>
  <c r="D32" i="1"/>
  <c r="D33" i="1"/>
  <c r="K50" i="14"/>
  <c r="J64" i="7" s="1"/>
  <c r="E50" i="14"/>
  <c r="H64" i="7" s="1"/>
  <c r="K49" i="14"/>
  <c r="J63" i="7" s="1"/>
  <c r="E49" i="14"/>
  <c r="F49" i="14" s="1"/>
  <c r="K48" i="14"/>
  <c r="J62" i="7" s="1"/>
  <c r="E48" i="14"/>
  <c r="F48" i="14" s="1"/>
  <c r="K47" i="14"/>
  <c r="J61" i="7" s="1"/>
  <c r="E47" i="14"/>
  <c r="F47" i="14" s="1"/>
  <c r="K46" i="14"/>
  <c r="J60" i="7" s="1"/>
  <c r="E46" i="14"/>
  <c r="H60" i="7" s="1"/>
  <c r="K45" i="14"/>
  <c r="J59" i="7" s="1"/>
  <c r="E45" i="14"/>
  <c r="H59" i="7" s="1"/>
  <c r="K44" i="14"/>
  <c r="J58" i="7" s="1"/>
  <c r="E44" i="14"/>
  <c r="H58" i="7" s="1"/>
  <c r="K43" i="14"/>
  <c r="J57" i="7" s="1"/>
  <c r="E43" i="14"/>
  <c r="H57" i="7" s="1"/>
  <c r="K42" i="14"/>
  <c r="J56" i="7" s="1"/>
  <c r="E42" i="14"/>
  <c r="F42" i="14" s="1"/>
  <c r="K41" i="14"/>
  <c r="J55" i="7" s="1"/>
  <c r="E41" i="14"/>
  <c r="H55" i="7" s="1"/>
  <c r="K40" i="14"/>
  <c r="J54" i="7" s="1"/>
  <c r="E40" i="14"/>
  <c r="H54" i="7" s="1"/>
  <c r="K39" i="14"/>
  <c r="J53" i="7" s="1"/>
  <c r="E39" i="14"/>
  <c r="F39" i="14" s="1"/>
  <c r="K38" i="14"/>
  <c r="J52" i="7" s="1"/>
  <c r="E38" i="14"/>
  <c r="H52" i="7" s="1"/>
  <c r="K37" i="14"/>
  <c r="J51" i="7" s="1"/>
  <c r="E37" i="14"/>
  <c r="H51" i="7" s="1"/>
  <c r="K36" i="14"/>
  <c r="J50" i="7" s="1"/>
  <c r="E36" i="14"/>
  <c r="H50" i="7" s="1"/>
  <c r="K35" i="14"/>
  <c r="J49" i="7" s="1"/>
  <c r="E35" i="14"/>
  <c r="H49" i="7" s="1"/>
  <c r="K34" i="14"/>
  <c r="J48" i="7" s="1"/>
  <c r="E34" i="14"/>
  <c r="H48" i="7" s="1"/>
  <c r="K33" i="14"/>
  <c r="J47" i="7" s="1"/>
  <c r="E33" i="14"/>
  <c r="F33" i="14" s="1"/>
  <c r="F8" i="1"/>
  <c r="D8" i="1"/>
  <c r="K29" i="14"/>
  <c r="J43" i="7" s="1"/>
  <c r="I30" i="14"/>
  <c r="I44" i="7" s="1"/>
  <c r="K30" i="14"/>
  <c r="J44" i="7" s="1"/>
  <c r="K31" i="14"/>
  <c r="J45" i="7" s="1"/>
  <c r="K32" i="14"/>
  <c r="J46" i="7" s="1"/>
  <c r="K20" i="14"/>
  <c r="J34" i="7" s="1"/>
  <c r="F21" i="14"/>
  <c r="H21" i="14"/>
  <c r="K21" i="14"/>
  <c r="J35" i="7" s="1"/>
  <c r="F22" i="14"/>
  <c r="K22" i="14"/>
  <c r="J36" i="7" s="1"/>
  <c r="F23" i="14"/>
  <c r="H23" i="14"/>
  <c r="K23" i="14"/>
  <c r="J37" i="7" s="1"/>
  <c r="H24" i="14"/>
  <c r="K24" i="14"/>
  <c r="J38" i="7" s="1"/>
  <c r="H25" i="14"/>
  <c r="K25" i="14"/>
  <c r="J39" i="7" s="1"/>
  <c r="H26" i="14"/>
  <c r="K26" i="14"/>
  <c r="J40" i="7" s="1"/>
  <c r="K27" i="14"/>
  <c r="J41" i="7" s="1"/>
  <c r="F28" i="14"/>
  <c r="H28" i="14"/>
  <c r="K28" i="14"/>
  <c r="J42" i="7" s="1"/>
  <c r="I29" i="14"/>
  <c r="L29" i="14" s="1"/>
  <c r="F31" i="1"/>
  <c r="I31" i="14"/>
  <c r="I45" i="7" s="1"/>
  <c r="G20" i="5"/>
  <c r="H30" i="14" s="1"/>
  <c r="H27" i="14"/>
  <c r="G21" i="5"/>
  <c r="H48" i="14"/>
  <c r="G19" i="5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2" i="14"/>
  <c r="E2" i="14"/>
  <c r="H7" i="7" s="1"/>
  <c r="D27" i="1"/>
  <c r="F27" i="1"/>
  <c r="I27" i="14"/>
  <c r="L27" i="14" s="1"/>
  <c r="D23" i="1"/>
  <c r="F23" i="1"/>
  <c r="I23" i="14" s="1"/>
  <c r="I37" i="7" s="1"/>
  <c r="D22" i="1"/>
  <c r="F22" i="1"/>
  <c r="D21" i="1"/>
  <c r="F21" i="1"/>
  <c r="I74" i="14" s="1"/>
  <c r="L74" i="14" s="1"/>
  <c r="K3" i="14"/>
  <c r="K4" i="14"/>
  <c r="K5" i="14"/>
  <c r="J65" i="7" s="1"/>
  <c r="K6" i="14"/>
  <c r="J66" i="7" s="1"/>
  <c r="K7" i="14"/>
  <c r="K8" i="14"/>
  <c r="J8" i="7" s="1"/>
  <c r="K9" i="14"/>
  <c r="K10" i="14"/>
  <c r="J10" i="7" s="1"/>
  <c r="K11" i="14"/>
  <c r="J11" i="7" s="1"/>
  <c r="K12" i="14"/>
  <c r="K13" i="14"/>
  <c r="J27" i="7" s="1"/>
  <c r="K14" i="14"/>
  <c r="J28" i="7" s="1"/>
  <c r="K15" i="14"/>
  <c r="J29" i="7" s="1"/>
  <c r="K16" i="14"/>
  <c r="J30" i="7" s="1"/>
  <c r="K17" i="14"/>
  <c r="J31" i="7" s="1"/>
  <c r="K18" i="14"/>
  <c r="J32" i="7" s="1"/>
  <c r="K19" i="14"/>
  <c r="J33" i="7" s="1"/>
  <c r="K2" i="14"/>
  <c r="J6" i="7" s="1"/>
  <c r="D2" i="1"/>
  <c r="F2" i="1"/>
  <c r="I2" i="14" s="1"/>
  <c r="I6" i="7" s="1"/>
  <c r="F3" i="1"/>
  <c r="F4" i="1"/>
  <c r="I4" i="14"/>
  <c r="L4" i="14" s="1"/>
  <c r="F5" i="1"/>
  <c r="I5" i="14" s="1"/>
  <c r="L5" i="14" s="1"/>
  <c r="F6" i="1"/>
  <c r="F11" i="1"/>
  <c r="I11" i="14"/>
  <c r="L11" i="14" s="1"/>
  <c r="F12" i="1"/>
  <c r="I52" i="14" s="1"/>
  <c r="I68" i="7" s="1"/>
  <c r="F13" i="1"/>
  <c r="I67" i="14" s="1"/>
  <c r="I13" i="14"/>
  <c r="I27" i="7" s="1"/>
  <c r="F16" i="1"/>
  <c r="F15" i="1"/>
  <c r="I15" i="14"/>
  <c r="L15" i="14" s="1"/>
  <c r="I16" i="14"/>
  <c r="I30" i="7" s="1"/>
  <c r="F17" i="1"/>
  <c r="I71" i="14" s="1"/>
  <c r="L71" i="14" s="1"/>
  <c r="I17" i="14"/>
  <c r="I31" i="7" s="1"/>
  <c r="F18" i="1"/>
  <c r="F19" i="1"/>
  <c r="I81" i="14" s="1"/>
  <c r="L81" i="14" s="1"/>
  <c r="F20" i="1"/>
  <c r="E3" i="14"/>
  <c r="F3" i="14" s="1"/>
  <c r="E4" i="14"/>
  <c r="F4" i="14" s="1"/>
  <c r="E5" i="14"/>
  <c r="F5" i="14" s="1"/>
  <c r="E6" i="14"/>
  <c r="F6" i="14" s="1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84" i="14" s="1"/>
  <c r="L84" i="14" s="1"/>
  <c r="I47" i="14"/>
  <c r="L47" i="14" s="1"/>
  <c r="G16" i="5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H29" i="14" s="1"/>
  <c r="G13" i="5"/>
  <c r="H35" i="14"/>
  <c r="G15" i="5"/>
  <c r="H41" i="14"/>
  <c r="G5" i="5"/>
  <c r="G7" i="5"/>
  <c r="H20" i="14" s="1"/>
  <c r="H19" i="14"/>
  <c r="G14" i="5"/>
  <c r="G12" i="5"/>
  <c r="G2" i="5"/>
  <c r="G9" i="5"/>
  <c r="H22" i="14" s="1"/>
  <c r="G10" i="5"/>
  <c r="I45" i="14"/>
  <c r="I59" i="7" s="1"/>
  <c r="I43" i="14"/>
  <c r="L43" i="14" s="1"/>
  <c r="I39" i="14"/>
  <c r="L39" i="14" s="1"/>
  <c r="I20" i="14"/>
  <c r="L20" i="14" s="1"/>
  <c r="I8" i="14"/>
  <c r="I8" i="7" s="1"/>
  <c r="I28" i="14"/>
  <c r="L28" i="14" s="1"/>
  <c r="H46" i="14"/>
  <c r="H42" i="14"/>
  <c r="H49" i="14"/>
  <c r="H45" i="14"/>
  <c r="H47" i="14"/>
  <c r="H43" i="14"/>
  <c r="L25" i="14"/>
  <c r="H34" i="14"/>
  <c r="H39" i="14"/>
  <c r="H37" i="14"/>
  <c r="H38" i="14"/>
  <c r="H40" i="14"/>
  <c r="H44" i="14"/>
  <c r="I36" i="14"/>
  <c r="L36" i="14" s="1"/>
  <c r="I14" i="14"/>
  <c r="L14" i="14" s="1"/>
  <c r="F27" i="14"/>
  <c r="I50" i="14"/>
  <c r="I64" i="7" s="1"/>
  <c r="I44" i="14"/>
  <c r="L44" i="14" s="1"/>
  <c r="I48" i="14"/>
  <c r="I62" i="7" s="1"/>
  <c r="I42" i="14"/>
  <c r="L42" i="14" s="1"/>
  <c r="I34" i="14"/>
  <c r="L34" i="14" s="1"/>
  <c r="I40" i="14"/>
  <c r="L40" i="14" s="1"/>
  <c r="I33" i="14"/>
  <c r="L33" i="14" s="1"/>
  <c r="I6" i="14"/>
  <c r="L6" i="14" s="1"/>
  <c r="I3" i="14"/>
  <c r="L3" i="14" s="1"/>
  <c r="I22" i="14"/>
  <c r="I36" i="7" s="1"/>
  <c r="I21" i="14"/>
  <c r="L21" i="14" s="1"/>
  <c r="I49" i="7"/>
  <c r="L35" i="14"/>
  <c r="J67" i="7" l="1"/>
  <c r="J16" i="7"/>
  <c r="J5" i="7"/>
  <c r="L67" i="14"/>
  <c r="I83" i="7"/>
  <c r="I148" i="14"/>
  <c r="I115" i="14"/>
  <c r="I104" i="14"/>
  <c r="J19" i="7"/>
  <c r="I150" i="14"/>
  <c r="I117" i="14"/>
  <c r="I106" i="14"/>
  <c r="I58" i="14"/>
  <c r="L58" i="14" s="1"/>
  <c r="I59" i="14"/>
  <c r="I75" i="7" s="1"/>
  <c r="I60" i="14"/>
  <c r="I76" i="7" s="1"/>
  <c r="I61" i="14"/>
  <c r="I77" i="7" s="1"/>
  <c r="I62" i="14"/>
  <c r="L62" i="14" s="1"/>
  <c r="I63" i="14"/>
  <c r="I79" i="7" s="1"/>
  <c r="I66" i="14"/>
  <c r="I82" i="7" s="1"/>
  <c r="I70" i="14"/>
  <c r="L70" i="14" s="1"/>
  <c r="I73" i="14"/>
  <c r="I89" i="7" s="1"/>
  <c r="I75" i="14"/>
  <c r="L75" i="14" s="1"/>
  <c r="I76" i="14"/>
  <c r="L76" i="14" s="1"/>
  <c r="I77" i="14"/>
  <c r="I93" i="7" s="1"/>
  <c r="I99" i="14"/>
  <c r="I115" i="7" s="1"/>
  <c r="I18" i="14"/>
  <c r="L18" i="14" s="1"/>
  <c r="I147" i="14"/>
  <c r="I114" i="14"/>
  <c r="I103" i="14"/>
  <c r="I55" i="14"/>
  <c r="I71" i="7" s="1"/>
  <c r="I72" i="14"/>
  <c r="I95" i="14"/>
  <c r="I111" i="7" s="1"/>
  <c r="I98" i="14"/>
  <c r="I114" i="7" s="1"/>
  <c r="I151" i="14"/>
  <c r="I118" i="14"/>
  <c r="I107" i="14"/>
  <c r="I146" i="14"/>
  <c r="I113" i="14"/>
  <c r="I102" i="14"/>
  <c r="I19" i="14"/>
  <c r="L19" i="14" s="1"/>
  <c r="I149" i="14"/>
  <c r="I116" i="14"/>
  <c r="I105" i="14"/>
  <c r="I12" i="14"/>
  <c r="L12" i="14" s="1"/>
  <c r="I56" i="14"/>
  <c r="I68" i="14"/>
  <c r="I84" i="7" s="1"/>
  <c r="I83" i="14"/>
  <c r="I101" i="14"/>
  <c r="I117" i="7" s="1"/>
  <c r="I97" i="14"/>
  <c r="I113" i="7" s="1"/>
  <c r="L30" i="14"/>
  <c r="L17" i="14"/>
  <c r="H53" i="7"/>
  <c r="F52" i="14"/>
  <c r="F56" i="14"/>
  <c r="F16" i="14"/>
  <c r="J21" i="7"/>
  <c r="I85" i="7"/>
  <c r="F31" i="14"/>
  <c r="F40" i="14"/>
  <c r="I46" i="7"/>
  <c r="L57" i="14"/>
  <c r="L46" i="14"/>
  <c r="H73" i="7"/>
  <c r="I11" i="7"/>
  <c r="F13" i="14"/>
  <c r="L91" i="14"/>
  <c r="J4" i="7"/>
  <c r="J26" i="7"/>
  <c r="J14" i="7"/>
  <c r="J22" i="7"/>
  <c r="J7" i="7"/>
  <c r="J2" i="7"/>
  <c r="J18" i="7"/>
  <c r="J3" i="7"/>
  <c r="L16" i="14"/>
  <c r="L9" i="14"/>
  <c r="I97" i="7"/>
  <c r="L55" i="14"/>
  <c r="L31" i="14"/>
  <c r="H115" i="7"/>
  <c r="F41" i="14"/>
  <c r="I34" i="7"/>
  <c r="H66" i="7"/>
  <c r="I56" i="7"/>
  <c r="I29" i="7"/>
  <c r="L13" i="14"/>
  <c r="I12" i="7"/>
  <c r="J12" i="7"/>
  <c r="L94" i="14"/>
  <c r="I35" i="7"/>
  <c r="L22" i="14"/>
  <c r="I98" i="7"/>
  <c r="I87" i="7"/>
  <c r="H97" i="7"/>
  <c r="I54" i="7"/>
  <c r="L48" i="14"/>
  <c r="H65" i="7"/>
  <c r="L52" i="14"/>
  <c r="I96" i="7"/>
  <c r="I55" i="7"/>
  <c r="F2" i="14"/>
  <c r="I38" i="7"/>
  <c r="F37" i="14"/>
  <c r="H11" i="7"/>
  <c r="L100" i="14"/>
  <c r="H26" i="7"/>
  <c r="F11" i="14"/>
  <c r="I5" i="7"/>
  <c r="I7" i="7"/>
  <c r="I42" i="7"/>
  <c r="H69" i="7"/>
  <c r="H23" i="7"/>
  <c r="L26" i="14"/>
  <c r="K35" i="7" a="1"/>
  <c r="K35" i="7" s="1"/>
  <c r="H74" i="7"/>
  <c r="L68" i="14"/>
  <c r="I91" i="7"/>
  <c r="L79" i="14"/>
  <c r="I94" i="7"/>
  <c r="L89" i="14"/>
  <c r="F96" i="14"/>
  <c r="F83" i="14"/>
  <c r="H8" i="7"/>
  <c r="H14" i="7"/>
  <c r="F8" i="14"/>
  <c r="H18" i="7"/>
  <c r="I66" i="7"/>
  <c r="F55" i="14"/>
  <c r="L65" i="14"/>
  <c r="I100" i="7"/>
  <c r="L96" i="14"/>
  <c r="L15" i="7" a="1"/>
  <c r="L15" i="7" s="1"/>
  <c r="K9" i="7" a="1"/>
  <c r="K9" i="7" s="1"/>
  <c r="I14" i="7"/>
  <c r="F44" i="14"/>
  <c r="H4" i="7"/>
  <c r="F50" i="14"/>
  <c r="I48" i="7"/>
  <c r="L38" i="14"/>
  <c r="L37" i="14"/>
  <c r="I65" i="7"/>
  <c r="F34" i="14"/>
  <c r="H2" i="7"/>
  <c r="H29" i="7"/>
  <c r="H33" i="7"/>
  <c r="L53" i="14"/>
  <c r="H117" i="7"/>
  <c r="K45" i="7" a="1"/>
  <c r="K45" i="7" s="1"/>
  <c r="K33" i="7" a="1"/>
  <c r="K33" i="7" s="1"/>
  <c r="H21" i="7"/>
  <c r="I61" i="7"/>
  <c r="I57" i="7"/>
  <c r="H61" i="7"/>
  <c r="J25" i="7"/>
  <c r="J24" i="7"/>
  <c r="L45" i="14"/>
  <c r="I4" i="7"/>
  <c r="I17" i="7"/>
  <c r="L88" i="14"/>
  <c r="L98" i="14"/>
  <c r="L93" i="14"/>
  <c r="I25" i="7"/>
  <c r="I58" i="7"/>
  <c r="L16" i="7" a="1"/>
  <c r="L16" i="7" s="1"/>
  <c r="H44" i="7"/>
  <c r="H116" i="7"/>
  <c r="F84" i="14"/>
  <c r="F17" i="14"/>
  <c r="H47" i="7"/>
  <c r="H3" i="7"/>
  <c r="H19" i="7"/>
  <c r="H5" i="7"/>
  <c r="H87" i="7"/>
  <c r="H9" i="7"/>
  <c r="H25" i="7"/>
  <c r="F18" i="14"/>
  <c r="H88" i="7"/>
  <c r="F95" i="14"/>
  <c r="H43" i="7"/>
  <c r="F14" i="14"/>
  <c r="H17" i="7"/>
  <c r="F66" i="14"/>
  <c r="H24" i="7"/>
  <c r="H22" i="7"/>
  <c r="H6" i="7"/>
  <c r="F59" i="14"/>
  <c r="K36" i="7" a="1"/>
  <c r="K36" i="7" s="1"/>
  <c r="K8" i="7" a="1"/>
  <c r="K8" i="7" s="1"/>
  <c r="L2" i="14"/>
  <c r="J9" i="7"/>
  <c r="I18" i="7"/>
  <c r="H46" i="7"/>
  <c r="H15" i="7"/>
  <c r="H34" i="7"/>
  <c r="H62" i="7"/>
  <c r="J15" i="7"/>
  <c r="I23" i="7"/>
  <c r="H83" i="7"/>
  <c r="J13" i="7"/>
  <c r="L77" i="14"/>
  <c r="I101" i="7"/>
  <c r="L90" i="14"/>
  <c r="H113" i="7"/>
  <c r="K37" i="7" a="1"/>
  <c r="K37" i="7" s="1"/>
  <c r="J17" i="7"/>
  <c r="L50" i="14"/>
  <c r="I74" i="7"/>
  <c r="I86" i="7"/>
  <c r="H13" i="7"/>
  <c r="H89" i="7"/>
  <c r="L23" i="14"/>
  <c r="H104" i="7"/>
  <c r="F93" i="14"/>
  <c r="I108" i="7"/>
  <c r="I2" i="7"/>
  <c r="F35" i="14"/>
  <c r="I53" i="7"/>
  <c r="I3" i="7"/>
  <c r="H16" i="7"/>
  <c r="F36" i="14"/>
  <c r="J20" i="7"/>
  <c r="J23" i="7"/>
  <c r="I70" i="7"/>
  <c r="H70" i="7"/>
  <c r="H63" i="7"/>
  <c r="I47" i="7"/>
  <c r="F89" i="14"/>
  <c r="L87" i="14"/>
  <c r="K67" i="7" a="1"/>
  <c r="K67" i="7" s="1"/>
  <c r="K17" i="7" a="1"/>
  <c r="K17" i="7" s="1"/>
  <c r="L8" i="14"/>
  <c r="K39" i="7" a="1"/>
  <c r="K39" i="7" s="1"/>
  <c r="K44" i="7" a="1"/>
  <c r="K44" i="7" s="1"/>
  <c r="I41" i="7"/>
  <c r="I24" i="7"/>
  <c r="I28" i="7"/>
  <c r="H10" i="7"/>
  <c r="F90" i="14"/>
  <c r="F92" i="14"/>
  <c r="K11" i="7" a="1"/>
  <c r="K11" i="7" s="1"/>
  <c r="I15" i="7"/>
  <c r="I16" i="7"/>
  <c r="I67" i="7"/>
  <c r="K18" i="7" a="1"/>
  <c r="K18" i="7" s="1"/>
  <c r="I102" i="7"/>
  <c r="F94" i="14"/>
  <c r="K40" i="7" a="1"/>
  <c r="K40" i="7" s="1"/>
  <c r="K38" i="7" a="1"/>
  <c r="K38" i="7" s="1"/>
  <c r="F68" i="14"/>
  <c r="I78" i="7"/>
  <c r="F70" i="14"/>
  <c r="L99" i="14"/>
  <c r="K10" i="7" a="1"/>
  <c r="K10" i="7" s="1"/>
  <c r="I10" i="7"/>
  <c r="I13" i="7"/>
  <c r="L49" i="14"/>
  <c r="H56" i="7"/>
  <c r="H20" i="7"/>
  <c r="I22" i="7"/>
  <c r="I43" i="7"/>
  <c r="I90" i="7"/>
  <c r="I92" i="7"/>
  <c r="L64" i="14"/>
  <c r="H98" i="7"/>
  <c r="H107" i="7"/>
  <c r="F98" i="14"/>
  <c r="K41" i="7" a="1"/>
  <c r="K41" i="7" s="1"/>
  <c r="H85" i="7"/>
  <c r="I50" i="7"/>
  <c r="I33" i="7"/>
  <c r="L60" i="14"/>
  <c r="L101" i="14"/>
  <c r="K12" i="7" a="1"/>
  <c r="K12" i="7" s="1"/>
  <c r="K34" i="7" a="1"/>
  <c r="K34" i="7" s="1"/>
  <c r="L63" i="14" l="1"/>
  <c r="I19" i="7"/>
  <c r="I21" i="7"/>
  <c r="I32" i="7"/>
  <c r="L59" i="14"/>
  <c r="I26" i="7"/>
  <c r="L61" i="14"/>
  <c r="L66" i="14"/>
  <c r="I20" i="7"/>
  <c r="I72" i="7"/>
  <c r="L56" i="14"/>
  <c r="I165" i="7"/>
  <c r="L149" i="14"/>
  <c r="L113" i="14"/>
  <c r="I129" i="7"/>
  <c r="I134" i="7"/>
  <c r="L118" i="14"/>
  <c r="I130" i="7"/>
  <c r="L114" i="14"/>
  <c r="I164" i="7"/>
  <c r="L148" i="14"/>
  <c r="L95" i="14"/>
  <c r="L73" i="14"/>
  <c r="L146" i="14"/>
  <c r="I162" i="7"/>
  <c r="I167" i="7"/>
  <c r="L151" i="14"/>
  <c r="I88" i="7"/>
  <c r="L72" i="14"/>
  <c r="I163" i="7"/>
  <c r="L147" i="14"/>
  <c r="I122" i="7"/>
  <c r="L106" i="14"/>
  <c r="I99" i="7"/>
  <c r="L83" i="14"/>
  <c r="I121" i="7"/>
  <c r="L105" i="14"/>
  <c r="I133" i="7"/>
  <c r="L117" i="14"/>
  <c r="I120" i="7"/>
  <c r="L104" i="14"/>
  <c r="L97" i="14"/>
  <c r="I132" i="7"/>
  <c r="L116" i="14"/>
  <c r="I118" i="7"/>
  <c r="L102" i="14"/>
  <c r="I123" i="7"/>
  <c r="L107" i="14"/>
  <c r="I119" i="7"/>
  <c r="L103" i="14"/>
  <c r="L150" i="14"/>
  <c r="I166" i="7"/>
  <c r="L115" i="14"/>
  <c r="I131" i="7"/>
</calcChain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<sst xmlns="http://schemas.openxmlformats.org/spreadsheetml/2006/main" count="843" uniqueCount="527">
  <si>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</si>
  <si>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</si>
  <si>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</si>
  <si>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</si>
  <si>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</si>
  <si>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</si>
  <si>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</si>
  <si>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</si>
  <si>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</si>
  <si>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</si>
  <si>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</si>
  <si>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</si>
  <si>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</si>
  <si>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</si>
  <si>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</si>
  <si>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</si>
  <si>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</si>
  <si>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</si>
  <si>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</si>
  <si>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</si>
  <si>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</si>
  <si>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</si>
  <si>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</si>
  <si>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</si>
  <si>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value|价值</t>
    <phoneticPr fontId="1" type="noConversion"/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</si>
  <si>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</si>
  <si>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</si>
  <si>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</si>
  <si>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</si>
  <si>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</si>
  <si>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</si>
  <si>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</si>
  <si>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</si>
  <si>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</si>
  <si>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</si>
  <si>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</si>
  <si>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</si>
  <si>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</si>
  <si>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</si>
  <si>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</si>
  <si>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</si>
  <si>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</si>
  <si>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</si>
  <si>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</si>
  <si>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</si>
  <si>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</si>
  <si>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</si>
  <si>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</si>
  <si>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</si>
  <si>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</si>
  <si>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</si>
  <si>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</si>
  <si>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</si>
  <si>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63,2,</t>
    <phoneticPr fontId="1" type="noConversion"/>
  </si>
  <si>
    <t>0.01,</t>
    <phoneticPr fontId="1" type="noConversion"/>
  </si>
  <si>
    <t>ID12389活动不要随意修改</t>
    <phoneticPr fontId="1" type="noConversion"/>
  </si>
  <si>
    <t>award_id|奖励组合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</si>
  <si>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</si>
  <si>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</si>
  <si>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</si>
  <si>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</si>
  <si>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</si>
  <si>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</si>
  <si>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</si>
  <si>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</si>
  <si>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</si>
  <si>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</si>
  <si>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</si>
  <si>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</si>
  <si>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</si>
  <si>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</si>
  <si>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</si>
  <si>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</si>
  <si>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</si>
  <si>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</si>
  <si>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</si>
  <si>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</si>
  <si>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</si>
  <si>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</si>
  <si>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</si>
  <si>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</si>
  <si>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life|生命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</si>
  <si>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</si>
  <si>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</si>
  <si>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</si>
  <si>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</si>
  <si>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</si>
  <si>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rate|倍率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</si>
  <si>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</si>
  <si>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</si>
  <si>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</si>
  <si>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</si>
  <si>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</si>
  <si>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</si>
  <si>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</si>
  <si>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</si>
  <si>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</si>
  <si>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</si>
  <si>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</si>
  <si>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</si>
  <si>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</si>
  <si>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</si>
  <si>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</si>
  <si>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</si>
  <si>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</si>
  <si>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</si>
  <si>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</si>
  <si>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</si>
  <si>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</si>
  <si>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</si>
  <si>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</si>
  <si>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</si>
  <si>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</si>
  <si>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</si>
  <si>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</si>
  <si>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</si>
  <si>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</si>
  <si>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</si>
  <si>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</si>
  <si>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</si>
  <si>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</si>
  <si>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</si>
  <si>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</si>
  <si>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17,</t>
    <phoneticPr fontId="1" type="noConversion"/>
  </si>
  <si>
    <t>18,</t>
    <phoneticPr fontId="1" type="noConversion"/>
  </si>
  <si>
    <t>19,</t>
    <phoneticPr fontId="1" type="noConversion"/>
  </si>
  <si>
    <t>20,</t>
    <phoneticPr fontId="1" type="noConversion"/>
  </si>
  <si>
    <t>21,</t>
    <phoneticPr fontId="1" type="noConversion"/>
  </si>
  <si>
    <t>22,</t>
    <phoneticPr fontId="1" type="noConversion"/>
  </si>
  <si>
    <t>23,</t>
    <phoneticPr fontId="1" type="noConversion"/>
  </si>
  <si>
    <t>24,</t>
    <phoneticPr fontId="1" type="noConversion"/>
  </si>
  <si>
    <t>25,</t>
    <phoneticPr fontId="1" type="noConversion"/>
  </si>
  <si>
    <t>26,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</si>
  <si>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</si>
  <si>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</si>
  <si>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</si>
  <si>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27,</t>
    <phoneticPr fontId="1" type="noConversion"/>
  </si>
  <si>
    <t>3,9,16</t>
    <phoneticPr fontId="1" type="noConversion"/>
  </si>
  <si>
    <t>1,7,14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</si>
  <si>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</si>
  <si>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</si>
  <si>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</si>
  <si>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</si>
  <si>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</si>
  <si>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</si>
  <si>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</si>
  <si>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</si>
  <si>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</si>
  <si>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</si>
  <si>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</si>
  <si>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</si>
  <si>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</si>
  <si>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</si>
  <si>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</si>
  <si>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</si>
  <si>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</si>
  <si>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</si>
  <si>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</si>
  <si>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</si>
  <si>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</si>
  <si>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5,7,5,</t>
    <phoneticPr fontId="1" type="noConversion"/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</si>
  <si>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</si>
  <si>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</si>
  <si>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</si>
  <si>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</si>
  <si>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</si>
  <si>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</si>
  <si>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</si>
  <si>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电磁弹</t>
    <phoneticPr fontId="1" type="noConversion"/>
  </si>
  <si>
    <t xml:space="preserve">    </t>
    <phoneticPr fontId="1" type="noConversion"/>
  </si>
  <si>
    <t>clear_level|鱼潮清理等级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</si>
  <si>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</si>
  <si>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</si>
  <si>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</si>
  <si>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原子弹</t>
    <phoneticPr fontId="1" type="noConversion"/>
  </si>
  <si>
    <t>4,</t>
  </si>
  <si>
    <t>5,</t>
  </si>
  <si>
    <t>10,2,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</si>
  <si>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</si>
  <si>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</si>
  <si>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</si>
  <si>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</si>
  <si>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</si>
  <si>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</si>
  <si>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</si>
  <si>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</si>
  <si>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</si>
  <si>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</si>
  <si>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</si>
  <si>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</si>
  <si>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</si>
  <si>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</si>
  <si>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</si>
  <si>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</si>
  <si>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</si>
  <si>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</si>
  <si>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</si>
  <si>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</si>
  <si>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</si>
  <si>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</si>
  <si>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</si>
  <si>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</si>
  <si>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</si>
  <si>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</si>
  <si>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</si>
  <si>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</si>
  <si>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</si>
  <si>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</si>
  <si>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</si>
  <si>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</si>
  <si>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</si>
  <si>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</si>
  <si>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50,50,50,50,100,</t>
    <phoneticPr fontId="1" type="noConversion"/>
  </si>
  <si>
    <t>0.02,0.02,0.02,0.02,0.01</t>
    <phoneticPr fontId="1" type="noConversion"/>
  </si>
  <si>
    <t>黄金灯笼鱼</t>
    <phoneticPr fontId="1" type="noConversion"/>
  </si>
  <si>
    <t>3,</t>
  </si>
  <si>
    <t>8,7,8,</t>
    <phoneticPr fontId="1" type="noConversion"/>
  </si>
  <si>
    <t>11,</t>
    <phoneticPr fontId="1" type="noConversion"/>
  </si>
  <si>
    <t>path|一网打尽时路径</t>
    <phoneticPr fontId="1" type="noConversion"/>
  </si>
  <si>
    <t>100,</t>
    <phoneticPr fontId="1" type="noConversion"/>
  </si>
  <si>
    <t>宝藏章鱼</t>
    <phoneticPr fontId="1" type="noConversion"/>
  </si>
  <si>
    <t>2,</t>
    <phoneticPr fontId="1" type="noConversion"/>
  </si>
  <si>
    <t>fish_type|鱼类型,1A群鱼   2B群鱼  3敢死队  4一网打尽</t>
    <phoneticPr fontId="1" type="noConversion"/>
  </si>
  <si>
    <t>12,13,17,</t>
    <phoneticPr fontId="1" type="noConversion"/>
  </si>
  <si>
    <t>5,8,18,</t>
    <phoneticPr fontId="1" type="noConversion"/>
  </si>
  <si>
    <t>4,5,18,</t>
    <phoneticPr fontId="1" type="noConversion"/>
  </si>
  <si>
    <t>3,7,17,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</si>
  <si>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</si>
  <si>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</si>
  <si>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</si>
  <si>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</si>
  <si>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3,9,16,22</t>
    <phoneticPr fontId="1" type="noConversion"/>
  </si>
  <si>
    <t>46,</t>
    <phoneticPr fontId="1" type="noConversion"/>
  </si>
  <si>
    <t>5,</t>
    <phoneticPr fontId="1" type="noConversion"/>
  </si>
  <si>
    <t>13,13,13,13,13,</t>
    <phoneticPr fontId="1" type="noConversion"/>
  </si>
  <si>
    <t>79,7,5,32,23,</t>
    <phoneticPr fontId="1" type="noConversion"/>
  </si>
  <si>
    <t>4,</t>
    <phoneticPr fontId="1" type="noConversion"/>
  </si>
  <si>
    <t>5,</t>
    <phoneticPr fontId="1" type="noConversion"/>
  </si>
  <si>
    <t>5,36,31,20,23,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</si>
  <si>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</si>
  <si>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</si>
  <si>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</si>
  <si>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200,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</si>
  <si>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</si>
  <si>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</si>
  <si>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</si>
  <si>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</si>
  <si>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</si>
  <si>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</si>
  <si>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</si>
  <si>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</si>
  <si>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</si>
  <si>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</si>
  <si>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</si>
  <si>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</si>
  <si>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</si>
  <si>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</si>
  <si>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0,200</t>
    <phoneticPr fontId="1" type="noConversion"/>
  </si>
  <si>
    <t>时限免费超级活力子弹</t>
    <phoneticPr fontId="1" type="noConversion"/>
  </si>
  <si>
    <t>120,180</t>
    <phoneticPr fontId="1" type="noConversion"/>
  </si>
  <si>
    <t>250,2,</t>
    <phoneticPr fontId="1" type="noConversion"/>
  </si>
  <si>
    <t>强击弹（超级火力）</t>
    <phoneticPr fontId="1" type="noConversion"/>
  </si>
  <si>
    <t>强击弹</t>
    <phoneticPr fontId="1" type="noConversion"/>
  </si>
  <si>
    <t>强击弹（双倍）</t>
    <phoneticPr fontId="1" type="noConversion"/>
  </si>
  <si>
    <t>强击弹（双倍）</t>
    <phoneticPr fontId="1" type="noConversion"/>
  </si>
  <si>
    <t>300,</t>
    <phoneticPr fontId="1" type="noConversion"/>
  </si>
  <si>
    <t>6,6,6,6,6,</t>
    <phoneticPr fontId="1" type="noConversion"/>
  </si>
  <si>
    <t>77,39,12,35,15,</t>
    <phoneticPr fontId="1" type="noConversion"/>
  </si>
  <si>
    <t>7,7,7,7,7,</t>
    <phoneticPr fontId="1" type="noConversion"/>
  </si>
  <si>
    <t>26,24,6,28,4,</t>
    <phoneticPr fontId="1" type="noConversion"/>
  </si>
  <si>
    <t>80,</t>
    <phoneticPr fontId="1" type="noConversion"/>
  </si>
  <si>
    <t>9,9,9,9,9,</t>
    <phoneticPr fontId="1" type="noConversion"/>
  </si>
  <si>
    <t>10,10,10,10,10,</t>
    <phoneticPr fontId="1" type="noConversion"/>
  </si>
  <si>
    <t>11,11,11,11,11,</t>
    <phoneticPr fontId="1" type="noConversion"/>
  </si>
  <si>
    <t>4,11,19,5,34,26,76,</t>
    <phoneticPr fontId="1" type="noConversion"/>
  </si>
  <si>
    <t>39,12,35,16,15,29,5,</t>
    <phoneticPr fontId="1" type="noConversion"/>
  </si>
  <si>
    <t>24,7,6,28,4,75,17,</t>
    <phoneticPr fontId="1" type="noConversion"/>
  </si>
  <si>
    <t>0,40</t>
    <phoneticPr fontId="1" type="noConversion"/>
  </si>
  <si>
    <t>0,60</t>
    <phoneticPr fontId="1" type="noConversion"/>
  </si>
  <si>
    <t>0,40</t>
    <phoneticPr fontId="1" type="noConversion"/>
  </si>
  <si>
    <t>0,100</t>
    <phoneticPr fontId="1" type="noConversion"/>
  </si>
  <si>
    <t>0,300</t>
    <phoneticPr fontId="1" type="noConversion"/>
  </si>
  <si>
    <t>0,300</t>
    <phoneticPr fontId="1" type="noConversion"/>
  </si>
  <si>
    <t>0,200</t>
    <phoneticPr fontId="1" type="noConversion"/>
  </si>
  <si>
    <t>200,400</t>
    <phoneticPr fontId="1" type="noConversion"/>
  </si>
  <si>
    <t>0,200</t>
    <phoneticPr fontId="1" type="noConversion"/>
  </si>
  <si>
    <t>0,200</t>
    <phoneticPr fontId="1" type="noConversion"/>
  </si>
  <si>
    <t>0,400</t>
    <phoneticPr fontId="1" type="noConversion"/>
  </si>
  <si>
    <t>4,20,30,50,100,</t>
    <phoneticPr fontId="1" type="noConversion"/>
  </si>
  <si>
    <t>1,300,</t>
    <phoneticPr fontId="1" type="noConversion"/>
  </si>
  <si>
    <t>150,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</si>
  <si>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</si>
  <si>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</si>
  <si>
    <t>疯狂原子弹</t>
    <phoneticPr fontId="1" type="noConversion"/>
  </si>
  <si>
    <t>金币转盘</t>
    <phoneticPr fontId="1" type="noConversion"/>
  </si>
  <si>
    <t>连环转盘</t>
    <phoneticPr fontId="1" type="noConversion"/>
  </si>
  <si>
    <t>200,</t>
    <phoneticPr fontId="1" type="noConversion"/>
  </si>
  <si>
    <t>1,0,90,1,10</t>
    <phoneticPr fontId="1" type="noConversion"/>
  </si>
  <si>
    <t>彩贝-试炼场</t>
    <phoneticPr fontId="1" type="noConversion"/>
  </si>
  <si>
    <t>彩贝-场次1</t>
    <phoneticPr fontId="1" type="noConversion"/>
  </si>
  <si>
    <t>1,0,85,1,10,2,5</t>
    <phoneticPr fontId="1" type="noConversion"/>
  </si>
  <si>
    <t>彩贝-场次2</t>
    <phoneticPr fontId="1" type="noConversion"/>
  </si>
  <si>
    <t>1,0,70,1,10,2,15,3,5</t>
    <phoneticPr fontId="1" type="noConversion"/>
  </si>
  <si>
    <t>彩贝-场次3</t>
    <phoneticPr fontId="1" type="noConversion"/>
  </si>
  <si>
    <t>彩贝-场次4</t>
    <phoneticPr fontId="1" type="noConversion"/>
  </si>
  <si>
    <t>1,0,70,1,0,2,15,3,7,4,3</t>
    <phoneticPr fontId="1" type="noConversion"/>
  </si>
  <si>
    <t>1,0,84,1,0,2,0,3,10,4,5,5,1</t>
    <phoneticPr fontId="1" type="noConversion"/>
  </si>
  <si>
    <t>炸弹</t>
    <phoneticPr fontId="1" type="noConversion"/>
  </si>
  <si>
    <t>闪电</t>
    <phoneticPr fontId="1" type="noConversion"/>
  </si>
  <si>
    <t>51,</t>
    <phoneticPr fontId="1" type="noConversion"/>
  </si>
  <si>
    <t>52,</t>
    <phoneticPr fontId="1" type="noConversion"/>
  </si>
  <si>
    <t>53,</t>
    <phoneticPr fontId="1" type="noConversion"/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</si>
  <si>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</si>
  <si>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</si>
  <si>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</si>
  <si>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</si>
  <si>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</si>
  <si>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</si>
  <si>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</si>
  <si>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</si>
  <si>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</si>
  <si>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</si>
  <si>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</si>
  <si>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</si>
  <si>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</si>
  <si>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</si>
  <si>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</si>
  <si>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</si>
  <si>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</si>
  <si>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</si>
  <si>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</si>
  <si>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</si>
  <si>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</si>
  <si>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</si>
  <si>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</si>
  <si>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</si>
  <si>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</si>
  <si>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12,12,12,12,12,</t>
    <phoneticPr fontId="1" type="noConversion"/>
  </si>
  <si>
    <t>龙虾BOSS</t>
    <phoneticPr fontId="1" type="noConversion"/>
  </si>
  <si>
    <t>activity</t>
    <phoneticPr fontId="1" type="noConversion"/>
  </si>
  <si>
    <t>79,</t>
    <phoneticPr fontId="1" type="noConversion"/>
  </si>
  <si>
    <t>activity</t>
    <phoneticPr fontId="1" type="noConversion"/>
  </si>
  <si>
    <t>80,</t>
    <phoneticPr fontId="1" type="noConversion"/>
  </si>
  <si>
    <t>81,</t>
    <phoneticPr fontId="1" type="noConversion"/>
  </si>
  <si>
    <t>83,</t>
    <phoneticPr fontId="1" type="noConversion"/>
  </si>
  <si>
    <t>82,</t>
    <phoneticPr fontId="1" type="noConversion"/>
  </si>
  <si>
    <t>0,0.2,</t>
    <phoneticPr fontId="1" type="noConversion"/>
  </si>
  <si>
    <t>0,0.06,</t>
    <phoneticPr fontId="1" type="noConversion"/>
  </si>
  <si>
    <t>0,0.04,</t>
    <phoneticPr fontId="1" type="noConversion"/>
  </si>
  <si>
    <t>0,0.02,</t>
    <phoneticPr fontId="1" type="noConversion"/>
  </si>
  <si>
    <t>0,0.03,</t>
    <phoneticPr fontId="1" type="noConversion"/>
  </si>
  <si>
    <t>接吻鱼</t>
    <phoneticPr fontId="1" type="noConversion"/>
  </si>
  <si>
    <t>0,0.05,0.1</t>
    <phoneticPr fontId="1" type="noConversion"/>
  </si>
  <si>
    <t>0,0.1,0.2</t>
    <phoneticPr fontId="1" type="noConversion"/>
  </si>
  <si>
    <t>0,0.2,0.3</t>
    <phoneticPr fontId="1" type="noConversion"/>
  </si>
  <si>
    <t>84,</t>
    <phoneticPr fontId="1" type="noConversion"/>
  </si>
  <si>
    <t>85,</t>
    <phoneticPr fontId="1" type="noConversion"/>
  </si>
  <si>
    <t>86,</t>
    <phoneticPr fontId="1" type="noConversion"/>
  </si>
  <si>
    <t>87,</t>
  </si>
  <si>
    <t>88,</t>
  </si>
  <si>
    <t>89,</t>
  </si>
  <si>
    <t>90,</t>
  </si>
  <si>
    <t>4,11,4,</t>
    <phoneticPr fontId="1" type="noConversion"/>
  </si>
  <si>
    <t>7,11,7,</t>
    <phoneticPr fontId="1" type="noConversion"/>
  </si>
  <si>
    <t>5,12,5,</t>
    <phoneticPr fontId="1" type="noConversion"/>
  </si>
  <si>
    <t>4,11,4,</t>
    <phoneticPr fontId="1" type="noConversion"/>
  </si>
  <si>
    <t>星星鱼</t>
    <phoneticPr fontId="1" type="noConversion"/>
  </si>
  <si>
    <t>"prop_031_aster",0,0.05,0.1</t>
    <phoneticPr fontId="1" type="noConversion"/>
  </si>
  <si>
    <t>"prop_031_aster",0,0.1,0.2</t>
    <phoneticPr fontId="1" type="noConversion"/>
  </si>
  <si>
    <t>"prop_031_aster",0,0.2,0.3</t>
    <phoneticPr fontId="1" type="noConversion"/>
  </si>
  <si>
    <t>91,</t>
    <phoneticPr fontId="1" type="noConversion"/>
  </si>
  <si>
    <t>94,</t>
    <phoneticPr fontId="1" type="noConversion"/>
  </si>
  <si>
    <t>95,</t>
    <phoneticPr fontId="1" type="noConversion"/>
  </si>
  <si>
    <t>96,</t>
    <phoneticPr fontId="1" type="noConversion"/>
  </si>
  <si>
    <t>92,</t>
    <phoneticPr fontId="1" type="noConversion"/>
  </si>
  <si>
    <t>93,</t>
    <phoneticPr fontId="1" type="noConversion"/>
  </si>
  <si>
    <t>97,</t>
    <phoneticPr fontId="1" type="noConversion"/>
  </si>
  <si>
    <t>98,</t>
    <phoneticPr fontId="1" type="noConversion"/>
  </si>
  <si>
    <t>99,</t>
    <phoneticPr fontId="1" type="noConversion"/>
  </si>
  <si>
    <t>100,</t>
    <phoneticPr fontId="1" type="noConversion"/>
  </si>
  <si>
    <t>"prop_031_aster",0,0.01,</t>
    <phoneticPr fontId="1" type="noConversion"/>
  </si>
  <si>
    <t>核弹1（炸几次，伤害，倍率）</t>
    <phoneticPr fontId="1" type="noConversion"/>
  </si>
  <si>
    <t>核弹2</t>
    <phoneticPr fontId="1" type="noConversion"/>
  </si>
  <si>
    <t>40000000,45000000,50,45000000,50000000,30,50000000,60000000,20,</t>
    <phoneticPr fontId="1" type="noConversion"/>
  </si>
  <si>
    <t>80000000,90000000,50,90000000,100000000,30,100000000,120000000,20,</t>
    <phoneticPr fontId="1" type="noConversion"/>
  </si>
  <si>
    <t>快速射击</t>
    <phoneticPr fontId="1" type="noConversion"/>
  </si>
  <si>
    <t>狂暴卡</t>
    <phoneticPr fontId="1" type="noConversion"/>
  </si>
  <si>
    <t>翻倍卡</t>
    <phoneticPr fontId="1" type="noConversion"/>
  </si>
  <si>
    <t xml:space="preserve">  </t>
    <phoneticPr fontId="1" type="noConversion"/>
  </si>
  <si>
    <t>核弹3</t>
    <phoneticPr fontId="1" type="noConversion"/>
  </si>
  <si>
    <t>核弹4</t>
    <phoneticPr fontId="1" type="noConversion"/>
  </si>
  <si>
    <t>核弹5</t>
    <phoneticPr fontId="1" type="noConversion"/>
  </si>
  <si>
    <t>8000000,9000000,50,9000000,10000000,30,10000000,12000000,20,</t>
    <phoneticPr fontId="1" type="noConversion"/>
  </si>
  <si>
    <t>800000,900000,50,900000,1000000,30,1000000,1200000,20,</t>
    <phoneticPr fontId="1" type="noConversion"/>
  </si>
  <si>
    <t>4000000,4500000,50,4500000,5000000,30,5000000,6000000,20,</t>
    <phoneticPr fontId="1" type="noConversion"/>
  </si>
  <si>
    <t>初级核弹</t>
    <phoneticPr fontId="1" type="noConversion"/>
  </si>
  <si>
    <t>中级核弹</t>
    <phoneticPr fontId="1" type="noConversion"/>
  </si>
  <si>
    <t>高级核弹</t>
    <phoneticPr fontId="1" type="noConversion"/>
  </si>
  <si>
    <t>顶级核弹</t>
    <phoneticPr fontId="1" type="noConversion"/>
  </si>
  <si>
    <t>终极核弹</t>
    <phoneticPr fontId="1" type="noConversion"/>
  </si>
  <si>
    <t>accelerate</t>
    <phoneticPr fontId="1" type="noConversion"/>
  </si>
  <si>
    <t>wild</t>
    <phoneticPr fontId="1" type="noConversion"/>
  </si>
  <si>
    <t>doubled</t>
    <phoneticPr fontId="1" type="noConversion"/>
  </si>
  <si>
    <t>火鸡鱼</t>
    <phoneticPr fontId="1" type="noConversion"/>
  </si>
  <si>
    <t>101,</t>
  </si>
  <si>
    <t>102,</t>
  </si>
  <si>
    <t>103,</t>
  </si>
  <si>
    <t>104,</t>
  </si>
  <si>
    <t>105,</t>
  </si>
  <si>
    <t>106,</t>
  </si>
  <si>
    <t>107,</t>
  </si>
  <si>
    <t>108,</t>
  </si>
  <si>
    <t>109,</t>
  </si>
  <si>
    <t>"prop_gej_hj",0,0.05,0.1</t>
  </si>
  <si>
    <t>"prop_gej_hj",0,0.1,0.2</t>
  </si>
  <si>
    <t>"prop_gej_hj",0,0.2,0.3</t>
  </si>
  <si>
    <t>"prop_gej_hj",0,0.01,</t>
  </si>
  <si>
    <t>话费鱼</t>
    <phoneticPr fontId="1" type="noConversion"/>
  </si>
  <si>
    <t>话费鱼</t>
    <phoneticPr fontId="1" type="noConversion"/>
  </si>
  <si>
    <t>110,</t>
  </si>
  <si>
    <t>111,</t>
  </si>
  <si>
    <t>"prop_web_chip_huafei",10,0.02,0.05</t>
    <phoneticPr fontId="1" type="noConversion"/>
  </si>
  <si>
    <t>礼盒boss</t>
    <phoneticPr fontId="1" type="noConversion"/>
  </si>
  <si>
    <t>"prop_12_12_lh",0,0.05,0.1</t>
  </si>
  <si>
    <t>"prop_12_12_lh",0,0.1,0.2</t>
  </si>
  <si>
    <t>"prop_12_12_lh",0,0.2,0.3</t>
  </si>
  <si>
    <t>"prop_12_12_lh",0,0.01,</t>
  </si>
  <si>
    <t>112,</t>
  </si>
  <si>
    <t>113,</t>
  </si>
  <si>
    <t>114,</t>
  </si>
  <si>
    <t>115,</t>
  </si>
  <si>
    <t>116,</t>
  </si>
  <si>
    <t>117,</t>
  </si>
  <si>
    <t>118,</t>
  </si>
  <si>
    <t>119,</t>
  </si>
  <si>
    <t>120,</t>
  </si>
  <si>
    <t>121,</t>
  </si>
  <si>
    <t>122,</t>
  </si>
  <si>
    <t>123,</t>
  </si>
  <si>
    <t>124,</t>
  </si>
  <si>
    <t>125,</t>
  </si>
  <si>
    <t>126,</t>
  </si>
  <si>
    <t>127,</t>
  </si>
  <si>
    <t>128,</t>
  </si>
  <si>
    <t>129,</t>
  </si>
  <si>
    <t>130,</t>
  </si>
  <si>
    <t>131,</t>
  </si>
  <si>
    <t>132,</t>
  </si>
  <si>
    <t>133,</t>
  </si>
  <si>
    <t>134,</t>
  </si>
  <si>
    <t>135,</t>
  </si>
  <si>
    <t>136,</t>
  </si>
  <si>
    <t>137,</t>
  </si>
  <si>
    <t>138,</t>
  </si>
  <si>
    <t>139,</t>
  </si>
  <si>
    <t>140,</t>
  </si>
  <si>
    <t>141,</t>
  </si>
  <si>
    <t>142,</t>
  </si>
  <si>
    <t>143,</t>
  </si>
  <si>
    <t>144,</t>
  </si>
  <si>
    <t>50,100</t>
    <phoneticPr fontId="1" type="noConversion"/>
  </si>
  <si>
    <t>145,</t>
  </si>
  <si>
    <t>146,</t>
  </si>
  <si>
    <t>147,</t>
  </si>
  <si>
    <t>148,</t>
  </si>
  <si>
    <t>149,</t>
  </si>
  <si>
    <t>150,</t>
  </si>
  <si>
    <t>151,</t>
  </si>
  <si>
    <t>152,</t>
  </si>
  <si>
    <t>153,</t>
  </si>
  <si>
    <t>活动boss</t>
    <phoneticPr fontId="1" type="noConversion"/>
  </si>
  <si>
    <t>154,</t>
  </si>
  <si>
    <t>155,</t>
  </si>
  <si>
    <t>156,</t>
  </si>
  <si>
    <t>157,</t>
  </si>
  <si>
    <t>158,</t>
  </si>
  <si>
    <t>159,</t>
  </si>
  <si>
    <t>160,</t>
  </si>
  <si>
    <t>161,</t>
  </si>
  <si>
    <t>162,</t>
  </si>
  <si>
    <t>163,</t>
  </si>
  <si>
    <t>164,</t>
  </si>
  <si>
    <t>165,</t>
  </si>
  <si>
    <t>166,</t>
  </si>
  <si>
    <t>167,</t>
  </si>
  <si>
    <t>168,</t>
  </si>
  <si>
    <t>169,</t>
  </si>
  <si>
    <t>170,</t>
  </si>
  <si>
    <t>171,</t>
  </si>
  <si>
    <t>红包鱼</t>
    <phoneticPr fontId="1" type="noConversion"/>
  </si>
  <si>
    <t>红包</t>
    <phoneticPr fontId="1" type="noConversion"/>
  </si>
  <si>
    <t>172,</t>
    <phoneticPr fontId="1" type="noConversion"/>
  </si>
  <si>
    <t>173,</t>
    <phoneticPr fontId="1" type="noConversion"/>
  </si>
  <si>
    <t>100,300</t>
    <phoneticPr fontId="1" type="noConversion"/>
  </si>
  <si>
    <t>"shop_gold_sum",8,0.05,0.15</t>
    <phoneticPr fontId="1" type="noConversion"/>
  </si>
  <si>
    <t>1,0,0.2,0.3</t>
    <phoneticPr fontId="1" type="noConversion"/>
  </si>
  <si>
    <t>1,0,0.3,0.4</t>
    <phoneticPr fontId="1" type="noConversion"/>
  </si>
  <si>
    <t>1,0,0.4,0.5</t>
    <phoneticPr fontId="1" type="noConversion"/>
  </si>
  <si>
    <t>1,0,0.01,</t>
    <phoneticPr fontId="1" type="noConversion"/>
  </si>
  <si>
    <t>2,0,0.2,0.3</t>
    <phoneticPr fontId="1" type="noConversion"/>
  </si>
  <si>
    <t>2,0,0.3,0.4</t>
    <phoneticPr fontId="1" type="noConversion"/>
  </si>
  <si>
    <t>2,0,0.4,0.5</t>
    <phoneticPr fontId="1" type="noConversion"/>
  </si>
  <si>
    <t>2,0,0.01,</t>
    <phoneticPr fontId="1" type="noConversion"/>
  </si>
  <si>
    <t>0,0,0.66,1</t>
    <phoneticPr fontId="1" type="noConversion"/>
  </si>
  <si>
    <t>0,0,1,1.33</t>
    <phoneticPr fontId="1" type="noConversion"/>
  </si>
  <si>
    <t>0,0,1.33,1.66</t>
    <phoneticPr fontId="1" type="noConversion"/>
  </si>
  <si>
    <t>0,0,0.03,</t>
    <phoneticPr fontId="1" type="noConversion"/>
  </si>
  <si>
    <t>黄金灯笼鱼</t>
  </si>
  <si>
    <t>0,40</t>
    <phoneticPr fontId="1" type="noConversion"/>
  </si>
  <si>
    <t>0,80</t>
    <phoneticPr fontId="1" type="noConversion"/>
  </si>
  <si>
    <t>0,120</t>
    <phoneticPr fontId="1" type="noConversion"/>
  </si>
  <si>
    <t>0,40</t>
    <phoneticPr fontId="1" type="noConversion"/>
  </si>
  <si>
    <t>0,80</t>
    <phoneticPr fontId="1" type="noConversion"/>
  </si>
  <si>
    <t>174,</t>
  </si>
  <si>
    <t>175,</t>
  </si>
  <si>
    <t>176,</t>
  </si>
  <si>
    <t>177,</t>
  </si>
  <si>
    <t>178,</t>
  </si>
  <si>
    <t>179,</t>
  </si>
  <si>
    <t>金龙币</t>
    <phoneticPr fontId="1" type="noConversion"/>
  </si>
  <si>
    <t>"prop_jinglongbi",9,0.01,</t>
    <phoneticPr fontId="1" type="noConversion"/>
  </si>
  <si>
    <t>180,</t>
  </si>
  <si>
    <t>181,</t>
  </si>
  <si>
    <t>182,</t>
  </si>
  <si>
    <t>183,</t>
  </si>
  <si>
    <t>184,</t>
  </si>
  <si>
    <t>185,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</si>
</sst>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21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07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0" fillId="11" borderId="0" xfId="0" applyFill="1"/>
    <xf numFmtId="0" fontId="0" fillId="0" borderId="0" xfId="0" applyAlignment="1">
      <alignment horizontal="left"/>
    </xf>
    <xf numFmtId="0" fontId="0" fillId="12" borderId="0" xfId="0" applyFill="1" applyAlignment="1">
      <alignment horizontal="center"/>
    </xf>
    <xf numFmtId="0" fontId="0" fillId="12" borderId="0" xfId="0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0" fillId="12" borderId="0" xfId="0" applyFill="1"/>
    <xf numFmtId="0" fontId="0" fillId="0" borderId="0" xfId="0" applyFill="1"/>
    <xf numFmtId="0" fontId="0" fillId="13" borderId="0" xfId="0" applyFill="1" applyAlignment="1">
      <alignment horizontal="center"/>
    </xf>
    <xf numFmtId="0" fontId="0" fillId="13" borderId="0" xfId="0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0" fillId="13" borderId="0" xfId="0" applyFill="1"/>
    <xf numFmtId="0" fontId="0" fillId="13" borderId="0" xfId="0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4" borderId="0" xfId="0" applyFill="1"/>
    <xf numFmtId="0" fontId="0" fillId="14" borderId="0" xfId="0" applyFill="1" applyAlignment="1">
      <alignment horizontal="center"/>
    </xf>
    <xf numFmtId="0" fontId="4" fillId="14" borderId="0" xfId="0" applyFont="1" applyFill="1" applyAlignment="1">
      <alignment horizontal="center" vertical="center"/>
    </xf>
    <xf numFmtId="0" fontId="0" fillId="15" borderId="0" xfId="0" applyFill="1"/>
    <xf numFmtId="0" fontId="0" fillId="15" borderId="0" xfId="0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4" fillId="15" borderId="0" xfId="0" applyFont="1" applyFill="1" applyAlignment="1">
      <alignment horizontal="center" vertical="center"/>
    </xf>
    <xf numFmtId="0" fontId="0" fillId="16" borderId="0" xfId="0" applyFill="1"/>
    <xf numFmtId="0" fontId="0" fillId="16" borderId="0" xfId="0" applyFill="1" applyBorder="1" applyAlignment="1">
      <alignment horizontal="center" vertical="center"/>
    </xf>
    <xf numFmtId="0" fontId="0" fillId="17" borderId="0" xfId="0" applyFill="1" applyAlignment="1">
      <alignment horizontal="center"/>
    </xf>
    <xf numFmtId="0" fontId="0" fillId="17" borderId="0" xfId="0" applyFill="1" applyAlignment="1">
      <alignment horizontal="center" vertical="center"/>
    </xf>
    <xf numFmtId="0" fontId="4" fillId="17" borderId="0" xfId="0" applyFont="1" applyFill="1" applyAlignment="1">
      <alignment horizontal="center" vertical="center"/>
    </xf>
    <xf numFmtId="0" fontId="0" fillId="17" borderId="0" xfId="0" applyFill="1"/>
    <xf numFmtId="0" fontId="0" fillId="18" borderId="0" xfId="0" applyFill="1" applyAlignment="1">
      <alignment horizontal="center"/>
    </xf>
    <xf numFmtId="0" fontId="0" fillId="18" borderId="0" xfId="0" applyFill="1" applyAlignment="1">
      <alignment horizontal="center" vertical="center"/>
    </xf>
    <xf numFmtId="0" fontId="4" fillId="18" borderId="0" xfId="0" applyFont="1" applyFill="1" applyAlignment="1">
      <alignment horizontal="center" vertical="center"/>
    </xf>
    <xf numFmtId="0" fontId="0" fillId="18" borderId="0" xfId="0" applyFill="1"/>
    <xf numFmtId="49" fontId="0" fillId="15" borderId="0" xfId="0" applyNumberFormat="1" applyFill="1" applyAlignment="1">
      <alignment horizontal="center"/>
    </xf>
    <xf numFmtId="0" fontId="0" fillId="7" borderId="0" xfId="0" applyFill="1" applyBorder="1" applyAlignment="1">
      <alignment horizontal="center" vertical="center"/>
    </xf>
    <xf numFmtId="0" fontId="0" fillId="14" borderId="0" xfId="0" applyFill="1" applyBorder="1" applyAlignment="1">
      <alignment horizontal="center" vertical="center"/>
    </xf>
    <xf numFmtId="0" fontId="0" fillId="19" borderId="0" xfId="0" applyFill="1"/>
    <xf numFmtId="0" fontId="0" fillId="19" borderId="0" xfId="0" applyFill="1" applyBorder="1" applyAlignment="1">
      <alignment horizontal="center" vertical="center"/>
    </xf>
    <xf numFmtId="0" fontId="0" fillId="19" borderId="0" xfId="0" applyFill="1" applyAlignment="1">
      <alignment horizontal="center"/>
    </xf>
    <xf numFmtId="0" fontId="0" fillId="19" borderId="0" xfId="0" applyFill="1" applyAlignment="1">
      <alignment horizontal="center" vertical="center"/>
    </xf>
    <xf numFmtId="0" fontId="4" fillId="19" borderId="0" xfId="0" applyFont="1" applyFill="1" applyAlignment="1">
      <alignment horizontal="center" vertical="center"/>
    </xf>
    <xf numFmtId="0" fontId="3" fillId="2" borderId="1" xfId="1" applyNumberFormat="1" applyFont="1" applyFill="1" applyBorder="1" applyAlignment="1" applyProtection="1">
      <alignment horizontal="right" vertical="center" wrapText="1"/>
    </xf>
    <xf numFmtId="0" fontId="0" fillId="6" borderId="0" xfId="0" applyFill="1" applyAlignment="1">
      <alignment horizontal="right"/>
    </xf>
    <xf numFmtId="0" fontId="0" fillId="3" borderId="0" xfId="0" applyFill="1" applyAlignment="1">
      <alignment horizontal="right"/>
    </xf>
    <xf numFmtId="0" fontId="0" fillId="9" borderId="0" xfId="0" applyFill="1" applyAlignment="1">
      <alignment horizontal="right"/>
    </xf>
    <xf numFmtId="0" fontId="0" fillId="4" borderId="0" xfId="0" applyFill="1" applyAlignment="1">
      <alignment horizontal="right"/>
    </xf>
    <xf numFmtId="0" fontId="0" fillId="10" borderId="0" xfId="0" applyFill="1" applyAlignment="1">
      <alignment horizontal="right"/>
    </xf>
    <xf numFmtId="0" fontId="0" fillId="7" borderId="0" xfId="0" applyFill="1" applyAlignment="1">
      <alignment horizontal="right"/>
    </xf>
    <xf numFmtId="0" fontId="0" fillId="8" borderId="0" xfId="0" applyFill="1" applyAlignment="1">
      <alignment horizontal="right"/>
    </xf>
    <xf numFmtId="0" fontId="0" fillId="12" borderId="0" xfId="0" applyFill="1" applyAlignment="1">
      <alignment horizontal="right"/>
    </xf>
    <xf numFmtId="0" fontId="0" fillId="13" borderId="0" xfId="0" applyFill="1" applyAlignment="1">
      <alignment horizontal="right"/>
    </xf>
    <xf numFmtId="0" fontId="0" fillId="14" borderId="0" xfId="0" applyFill="1" applyAlignment="1">
      <alignment horizontal="right"/>
    </xf>
    <xf numFmtId="0" fontId="0" fillId="15" borderId="0" xfId="0" applyFill="1" applyAlignment="1">
      <alignment horizontal="right"/>
    </xf>
    <xf numFmtId="0" fontId="0" fillId="17" borderId="0" xfId="0" applyFill="1" applyAlignment="1">
      <alignment horizontal="right"/>
    </xf>
    <xf numFmtId="0" fontId="0" fillId="18" borderId="0" xfId="0" applyFill="1" applyAlignment="1">
      <alignment horizontal="right"/>
    </xf>
    <xf numFmtId="0" fontId="0" fillId="0" borderId="0" xfId="0" applyAlignment="1">
      <alignment horizontal="right"/>
    </xf>
    <xf numFmtId="0" fontId="0" fillId="19" borderId="0" xfId="0" applyFill="1" applyAlignment="1">
      <alignment horizontal="right"/>
    </xf>
    <xf numFmtId="0" fontId="0" fillId="20" borderId="0" xfId="0" applyFill="1"/>
    <xf numFmtId="0" fontId="0" fillId="20" borderId="0" xfId="0" applyFill="1" applyAlignment="1">
      <alignment horizontal="right"/>
    </xf>
    <xf numFmtId="0" fontId="0" fillId="20" borderId="0" xfId="0" applyFill="1" applyAlignment="1">
      <alignment horizontal="center" vertical="center"/>
    </xf>
    <xf numFmtId="0" fontId="0" fillId="20" borderId="0" xfId="0" applyFill="1" applyAlignment="1">
      <alignment horizont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202"/>
  <sheetViews>
    <sheetView workbookViewId="0">
      <pane ySplit="1" topLeftCell="A68" activePane="bottomLeft" state="frozen"/>
      <selection pane="bottomLeft" activeCell="A76" sqref="A76:XFD81"/>
    </sheetView>
  </sheetViews>
  <sheetFormatPr defaultColWidth="8.625" defaultRowHeight="14.25" outlineLevelCol="1" x14ac:dyDescent="0.2"/>
  <cols>
    <col min="2" max="2" width="17.125" customWidth="1"/>
    <col min="3" max="3" width="17.875" style="101" bestFit="1" customWidth="1"/>
    <col min="7" max="7" width="20.625" bestFit="1" customWidth="1"/>
    <col min="8" max="8" width="10.625" customWidth="1"/>
    <col min="9" max="9" width="12" customWidth="1"/>
    <col min="10" max="10" width="19.625" customWidth="1"/>
    <col min="11" max="11" width="18.875" bestFit="1" customWidth="1"/>
    <col min="17" max="23" width="8.625" customWidth="1" outlineLevel="1"/>
  </cols>
  <sheetData>
    <row r="1" spans="1:23" s="1" customFormat="1" ht="63.75" customHeight="1" x14ac:dyDescent="0.2">
      <c r="A1" s="1" t="s">
        <v>10</v>
      </c>
      <c r="B1" s="1" t="s">
        <v>222</v>
      </c>
      <c r="C1" s="87" t="s">
        <v>13</v>
      </c>
      <c r="D1" s="1" t="s">
        <v>14</v>
      </c>
      <c r="E1" s="1" t="s">
        <v>11</v>
      </c>
      <c r="F1" s="1" t="s">
        <v>12</v>
      </c>
      <c r="G1" s="1" t="s">
        <v>218</v>
      </c>
      <c r="H1" s="1" t="s">
        <v>81</v>
      </c>
      <c r="I1" s="1" t="s">
        <v>87</v>
      </c>
      <c r="J1" s="8" t="s">
        <v>85</v>
      </c>
      <c r="K1" s="1" t="s">
        <v>56</v>
      </c>
      <c r="L1" s="1" t="s">
        <v>37</v>
      </c>
      <c r="Q1" s="1" t="s">
        <v>38</v>
      </c>
      <c r="R1" s="1" t="s">
        <v>38</v>
      </c>
      <c r="S1" s="1" t="s">
        <v>38</v>
      </c>
      <c r="T1" s="1" t="s">
        <v>38</v>
      </c>
      <c r="U1" s="1" t="s">
        <v>38</v>
      </c>
      <c r="V1" s="1" t="s">
        <v>38</v>
      </c>
      <c r="W1" s="1" t="s">
        <v>38</v>
      </c>
    </row>
    <row r="2" spans="1:23" s="27" customFormat="1" x14ac:dyDescent="0.2">
      <c r="A2" s="27">
        <v>1</v>
      </c>
      <c r="B2" s="27">
        <v>1</v>
      </c>
      <c r="C2" s="88" t="s">
        <v>236</v>
      </c>
      <c r="D2" s="27" t="s">
        <v>118</v>
      </c>
      <c r="F2" s="27">
        <v>5</v>
      </c>
      <c r="G2" s="25"/>
      <c r="H2" s="27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7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5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7" t="s">
        <v>49</v>
      </c>
      <c r="Q2" s="27">
        <v>1</v>
      </c>
    </row>
    <row r="3" spans="1:23" s="27" customFormat="1" x14ac:dyDescent="0.2">
      <c r="A3" s="27">
        <v>2</v>
      </c>
      <c r="B3" s="27">
        <v>1</v>
      </c>
      <c r="C3" s="88" t="s">
        <v>237</v>
      </c>
      <c r="D3" s="27" t="s">
        <v>118</v>
      </c>
      <c r="F3" s="27">
        <v>5</v>
      </c>
      <c r="G3" s="25"/>
      <c r="H3" s="27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7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5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7">
        <v>1</v>
      </c>
    </row>
    <row r="4" spans="1:23" s="27" customFormat="1" x14ac:dyDescent="0.2">
      <c r="A4" s="27">
        <v>3</v>
      </c>
      <c r="B4" s="27">
        <v>2</v>
      </c>
      <c r="C4" s="88" t="s">
        <v>215</v>
      </c>
      <c r="D4" s="27" t="s">
        <v>118</v>
      </c>
      <c r="G4" s="25"/>
      <c r="H4" s="27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7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5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7">
        <v>1</v>
      </c>
    </row>
    <row r="5" spans="1:23" s="27" customFormat="1" x14ac:dyDescent="0.2">
      <c r="A5" s="27">
        <v>4</v>
      </c>
      <c r="B5" s="27">
        <v>2</v>
      </c>
      <c r="C5" s="88" t="s">
        <v>175</v>
      </c>
      <c r="D5" s="27" t="s">
        <v>118</v>
      </c>
      <c r="G5" s="25"/>
      <c r="H5" s="27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7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5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7">
        <v>1</v>
      </c>
    </row>
    <row r="6" spans="1:23" s="27" customFormat="1" x14ac:dyDescent="0.2">
      <c r="A6" s="27">
        <v>5</v>
      </c>
      <c r="B6" s="27">
        <v>2</v>
      </c>
      <c r="C6" s="88" t="s">
        <v>176</v>
      </c>
      <c r="D6" s="27" t="s">
        <v>118</v>
      </c>
      <c r="G6" s="25"/>
      <c r="H6" s="27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7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5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7">
        <v>1</v>
      </c>
    </row>
    <row r="7" spans="1:23" s="27" customFormat="1" x14ac:dyDescent="0.2">
      <c r="A7" s="27">
        <v>6</v>
      </c>
      <c r="B7" s="27">
        <v>2</v>
      </c>
      <c r="C7" s="88" t="s">
        <v>266</v>
      </c>
      <c r="G7" s="43" t="s">
        <v>267</v>
      </c>
      <c r="H7" s="27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7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5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7">
        <v>1</v>
      </c>
    </row>
    <row r="8" spans="1:23" s="27" customFormat="1" x14ac:dyDescent="0.2">
      <c r="A8" s="27">
        <v>7</v>
      </c>
      <c r="B8" s="27">
        <v>2</v>
      </c>
      <c r="C8" s="88" t="s">
        <v>268</v>
      </c>
      <c r="G8" s="43" t="s">
        <v>269</v>
      </c>
      <c r="H8" s="27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7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5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27" t="str">
        <f t="array" ref="K8">INDEX(use_fish!A:A,SMALL(IF(group!$L$2&amp;IF(ISBLANK($L$14),$L$14,"+"&amp;$L$14)=use_fish!H:H,ROW(use_fish!H:H),4^8),ROW(16:16)))&amp;""</f>
        <v/>
      </c>
      <c r="Q8" s="27">
        <v>7</v>
      </c>
    </row>
    <row r="9" spans="1:23" s="27" customFormat="1" x14ac:dyDescent="0.2">
      <c r="A9" s="27">
        <v>8</v>
      </c>
      <c r="B9" s="27">
        <v>2</v>
      </c>
      <c r="C9" s="88" t="s">
        <v>119</v>
      </c>
      <c r="D9" s="27" t="s">
        <v>233</v>
      </c>
      <c r="F9" s="27">
        <v>10</v>
      </c>
      <c r="H9" s="27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7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5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27" t="str">
        <f t="array" ref="K9">INDEX(use_fish!A:A,SMALL(IF(group!$L$2&amp;IF(ISBLANK($L$14),$L$14,"+"&amp;$L$14)=use_fish!H:H,ROW(use_fish!H:H),4^8),ROW(17:17)))&amp;""</f>
        <v/>
      </c>
      <c r="Q9" s="27">
        <v>8</v>
      </c>
    </row>
    <row r="10" spans="1:23" s="27" customFormat="1" x14ac:dyDescent="0.2">
      <c r="A10" s="27">
        <v>9</v>
      </c>
      <c r="B10" s="27">
        <v>1</v>
      </c>
      <c r="C10" s="88" t="s">
        <v>221</v>
      </c>
      <c r="D10" s="27" t="s">
        <v>118</v>
      </c>
      <c r="H10" s="27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7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5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27" t="str">
        <f t="array" ref="K10">INDEX(use_fish!A:A,SMALL(IF(group!$L$2&amp;IF(ISBLANK($L$14),$L$14,"+"&amp;$L$14)=use_fish!H:H,ROW(use_fish!H:H),4^8),ROW(18:18)))&amp;""</f>
        <v/>
      </c>
      <c r="Q10" s="27">
        <v>9</v>
      </c>
    </row>
    <row r="11" spans="1:23" s="27" customFormat="1" x14ac:dyDescent="0.2">
      <c r="A11" s="27">
        <v>10</v>
      </c>
      <c r="B11" s="27">
        <v>1</v>
      </c>
      <c r="C11" s="88" t="s">
        <v>25</v>
      </c>
      <c r="D11" s="27" t="s">
        <v>119</v>
      </c>
      <c r="H11" s="27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7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5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27" t="str">
        <f t="array" ref="K11">INDEX(use_fish!A:A,SMALL(IF(group!$L$2&amp;IF(ISBLANK($L$14),$L$14,"+"&amp;$L$14)=use_fish!H:H,ROW(use_fish!H:H),4^8),ROW(8:8)))&amp;""</f>
        <v/>
      </c>
      <c r="Q11" s="27">
        <v>10</v>
      </c>
    </row>
    <row r="12" spans="1:23" s="27" customFormat="1" x14ac:dyDescent="0.2">
      <c r="A12" s="27">
        <v>11</v>
      </c>
      <c r="B12" s="27">
        <v>1</v>
      </c>
      <c r="C12" s="88" t="s">
        <v>217</v>
      </c>
      <c r="D12" s="27" t="s">
        <v>118</v>
      </c>
      <c r="H12" s="27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7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5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27" t="str">
        <f t="array" ref="K12">INDEX(use_fish!A:A,SMALL(IF(group!$L$2&amp;IF(ISBLANK($L$14),$L$14,"+"&amp;$L$14)=use_fish!H:H,ROW(use_fish!H:H),4^8),ROW(9:9)))&amp;""</f>
        <v/>
      </c>
      <c r="Q12" s="27">
        <v>10</v>
      </c>
    </row>
    <row r="13" spans="1:23" s="10" customFormat="1" x14ac:dyDescent="0.2">
      <c r="A13" s="10">
        <v>12</v>
      </c>
      <c r="B13" s="10">
        <v>3</v>
      </c>
      <c r="C13" s="89" t="s">
        <v>362</v>
      </c>
      <c r="H13" s="10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23</v>
      </c>
      <c r="I13" s="10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23</v>
      </c>
      <c r="J13" s="11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0">
        <v>4</v>
      </c>
      <c r="R13" s="10">
        <v>11</v>
      </c>
      <c r="S13" s="10">
        <v>4</v>
      </c>
    </row>
    <row r="14" spans="1:23" s="10" customFormat="1" x14ac:dyDescent="0.2">
      <c r="A14" s="10">
        <v>13</v>
      </c>
      <c r="B14" s="10">
        <v>3</v>
      </c>
      <c r="C14" s="89" t="s">
        <v>160</v>
      </c>
      <c r="H14" s="10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0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1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0" t="s">
        <v>88</v>
      </c>
      <c r="Q14" s="10">
        <v>5</v>
      </c>
      <c r="R14" s="10">
        <v>7</v>
      </c>
      <c r="S14" s="10">
        <v>5</v>
      </c>
    </row>
    <row r="15" spans="1:23" s="10" customFormat="1" x14ac:dyDescent="0.2">
      <c r="A15" s="10">
        <v>14</v>
      </c>
      <c r="B15" s="10">
        <v>3</v>
      </c>
      <c r="C15" s="89" t="s">
        <v>216</v>
      </c>
      <c r="H15" s="10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0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1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10" t="str">
        <f t="array" ref="L15">INDEX(use_fish!A:A,SMALL(IF(group!$L$2&amp;IF(ISBLANK($L$14),$L$14,"+"&amp;$L$14)=use_fish!H:H,ROW(use_fish!H:H),4^8),ROW(1:1)))&amp;""</f>
        <v/>
      </c>
      <c r="Q15" s="10">
        <v>8</v>
      </c>
      <c r="R15" s="10">
        <v>7</v>
      </c>
      <c r="S15" s="10">
        <v>8</v>
      </c>
    </row>
    <row r="16" spans="1:23" s="10" customFormat="1" x14ac:dyDescent="0.2">
      <c r="A16" s="10">
        <v>15</v>
      </c>
      <c r="B16" s="10">
        <v>3</v>
      </c>
      <c r="C16" s="89" t="s">
        <v>363</v>
      </c>
      <c r="H16" s="10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29</v>
      </c>
      <c r="I16" s="10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29</v>
      </c>
      <c r="J16" s="11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10" t="str">
        <f t="array" ref="L16">INDEX(use_fish!A:A,SMALL(IF(group!$L$2&amp;IF(ISBLANK($L$14),$L$14,"+"&amp;$L$14)=use_fish!H:H,ROW(use_fish!H:H),4^8),ROW(2:2)))&amp;""</f>
        <v/>
      </c>
      <c r="Q16" s="10">
        <v>7</v>
      </c>
      <c r="R16" s="10">
        <v>11</v>
      </c>
      <c r="S16" s="10">
        <v>7</v>
      </c>
    </row>
    <row r="17" spans="1:20" s="10" customFormat="1" x14ac:dyDescent="0.2">
      <c r="A17" s="10">
        <v>16</v>
      </c>
      <c r="B17" s="10">
        <v>3</v>
      </c>
      <c r="C17" s="89" t="s">
        <v>364</v>
      </c>
      <c r="H17" s="10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28</v>
      </c>
      <c r="I17" s="10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28</v>
      </c>
      <c r="J17" s="11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10" t="str">
        <f t="array" ref="K17">INDEX(use_fish!A:A,SMALL(IF(group!$L$2&amp;IF(ISBLANK($L$14),$L$14,"+"&amp;$L$14)=use_fish!H:H,ROW(use_fish!H:H),4^8),ROW(14:14)))&amp;""</f>
        <v/>
      </c>
      <c r="Q17" s="10">
        <v>5</v>
      </c>
      <c r="R17" s="10">
        <v>12</v>
      </c>
      <c r="S17" s="10">
        <v>5</v>
      </c>
    </row>
    <row r="18" spans="1:20" s="10" customFormat="1" x14ac:dyDescent="0.2">
      <c r="A18" s="10">
        <v>17</v>
      </c>
      <c r="B18" s="10">
        <v>3</v>
      </c>
      <c r="C18" s="89" t="s">
        <v>365</v>
      </c>
      <c r="H18" s="10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23</v>
      </c>
      <c r="I18" s="10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23</v>
      </c>
      <c r="J18" s="11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10" t="str">
        <f t="array" ref="K18">INDEX(use_fish!A:A,SMALL(IF(group!$L$2&amp;IF(ISBLANK($L$14),$L$14,"+"&amp;$L$14)=use_fish!H:H,ROW(use_fish!H:H),4^8),ROW(15:15)))&amp;""</f>
        <v/>
      </c>
      <c r="Q18" s="10">
        <v>4</v>
      </c>
      <c r="R18" s="10">
        <v>11</v>
      </c>
      <c r="S18" s="10">
        <v>4</v>
      </c>
    </row>
    <row r="19" spans="1:20" s="39" customFormat="1" x14ac:dyDescent="0.2">
      <c r="A19" s="39">
        <v>18</v>
      </c>
      <c r="B19" s="39">
        <v>4</v>
      </c>
      <c r="C19" s="90" t="s">
        <v>226</v>
      </c>
      <c r="G19" s="39" t="s">
        <v>138</v>
      </c>
      <c r="H19" s="39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39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7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39">
        <v>3</v>
      </c>
      <c r="R19" s="39">
        <v>7</v>
      </c>
      <c r="S19" s="39">
        <v>17</v>
      </c>
    </row>
    <row r="20" spans="1:20" s="39" customFormat="1" x14ac:dyDescent="0.2">
      <c r="A20" s="39">
        <v>19</v>
      </c>
      <c r="B20" s="39">
        <v>4</v>
      </c>
      <c r="C20" s="90" t="s">
        <v>225</v>
      </c>
      <c r="G20" s="39" t="s">
        <v>139</v>
      </c>
      <c r="H20" s="39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39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7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39">
        <v>4</v>
      </c>
      <c r="R20" s="39">
        <v>5</v>
      </c>
      <c r="S20" s="39">
        <v>18</v>
      </c>
    </row>
    <row r="21" spans="1:20" s="39" customFormat="1" x14ac:dyDescent="0.2">
      <c r="A21" s="39">
        <v>20</v>
      </c>
      <c r="B21" s="39">
        <v>4</v>
      </c>
      <c r="C21" s="90" t="s">
        <v>224</v>
      </c>
      <c r="G21" s="39" t="s">
        <v>137</v>
      </c>
      <c r="H21" s="39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39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7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39">
        <v>5</v>
      </c>
      <c r="R21" s="39">
        <v>8</v>
      </c>
      <c r="S21" s="39">
        <v>18</v>
      </c>
    </row>
    <row r="22" spans="1:20" s="39" customFormat="1" x14ac:dyDescent="0.2">
      <c r="A22" s="39">
        <v>21</v>
      </c>
      <c r="B22" s="39">
        <v>4</v>
      </c>
      <c r="C22" s="90" t="s">
        <v>223</v>
      </c>
      <c r="G22" s="39" t="s">
        <v>172</v>
      </c>
      <c r="H22" s="39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39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7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39">
        <v>12</v>
      </c>
      <c r="R22" s="39">
        <v>13</v>
      </c>
      <c r="S22" s="39">
        <v>17</v>
      </c>
    </row>
    <row r="23" spans="1:20" s="19" customFormat="1" x14ac:dyDescent="0.2">
      <c r="A23" s="19">
        <v>22</v>
      </c>
      <c r="B23" s="19">
        <v>4</v>
      </c>
      <c r="C23" s="91" t="s">
        <v>227</v>
      </c>
      <c r="G23" s="19" t="s">
        <v>231</v>
      </c>
      <c r="H23" s="19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19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7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19">
        <v>12</v>
      </c>
      <c r="R23" s="19">
        <v>14</v>
      </c>
      <c r="S23" s="19">
        <v>16</v>
      </c>
      <c r="T23" s="19">
        <v>20</v>
      </c>
    </row>
    <row r="24" spans="1:20" s="19" customFormat="1" x14ac:dyDescent="0.2">
      <c r="A24" s="19">
        <v>23</v>
      </c>
      <c r="B24" s="19">
        <v>4</v>
      </c>
      <c r="C24" s="91" t="s">
        <v>228</v>
      </c>
      <c r="G24" s="19" t="s">
        <v>140</v>
      </c>
      <c r="H24" s="19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121</v>
      </c>
      <c r="I24" s="19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7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19">
        <v>13</v>
      </c>
      <c r="R24" s="19">
        <v>8</v>
      </c>
      <c r="S24" s="19">
        <v>15</v>
      </c>
      <c r="T24" s="19">
        <v>23</v>
      </c>
    </row>
    <row r="25" spans="1:20" s="19" customFormat="1" x14ac:dyDescent="0.2">
      <c r="A25" s="19">
        <v>24</v>
      </c>
      <c r="B25" s="19">
        <v>4</v>
      </c>
      <c r="C25" s="91" t="s">
        <v>229</v>
      </c>
      <c r="G25" s="19" t="s">
        <v>141</v>
      </c>
      <c r="H25" s="19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19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7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19">
        <v>13</v>
      </c>
      <c r="R25" s="19">
        <v>14</v>
      </c>
      <c r="S25" s="19">
        <v>17</v>
      </c>
      <c r="T25" s="19">
        <v>26</v>
      </c>
    </row>
    <row r="26" spans="1:20" s="19" customFormat="1" x14ac:dyDescent="0.2">
      <c r="A26" s="19">
        <v>25</v>
      </c>
      <c r="B26" s="19">
        <v>4</v>
      </c>
      <c r="C26" s="91" t="s">
        <v>230</v>
      </c>
      <c r="G26" s="19" t="s">
        <v>141</v>
      </c>
      <c r="H26" s="19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19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7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19">
        <v>15</v>
      </c>
      <c r="R26" s="19">
        <v>16</v>
      </c>
      <c r="S26" s="19">
        <v>18</v>
      </c>
      <c r="T26" s="19">
        <v>27</v>
      </c>
    </row>
    <row r="27" spans="1:20" s="39" customFormat="1" x14ac:dyDescent="0.2">
      <c r="A27" s="39">
        <v>26</v>
      </c>
      <c r="B27" s="39">
        <v>2</v>
      </c>
      <c r="C27" s="90" t="s">
        <v>337</v>
      </c>
      <c r="G27" s="39" t="s">
        <v>235</v>
      </c>
      <c r="H27" s="39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39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7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39">
        <v>12</v>
      </c>
    </row>
    <row r="28" spans="1:20" s="39" customFormat="1" x14ac:dyDescent="0.2">
      <c r="A28" s="39">
        <v>27</v>
      </c>
      <c r="B28" s="39">
        <v>2</v>
      </c>
      <c r="C28" s="90" t="s">
        <v>234</v>
      </c>
      <c r="G28" s="39" t="s">
        <v>238</v>
      </c>
      <c r="H28" s="39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39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7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39">
        <v>13</v>
      </c>
    </row>
    <row r="29" spans="1:20" s="39" customFormat="1" x14ac:dyDescent="0.2">
      <c r="A29" s="39">
        <v>28</v>
      </c>
      <c r="B29" s="39">
        <v>1</v>
      </c>
      <c r="C29" s="90" t="s">
        <v>120</v>
      </c>
      <c r="H29" s="39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39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7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39">
        <v>14</v>
      </c>
    </row>
    <row r="30" spans="1:20" s="39" customFormat="1" x14ac:dyDescent="0.2">
      <c r="A30" s="39">
        <v>29</v>
      </c>
      <c r="B30" s="39">
        <v>1</v>
      </c>
      <c r="C30" s="90" t="s">
        <v>121</v>
      </c>
      <c r="H30" s="39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39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7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39">
        <v>15</v>
      </c>
    </row>
    <row r="31" spans="1:20" s="39" customFormat="1" x14ac:dyDescent="0.2">
      <c r="A31" s="39">
        <v>30</v>
      </c>
      <c r="B31" s="39">
        <v>1</v>
      </c>
      <c r="C31" s="90" t="s">
        <v>122</v>
      </c>
      <c r="H31" s="39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39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7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39">
        <v>16</v>
      </c>
    </row>
    <row r="32" spans="1:20" s="39" customFormat="1" x14ac:dyDescent="0.2">
      <c r="A32" s="39">
        <v>31</v>
      </c>
      <c r="B32" s="39">
        <v>1</v>
      </c>
      <c r="C32" s="90" t="s">
        <v>123</v>
      </c>
      <c r="H32" s="39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39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7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39">
        <v>17</v>
      </c>
    </row>
    <row r="33" spans="1:17" s="39" customFormat="1" x14ac:dyDescent="0.2">
      <c r="A33" s="39">
        <v>32</v>
      </c>
      <c r="B33" s="39">
        <v>1</v>
      </c>
      <c r="C33" s="90" t="s">
        <v>124</v>
      </c>
      <c r="H33" s="39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39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7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39" t="str">
        <f t="array" ref="K33">INDEX(use_fish!A:A,SMALL(IF(group!$L$2&amp;IF(ISBLANK($L$14),$L$14,"+"&amp;$L$14)=use_fish!H:H,ROW(use_fish!H:H),4^8),ROW(10:10)))&amp;""</f>
        <v/>
      </c>
      <c r="Q33" s="39">
        <v>18</v>
      </c>
    </row>
    <row r="34" spans="1:17" s="39" customFormat="1" x14ac:dyDescent="0.2">
      <c r="A34" s="39">
        <v>33</v>
      </c>
      <c r="B34" s="39">
        <v>1</v>
      </c>
      <c r="C34" s="90" t="s">
        <v>125</v>
      </c>
      <c r="H34" s="39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39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7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39" t="str">
        <f t="array" ref="K34">INDEX(use_fish!A:A,SMALL(IF(group!$L$2&amp;IF(ISBLANK($L$14),$L$14,"+"&amp;$L$14)=use_fish!H:H,ROW(use_fish!H:H),4^8),ROW(11:11)))&amp;""</f>
        <v/>
      </c>
      <c r="Q34" s="39">
        <v>19</v>
      </c>
    </row>
    <row r="35" spans="1:17" s="19" customFormat="1" x14ac:dyDescent="0.2">
      <c r="A35" s="19">
        <v>34</v>
      </c>
      <c r="B35" s="19">
        <v>1</v>
      </c>
      <c r="C35" s="91" t="s">
        <v>126</v>
      </c>
      <c r="H35" s="19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19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7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19" t="str">
        <f t="array" ref="K35">INDEX(use_fish!A:A,SMALL(IF(group!$L$2&amp;IF(ISBLANK($L$14),$L$14,"+"&amp;$L$14)=use_fish!H:H,ROW(use_fish!H:H),4^8),ROW(12:12)))&amp;""</f>
        <v/>
      </c>
      <c r="Q35" s="19">
        <v>20</v>
      </c>
    </row>
    <row r="36" spans="1:17" s="19" customFormat="1" x14ac:dyDescent="0.2">
      <c r="A36" s="19">
        <v>35</v>
      </c>
      <c r="B36" s="19">
        <v>1</v>
      </c>
      <c r="C36" s="91" t="s">
        <v>127</v>
      </c>
      <c r="H36" s="19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19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7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19" t="str">
        <f t="array" ref="K36">INDEX(use_fish!A:A,SMALL(IF(group!$L$2&amp;IF(ISBLANK($L$14),$L$14,"+"&amp;$L$14)=use_fish!H:H,ROW(use_fish!H:H),4^8),ROW(13:13)))&amp;""</f>
        <v/>
      </c>
      <c r="Q36" s="19">
        <v>21</v>
      </c>
    </row>
    <row r="37" spans="1:17" s="19" customFormat="1" x14ac:dyDescent="0.2">
      <c r="A37" s="19">
        <v>36</v>
      </c>
      <c r="B37" s="19">
        <v>1</v>
      </c>
      <c r="C37" s="91" t="s">
        <v>128</v>
      </c>
      <c r="H37" s="19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19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7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19" t="str">
        <f t="array" ref="K37">INDEX(use_fish!A:A,SMALL(IF(group!$L$2&amp;IF(ISBLANK($L$14),$L$14,"+"&amp;$L$14)=use_fish!H:H,ROW(use_fish!H:H),4^8),ROW(14:14)))&amp;""</f>
        <v/>
      </c>
      <c r="Q37" s="19">
        <v>22</v>
      </c>
    </row>
    <row r="38" spans="1:17" s="19" customFormat="1" x14ac:dyDescent="0.2">
      <c r="A38" s="19">
        <v>37</v>
      </c>
      <c r="B38" s="19">
        <v>1</v>
      </c>
      <c r="C38" s="91" t="s">
        <v>129</v>
      </c>
      <c r="H38" s="19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63</v>
      </c>
      <c r="I38" s="19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7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19" t="str">
        <f t="array" ref="K38">INDEX(use_fish!A:A,SMALL(IF(group!$L$2&amp;IF(ISBLANK($L$14),$L$14,"+"&amp;$L$14)=use_fish!H:H,ROW(use_fish!H:H),4^8),ROW(15:15)))&amp;""</f>
        <v/>
      </c>
      <c r="Q38" s="19">
        <v>23</v>
      </c>
    </row>
    <row r="39" spans="1:17" s="19" customFormat="1" x14ac:dyDescent="0.2">
      <c r="A39" s="19">
        <v>38</v>
      </c>
      <c r="B39" s="19">
        <v>1</v>
      </c>
      <c r="C39" s="91" t="s">
        <v>130</v>
      </c>
      <c r="H39" s="17" t="s">
        <v>212</v>
      </c>
      <c r="I39" s="17" t="s">
        <v>213</v>
      </c>
      <c r="J39" s="17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19" t="str">
        <f t="array" ref="K39">INDEX(use_fish!A:A,SMALL(IF(group!$L$2&amp;IF(ISBLANK($L$14),$L$14,"+"&amp;$L$14)=use_fish!H:H,ROW(use_fish!H:H),4^8),ROW(36:36)))&amp;""</f>
        <v/>
      </c>
      <c r="Q39" s="19">
        <v>24</v>
      </c>
    </row>
    <row r="40" spans="1:17" s="19" customFormat="1" x14ac:dyDescent="0.2">
      <c r="A40" s="19">
        <v>39</v>
      </c>
      <c r="B40" s="19">
        <v>1</v>
      </c>
      <c r="C40" s="91" t="s">
        <v>131</v>
      </c>
      <c r="H40" s="19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19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7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19" t="str">
        <f t="array" ref="K40">INDEX(use_fish!A:A,SMALL(IF(group!$L$2&amp;IF(ISBLANK($L$14),$L$14,"+"&amp;$L$14)=use_fish!H:H,ROW(use_fish!H:H),4^8),ROW(37:37)))&amp;""</f>
        <v/>
      </c>
      <c r="Q40" s="19">
        <v>25</v>
      </c>
    </row>
    <row r="41" spans="1:17" s="19" customFormat="1" x14ac:dyDescent="0.2">
      <c r="A41" s="19">
        <v>40</v>
      </c>
      <c r="B41" s="19">
        <v>1</v>
      </c>
      <c r="C41" s="91" t="s">
        <v>132</v>
      </c>
      <c r="H41" s="19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19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7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19" t="str">
        <f t="array" ref="K41">INDEX(use_fish!A:A,SMALL(IF(group!$L$2&amp;IF(ISBLANK($L$14),$L$14,"+"&amp;$L$14)=use_fish!H:H,ROW(use_fish!H:H),4^8),ROW(38:38)))&amp;""</f>
        <v/>
      </c>
      <c r="Q41" s="19">
        <v>26</v>
      </c>
    </row>
    <row r="42" spans="1:17" s="19" customFormat="1" x14ac:dyDescent="0.2">
      <c r="A42" s="19">
        <v>41</v>
      </c>
      <c r="B42" s="19">
        <v>1</v>
      </c>
      <c r="C42" s="91" t="s">
        <v>136</v>
      </c>
      <c r="H42" s="19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19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7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19">
        <v>27</v>
      </c>
    </row>
    <row r="43" spans="1:17" s="42" customFormat="1" x14ac:dyDescent="0.2">
      <c r="A43" s="42">
        <v>42</v>
      </c>
      <c r="B43" s="42">
        <v>1</v>
      </c>
      <c r="C43" s="92" t="s">
        <v>133</v>
      </c>
      <c r="H43" s="42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2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1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2">
        <v>28</v>
      </c>
    </row>
    <row r="44" spans="1:17" s="42" customFormat="1" x14ac:dyDescent="0.2">
      <c r="A44" s="42">
        <v>43</v>
      </c>
      <c r="B44" s="42">
        <v>1</v>
      </c>
      <c r="C44" s="92" t="s">
        <v>134</v>
      </c>
      <c r="H44" s="42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2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1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42" t="str">
        <f t="array" ref="K44">INDEX(use_fish!A:A,SMALL(IF(group!$L$2&amp;IF(ISBLANK($L$14),$L$14,"+"&amp;$L$14)=use_fish!H:H,ROW(use_fish!H:H),4^8),ROW(41:41)))&amp;""</f>
        <v/>
      </c>
      <c r="Q44" s="42">
        <v>29</v>
      </c>
    </row>
    <row r="45" spans="1:17" s="42" customFormat="1" x14ac:dyDescent="0.2">
      <c r="A45" s="42">
        <v>44</v>
      </c>
      <c r="B45" s="42">
        <v>1</v>
      </c>
      <c r="C45" s="92" t="s">
        <v>135</v>
      </c>
      <c r="H45" s="42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2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1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42" t="str">
        <f t="array" ref="K45">INDEX(use_fish!A:A,SMALL(IF(group!$L$2&amp;IF(ISBLANK($L$14),$L$14,"+"&amp;$L$14)=use_fish!H:H,ROW(use_fish!H:H),4^8),ROW(42:42)))&amp;""</f>
        <v/>
      </c>
      <c r="Q45" s="42">
        <v>30</v>
      </c>
    </row>
    <row r="46" spans="1:17" s="42" customFormat="1" x14ac:dyDescent="0.2">
      <c r="A46" s="42">
        <v>45</v>
      </c>
      <c r="B46" s="42">
        <v>1</v>
      </c>
      <c r="C46" s="92" t="s">
        <v>143</v>
      </c>
      <c r="H46" s="42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2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1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2">
        <v>31</v>
      </c>
    </row>
    <row r="47" spans="1:17" s="42" customFormat="1" x14ac:dyDescent="0.2">
      <c r="A47" s="42">
        <v>46</v>
      </c>
      <c r="B47" s="42">
        <v>1</v>
      </c>
      <c r="C47" s="92" t="s">
        <v>142</v>
      </c>
      <c r="H47" s="42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42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41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0">
        <v>32</v>
      </c>
    </row>
    <row r="48" spans="1:17" s="42" customFormat="1" x14ac:dyDescent="0.2">
      <c r="A48" s="42">
        <v>47</v>
      </c>
      <c r="B48" s="42">
        <v>1</v>
      </c>
      <c r="C48" s="92" t="s">
        <v>144</v>
      </c>
      <c r="H48" s="42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2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1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0">
        <v>33</v>
      </c>
    </row>
    <row r="49" spans="1:17" s="42" customFormat="1" x14ac:dyDescent="0.2">
      <c r="A49" s="42">
        <v>48</v>
      </c>
      <c r="B49" s="42">
        <v>1</v>
      </c>
      <c r="C49" s="92" t="s">
        <v>145</v>
      </c>
      <c r="H49" s="42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2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41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0">
        <v>34</v>
      </c>
    </row>
    <row r="50" spans="1:17" s="42" customFormat="1" x14ac:dyDescent="0.2">
      <c r="A50" s="42">
        <v>49</v>
      </c>
      <c r="B50" s="42">
        <v>1</v>
      </c>
      <c r="C50" s="92" t="s">
        <v>146</v>
      </c>
      <c r="H50" s="42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2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1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0">
        <v>35</v>
      </c>
    </row>
    <row r="51" spans="1:17" s="42" customFormat="1" x14ac:dyDescent="0.2">
      <c r="A51" s="42">
        <v>50</v>
      </c>
      <c r="B51" s="42">
        <v>1</v>
      </c>
      <c r="C51" s="92" t="s">
        <v>147</v>
      </c>
      <c r="H51" s="42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2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1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0">
        <v>36</v>
      </c>
    </row>
    <row r="52" spans="1:17" s="42" customFormat="1" x14ac:dyDescent="0.2">
      <c r="A52" s="42">
        <v>51</v>
      </c>
      <c r="B52" s="42">
        <v>1</v>
      </c>
      <c r="C52" s="92" t="s">
        <v>148</v>
      </c>
      <c r="H52" s="42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2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1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0">
        <v>37</v>
      </c>
    </row>
    <row r="53" spans="1:17" s="29" customFormat="1" x14ac:dyDescent="0.2">
      <c r="A53" s="29">
        <v>52</v>
      </c>
      <c r="B53" s="29">
        <v>1</v>
      </c>
      <c r="C53" s="93" t="s">
        <v>149</v>
      </c>
      <c r="H53" s="29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102</v>
      </c>
      <c r="I53" s="29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102</v>
      </c>
      <c r="J53" s="30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28">
        <v>38</v>
      </c>
    </row>
    <row r="54" spans="1:17" s="29" customFormat="1" x14ac:dyDescent="0.2">
      <c r="A54" s="29">
        <v>53</v>
      </c>
      <c r="B54" s="29">
        <v>1</v>
      </c>
      <c r="C54" s="93" t="s">
        <v>150</v>
      </c>
      <c r="H54" s="29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105</v>
      </c>
      <c r="I54" s="29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105</v>
      </c>
      <c r="J54" s="30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28">
        <v>39</v>
      </c>
    </row>
    <row r="55" spans="1:17" s="29" customFormat="1" x14ac:dyDescent="0.2">
      <c r="A55" s="29">
        <v>54</v>
      </c>
      <c r="B55" s="29">
        <v>1</v>
      </c>
      <c r="C55" s="93" t="s">
        <v>151</v>
      </c>
      <c r="H55" s="29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302</v>
      </c>
      <c r="I55" s="29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302</v>
      </c>
      <c r="J55" s="30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28">
        <v>40</v>
      </c>
    </row>
    <row r="56" spans="1:17" s="29" customFormat="1" x14ac:dyDescent="0.2">
      <c r="A56" s="29">
        <v>55</v>
      </c>
      <c r="B56" s="29">
        <v>1</v>
      </c>
      <c r="C56" s="93" t="s">
        <v>152</v>
      </c>
      <c r="H56" s="29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206</v>
      </c>
      <c r="I56" s="29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206</v>
      </c>
      <c r="J56" s="30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28">
        <v>41</v>
      </c>
    </row>
    <row r="57" spans="1:17" s="29" customFormat="1" x14ac:dyDescent="0.2">
      <c r="A57" s="29">
        <v>56</v>
      </c>
      <c r="B57" s="29">
        <v>1</v>
      </c>
      <c r="C57" s="93" t="s">
        <v>153</v>
      </c>
      <c r="H57" s="29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29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0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28">
        <v>42</v>
      </c>
    </row>
    <row r="58" spans="1:17" s="29" customFormat="1" x14ac:dyDescent="0.2">
      <c r="A58" s="29">
        <v>57</v>
      </c>
      <c r="B58" s="29">
        <v>1</v>
      </c>
      <c r="C58" s="93" t="s">
        <v>154</v>
      </c>
      <c r="H58" s="29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202</v>
      </c>
      <c r="I58" s="29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202</v>
      </c>
      <c r="J58" s="30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28">
        <v>43</v>
      </c>
    </row>
    <row r="59" spans="1:17" s="29" customFormat="1" x14ac:dyDescent="0.2">
      <c r="A59" s="29">
        <v>58</v>
      </c>
      <c r="B59" s="29">
        <v>1</v>
      </c>
      <c r="C59" s="93" t="s">
        <v>155</v>
      </c>
      <c r="H59" s="29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29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0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28">
        <v>44</v>
      </c>
    </row>
    <row r="60" spans="1:17" s="29" customFormat="1" x14ac:dyDescent="0.2">
      <c r="A60" s="29">
        <v>59</v>
      </c>
      <c r="B60" s="29">
        <v>1</v>
      </c>
      <c r="C60" s="93" t="s">
        <v>156</v>
      </c>
      <c r="H60" s="29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29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0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28">
        <v>45</v>
      </c>
    </row>
    <row r="61" spans="1:17" s="33" customFormat="1" x14ac:dyDescent="0.2">
      <c r="A61" s="33">
        <v>60</v>
      </c>
      <c r="B61" s="33">
        <v>1</v>
      </c>
      <c r="C61" s="94" t="s">
        <v>232</v>
      </c>
      <c r="H61" s="33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3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4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2">
        <v>46</v>
      </c>
    </row>
    <row r="62" spans="1:17" s="33" customFormat="1" x14ac:dyDescent="0.2">
      <c r="A62" s="33">
        <v>61</v>
      </c>
      <c r="B62" s="33">
        <v>1</v>
      </c>
      <c r="C62" s="94" t="s">
        <v>157</v>
      </c>
      <c r="H62" s="33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3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4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2">
        <v>47</v>
      </c>
    </row>
    <row r="63" spans="1:17" s="33" customFormat="1" x14ac:dyDescent="0.2">
      <c r="A63" s="33">
        <v>62</v>
      </c>
      <c r="B63" s="33">
        <v>1</v>
      </c>
      <c r="C63" s="94" t="s">
        <v>158</v>
      </c>
      <c r="H63" s="33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3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4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2">
        <v>48</v>
      </c>
    </row>
    <row r="64" spans="1:17" s="33" customFormat="1" x14ac:dyDescent="0.2">
      <c r="A64" s="33">
        <v>63</v>
      </c>
      <c r="B64" s="33">
        <v>1</v>
      </c>
      <c r="C64" s="94" t="s">
        <v>159</v>
      </c>
      <c r="H64" s="33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3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4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2">
        <v>49</v>
      </c>
    </row>
    <row r="65" spans="1:17" s="27" customFormat="1" x14ac:dyDescent="0.2">
      <c r="A65" s="27">
        <v>64</v>
      </c>
      <c r="B65" s="27">
        <v>2</v>
      </c>
      <c r="C65" s="88" t="s">
        <v>271</v>
      </c>
      <c r="G65" s="43" t="s">
        <v>276</v>
      </c>
      <c r="H65" s="27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7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5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7">
        <v>4</v>
      </c>
    </row>
    <row r="66" spans="1:17" s="27" customFormat="1" x14ac:dyDescent="0.2">
      <c r="A66" s="27">
        <v>65</v>
      </c>
      <c r="B66" s="27">
        <v>2</v>
      </c>
      <c r="C66" s="88" t="s">
        <v>272</v>
      </c>
      <c r="G66" s="43" t="s">
        <v>275</v>
      </c>
      <c r="H66" s="27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7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5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7">
        <v>5</v>
      </c>
    </row>
    <row r="67" spans="1:17" s="27" customFormat="1" x14ac:dyDescent="0.2">
      <c r="A67" s="27">
        <v>66</v>
      </c>
      <c r="B67" s="27">
        <v>2</v>
      </c>
      <c r="C67" s="88" t="s">
        <v>273</v>
      </c>
      <c r="G67" s="44" t="s">
        <v>274</v>
      </c>
      <c r="H67" s="27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7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5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27" t="str">
        <f t="array" ref="K67">INDEX(use_fish!A:A,SMALL(IF(group!$L$2&amp;IF(ISBLANK($L$14),$L$14,"+"&amp;$L$14)=use_fish!H:H,ROW(use_fish!H:H),4^8),ROW(69:69)))&amp;""</f>
        <v/>
      </c>
      <c r="Q67" s="27">
        <v>7</v>
      </c>
    </row>
    <row r="68" spans="1:17" s="29" customFormat="1" x14ac:dyDescent="0.2">
      <c r="A68" s="29">
        <v>67</v>
      </c>
      <c r="B68" s="29">
        <v>1</v>
      </c>
      <c r="C68" s="93" t="s">
        <v>309</v>
      </c>
      <c r="H68" s="29">
        <f>SUM(_xlfn.IFNA(LOOKUP(Q68,use_fish!A:A,use_fish!E:E),0),_xlfn.IFNA(LOOKUP(R68,use_fish!A:A,use_fish!E:E),0),_xlfn.IFNA(LOOKUP(S68,use_fish!A:A,use_fish!E:E),0),_xlfn.IFNA(LOOKUP(T68,use_fish!A:A,use_fish!E:E),0),_xlfn.IFNA(LOOKUP(U68,use_fish!A:A,use_fish!E:E),0),_xlfn.IFNA(LOOKUP(V68,use_fish!A:A,use_fish!E:E),0),_xlfn.IFNA(LOOKUP(W68,use_fish!A:A,use_fish!E:E),0),)</f>
        <v>45</v>
      </c>
      <c r="I68" s="29">
        <f>SUM(_xlfn.IFNA(LOOKUP(Q68,use_fish!A:A,use_fish!I:I),0),_xlfn.IFNA(LOOKUP(R68,use_fish!A:A,use_fish!I:I),0),_xlfn.IFNA(LOOKUP(S68,use_fish!A:A,use_fish!I:I),0),_xlfn.IFNA(LOOKUP(T68,use_fish!A:A,use_fish!I:I),0),_xlfn.IFNA(LOOKUP(U68,use_fish!A:A,use_fish!I:I),0),_xlfn.IFNA(LOOKUP(V68,use_fish!A:A,use_fish!I:I),0),_xlfn.IFNA(LOOKUP(W68,use_fish!A:A,use_fish!I:I),0),)</f>
        <v>45</v>
      </c>
      <c r="J68" s="30">
        <f>SUM(_xlfn.IFNA(LOOKUP(Q68,use_fish!A:A,use_fish!K:K),0),_xlfn.IFNA(LOOKUP(R68,use_fish!A:A,use_fish!K:K),0),_xlfn.IFNA(LOOKUP(S68,use_fish!A:A,use_fish!K:K),0),_xlfn.IFNA(LOOKUP(T68,use_fish!A:A,use_fish!K:K),0),_xlfn.IFNA(LOOKUP(U68,use_fish!A:A,use_fish!K:K),0),_xlfn.IFNA(LOOKUP(V68,use_fish!A:A,use_fish!K:K),0),_xlfn.IFNA(LOOKUP(W68,use_fish!A:A,use_fish!K:K),0),)</f>
        <v>0</v>
      </c>
      <c r="Q68" s="28">
        <v>51</v>
      </c>
    </row>
    <row r="69" spans="1:17" s="29" customFormat="1" x14ac:dyDescent="0.2">
      <c r="A69" s="29">
        <v>68</v>
      </c>
      <c r="B69" s="29">
        <v>1</v>
      </c>
      <c r="C69" s="93" t="s">
        <v>310</v>
      </c>
      <c r="H69" s="29">
        <f>SUM(_xlfn.IFNA(LOOKUP(Q69,use_fish!A:A,use_fish!E:E),0),_xlfn.IFNA(LOOKUP(R69,use_fish!A:A,use_fish!E:E),0),_xlfn.IFNA(LOOKUP(S69,use_fish!A:A,use_fish!E:E),0),_xlfn.IFNA(LOOKUP(T69,use_fish!A:A,use_fish!E:E),0),_xlfn.IFNA(LOOKUP(U69,use_fish!A:A,use_fish!E:E),0),_xlfn.IFNA(LOOKUP(V69,use_fish!A:A,use_fish!E:E),0),_xlfn.IFNA(LOOKUP(W69,use_fish!A:A,use_fish!E:E),0),)</f>
        <v>48</v>
      </c>
      <c r="I69" s="29">
        <f>SUM(_xlfn.IFNA(LOOKUP(Q69,use_fish!A:A,use_fish!I:I),0),_xlfn.IFNA(LOOKUP(R69,use_fish!A:A,use_fish!I:I),0),_xlfn.IFNA(LOOKUP(S69,use_fish!A:A,use_fish!I:I),0),_xlfn.IFNA(LOOKUP(T69,use_fish!A:A,use_fish!I:I),0),_xlfn.IFNA(LOOKUP(U69,use_fish!A:A,use_fish!I:I),0),_xlfn.IFNA(LOOKUP(V69,use_fish!A:A,use_fish!I:I),0),_xlfn.IFNA(LOOKUP(W69,use_fish!A:A,use_fish!I:I),0),)</f>
        <v>48</v>
      </c>
      <c r="J69" s="30">
        <f>SUM(_xlfn.IFNA(LOOKUP(Q69,use_fish!A:A,use_fish!K:K),0),_xlfn.IFNA(LOOKUP(R69,use_fish!A:A,use_fish!K:K),0),_xlfn.IFNA(LOOKUP(S69,use_fish!A:A,use_fish!K:K),0),_xlfn.IFNA(LOOKUP(T69,use_fish!A:A,use_fish!K:K),0),_xlfn.IFNA(LOOKUP(U69,use_fish!A:A,use_fish!K:K),0),_xlfn.IFNA(LOOKUP(V69,use_fish!A:A,use_fish!K:K),0),_xlfn.IFNA(LOOKUP(W69,use_fish!A:A,use_fish!K:K),0),)</f>
        <v>0</v>
      </c>
      <c r="Q69" s="28">
        <v>52</v>
      </c>
    </row>
    <row r="70" spans="1:17" s="29" customFormat="1" x14ac:dyDescent="0.2">
      <c r="A70" s="29">
        <v>69</v>
      </c>
      <c r="B70" s="29">
        <v>1</v>
      </c>
      <c r="C70" s="93" t="s">
        <v>311</v>
      </c>
      <c r="H70" s="29">
        <f>SUM(_xlfn.IFNA(LOOKUP(Q70,use_fish!A:A,use_fish!E:E),0),_xlfn.IFNA(LOOKUP(R70,use_fish!A:A,use_fish!E:E),0),_xlfn.IFNA(LOOKUP(S70,use_fish!A:A,use_fish!E:E),0),_xlfn.IFNA(LOOKUP(T70,use_fish!A:A,use_fish!E:E),0),_xlfn.IFNA(LOOKUP(U70,use_fish!A:A,use_fish!E:E),0),_xlfn.IFNA(LOOKUP(V70,use_fish!A:A,use_fish!E:E),0),_xlfn.IFNA(LOOKUP(W70,use_fish!A:A,use_fish!E:E),0),)</f>
        <v>50</v>
      </c>
      <c r="I70" s="29">
        <f>SUM(_xlfn.IFNA(LOOKUP(Q70,use_fish!A:A,use_fish!I:I),0),_xlfn.IFNA(LOOKUP(R70,use_fish!A:A,use_fish!I:I),0),_xlfn.IFNA(LOOKUP(S70,use_fish!A:A,use_fish!I:I),0),_xlfn.IFNA(LOOKUP(T70,use_fish!A:A,use_fish!I:I),0),_xlfn.IFNA(LOOKUP(U70,use_fish!A:A,use_fish!I:I),0),_xlfn.IFNA(LOOKUP(V70,use_fish!A:A,use_fish!I:I),0),_xlfn.IFNA(LOOKUP(W70,use_fish!A:A,use_fish!I:I),0),)</f>
        <v>50</v>
      </c>
      <c r="J70" s="30">
        <f>SUM(_xlfn.IFNA(LOOKUP(Q70,use_fish!A:A,use_fish!K:K),0),_xlfn.IFNA(LOOKUP(R70,use_fish!A:A,use_fish!K:K),0),_xlfn.IFNA(LOOKUP(S70,use_fish!A:A,use_fish!K:K),0),_xlfn.IFNA(LOOKUP(T70,use_fish!A:A,use_fish!K:K),0),_xlfn.IFNA(LOOKUP(U70,use_fish!A:A,use_fish!K:K),0),_xlfn.IFNA(LOOKUP(V70,use_fish!A:A,use_fish!K:K),0),_xlfn.IFNA(LOOKUP(W70,use_fish!A:A,use_fish!K:K),0),)</f>
        <v>0</v>
      </c>
      <c r="Q70" s="28">
        <v>53</v>
      </c>
    </row>
    <row r="71" spans="1:17" s="29" customFormat="1" x14ac:dyDescent="0.2">
      <c r="A71" s="29">
        <v>70</v>
      </c>
      <c r="B71" s="29">
        <v>1</v>
      </c>
      <c r="C71" s="93" t="s">
        <v>312</v>
      </c>
      <c r="H71" s="29">
        <f>SUM(_xlfn.IFNA(LOOKUP(Q71,use_fish!A:A,use_fish!E:E),0),_xlfn.IFNA(LOOKUP(R71,use_fish!A:A,use_fish!E:E),0),_xlfn.IFNA(LOOKUP(S71,use_fish!A:A,use_fish!E:E),0),_xlfn.IFNA(LOOKUP(T71,use_fish!A:A,use_fish!E:E),0),_xlfn.IFNA(LOOKUP(U71,use_fish!A:A,use_fish!E:E),0),_xlfn.IFNA(LOOKUP(V71,use_fish!A:A,use_fish!E:E),0),_xlfn.IFNA(LOOKUP(W71,use_fish!A:A,use_fish!E:E),0),)</f>
        <v>55</v>
      </c>
      <c r="I71" s="29">
        <f>SUM(_xlfn.IFNA(LOOKUP(Q71,use_fish!A:A,use_fish!I:I),0),_xlfn.IFNA(LOOKUP(R71,use_fish!A:A,use_fish!I:I),0),_xlfn.IFNA(LOOKUP(S71,use_fish!A:A,use_fish!I:I),0),_xlfn.IFNA(LOOKUP(T71,use_fish!A:A,use_fish!I:I),0),_xlfn.IFNA(LOOKUP(U71,use_fish!A:A,use_fish!I:I),0),_xlfn.IFNA(LOOKUP(V71,use_fish!A:A,use_fish!I:I),0),_xlfn.IFNA(LOOKUP(W71,use_fish!A:A,use_fish!I:I),0),)</f>
        <v>55</v>
      </c>
      <c r="J71" s="30">
        <f>SUM(_xlfn.IFNA(LOOKUP(Q71,use_fish!A:A,use_fish!K:K),0),_xlfn.IFNA(LOOKUP(R71,use_fish!A:A,use_fish!K:K),0),_xlfn.IFNA(LOOKUP(S71,use_fish!A:A,use_fish!K:K),0),_xlfn.IFNA(LOOKUP(T71,use_fish!A:A,use_fish!K:K),0),_xlfn.IFNA(LOOKUP(U71,use_fish!A:A,use_fish!K:K),0),_xlfn.IFNA(LOOKUP(V71,use_fish!A:A,use_fish!K:K),0),_xlfn.IFNA(LOOKUP(W71,use_fish!A:A,use_fish!K:K),0),)</f>
        <v>0</v>
      </c>
      <c r="Q71" s="28">
        <v>54</v>
      </c>
    </row>
    <row r="72" spans="1:17" s="29" customFormat="1" x14ac:dyDescent="0.2">
      <c r="A72" s="29">
        <v>71</v>
      </c>
      <c r="B72" s="29">
        <v>1</v>
      </c>
      <c r="C72" s="93" t="s">
        <v>313</v>
      </c>
      <c r="H72" s="29">
        <f>SUM(_xlfn.IFNA(LOOKUP(Q72,use_fish!A:A,use_fish!E:E),0),_xlfn.IFNA(LOOKUP(R72,use_fish!A:A,use_fish!E:E),0),_xlfn.IFNA(LOOKUP(S72,use_fish!A:A,use_fish!E:E),0),_xlfn.IFNA(LOOKUP(T72,use_fish!A:A,use_fish!E:E),0),_xlfn.IFNA(LOOKUP(U72,use_fish!A:A,use_fish!E:E),0),_xlfn.IFNA(LOOKUP(V72,use_fish!A:A,use_fish!E:E),0),_xlfn.IFNA(LOOKUP(W72,use_fish!A:A,use_fish!E:E),0),)</f>
        <v>60</v>
      </c>
      <c r="I72" s="29">
        <f>SUM(_xlfn.IFNA(LOOKUP(Q72,use_fish!A:A,use_fish!I:I),0),_xlfn.IFNA(LOOKUP(R72,use_fish!A:A,use_fish!I:I),0),_xlfn.IFNA(LOOKUP(S72,use_fish!A:A,use_fish!I:I),0),_xlfn.IFNA(LOOKUP(T72,use_fish!A:A,use_fish!I:I),0),_xlfn.IFNA(LOOKUP(U72,use_fish!A:A,use_fish!I:I),0),_xlfn.IFNA(LOOKUP(V72,use_fish!A:A,use_fish!I:I),0),_xlfn.IFNA(LOOKUP(W72,use_fish!A:A,use_fish!I:I),0),)</f>
        <v>60</v>
      </c>
      <c r="J72" s="30">
        <f>SUM(_xlfn.IFNA(LOOKUP(Q72,use_fish!A:A,use_fish!K:K),0),_xlfn.IFNA(LOOKUP(R72,use_fish!A:A,use_fish!K:K),0),_xlfn.IFNA(LOOKUP(S72,use_fish!A:A,use_fish!K:K),0),_xlfn.IFNA(LOOKUP(T72,use_fish!A:A,use_fish!K:K),0),_xlfn.IFNA(LOOKUP(U72,use_fish!A:A,use_fish!K:K),0),_xlfn.IFNA(LOOKUP(V72,use_fish!A:A,use_fish!K:K),0),_xlfn.IFNA(LOOKUP(W72,use_fish!A:A,use_fish!K:K),0),)</f>
        <v>0</v>
      </c>
      <c r="Q72" s="28">
        <v>55</v>
      </c>
    </row>
    <row r="73" spans="1:17" s="29" customFormat="1" x14ac:dyDescent="0.2">
      <c r="A73" s="29">
        <v>72</v>
      </c>
      <c r="B73" s="29">
        <v>1</v>
      </c>
      <c r="C73" s="93" t="s">
        <v>314</v>
      </c>
      <c r="H73" s="29">
        <f>SUM(_xlfn.IFNA(LOOKUP(Q73,use_fish!A:A,use_fish!E:E),0),_xlfn.IFNA(LOOKUP(R73,use_fish!A:A,use_fish!E:E),0),_xlfn.IFNA(LOOKUP(S73,use_fish!A:A,use_fish!E:E),0),_xlfn.IFNA(LOOKUP(T73,use_fish!A:A,use_fish!E:E),0),_xlfn.IFNA(LOOKUP(U73,use_fish!A:A,use_fish!E:E),0),_xlfn.IFNA(LOOKUP(V73,use_fish!A:A,use_fish!E:E),0),_xlfn.IFNA(LOOKUP(W73,use_fish!A:A,use_fish!E:E),0),)</f>
        <v>65</v>
      </c>
      <c r="I73" s="29">
        <f>SUM(_xlfn.IFNA(LOOKUP(Q73,use_fish!A:A,use_fish!I:I),0),_xlfn.IFNA(LOOKUP(R73,use_fish!A:A,use_fish!I:I),0),_xlfn.IFNA(LOOKUP(S73,use_fish!A:A,use_fish!I:I),0),_xlfn.IFNA(LOOKUP(T73,use_fish!A:A,use_fish!I:I),0),_xlfn.IFNA(LOOKUP(U73,use_fish!A:A,use_fish!I:I),0),_xlfn.IFNA(LOOKUP(V73,use_fish!A:A,use_fish!I:I),0),_xlfn.IFNA(LOOKUP(W73,use_fish!A:A,use_fish!I:I),0),)</f>
        <v>65</v>
      </c>
      <c r="J73" s="30">
        <f>SUM(_xlfn.IFNA(LOOKUP(Q73,use_fish!A:A,use_fish!K:K),0),_xlfn.IFNA(LOOKUP(R73,use_fish!A:A,use_fish!K:K),0),_xlfn.IFNA(LOOKUP(S73,use_fish!A:A,use_fish!K:K),0),_xlfn.IFNA(LOOKUP(T73,use_fish!A:A,use_fish!K:K),0),_xlfn.IFNA(LOOKUP(U73,use_fish!A:A,use_fish!K:K),0),_xlfn.IFNA(LOOKUP(V73,use_fish!A:A,use_fish!K:K),0),_xlfn.IFNA(LOOKUP(W73,use_fish!A:A,use_fish!K:K),0),)</f>
        <v>0</v>
      </c>
      <c r="Q73" s="28">
        <v>56</v>
      </c>
    </row>
    <row r="74" spans="1:17" s="29" customFormat="1" x14ac:dyDescent="0.2">
      <c r="A74" s="29">
        <v>73</v>
      </c>
      <c r="B74" s="29">
        <v>1</v>
      </c>
      <c r="C74" s="93" t="s">
        <v>315</v>
      </c>
      <c r="H74" s="29">
        <f>SUM(_xlfn.IFNA(LOOKUP(Q74,use_fish!A:A,use_fish!E:E),0),_xlfn.IFNA(LOOKUP(R74,use_fish!A:A,use_fish!E:E),0),_xlfn.IFNA(LOOKUP(S74,use_fish!A:A,use_fish!E:E),0),_xlfn.IFNA(LOOKUP(T74,use_fish!A:A,use_fish!E:E),0),_xlfn.IFNA(LOOKUP(U74,use_fish!A:A,use_fish!E:E),0),_xlfn.IFNA(LOOKUP(V74,use_fish!A:A,use_fish!E:E),0),_xlfn.IFNA(LOOKUP(W74,use_fish!A:A,use_fish!E:E),0),)</f>
        <v>70</v>
      </c>
      <c r="I74" s="29">
        <f>SUM(_xlfn.IFNA(LOOKUP(Q74,use_fish!A:A,use_fish!I:I),0),_xlfn.IFNA(LOOKUP(R74,use_fish!A:A,use_fish!I:I),0),_xlfn.IFNA(LOOKUP(S74,use_fish!A:A,use_fish!I:I),0),_xlfn.IFNA(LOOKUP(T74,use_fish!A:A,use_fish!I:I),0),_xlfn.IFNA(LOOKUP(U74,use_fish!A:A,use_fish!I:I),0),_xlfn.IFNA(LOOKUP(V74,use_fish!A:A,use_fish!I:I),0),_xlfn.IFNA(LOOKUP(W74,use_fish!A:A,use_fish!I:I),0),)</f>
        <v>70</v>
      </c>
      <c r="J74" s="30">
        <f>SUM(_xlfn.IFNA(LOOKUP(Q74,use_fish!A:A,use_fish!K:K),0),_xlfn.IFNA(LOOKUP(R74,use_fish!A:A,use_fish!K:K),0),_xlfn.IFNA(LOOKUP(S74,use_fish!A:A,use_fish!K:K),0),_xlfn.IFNA(LOOKUP(T74,use_fish!A:A,use_fish!K:K),0),_xlfn.IFNA(LOOKUP(U74,use_fish!A:A,use_fish!K:K),0),_xlfn.IFNA(LOOKUP(V74,use_fish!A:A,use_fish!K:K),0),_xlfn.IFNA(LOOKUP(W74,use_fish!A:A,use_fish!K:K),0),)</f>
        <v>0</v>
      </c>
      <c r="Q74" s="28">
        <v>57</v>
      </c>
    </row>
    <row r="75" spans="1:17" s="29" customFormat="1" x14ac:dyDescent="0.2">
      <c r="A75" s="29">
        <v>74</v>
      </c>
      <c r="B75" s="29">
        <v>1</v>
      </c>
      <c r="C75" s="93" t="s">
        <v>316</v>
      </c>
      <c r="H75" s="29">
        <f>SUM(_xlfn.IFNA(LOOKUP(Q75,use_fish!A:A,use_fish!E:E),0),_xlfn.IFNA(LOOKUP(R75,use_fish!A:A,use_fish!E:E),0),_xlfn.IFNA(LOOKUP(S75,use_fish!A:A,use_fish!E:E),0),_xlfn.IFNA(LOOKUP(T75,use_fish!A:A,use_fish!E:E),0),_xlfn.IFNA(LOOKUP(U75,use_fish!A:A,use_fish!E:E),0),_xlfn.IFNA(LOOKUP(V75,use_fish!A:A,use_fish!E:E),0),_xlfn.IFNA(LOOKUP(W75,use_fish!A:A,use_fish!E:E),0),)</f>
        <v>90</v>
      </c>
      <c r="I75" s="29">
        <f>SUM(_xlfn.IFNA(LOOKUP(Q75,use_fish!A:A,use_fish!I:I),0),_xlfn.IFNA(LOOKUP(R75,use_fish!A:A,use_fish!I:I),0),_xlfn.IFNA(LOOKUP(S75,use_fish!A:A,use_fish!I:I),0),_xlfn.IFNA(LOOKUP(T75,use_fish!A:A,use_fish!I:I),0),_xlfn.IFNA(LOOKUP(U75,use_fish!A:A,use_fish!I:I),0),_xlfn.IFNA(LOOKUP(V75,use_fish!A:A,use_fish!I:I),0),_xlfn.IFNA(LOOKUP(W75,use_fish!A:A,use_fish!I:I),0),)</f>
        <v>90</v>
      </c>
      <c r="J75" s="30">
        <f>SUM(_xlfn.IFNA(LOOKUP(Q75,use_fish!A:A,use_fish!K:K),0),_xlfn.IFNA(LOOKUP(R75,use_fish!A:A,use_fish!K:K),0),_xlfn.IFNA(LOOKUP(S75,use_fish!A:A,use_fish!K:K),0),_xlfn.IFNA(LOOKUP(T75,use_fish!A:A,use_fish!K:K),0),_xlfn.IFNA(LOOKUP(U75,use_fish!A:A,use_fish!K:K),0),_xlfn.IFNA(LOOKUP(V75,use_fish!A:A,use_fish!K:K),0),_xlfn.IFNA(LOOKUP(W75,use_fish!A:A,use_fish!K:K),0),)</f>
        <v>0</v>
      </c>
      <c r="Q75" s="28">
        <v>58</v>
      </c>
    </row>
    <row r="76" spans="1:17" s="103" customFormat="1" x14ac:dyDescent="0.2">
      <c r="A76" s="103">
        <v>75</v>
      </c>
      <c r="B76" s="103">
        <v>1</v>
      </c>
      <c r="C76" s="104" t="s">
        <v>317</v>
      </c>
      <c r="H76" s="103">
        <f>SUM(_xlfn.IFNA(LOOKUP(Q76,use_fish!A:A,use_fish!E:E),0),_xlfn.IFNA(LOOKUP(R76,use_fish!A:A,use_fish!E:E),0),_xlfn.IFNA(LOOKUP(S76,use_fish!A:A,use_fish!E:E),0),_xlfn.IFNA(LOOKUP(T76,use_fish!A:A,use_fish!E:E),0),_xlfn.IFNA(LOOKUP(U76,use_fish!A:A,use_fish!E:E),0),_xlfn.IFNA(LOOKUP(V76,use_fish!A:A,use_fish!E:E),0),_xlfn.IFNA(LOOKUP(W76,use_fish!A:A,use_fish!E:E),0),)</f>
        <v>93</v>
      </c>
      <c r="I76" s="103">
        <f>SUM(_xlfn.IFNA(LOOKUP(Q76,use_fish!A:A,use_fish!I:I),0),_xlfn.IFNA(LOOKUP(R76,use_fish!A:A,use_fish!I:I),0),_xlfn.IFNA(LOOKUP(S76,use_fish!A:A,use_fish!I:I),0),_xlfn.IFNA(LOOKUP(T76,use_fish!A:A,use_fish!I:I),0),_xlfn.IFNA(LOOKUP(U76,use_fish!A:A,use_fish!I:I),0),_xlfn.IFNA(LOOKUP(V76,use_fish!A:A,use_fish!I:I),0),_xlfn.IFNA(LOOKUP(W76,use_fish!A:A,use_fish!I:I),0),)</f>
        <v>90</v>
      </c>
      <c r="J76" s="105">
        <f>SUM(_xlfn.IFNA(LOOKUP(Q76,use_fish!A:A,use_fish!K:K),0),_xlfn.IFNA(LOOKUP(R76,use_fish!A:A,use_fish!K:K),0),_xlfn.IFNA(LOOKUP(S76,use_fish!A:A,use_fish!K:K),0),_xlfn.IFNA(LOOKUP(T76,use_fish!A:A,use_fish!K:K),0),_xlfn.IFNA(LOOKUP(U76,use_fish!A:A,use_fish!K:K),0),_xlfn.IFNA(LOOKUP(V76,use_fish!A:A,use_fish!K:K),0),_xlfn.IFNA(LOOKUP(W76,use_fish!A:A,use_fish!K:K),0),)</f>
        <v>0</v>
      </c>
      <c r="Q76" s="106">
        <v>59</v>
      </c>
    </row>
    <row r="77" spans="1:17" s="103" customFormat="1" x14ac:dyDescent="0.2">
      <c r="A77" s="103">
        <v>76</v>
      </c>
      <c r="B77" s="103">
        <v>1</v>
      </c>
      <c r="C77" s="104" t="s">
        <v>318</v>
      </c>
      <c r="H77" s="103">
        <f>SUM(_xlfn.IFNA(LOOKUP(Q77,use_fish!A:A,use_fish!E:E),0),_xlfn.IFNA(LOOKUP(R77,use_fish!A:A,use_fish!E:E),0),_xlfn.IFNA(LOOKUP(S77,use_fish!A:A,use_fish!E:E),0),_xlfn.IFNA(LOOKUP(T77,use_fish!A:A,use_fish!E:E),0),_xlfn.IFNA(LOOKUP(U77,use_fish!A:A,use_fish!E:E),0),_xlfn.IFNA(LOOKUP(V77,use_fish!A:A,use_fish!E:E),0),_xlfn.IFNA(LOOKUP(W77,use_fish!A:A,use_fish!E:E),0),)</f>
        <v>93</v>
      </c>
      <c r="I77" s="103">
        <f>SUM(_xlfn.IFNA(LOOKUP(Q77,use_fish!A:A,use_fish!I:I),0),_xlfn.IFNA(LOOKUP(R77,use_fish!A:A,use_fish!I:I),0),_xlfn.IFNA(LOOKUP(S77,use_fish!A:A,use_fish!I:I),0),_xlfn.IFNA(LOOKUP(T77,use_fish!A:A,use_fish!I:I),0),_xlfn.IFNA(LOOKUP(U77,use_fish!A:A,use_fish!I:I),0),_xlfn.IFNA(LOOKUP(V77,use_fish!A:A,use_fish!I:I),0),_xlfn.IFNA(LOOKUP(W77,use_fish!A:A,use_fish!I:I),0),)</f>
        <v>90</v>
      </c>
      <c r="J77" s="105">
        <f>SUM(_xlfn.IFNA(LOOKUP(Q77,use_fish!A:A,use_fish!K:K),0),_xlfn.IFNA(LOOKUP(R77,use_fish!A:A,use_fish!K:K),0),_xlfn.IFNA(LOOKUP(S77,use_fish!A:A,use_fish!K:K),0),_xlfn.IFNA(LOOKUP(T77,use_fish!A:A,use_fish!K:K),0),_xlfn.IFNA(LOOKUP(U77,use_fish!A:A,use_fish!K:K),0),_xlfn.IFNA(LOOKUP(V77,use_fish!A:A,use_fish!K:K),0),_xlfn.IFNA(LOOKUP(W77,use_fish!A:A,use_fish!K:K),0),)</f>
        <v>0</v>
      </c>
      <c r="Q77" s="106">
        <v>60</v>
      </c>
    </row>
    <row r="78" spans="1:17" s="103" customFormat="1" x14ac:dyDescent="0.2">
      <c r="A78" s="103">
        <v>77</v>
      </c>
      <c r="B78" s="103">
        <v>1</v>
      </c>
      <c r="C78" s="104" t="s">
        <v>319</v>
      </c>
      <c r="H78" s="103">
        <f>SUM(_xlfn.IFNA(LOOKUP(Q78,use_fish!A:A,use_fish!E:E),0),_xlfn.IFNA(LOOKUP(R78,use_fish!A:A,use_fish!E:E),0),_xlfn.IFNA(LOOKUP(S78,use_fish!A:A,use_fish!E:E),0),_xlfn.IFNA(LOOKUP(T78,use_fish!A:A,use_fish!E:E),0),_xlfn.IFNA(LOOKUP(U78,use_fish!A:A,use_fish!E:E),0),_xlfn.IFNA(LOOKUP(V78,use_fish!A:A,use_fish!E:E),0),_xlfn.IFNA(LOOKUP(W78,use_fish!A:A,use_fish!E:E),0),)</f>
        <v>135</v>
      </c>
      <c r="I78" s="103">
        <f>SUM(_xlfn.IFNA(LOOKUP(Q78,use_fish!A:A,use_fish!I:I),0),_xlfn.IFNA(LOOKUP(R78,use_fish!A:A,use_fish!I:I),0),_xlfn.IFNA(LOOKUP(S78,use_fish!A:A,use_fish!I:I),0),_xlfn.IFNA(LOOKUP(T78,use_fish!A:A,use_fish!I:I),0),_xlfn.IFNA(LOOKUP(U78,use_fish!A:A,use_fish!I:I),0),_xlfn.IFNA(LOOKUP(V78,use_fish!A:A,use_fish!I:I),0),_xlfn.IFNA(LOOKUP(W78,use_fish!A:A,use_fish!I:I),0),)</f>
        <v>90</v>
      </c>
      <c r="J78" s="105">
        <f>SUM(_xlfn.IFNA(LOOKUP(Q78,use_fish!A:A,use_fish!K:K),0),_xlfn.IFNA(LOOKUP(R78,use_fish!A:A,use_fish!K:K),0),_xlfn.IFNA(LOOKUP(S78,use_fish!A:A,use_fish!K:K),0),_xlfn.IFNA(LOOKUP(T78,use_fish!A:A,use_fish!K:K),0),_xlfn.IFNA(LOOKUP(U78,use_fish!A:A,use_fish!K:K),0),_xlfn.IFNA(LOOKUP(V78,use_fish!A:A,use_fish!K:K),0),_xlfn.IFNA(LOOKUP(W78,use_fish!A:A,use_fish!K:K),0),)</f>
        <v>0</v>
      </c>
      <c r="Q78" s="106">
        <v>61</v>
      </c>
    </row>
    <row r="79" spans="1:17" s="103" customFormat="1" x14ac:dyDescent="0.2">
      <c r="A79" s="103">
        <v>78</v>
      </c>
      <c r="B79" s="103">
        <v>1</v>
      </c>
      <c r="C79" s="104" t="s">
        <v>320</v>
      </c>
      <c r="H79" s="103">
        <f>SUM(_xlfn.IFNA(LOOKUP(Q79,use_fish!A:A,use_fish!E:E),0),_xlfn.IFNA(LOOKUP(R79,use_fish!A:A,use_fish!E:E),0),_xlfn.IFNA(LOOKUP(S79,use_fish!A:A,use_fish!E:E),0),_xlfn.IFNA(LOOKUP(T79,use_fish!A:A,use_fish!E:E),0),_xlfn.IFNA(LOOKUP(U79,use_fish!A:A,use_fish!E:E),0),_xlfn.IFNA(LOOKUP(V79,use_fish!A:A,use_fish!E:E),0),_xlfn.IFNA(LOOKUP(W79,use_fish!A:A,use_fish!E:E),0),)</f>
        <v>114</v>
      </c>
      <c r="I79" s="103">
        <f>SUM(_xlfn.IFNA(LOOKUP(Q79,use_fish!A:A,use_fish!I:I),0),_xlfn.IFNA(LOOKUP(R79,use_fish!A:A,use_fish!I:I),0),_xlfn.IFNA(LOOKUP(S79,use_fish!A:A,use_fish!I:I),0),_xlfn.IFNA(LOOKUP(T79,use_fish!A:A,use_fish!I:I),0),_xlfn.IFNA(LOOKUP(U79,use_fish!A:A,use_fish!I:I),0),_xlfn.IFNA(LOOKUP(V79,use_fish!A:A,use_fish!I:I),0),_xlfn.IFNA(LOOKUP(W79,use_fish!A:A,use_fish!I:I),0),)</f>
        <v>110</v>
      </c>
      <c r="J79" s="105">
        <f>SUM(_xlfn.IFNA(LOOKUP(Q79,use_fish!A:A,use_fish!K:K),0),_xlfn.IFNA(LOOKUP(R79,use_fish!A:A,use_fish!K:K),0),_xlfn.IFNA(LOOKUP(S79,use_fish!A:A,use_fish!K:K),0),_xlfn.IFNA(LOOKUP(T79,use_fish!A:A,use_fish!K:K),0),_xlfn.IFNA(LOOKUP(U79,use_fish!A:A,use_fish!K:K),0),_xlfn.IFNA(LOOKUP(V79,use_fish!A:A,use_fish!K:K),0),_xlfn.IFNA(LOOKUP(W79,use_fish!A:A,use_fish!K:K),0),)</f>
        <v>0</v>
      </c>
      <c r="Q79" s="106">
        <v>62</v>
      </c>
    </row>
    <row r="80" spans="1:17" s="103" customFormat="1" x14ac:dyDescent="0.2">
      <c r="A80" s="103">
        <v>79</v>
      </c>
      <c r="B80" s="103">
        <v>1</v>
      </c>
      <c r="C80" s="104" t="s">
        <v>321</v>
      </c>
      <c r="H80" s="103">
        <f>SUM(_xlfn.IFNA(LOOKUP(Q80,use_fish!A:A,use_fish!E:E),0),_xlfn.IFNA(LOOKUP(R80,use_fish!A:A,use_fish!E:E),0),_xlfn.IFNA(LOOKUP(S80,use_fish!A:A,use_fish!E:E),0),_xlfn.IFNA(LOOKUP(T80,use_fish!A:A,use_fish!E:E),0),_xlfn.IFNA(LOOKUP(U80,use_fish!A:A,use_fish!E:E),0),_xlfn.IFNA(LOOKUP(V80,use_fish!A:A,use_fish!E:E),0),_xlfn.IFNA(LOOKUP(W80,use_fish!A:A,use_fish!E:E),0),)</f>
        <v>135</v>
      </c>
      <c r="I80" s="103">
        <f>SUM(_xlfn.IFNA(LOOKUP(Q80,use_fish!A:A,use_fish!I:I),0),_xlfn.IFNA(LOOKUP(R80,use_fish!A:A,use_fish!I:I),0),_xlfn.IFNA(LOOKUP(S80,use_fish!A:A,use_fish!I:I),0),_xlfn.IFNA(LOOKUP(T80,use_fish!A:A,use_fish!I:I),0),_xlfn.IFNA(LOOKUP(U80,use_fish!A:A,use_fish!I:I),0),_xlfn.IFNA(LOOKUP(V80,use_fish!A:A,use_fish!I:I),0),_xlfn.IFNA(LOOKUP(W80,use_fish!A:A,use_fish!I:I),0),)</f>
        <v>130</v>
      </c>
      <c r="J80" s="105">
        <f>SUM(_xlfn.IFNA(LOOKUP(Q80,use_fish!A:A,use_fish!K:K),0),_xlfn.IFNA(LOOKUP(R80,use_fish!A:A,use_fish!K:K),0),_xlfn.IFNA(LOOKUP(S80,use_fish!A:A,use_fish!K:K),0),_xlfn.IFNA(LOOKUP(T80,use_fish!A:A,use_fish!K:K),0),_xlfn.IFNA(LOOKUP(U80,use_fish!A:A,use_fish!K:K),0),_xlfn.IFNA(LOOKUP(V80,use_fish!A:A,use_fish!K:K),0),_xlfn.IFNA(LOOKUP(W80,use_fish!A:A,use_fish!K:K),0),)</f>
        <v>0</v>
      </c>
      <c r="Q80" s="106">
        <v>63</v>
      </c>
    </row>
    <row r="81" spans="1:17" s="103" customFormat="1" x14ac:dyDescent="0.2">
      <c r="A81" s="103">
        <v>80</v>
      </c>
      <c r="B81" s="103">
        <v>1</v>
      </c>
      <c r="C81" s="104" t="s">
        <v>322</v>
      </c>
      <c r="H81" s="103">
        <f>SUM(_xlfn.IFNA(LOOKUP(Q81,use_fish!A:A,use_fish!E:E),0),_xlfn.IFNA(LOOKUP(R81,use_fish!A:A,use_fish!E:E),0),_xlfn.IFNA(LOOKUP(S81,use_fish!A:A,use_fish!E:E),0),_xlfn.IFNA(LOOKUP(T81,use_fish!A:A,use_fish!E:E),0),_xlfn.IFNA(LOOKUP(U81,use_fish!A:A,use_fish!E:E),0),_xlfn.IFNA(LOOKUP(V81,use_fish!A:A,use_fish!E:E),0),_xlfn.IFNA(LOOKUP(W81,use_fish!A:A,use_fish!E:E),0),)</f>
        <v>135</v>
      </c>
      <c r="I81" s="103">
        <f>SUM(_xlfn.IFNA(LOOKUP(Q81,use_fish!A:A,use_fish!I:I),0),_xlfn.IFNA(LOOKUP(R81,use_fish!A:A,use_fish!I:I),0),_xlfn.IFNA(LOOKUP(S81,use_fish!A:A,use_fish!I:I),0),_xlfn.IFNA(LOOKUP(T81,use_fish!A:A,use_fish!I:I),0),_xlfn.IFNA(LOOKUP(U81,use_fish!A:A,use_fish!I:I),0),_xlfn.IFNA(LOOKUP(V81,use_fish!A:A,use_fish!I:I),0),_xlfn.IFNA(LOOKUP(W81,use_fish!A:A,use_fish!I:I),0),)</f>
        <v>130</v>
      </c>
      <c r="J81" s="105">
        <f>SUM(_xlfn.IFNA(LOOKUP(Q81,use_fish!A:A,use_fish!K:K),0),_xlfn.IFNA(LOOKUP(R81,use_fish!A:A,use_fish!K:K),0),_xlfn.IFNA(LOOKUP(S81,use_fish!A:A,use_fish!K:K),0),_xlfn.IFNA(LOOKUP(T81,use_fish!A:A,use_fish!K:K),0),_xlfn.IFNA(LOOKUP(U81,use_fish!A:A,use_fish!K:K),0),_xlfn.IFNA(LOOKUP(V81,use_fish!A:A,use_fish!K:K),0),_xlfn.IFNA(LOOKUP(W81,use_fish!A:A,use_fish!K:K),0),)</f>
        <v>0</v>
      </c>
      <c r="Q81" s="106">
        <v>64</v>
      </c>
    </row>
    <row r="82" spans="1:17" s="29" customFormat="1" x14ac:dyDescent="0.2">
      <c r="A82" s="29">
        <v>81</v>
      </c>
      <c r="B82" s="29">
        <v>1</v>
      </c>
      <c r="C82" s="93" t="s">
        <v>323</v>
      </c>
      <c r="H82" s="29">
        <f>SUM(_xlfn.IFNA(LOOKUP(Q82,use_fish!A:A,use_fish!E:E),0),_xlfn.IFNA(LOOKUP(R82,use_fish!A:A,use_fish!E:E),0),_xlfn.IFNA(LOOKUP(S82,use_fish!A:A,use_fish!E:E),0),_xlfn.IFNA(LOOKUP(T82,use_fish!A:A,use_fish!E:E),0),_xlfn.IFNA(LOOKUP(U82,use_fish!A:A,use_fish!E:E),0),_xlfn.IFNA(LOOKUP(V82,use_fish!A:A,use_fish!E:E),0),_xlfn.IFNA(LOOKUP(W82,use_fish!A:A,use_fish!E:E),0),)</f>
        <v>65</v>
      </c>
      <c r="I82" s="29">
        <f>SUM(_xlfn.IFNA(LOOKUP(Q82,use_fish!A:A,use_fish!I:I),0),_xlfn.IFNA(LOOKUP(R82,use_fish!A:A,use_fish!I:I),0),_xlfn.IFNA(LOOKUP(S82,use_fish!A:A,use_fish!I:I),0),_xlfn.IFNA(LOOKUP(T82,use_fish!A:A,use_fish!I:I),0),_xlfn.IFNA(LOOKUP(U82,use_fish!A:A,use_fish!I:I),0),_xlfn.IFNA(LOOKUP(V82,use_fish!A:A,use_fish!I:I),0),_xlfn.IFNA(LOOKUP(W82,use_fish!A:A,use_fish!I:I),0),)</f>
        <v>65</v>
      </c>
      <c r="J82" s="30">
        <f>SUM(_xlfn.IFNA(LOOKUP(Q82,use_fish!A:A,use_fish!K:K),0),_xlfn.IFNA(LOOKUP(R82,use_fish!A:A,use_fish!K:K),0),_xlfn.IFNA(LOOKUP(S82,use_fish!A:A,use_fish!K:K),0),_xlfn.IFNA(LOOKUP(T82,use_fish!A:A,use_fish!K:K),0),_xlfn.IFNA(LOOKUP(U82,use_fish!A:A,use_fish!K:K),0),_xlfn.IFNA(LOOKUP(V82,use_fish!A:A,use_fish!K:K),0),_xlfn.IFNA(LOOKUP(W82,use_fish!A:A,use_fish!K:K),0),)</f>
        <v>0</v>
      </c>
      <c r="Q82" s="28">
        <v>65</v>
      </c>
    </row>
    <row r="83" spans="1:17" s="29" customFormat="1" x14ac:dyDescent="0.2">
      <c r="A83" s="29">
        <v>82</v>
      </c>
      <c r="B83" s="29">
        <v>1</v>
      </c>
      <c r="C83" s="93" t="s">
        <v>324</v>
      </c>
      <c r="H83" s="29">
        <f>SUM(_xlfn.IFNA(LOOKUP(Q83,use_fish!A:A,use_fish!E:E),0),_xlfn.IFNA(LOOKUP(R83,use_fish!A:A,use_fish!E:E),0),_xlfn.IFNA(LOOKUP(S83,use_fish!A:A,use_fish!E:E),0),_xlfn.IFNA(LOOKUP(T83,use_fish!A:A,use_fish!E:E),0),_xlfn.IFNA(LOOKUP(U83,use_fish!A:A,use_fish!E:E),0),_xlfn.IFNA(LOOKUP(V83,use_fish!A:A,use_fish!E:E),0),_xlfn.IFNA(LOOKUP(W83,use_fish!A:A,use_fish!E:E),0),)</f>
        <v>68</v>
      </c>
      <c r="I83" s="29">
        <f>SUM(_xlfn.IFNA(LOOKUP(Q83,use_fish!A:A,use_fish!I:I),0),_xlfn.IFNA(LOOKUP(R83,use_fish!A:A,use_fish!I:I),0),_xlfn.IFNA(LOOKUP(S83,use_fish!A:A,use_fish!I:I),0),_xlfn.IFNA(LOOKUP(T83,use_fish!A:A,use_fish!I:I),0),_xlfn.IFNA(LOOKUP(U83,use_fish!A:A,use_fish!I:I),0),_xlfn.IFNA(LOOKUP(V83,use_fish!A:A,use_fish!I:I),0),_xlfn.IFNA(LOOKUP(W83,use_fish!A:A,use_fish!I:I),0),)</f>
        <v>68</v>
      </c>
      <c r="J83" s="30">
        <f>SUM(_xlfn.IFNA(LOOKUP(Q83,use_fish!A:A,use_fish!K:K),0),_xlfn.IFNA(LOOKUP(R83,use_fish!A:A,use_fish!K:K),0),_xlfn.IFNA(LOOKUP(S83,use_fish!A:A,use_fish!K:K),0),_xlfn.IFNA(LOOKUP(T83,use_fish!A:A,use_fish!K:K),0),_xlfn.IFNA(LOOKUP(U83,use_fish!A:A,use_fish!K:K),0),_xlfn.IFNA(LOOKUP(V83,use_fish!A:A,use_fish!K:K),0),_xlfn.IFNA(LOOKUP(W83,use_fish!A:A,use_fish!K:K),0),)</f>
        <v>0</v>
      </c>
      <c r="Q83" s="28">
        <v>66</v>
      </c>
    </row>
    <row r="84" spans="1:17" s="29" customFormat="1" x14ac:dyDescent="0.2">
      <c r="A84" s="29">
        <v>83</v>
      </c>
      <c r="B84" s="29">
        <v>1</v>
      </c>
      <c r="C84" s="93" t="s">
        <v>325</v>
      </c>
      <c r="H84" s="29">
        <f>SUM(_xlfn.IFNA(LOOKUP(Q84,use_fish!A:A,use_fish!E:E),0),_xlfn.IFNA(LOOKUP(R84,use_fish!A:A,use_fish!E:E),0),_xlfn.IFNA(LOOKUP(S84,use_fish!A:A,use_fish!E:E),0),_xlfn.IFNA(LOOKUP(T84,use_fish!A:A,use_fish!E:E),0),_xlfn.IFNA(LOOKUP(U84,use_fish!A:A,use_fish!E:E),0),_xlfn.IFNA(LOOKUP(V84,use_fish!A:A,use_fish!E:E),0),_xlfn.IFNA(LOOKUP(W84,use_fish!A:A,use_fish!E:E),0),)</f>
        <v>70</v>
      </c>
      <c r="I84" s="29">
        <f>SUM(_xlfn.IFNA(LOOKUP(Q84,use_fish!A:A,use_fish!I:I),0),_xlfn.IFNA(LOOKUP(R84,use_fish!A:A,use_fish!I:I),0),_xlfn.IFNA(LOOKUP(S84,use_fish!A:A,use_fish!I:I),0),_xlfn.IFNA(LOOKUP(T84,use_fish!A:A,use_fish!I:I),0),_xlfn.IFNA(LOOKUP(U84,use_fish!A:A,use_fish!I:I),0),_xlfn.IFNA(LOOKUP(V84,use_fish!A:A,use_fish!I:I),0),_xlfn.IFNA(LOOKUP(W84,use_fish!A:A,use_fish!I:I),0),)</f>
        <v>70</v>
      </c>
      <c r="J84" s="30">
        <f>SUM(_xlfn.IFNA(LOOKUP(Q84,use_fish!A:A,use_fish!K:K),0),_xlfn.IFNA(LOOKUP(R84,use_fish!A:A,use_fish!K:K),0),_xlfn.IFNA(LOOKUP(S84,use_fish!A:A,use_fish!K:K),0),_xlfn.IFNA(LOOKUP(T84,use_fish!A:A,use_fish!K:K),0),_xlfn.IFNA(LOOKUP(U84,use_fish!A:A,use_fish!K:K),0),_xlfn.IFNA(LOOKUP(V84,use_fish!A:A,use_fish!K:K),0),_xlfn.IFNA(LOOKUP(W84,use_fish!A:A,use_fish!K:K),0),)</f>
        <v>0</v>
      </c>
      <c r="Q84" s="28">
        <v>67</v>
      </c>
    </row>
    <row r="85" spans="1:17" s="29" customFormat="1" x14ac:dyDescent="0.2">
      <c r="A85" s="29">
        <v>84</v>
      </c>
      <c r="B85" s="29">
        <v>1</v>
      </c>
      <c r="C85" s="93" t="s">
        <v>326</v>
      </c>
      <c r="H85" s="29">
        <f>SUM(_xlfn.IFNA(LOOKUP(Q85,use_fish!A:A,use_fish!E:E),0),_xlfn.IFNA(LOOKUP(R85,use_fish!A:A,use_fish!E:E),0),_xlfn.IFNA(LOOKUP(S85,use_fish!A:A,use_fish!E:E),0),_xlfn.IFNA(LOOKUP(T85,use_fish!A:A,use_fish!E:E),0),_xlfn.IFNA(LOOKUP(U85,use_fish!A:A,use_fish!E:E),0),_xlfn.IFNA(LOOKUP(V85,use_fish!A:A,use_fish!E:E),0),_xlfn.IFNA(LOOKUP(W85,use_fish!A:A,use_fish!E:E),0),)</f>
        <v>75</v>
      </c>
      <c r="I85" s="29">
        <f>SUM(_xlfn.IFNA(LOOKUP(Q85,use_fish!A:A,use_fish!I:I),0),_xlfn.IFNA(LOOKUP(R85,use_fish!A:A,use_fish!I:I),0),_xlfn.IFNA(LOOKUP(S85,use_fish!A:A,use_fish!I:I),0),_xlfn.IFNA(LOOKUP(T85,use_fish!A:A,use_fish!I:I),0),_xlfn.IFNA(LOOKUP(U85,use_fish!A:A,use_fish!I:I),0),_xlfn.IFNA(LOOKUP(V85,use_fish!A:A,use_fish!I:I),0),_xlfn.IFNA(LOOKUP(W85,use_fish!A:A,use_fish!I:I),0),)</f>
        <v>75</v>
      </c>
      <c r="J85" s="30">
        <f>SUM(_xlfn.IFNA(LOOKUP(Q85,use_fish!A:A,use_fish!K:K),0),_xlfn.IFNA(LOOKUP(R85,use_fish!A:A,use_fish!K:K),0),_xlfn.IFNA(LOOKUP(S85,use_fish!A:A,use_fish!K:K),0),_xlfn.IFNA(LOOKUP(T85,use_fish!A:A,use_fish!K:K),0),_xlfn.IFNA(LOOKUP(U85,use_fish!A:A,use_fish!K:K),0),_xlfn.IFNA(LOOKUP(V85,use_fish!A:A,use_fish!K:K),0),_xlfn.IFNA(LOOKUP(W85,use_fish!A:A,use_fish!K:K),0),)</f>
        <v>0</v>
      </c>
      <c r="Q85" s="28">
        <v>68</v>
      </c>
    </row>
    <row r="86" spans="1:17" s="29" customFormat="1" x14ac:dyDescent="0.2">
      <c r="A86" s="29">
        <v>85</v>
      </c>
      <c r="B86" s="29">
        <v>1</v>
      </c>
      <c r="C86" s="93" t="s">
        <v>327</v>
      </c>
      <c r="H86" s="29">
        <f>SUM(_xlfn.IFNA(LOOKUP(Q86,use_fish!A:A,use_fish!E:E),0),_xlfn.IFNA(LOOKUP(R86,use_fish!A:A,use_fish!E:E),0),_xlfn.IFNA(LOOKUP(S86,use_fish!A:A,use_fish!E:E),0),_xlfn.IFNA(LOOKUP(T86,use_fish!A:A,use_fish!E:E),0),_xlfn.IFNA(LOOKUP(U86,use_fish!A:A,use_fish!E:E),0),_xlfn.IFNA(LOOKUP(V86,use_fish!A:A,use_fish!E:E),0),_xlfn.IFNA(LOOKUP(W86,use_fish!A:A,use_fish!E:E),0),)</f>
        <v>80</v>
      </c>
      <c r="I86" s="29">
        <f>SUM(_xlfn.IFNA(LOOKUP(Q86,use_fish!A:A,use_fish!I:I),0),_xlfn.IFNA(LOOKUP(R86,use_fish!A:A,use_fish!I:I),0),_xlfn.IFNA(LOOKUP(S86,use_fish!A:A,use_fish!I:I),0),_xlfn.IFNA(LOOKUP(T86,use_fish!A:A,use_fish!I:I),0),_xlfn.IFNA(LOOKUP(U86,use_fish!A:A,use_fish!I:I),0),_xlfn.IFNA(LOOKUP(V86,use_fish!A:A,use_fish!I:I),0),_xlfn.IFNA(LOOKUP(W86,use_fish!A:A,use_fish!I:I),0),)</f>
        <v>80</v>
      </c>
      <c r="J86" s="30">
        <f>SUM(_xlfn.IFNA(LOOKUP(Q86,use_fish!A:A,use_fish!K:K),0),_xlfn.IFNA(LOOKUP(R86,use_fish!A:A,use_fish!K:K),0),_xlfn.IFNA(LOOKUP(S86,use_fish!A:A,use_fish!K:K),0),_xlfn.IFNA(LOOKUP(T86,use_fish!A:A,use_fish!K:K),0),_xlfn.IFNA(LOOKUP(U86,use_fish!A:A,use_fish!K:K),0),_xlfn.IFNA(LOOKUP(V86,use_fish!A:A,use_fish!K:K),0),_xlfn.IFNA(LOOKUP(W86,use_fish!A:A,use_fish!K:K),0),)</f>
        <v>0</v>
      </c>
      <c r="Q86" s="28">
        <v>69</v>
      </c>
    </row>
    <row r="87" spans="1:17" s="29" customFormat="1" x14ac:dyDescent="0.2">
      <c r="A87" s="29">
        <v>86</v>
      </c>
      <c r="B87" s="29">
        <v>1</v>
      </c>
      <c r="C87" s="93" t="s">
        <v>328</v>
      </c>
      <c r="H87" s="29">
        <f>SUM(_xlfn.IFNA(LOOKUP(Q87,use_fish!A:A,use_fish!E:E),0),_xlfn.IFNA(LOOKUP(R87,use_fish!A:A,use_fish!E:E),0),_xlfn.IFNA(LOOKUP(S87,use_fish!A:A,use_fish!E:E),0),_xlfn.IFNA(LOOKUP(T87,use_fish!A:A,use_fish!E:E),0),_xlfn.IFNA(LOOKUP(U87,use_fish!A:A,use_fish!E:E),0),_xlfn.IFNA(LOOKUP(V87,use_fish!A:A,use_fish!E:E),0),_xlfn.IFNA(LOOKUP(W87,use_fish!A:A,use_fish!E:E),0),)</f>
        <v>85</v>
      </c>
      <c r="I87" s="29">
        <f>SUM(_xlfn.IFNA(LOOKUP(Q87,use_fish!A:A,use_fish!I:I),0),_xlfn.IFNA(LOOKUP(R87,use_fish!A:A,use_fish!I:I),0),_xlfn.IFNA(LOOKUP(S87,use_fish!A:A,use_fish!I:I),0),_xlfn.IFNA(LOOKUP(T87,use_fish!A:A,use_fish!I:I),0),_xlfn.IFNA(LOOKUP(U87,use_fish!A:A,use_fish!I:I),0),_xlfn.IFNA(LOOKUP(V87,use_fish!A:A,use_fish!I:I),0),_xlfn.IFNA(LOOKUP(W87,use_fish!A:A,use_fish!I:I),0),)</f>
        <v>85</v>
      </c>
      <c r="J87" s="30">
        <f>SUM(_xlfn.IFNA(LOOKUP(Q87,use_fish!A:A,use_fish!K:K),0),_xlfn.IFNA(LOOKUP(R87,use_fish!A:A,use_fish!K:K),0),_xlfn.IFNA(LOOKUP(S87,use_fish!A:A,use_fish!K:K),0),_xlfn.IFNA(LOOKUP(T87,use_fish!A:A,use_fish!K:K),0),_xlfn.IFNA(LOOKUP(U87,use_fish!A:A,use_fish!K:K),0),_xlfn.IFNA(LOOKUP(V87,use_fish!A:A,use_fish!K:K),0),_xlfn.IFNA(LOOKUP(W87,use_fish!A:A,use_fish!K:K),0),)</f>
        <v>0</v>
      </c>
      <c r="Q87" s="28">
        <v>70</v>
      </c>
    </row>
    <row r="88" spans="1:17" s="29" customFormat="1" x14ac:dyDescent="0.2">
      <c r="A88" s="29">
        <v>87</v>
      </c>
      <c r="B88" s="29">
        <v>1</v>
      </c>
      <c r="C88" s="93" t="s">
        <v>329</v>
      </c>
      <c r="H88" s="29">
        <f>SUM(_xlfn.IFNA(LOOKUP(Q88,use_fish!A:A,use_fish!E:E),0),_xlfn.IFNA(LOOKUP(R88,use_fish!A:A,use_fish!E:E),0),_xlfn.IFNA(LOOKUP(S88,use_fish!A:A,use_fish!E:E),0),_xlfn.IFNA(LOOKUP(T88,use_fish!A:A,use_fish!E:E),0),_xlfn.IFNA(LOOKUP(U88,use_fish!A:A,use_fish!E:E),0),_xlfn.IFNA(LOOKUP(V88,use_fish!A:A,use_fish!E:E),0),_xlfn.IFNA(LOOKUP(W88,use_fish!A:A,use_fish!E:E),0),)</f>
        <v>90</v>
      </c>
      <c r="I88" s="29">
        <f>SUM(_xlfn.IFNA(LOOKUP(Q88,use_fish!A:A,use_fish!I:I),0),_xlfn.IFNA(LOOKUP(R88,use_fish!A:A,use_fish!I:I),0),_xlfn.IFNA(LOOKUP(S88,use_fish!A:A,use_fish!I:I),0),_xlfn.IFNA(LOOKUP(T88,use_fish!A:A,use_fish!I:I),0),_xlfn.IFNA(LOOKUP(U88,use_fish!A:A,use_fish!I:I),0),_xlfn.IFNA(LOOKUP(V88,use_fish!A:A,use_fish!I:I),0),_xlfn.IFNA(LOOKUP(W88,use_fish!A:A,use_fish!I:I),0),)</f>
        <v>90</v>
      </c>
      <c r="J88" s="30">
        <f>SUM(_xlfn.IFNA(LOOKUP(Q88,use_fish!A:A,use_fish!K:K),0),_xlfn.IFNA(LOOKUP(R88,use_fish!A:A,use_fish!K:K),0),_xlfn.IFNA(LOOKUP(S88,use_fish!A:A,use_fish!K:K),0),_xlfn.IFNA(LOOKUP(T88,use_fish!A:A,use_fish!K:K),0),_xlfn.IFNA(LOOKUP(U88,use_fish!A:A,use_fish!K:K),0),_xlfn.IFNA(LOOKUP(V88,use_fish!A:A,use_fish!K:K),0),_xlfn.IFNA(LOOKUP(W88,use_fish!A:A,use_fish!K:K),0),)</f>
        <v>0</v>
      </c>
      <c r="Q88" s="28">
        <v>71</v>
      </c>
    </row>
    <row r="89" spans="1:17" s="29" customFormat="1" x14ac:dyDescent="0.2">
      <c r="A89" s="29">
        <v>88</v>
      </c>
      <c r="B89" s="29">
        <v>1</v>
      </c>
      <c r="C89" s="93" t="s">
        <v>330</v>
      </c>
      <c r="H89" s="29">
        <f>SUM(_xlfn.IFNA(LOOKUP(Q89,use_fish!A:A,use_fish!E:E),0),_xlfn.IFNA(LOOKUP(R89,use_fish!A:A,use_fish!E:E),0),_xlfn.IFNA(LOOKUP(S89,use_fish!A:A,use_fish!E:E),0),_xlfn.IFNA(LOOKUP(T89,use_fish!A:A,use_fish!E:E),0),_xlfn.IFNA(LOOKUP(U89,use_fish!A:A,use_fish!E:E),0),_xlfn.IFNA(LOOKUP(V89,use_fish!A:A,use_fish!E:E),0),_xlfn.IFNA(LOOKUP(W89,use_fish!A:A,use_fish!E:E),0),)</f>
        <v>110</v>
      </c>
      <c r="I89" s="29">
        <f>SUM(_xlfn.IFNA(LOOKUP(Q89,use_fish!A:A,use_fish!I:I),0),_xlfn.IFNA(LOOKUP(R89,use_fish!A:A,use_fish!I:I),0),_xlfn.IFNA(LOOKUP(S89,use_fish!A:A,use_fish!I:I),0),_xlfn.IFNA(LOOKUP(T89,use_fish!A:A,use_fish!I:I),0),_xlfn.IFNA(LOOKUP(U89,use_fish!A:A,use_fish!I:I),0),_xlfn.IFNA(LOOKUP(V89,use_fish!A:A,use_fish!I:I),0),_xlfn.IFNA(LOOKUP(W89,use_fish!A:A,use_fish!I:I),0),)</f>
        <v>110</v>
      </c>
      <c r="J89" s="30">
        <f>SUM(_xlfn.IFNA(LOOKUP(Q89,use_fish!A:A,use_fish!K:K),0),_xlfn.IFNA(LOOKUP(R89,use_fish!A:A,use_fish!K:K),0),_xlfn.IFNA(LOOKUP(S89,use_fish!A:A,use_fish!K:K),0),_xlfn.IFNA(LOOKUP(T89,use_fish!A:A,use_fish!K:K),0),_xlfn.IFNA(LOOKUP(U89,use_fish!A:A,use_fish!K:K),0),_xlfn.IFNA(LOOKUP(V89,use_fish!A:A,use_fish!K:K),0),_xlfn.IFNA(LOOKUP(W89,use_fish!A:A,use_fish!K:K),0),)</f>
        <v>0</v>
      </c>
      <c r="Q89" s="28">
        <v>72</v>
      </c>
    </row>
    <row r="90" spans="1:17" s="103" customFormat="1" x14ac:dyDescent="0.2">
      <c r="A90" s="103">
        <v>89</v>
      </c>
      <c r="B90" s="103">
        <v>1</v>
      </c>
      <c r="C90" s="104" t="s">
        <v>331</v>
      </c>
      <c r="H90" s="103">
        <f>SUM(_xlfn.IFNA(LOOKUP(Q90,use_fish!A:A,use_fish!E:E),0),_xlfn.IFNA(LOOKUP(R90,use_fish!A:A,use_fish!E:E),0),_xlfn.IFNA(LOOKUP(S90,use_fish!A:A,use_fish!E:E),0),_xlfn.IFNA(LOOKUP(T90,use_fish!A:A,use_fish!E:E),0),_xlfn.IFNA(LOOKUP(U90,use_fish!A:A,use_fish!E:E),0),_xlfn.IFNA(LOOKUP(V90,use_fish!A:A,use_fish!E:E),0),_xlfn.IFNA(LOOKUP(W90,use_fish!A:A,use_fish!E:E),0),)</f>
        <v>113</v>
      </c>
      <c r="I90" s="103">
        <f>SUM(_xlfn.IFNA(LOOKUP(Q90,use_fish!A:A,use_fish!I:I),0),_xlfn.IFNA(LOOKUP(R90,use_fish!A:A,use_fish!I:I),0),_xlfn.IFNA(LOOKUP(S90,use_fish!A:A,use_fish!I:I),0),_xlfn.IFNA(LOOKUP(T90,use_fish!A:A,use_fish!I:I),0),_xlfn.IFNA(LOOKUP(U90,use_fish!A:A,use_fish!I:I),0),_xlfn.IFNA(LOOKUP(V90,use_fish!A:A,use_fish!I:I),0),_xlfn.IFNA(LOOKUP(W90,use_fish!A:A,use_fish!I:I),0),)</f>
        <v>110</v>
      </c>
      <c r="J90" s="105">
        <f>SUM(_xlfn.IFNA(LOOKUP(Q90,use_fish!A:A,use_fish!K:K),0),_xlfn.IFNA(LOOKUP(R90,use_fish!A:A,use_fish!K:K),0),_xlfn.IFNA(LOOKUP(S90,use_fish!A:A,use_fish!K:K),0),_xlfn.IFNA(LOOKUP(T90,use_fish!A:A,use_fish!K:K),0),_xlfn.IFNA(LOOKUP(U90,use_fish!A:A,use_fish!K:K),0),_xlfn.IFNA(LOOKUP(V90,use_fish!A:A,use_fish!K:K),0),_xlfn.IFNA(LOOKUP(W90,use_fish!A:A,use_fish!K:K),0),)</f>
        <v>0</v>
      </c>
      <c r="Q90" s="106">
        <v>73</v>
      </c>
    </row>
    <row r="91" spans="1:17" s="103" customFormat="1" x14ac:dyDescent="0.2">
      <c r="A91" s="103">
        <v>90</v>
      </c>
      <c r="B91" s="103">
        <v>1</v>
      </c>
      <c r="C91" s="104" t="s">
        <v>332</v>
      </c>
      <c r="H91" s="103">
        <f>SUM(_xlfn.IFNA(LOOKUP(Q91,use_fish!A:A,use_fish!E:E),0),_xlfn.IFNA(LOOKUP(R91,use_fish!A:A,use_fish!E:E),0),_xlfn.IFNA(LOOKUP(S91,use_fish!A:A,use_fish!E:E),0),_xlfn.IFNA(LOOKUP(T91,use_fish!A:A,use_fish!E:E),0),_xlfn.IFNA(LOOKUP(U91,use_fish!A:A,use_fish!E:E),0),_xlfn.IFNA(LOOKUP(V91,use_fish!A:A,use_fish!E:E),0),_xlfn.IFNA(LOOKUP(W91,use_fish!A:A,use_fish!E:E),0),)</f>
        <v>113</v>
      </c>
      <c r="I91" s="103">
        <f>SUM(_xlfn.IFNA(LOOKUP(Q91,use_fish!A:A,use_fish!I:I),0),_xlfn.IFNA(LOOKUP(R91,use_fish!A:A,use_fish!I:I),0),_xlfn.IFNA(LOOKUP(S91,use_fish!A:A,use_fish!I:I),0),_xlfn.IFNA(LOOKUP(T91,use_fish!A:A,use_fish!I:I),0),_xlfn.IFNA(LOOKUP(U91,use_fish!A:A,use_fish!I:I),0),_xlfn.IFNA(LOOKUP(V91,use_fish!A:A,use_fish!I:I),0),_xlfn.IFNA(LOOKUP(W91,use_fish!A:A,use_fish!I:I),0),)</f>
        <v>110</v>
      </c>
      <c r="J91" s="105">
        <f>SUM(_xlfn.IFNA(LOOKUP(Q91,use_fish!A:A,use_fish!K:K),0),_xlfn.IFNA(LOOKUP(R91,use_fish!A:A,use_fish!K:K),0),_xlfn.IFNA(LOOKUP(S91,use_fish!A:A,use_fish!K:K),0),_xlfn.IFNA(LOOKUP(T91,use_fish!A:A,use_fish!K:K),0),_xlfn.IFNA(LOOKUP(U91,use_fish!A:A,use_fish!K:K),0),_xlfn.IFNA(LOOKUP(V91,use_fish!A:A,use_fish!K:K),0),_xlfn.IFNA(LOOKUP(W91,use_fish!A:A,use_fish!K:K),0),)</f>
        <v>0</v>
      </c>
      <c r="Q91" s="106">
        <v>74</v>
      </c>
    </row>
    <row r="92" spans="1:17" s="103" customFormat="1" x14ac:dyDescent="0.2">
      <c r="A92" s="103">
        <v>91</v>
      </c>
      <c r="B92" s="103">
        <v>1</v>
      </c>
      <c r="C92" s="104" t="s">
        <v>333</v>
      </c>
      <c r="H92" s="103">
        <f>SUM(_xlfn.IFNA(LOOKUP(Q92,use_fish!A:A,use_fish!E:E),0),_xlfn.IFNA(LOOKUP(R92,use_fish!A:A,use_fish!E:E),0),_xlfn.IFNA(LOOKUP(S92,use_fish!A:A,use_fish!E:E),0),_xlfn.IFNA(LOOKUP(T92,use_fish!A:A,use_fish!E:E),0),_xlfn.IFNA(LOOKUP(U92,use_fish!A:A,use_fish!E:E),0),_xlfn.IFNA(LOOKUP(V92,use_fish!A:A,use_fish!E:E),0),_xlfn.IFNA(LOOKUP(W92,use_fish!A:A,use_fish!E:E),0),)</f>
        <v>155</v>
      </c>
      <c r="I92" s="103">
        <f>SUM(_xlfn.IFNA(LOOKUP(Q92,use_fish!A:A,use_fish!I:I),0),_xlfn.IFNA(LOOKUP(R92,use_fish!A:A,use_fish!I:I),0),_xlfn.IFNA(LOOKUP(S92,use_fish!A:A,use_fish!I:I),0),_xlfn.IFNA(LOOKUP(T92,use_fish!A:A,use_fish!I:I),0),_xlfn.IFNA(LOOKUP(U92,use_fish!A:A,use_fish!I:I),0),_xlfn.IFNA(LOOKUP(V92,use_fish!A:A,use_fish!I:I),0),_xlfn.IFNA(LOOKUP(W92,use_fish!A:A,use_fish!I:I),0),)</f>
        <v>110</v>
      </c>
      <c r="J92" s="105">
        <f>SUM(_xlfn.IFNA(LOOKUP(Q92,use_fish!A:A,use_fish!K:K),0),_xlfn.IFNA(LOOKUP(R92,use_fish!A:A,use_fish!K:K),0),_xlfn.IFNA(LOOKUP(S92,use_fish!A:A,use_fish!K:K),0),_xlfn.IFNA(LOOKUP(T92,use_fish!A:A,use_fish!K:K),0),_xlfn.IFNA(LOOKUP(U92,use_fish!A:A,use_fish!K:K),0),_xlfn.IFNA(LOOKUP(V92,use_fish!A:A,use_fish!K:K),0),_xlfn.IFNA(LOOKUP(W92,use_fish!A:A,use_fish!K:K),0),)</f>
        <v>0</v>
      </c>
      <c r="Q92" s="106">
        <v>75</v>
      </c>
    </row>
    <row r="93" spans="1:17" s="103" customFormat="1" x14ac:dyDescent="0.2">
      <c r="A93" s="103">
        <v>92</v>
      </c>
      <c r="B93" s="103">
        <v>1</v>
      </c>
      <c r="C93" s="104" t="s">
        <v>334</v>
      </c>
      <c r="H93" s="103">
        <f>SUM(_xlfn.IFNA(LOOKUP(Q93,use_fish!A:A,use_fish!E:E),0),_xlfn.IFNA(LOOKUP(R93,use_fish!A:A,use_fish!E:E),0),_xlfn.IFNA(LOOKUP(S93,use_fish!A:A,use_fish!E:E),0),_xlfn.IFNA(LOOKUP(T93,use_fish!A:A,use_fish!E:E),0),_xlfn.IFNA(LOOKUP(U93,use_fish!A:A,use_fish!E:E),0),_xlfn.IFNA(LOOKUP(V93,use_fish!A:A,use_fish!E:E),0),_xlfn.IFNA(LOOKUP(W93,use_fish!A:A,use_fish!E:E),0),)</f>
        <v>134</v>
      </c>
      <c r="I93" s="103">
        <f>SUM(_xlfn.IFNA(LOOKUP(Q93,use_fish!A:A,use_fish!I:I),0),_xlfn.IFNA(LOOKUP(R93,use_fish!A:A,use_fish!I:I),0),_xlfn.IFNA(LOOKUP(S93,use_fish!A:A,use_fish!I:I),0),_xlfn.IFNA(LOOKUP(T93,use_fish!A:A,use_fish!I:I),0),_xlfn.IFNA(LOOKUP(U93,use_fish!A:A,use_fish!I:I),0),_xlfn.IFNA(LOOKUP(V93,use_fish!A:A,use_fish!I:I),0),_xlfn.IFNA(LOOKUP(W93,use_fish!A:A,use_fish!I:I),0),)</f>
        <v>130</v>
      </c>
      <c r="J93" s="105">
        <f>SUM(_xlfn.IFNA(LOOKUP(Q93,use_fish!A:A,use_fish!K:K),0),_xlfn.IFNA(LOOKUP(R93,use_fish!A:A,use_fish!K:K),0),_xlfn.IFNA(LOOKUP(S93,use_fish!A:A,use_fish!K:K),0),_xlfn.IFNA(LOOKUP(T93,use_fish!A:A,use_fish!K:K),0),_xlfn.IFNA(LOOKUP(U93,use_fish!A:A,use_fish!K:K),0),_xlfn.IFNA(LOOKUP(V93,use_fish!A:A,use_fish!K:K),0),_xlfn.IFNA(LOOKUP(W93,use_fish!A:A,use_fish!K:K),0),)</f>
        <v>0</v>
      </c>
      <c r="Q93" s="106">
        <v>76</v>
      </c>
    </row>
    <row r="94" spans="1:17" s="103" customFormat="1" x14ac:dyDescent="0.2">
      <c r="A94" s="103">
        <v>93</v>
      </c>
      <c r="B94" s="103">
        <v>1</v>
      </c>
      <c r="C94" s="104" t="s">
        <v>335</v>
      </c>
      <c r="H94" s="103">
        <f>SUM(_xlfn.IFNA(LOOKUP(Q94,use_fish!A:A,use_fish!E:E),0),_xlfn.IFNA(LOOKUP(R94,use_fish!A:A,use_fish!E:E),0),_xlfn.IFNA(LOOKUP(S94,use_fish!A:A,use_fish!E:E),0),_xlfn.IFNA(LOOKUP(T94,use_fish!A:A,use_fish!E:E),0),_xlfn.IFNA(LOOKUP(U94,use_fish!A:A,use_fish!E:E),0),_xlfn.IFNA(LOOKUP(V94,use_fish!A:A,use_fish!E:E),0),_xlfn.IFNA(LOOKUP(W94,use_fish!A:A,use_fish!E:E),0),)</f>
        <v>155</v>
      </c>
      <c r="I94" s="103">
        <f>SUM(_xlfn.IFNA(LOOKUP(Q94,use_fish!A:A,use_fish!I:I),0),_xlfn.IFNA(LOOKUP(R94,use_fish!A:A,use_fish!I:I),0),_xlfn.IFNA(LOOKUP(S94,use_fish!A:A,use_fish!I:I),0),_xlfn.IFNA(LOOKUP(T94,use_fish!A:A,use_fish!I:I),0),_xlfn.IFNA(LOOKUP(U94,use_fish!A:A,use_fish!I:I),0),_xlfn.IFNA(LOOKUP(V94,use_fish!A:A,use_fish!I:I),0),_xlfn.IFNA(LOOKUP(W94,use_fish!A:A,use_fish!I:I),0),)</f>
        <v>150</v>
      </c>
      <c r="J94" s="105">
        <f>SUM(_xlfn.IFNA(LOOKUP(Q94,use_fish!A:A,use_fish!K:K),0),_xlfn.IFNA(LOOKUP(R94,use_fish!A:A,use_fish!K:K),0),_xlfn.IFNA(LOOKUP(S94,use_fish!A:A,use_fish!K:K),0),_xlfn.IFNA(LOOKUP(T94,use_fish!A:A,use_fish!K:K),0),_xlfn.IFNA(LOOKUP(U94,use_fish!A:A,use_fish!K:K),0),_xlfn.IFNA(LOOKUP(V94,use_fish!A:A,use_fish!K:K),0),_xlfn.IFNA(LOOKUP(W94,use_fish!A:A,use_fish!K:K),0),)</f>
        <v>0</v>
      </c>
      <c r="Q94" s="106">
        <v>77</v>
      </c>
    </row>
    <row r="95" spans="1:17" s="103" customFormat="1" x14ac:dyDescent="0.2">
      <c r="A95" s="103">
        <v>94</v>
      </c>
      <c r="B95" s="103">
        <v>1</v>
      </c>
      <c r="C95" s="104" t="s">
        <v>336</v>
      </c>
      <c r="H95" s="103">
        <f>SUM(_xlfn.IFNA(LOOKUP(Q95,use_fish!A:A,use_fish!E:E),0),_xlfn.IFNA(LOOKUP(R95,use_fish!A:A,use_fish!E:E),0),_xlfn.IFNA(LOOKUP(S95,use_fish!A:A,use_fish!E:E),0),_xlfn.IFNA(LOOKUP(T95,use_fish!A:A,use_fish!E:E),0),_xlfn.IFNA(LOOKUP(U95,use_fish!A:A,use_fish!E:E),0),_xlfn.IFNA(LOOKUP(V95,use_fish!A:A,use_fish!E:E),0),_xlfn.IFNA(LOOKUP(W95,use_fish!A:A,use_fish!E:E),0),)</f>
        <v>155</v>
      </c>
      <c r="I95" s="103">
        <f>SUM(_xlfn.IFNA(LOOKUP(Q95,use_fish!A:A,use_fish!I:I),0),_xlfn.IFNA(LOOKUP(R95,use_fish!A:A,use_fish!I:I),0),_xlfn.IFNA(LOOKUP(S95,use_fish!A:A,use_fish!I:I),0),_xlfn.IFNA(LOOKUP(T95,use_fish!A:A,use_fish!I:I),0),_xlfn.IFNA(LOOKUP(U95,use_fish!A:A,use_fish!I:I),0),_xlfn.IFNA(LOOKUP(V95,use_fish!A:A,use_fish!I:I),0),_xlfn.IFNA(LOOKUP(W95,use_fish!A:A,use_fish!I:I),0),)</f>
        <v>150</v>
      </c>
      <c r="J95" s="105">
        <f>SUM(_xlfn.IFNA(LOOKUP(Q95,use_fish!A:A,use_fish!K:K),0),_xlfn.IFNA(LOOKUP(R95,use_fish!A:A,use_fish!K:K),0),_xlfn.IFNA(LOOKUP(S95,use_fish!A:A,use_fish!K:K),0),_xlfn.IFNA(LOOKUP(T95,use_fish!A:A,use_fish!K:K),0),_xlfn.IFNA(LOOKUP(U95,use_fish!A:A,use_fish!K:K),0),_xlfn.IFNA(LOOKUP(V95,use_fish!A:A,use_fish!K:K),0),_xlfn.IFNA(LOOKUP(W95,use_fish!A:A,use_fish!K:K),0),)</f>
        <v>0</v>
      </c>
      <c r="Q95" s="106">
        <v>78</v>
      </c>
    </row>
    <row r="96" spans="1:17" s="54" customFormat="1" x14ac:dyDescent="0.2">
      <c r="A96" s="54">
        <v>95</v>
      </c>
      <c r="B96" s="54">
        <v>1</v>
      </c>
      <c r="C96" s="95" t="s">
        <v>340</v>
      </c>
      <c r="H96" s="54">
        <f>SUM(_xlfn.IFNA(LOOKUP(Q96,use_fish!A:A,use_fish!E:E),0),_xlfn.IFNA(LOOKUP(R96,use_fish!A:A,use_fish!E:E),0),_xlfn.IFNA(LOOKUP(S96,use_fish!A:A,use_fish!E:E),0),_xlfn.IFNA(LOOKUP(T96,use_fish!A:A,use_fish!E:E),0),_xlfn.IFNA(LOOKUP(U96,use_fish!A:A,use_fish!E:E),0),_xlfn.IFNA(LOOKUP(V96,use_fish!A:A,use_fish!E:E),0),_xlfn.IFNA(LOOKUP(W96,use_fish!A:A,use_fish!E:E),0),)</f>
        <v>400</v>
      </c>
      <c r="I96" s="54">
        <f>SUM(_xlfn.IFNA(LOOKUP(Q96,use_fish!A:A,use_fish!I:I),0),_xlfn.IFNA(LOOKUP(R96,use_fish!A:A,use_fish!I:I),0),_xlfn.IFNA(LOOKUP(S96,use_fish!A:A,use_fish!I:I),0),_xlfn.IFNA(LOOKUP(T96,use_fish!A:A,use_fish!I:I),0),_xlfn.IFNA(LOOKUP(U96,use_fish!A:A,use_fish!I:I),0),_xlfn.IFNA(LOOKUP(V96,use_fish!A:A,use_fish!I:I),0),_xlfn.IFNA(LOOKUP(W96,use_fish!A:A,use_fish!I:I),0),)</f>
        <v>400</v>
      </c>
      <c r="J96" s="52">
        <f>SUM(_xlfn.IFNA(LOOKUP(Q96,use_fish!A:A,use_fish!K:K),0),_xlfn.IFNA(LOOKUP(R96,use_fish!A:A,use_fish!K:K),0),_xlfn.IFNA(LOOKUP(S96,use_fish!A:A,use_fish!K:K),0),_xlfn.IFNA(LOOKUP(T96,use_fish!A:A,use_fish!K:K),0),_xlfn.IFNA(LOOKUP(U96,use_fish!A:A,use_fish!K:K),0),_xlfn.IFNA(LOOKUP(V96,use_fish!A:A,use_fish!K:K),0),_xlfn.IFNA(LOOKUP(W96,use_fish!A:A,use_fish!K:K),0),)</f>
        <v>0</v>
      </c>
      <c r="Q96" s="51">
        <v>79</v>
      </c>
    </row>
    <row r="97" spans="1:17" s="29" customFormat="1" x14ac:dyDescent="0.2">
      <c r="A97" s="29">
        <v>96</v>
      </c>
      <c r="B97" s="29">
        <v>1</v>
      </c>
      <c r="C97" s="93" t="s">
        <v>342</v>
      </c>
      <c r="H97" s="29">
        <f>SUM(_xlfn.IFNA(LOOKUP(Q97,use_fish!A:A,use_fish!E:E),0),_xlfn.IFNA(LOOKUP(R97,use_fish!A:A,use_fish!E:E),0),_xlfn.IFNA(LOOKUP(S97,use_fish!A:A,use_fish!E:E),0),_xlfn.IFNA(LOOKUP(T97,use_fish!A:A,use_fish!E:E),0),_xlfn.IFNA(LOOKUP(U97,use_fish!A:A,use_fish!E:E),0),_xlfn.IFNA(LOOKUP(V97,use_fish!A:A,use_fish!E:E),0),_xlfn.IFNA(LOOKUP(W97,use_fish!A:A,use_fish!E:E),0),)</f>
        <v>120</v>
      </c>
      <c r="I97" s="29">
        <f>SUM(_xlfn.IFNA(LOOKUP(Q97,use_fish!A:A,use_fish!I:I),0),_xlfn.IFNA(LOOKUP(R97,use_fish!A:A,use_fish!I:I),0),_xlfn.IFNA(LOOKUP(S97,use_fish!A:A,use_fish!I:I),0),_xlfn.IFNA(LOOKUP(T97,use_fish!A:A,use_fish!I:I),0),_xlfn.IFNA(LOOKUP(U97,use_fish!A:A,use_fish!I:I),0),_xlfn.IFNA(LOOKUP(V97,use_fish!A:A,use_fish!I:I),0),_xlfn.IFNA(LOOKUP(W97,use_fish!A:A,use_fish!I:I),0),)</f>
        <v>120</v>
      </c>
      <c r="J97" s="30">
        <f>SUM(_xlfn.IFNA(LOOKUP(Q97,use_fish!A:A,use_fish!K:K),0),_xlfn.IFNA(LOOKUP(R97,use_fish!A:A,use_fish!K:K),0),_xlfn.IFNA(LOOKUP(S97,use_fish!A:A,use_fish!K:K),0),_xlfn.IFNA(LOOKUP(T97,use_fish!A:A,use_fish!K:K),0),_xlfn.IFNA(LOOKUP(U97,use_fish!A:A,use_fish!K:K),0),_xlfn.IFNA(LOOKUP(V97,use_fish!A:A,use_fish!K:K),0),_xlfn.IFNA(LOOKUP(W97,use_fish!A:A,use_fish!K:K),0),)</f>
        <v>0</v>
      </c>
      <c r="Q97" s="28">
        <v>80</v>
      </c>
    </row>
    <row r="98" spans="1:17" s="29" customFormat="1" x14ac:dyDescent="0.2">
      <c r="A98" s="29">
        <v>97</v>
      </c>
      <c r="B98" s="29">
        <v>1</v>
      </c>
      <c r="C98" s="93" t="s">
        <v>343</v>
      </c>
      <c r="H98" s="29">
        <f>SUM(_xlfn.IFNA(LOOKUP(Q98,use_fish!A:A,use_fish!E:E),0),_xlfn.IFNA(LOOKUP(R98,use_fish!A:A,use_fish!E:E),0),_xlfn.IFNA(LOOKUP(S98,use_fish!A:A,use_fish!E:E),0),_xlfn.IFNA(LOOKUP(T98,use_fish!A:A,use_fish!E:E),0),_xlfn.IFNA(LOOKUP(U98,use_fish!A:A,use_fish!E:E),0),_xlfn.IFNA(LOOKUP(V98,use_fish!A:A,use_fish!E:E),0),_xlfn.IFNA(LOOKUP(W98,use_fish!A:A,use_fish!E:E),0),)</f>
        <v>80</v>
      </c>
      <c r="I98" s="29">
        <f>SUM(_xlfn.IFNA(LOOKUP(Q98,use_fish!A:A,use_fish!I:I),0),_xlfn.IFNA(LOOKUP(R98,use_fish!A:A,use_fish!I:I),0),_xlfn.IFNA(LOOKUP(S98,use_fish!A:A,use_fish!I:I),0),_xlfn.IFNA(LOOKUP(T98,use_fish!A:A,use_fish!I:I),0),_xlfn.IFNA(LOOKUP(U98,use_fish!A:A,use_fish!I:I),0),_xlfn.IFNA(LOOKUP(V98,use_fish!A:A,use_fish!I:I),0),_xlfn.IFNA(LOOKUP(W98,use_fish!A:A,use_fish!I:I),0),)</f>
        <v>80</v>
      </c>
      <c r="J98" s="30">
        <f>SUM(_xlfn.IFNA(LOOKUP(Q98,use_fish!A:A,use_fish!K:K),0),_xlfn.IFNA(LOOKUP(R98,use_fish!A:A,use_fish!K:K),0),_xlfn.IFNA(LOOKUP(S98,use_fish!A:A,use_fish!K:K),0),_xlfn.IFNA(LOOKUP(T98,use_fish!A:A,use_fish!K:K),0),_xlfn.IFNA(LOOKUP(U98,use_fish!A:A,use_fish!K:K),0),_xlfn.IFNA(LOOKUP(V98,use_fish!A:A,use_fish!K:K),0),_xlfn.IFNA(LOOKUP(W98,use_fish!A:A,use_fish!K:K),0),)</f>
        <v>0</v>
      </c>
      <c r="Q98" s="28">
        <v>81</v>
      </c>
    </row>
    <row r="99" spans="1:17" s="29" customFormat="1" x14ac:dyDescent="0.2">
      <c r="A99" s="29">
        <v>98</v>
      </c>
      <c r="B99" s="29">
        <v>1</v>
      </c>
      <c r="C99" s="93" t="s">
        <v>345</v>
      </c>
      <c r="H99" s="29">
        <f>SUM(_xlfn.IFNA(LOOKUP(Q99,use_fish!A:A,use_fish!E:E),0),_xlfn.IFNA(LOOKUP(R99,use_fish!A:A,use_fish!E:E),0),_xlfn.IFNA(LOOKUP(S99,use_fish!A:A,use_fish!E:E),0),_xlfn.IFNA(LOOKUP(T99,use_fish!A:A,use_fish!E:E),0),_xlfn.IFNA(LOOKUP(U99,use_fish!A:A,use_fish!E:E),0),_xlfn.IFNA(LOOKUP(V99,use_fish!A:A,use_fish!E:E),0),_xlfn.IFNA(LOOKUP(W99,use_fish!A:A,use_fish!E:E),0),)</f>
        <v>60</v>
      </c>
      <c r="I99" s="29">
        <f>SUM(_xlfn.IFNA(LOOKUP(Q99,use_fish!A:A,use_fish!I:I),0),_xlfn.IFNA(LOOKUP(R99,use_fish!A:A,use_fish!I:I),0),_xlfn.IFNA(LOOKUP(S99,use_fish!A:A,use_fish!I:I),0),_xlfn.IFNA(LOOKUP(T99,use_fish!A:A,use_fish!I:I),0),_xlfn.IFNA(LOOKUP(U99,use_fish!A:A,use_fish!I:I),0),_xlfn.IFNA(LOOKUP(V99,use_fish!A:A,use_fish!I:I),0),_xlfn.IFNA(LOOKUP(W99,use_fish!A:A,use_fish!I:I),0),)</f>
        <v>60</v>
      </c>
      <c r="J99" s="30">
        <f>SUM(_xlfn.IFNA(LOOKUP(Q99,use_fish!A:A,use_fish!K:K),0),_xlfn.IFNA(LOOKUP(R99,use_fish!A:A,use_fish!K:K),0),_xlfn.IFNA(LOOKUP(S99,use_fish!A:A,use_fish!K:K),0),_xlfn.IFNA(LOOKUP(T99,use_fish!A:A,use_fish!K:K),0),_xlfn.IFNA(LOOKUP(U99,use_fish!A:A,use_fish!K:K),0),_xlfn.IFNA(LOOKUP(V99,use_fish!A:A,use_fish!K:K),0),_xlfn.IFNA(LOOKUP(W99,use_fish!A:A,use_fish!K:K),0),)</f>
        <v>0</v>
      </c>
      <c r="Q99" s="28">
        <v>82</v>
      </c>
    </row>
    <row r="100" spans="1:17" s="29" customFormat="1" x14ac:dyDescent="0.2">
      <c r="A100" s="29">
        <v>99</v>
      </c>
      <c r="B100" s="29">
        <v>1</v>
      </c>
      <c r="C100" s="93" t="s">
        <v>344</v>
      </c>
      <c r="H100" s="29">
        <f>SUM(_xlfn.IFNA(LOOKUP(Q100,use_fish!A:A,use_fish!E:E),0),_xlfn.IFNA(LOOKUP(R100,use_fish!A:A,use_fish!E:E),0),_xlfn.IFNA(LOOKUP(S100,use_fish!A:A,use_fish!E:E),0),_xlfn.IFNA(LOOKUP(T100,use_fish!A:A,use_fish!E:E),0),_xlfn.IFNA(LOOKUP(U100,use_fish!A:A,use_fish!E:E),0),_xlfn.IFNA(LOOKUP(V100,use_fish!A:A,use_fish!E:E),0),_xlfn.IFNA(LOOKUP(W100,use_fish!A:A,use_fish!E:E),0),)</f>
        <v>40</v>
      </c>
      <c r="I100" s="29">
        <f>SUM(_xlfn.IFNA(LOOKUP(Q100,use_fish!A:A,use_fish!I:I),0),_xlfn.IFNA(LOOKUP(R100,use_fish!A:A,use_fish!I:I),0),_xlfn.IFNA(LOOKUP(S100,use_fish!A:A,use_fish!I:I),0),_xlfn.IFNA(LOOKUP(T100,use_fish!A:A,use_fish!I:I),0),_xlfn.IFNA(LOOKUP(U100,use_fish!A:A,use_fish!I:I),0),_xlfn.IFNA(LOOKUP(V100,use_fish!A:A,use_fish!I:I),0),_xlfn.IFNA(LOOKUP(W100,use_fish!A:A,use_fish!I:I),0),)</f>
        <v>40</v>
      </c>
      <c r="J100" s="30">
        <f>SUM(_xlfn.IFNA(LOOKUP(Q100,use_fish!A:A,use_fish!K:K),0),_xlfn.IFNA(LOOKUP(R100,use_fish!A:A,use_fish!K:K),0),_xlfn.IFNA(LOOKUP(S100,use_fish!A:A,use_fish!K:K),0),_xlfn.IFNA(LOOKUP(T100,use_fish!A:A,use_fish!K:K),0),_xlfn.IFNA(LOOKUP(U100,use_fish!A:A,use_fish!K:K),0),_xlfn.IFNA(LOOKUP(V100,use_fish!A:A,use_fish!K:K),0),_xlfn.IFNA(LOOKUP(W100,use_fish!A:A,use_fish!K:K),0),)</f>
        <v>0</v>
      </c>
      <c r="Q100" s="28">
        <v>83</v>
      </c>
    </row>
    <row r="101" spans="1:17" s="29" customFormat="1" x14ac:dyDescent="0.2">
      <c r="A101" s="29">
        <v>100</v>
      </c>
      <c r="B101" s="29">
        <v>1</v>
      </c>
      <c r="C101" s="93" t="s">
        <v>355</v>
      </c>
      <c r="H101" s="29">
        <f>SUM(_xlfn.IFNA(LOOKUP(Q101,use_fish!A:A,use_fish!E:E),0),_xlfn.IFNA(LOOKUP(R101,use_fish!A:A,use_fish!E:E),0),_xlfn.IFNA(LOOKUP(S101,use_fish!A:A,use_fish!E:E),0),_xlfn.IFNA(LOOKUP(T101,use_fish!A:A,use_fish!E:E),0),_xlfn.IFNA(LOOKUP(U101,use_fish!A:A,use_fish!E:E),0),_xlfn.IFNA(LOOKUP(V101,use_fish!A:A,use_fish!E:E),0),_xlfn.IFNA(LOOKUP(W101,use_fish!A:A,use_fish!E:E),0),)</f>
        <v>75</v>
      </c>
      <c r="I101" s="29">
        <f>SUM(_xlfn.IFNA(LOOKUP(Q101,use_fish!A:A,use_fish!I:I),0),_xlfn.IFNA(LOOKUP(R101,use_fish!A:A,use_fish!I:I),0),_xlfn.IFNA(LOOKUP(S101,use_fish!A:A,use_fish!I:I),0),_xlfn.IFNA(LOOKUP(T101,use_fish!A:A,use_fish!I:I),0),_xlfn.IFNA(LOOKUP(U101,use_fish!A:A,use_fish!I:I),0),_xlfn.IFNA(LOOKUP(V101,use_fish!A:A,use_fish!I:I),0),_xlfn.IFNA(LOOKUP(W101,use_fish!A:A,use_fish!I:I),0),)</f>
        <v>75</v>
      </c>
      <c r="J101" s="30">
        <f>SUM(_xlfn.IFNA(LOOKUP(Q101,use_fish!A:A,use_fish!K:K),0),_xlfn.IFNA(LOOKUP(R101,use_fish!A:A,use_fish!K:K),0),_xlfn.IFNA(LOOKUP(S101,use_fish!A:A,use_fish!K:K),0),_xlfn.IFNA(LOOKUP(T101,use_fish!A:A,use_fish!K:K),0),_xlfn.IFNA(LOOKUP(U101,use_fish!A:A,use_fish!K:K),0),_xlfn.IFNA(LOOKUP(V101,use_fish!A:A,use_fish!K:K),0),_xlfn.IFNA(LOOKUP(W101,use_fish!A:A,use_fish!K:K),0),)</f>
        <v>0</v>
      </c>
      <c r="Q101" s="28">
        <v>84</v>
      </c>
    </row>
    <row r="102" spans="1:17" s="29" customFormat="1" x14ac:dyDescent="0.2">
      <c r="A102" s="29">
        <v>101</v>
      </c>
      <c r="B102" s="29">
        <v>1</v>
      </c>
      <c r="C102" s="93" t="s">
        <v>356</v>
      </c>
      <c r="H102" s="29">
        <f>SUM(_xlfn.IFNA(LOOKUP(Q102,use_fish!A:A,use_fish!E:E),0),_xlfn.IFNA(LOOKUP(R102,use_fish!A:A,use_fish!E:E),0),_xlfn.IFNA(LOOKUP(S102,use_fish!A:A,use_fish!E:E),0),_xlfn.IFNA(LOOKUP(T102,use_fish!A:A,use_fish!E:E),0),_xlfn.IFNA(LOOKUP(U102,use_fish!A:A,use_fish!E:E),0),_xlfn.IFNA(LOOKUP(V102,use_fish!A:A,use_fish!E:E),0),_xlfn.IFNA(LOOKUP(W102,use_fish!A:A,use_fish!E:E),0),)</f>
        <v>150</v>
      </c>
      <c r="I102" s="29">
        <f>SUM(_xlfn.IFNA(LOOKUP(Q102,use_fish!A:A,use_fish!I:I),0),_xlfn.IFNA(LOOKUP(R102,use_fish!A:A,use_fish!I:I),0),_xlfn.IFNA(LOOKUP(S102,use_fish!A:A,use_fish!I:I),0),_xlfn.IFNA(LOOKUP(T102,use_fish!A:A,use_fish!I:I),0),_xlfn.IFNA(LOOKUP(U102,use_fish!A:A,use_fish!I:I),0),_xlfn.IFNA(LOOKUP(V102,use_fish!A:A,use_fish!I:I),0),_xlfn.IFNA(LOOKUP(W102,use_fish!A:A,use_fish!I:I),0),)</f>
        <v>150</v>
      </c>
      <c r="J102" s="30">
        <f>SUM(_xlfn.IFNA(LOOKUP(Q102,use_fish!A:A,use_fish!K:K),0),_xlfn.IFNA(LOOKUP(R102,use_fish!A:A,use_fish!K:K),0),_xlfn.IFNA(LOOKUP(S102,use_fish!A:A,use_fish!K:K),0),_xlfn.IFNA(LOOKUP(T102,use_fish!A:A,use_fish!K:K),0),_xlfn.IFNA(LOOKUP(U102,use_fish!A:A,use_fish!K:K),0),_xlfn.IFNA(LOOKUP(V102,use_fish!A:A,use_fish!K:K),0),_xlfn.IFNA(LOOKUP(W102,use_fish!A:A,use_fish!K:K),0),)</f>
        <v>0</v>
      </c>
      <c r="Q102" s="28">
        <v>85</v>
      </c>
    </row>
    <row r="103" spans="1:17" s="29" customFormat="1" x14ac:dyDescent="0.2">
      <c r="A103" s="29">
        <v>102</v>
      </c>
      <c r="B103" s="29">
        <v>1</v>
      </c>
      <c r="C103" s="93" t="s">
        <v>357</v>
      </c>
      <c r="H103" s="29">
        <f>SUM(_xlfn.IFNA(LOOKUP(Q103,use_fish!A:A,use_fish!E:E),0),_xlfn.IFNA(LOOKUP(R103,use_fish!A:A,use_fish!E:E),0),_xlfn.IFNA(LOOKUP(S103,use_fish!A:A,use_fish!E:E),0),_xlfn.IFNA(LOOKUP(T103,use_fish!A:A,use_fish!E:E),0),_xlfn.IFNA(LOOKUP(U103,use_fish!A:A,use_fish!E:E),0),_xlfn.IFNA(LOOKUP(V103,use_fish!A:A,use_fish!E:E),0),_xlfn.IFNA(LOOKUP(W103,use_fish!A:A,use_fish!E:E),0),)</f>
        <v>250</v>
      </c>
      <c r="I103" s="29">
        <f>SUM(_xlfn.IFNA(LOOKUP(Q103,use_fish!A:A,use_fish!I:I),0),_xlfn.IFNA(LOOKUP(R103,use_fish!A:A,use_fish!I:I),0),_xlfn.IFNA(LOOKUP(S103,use_fish!A:A,use_fish!I:I),0),_xlfn.IFNA(LOOKUP(T103,use_fish!A:A,use_fish!I:I),0),_xlfn.IFNA(LOOKUP(U103,use_fish!A:A,use_fish!I:I),0),_xlfn.IFNA(LOOKUP(V103,use_fish!A:A,use_fish!I:I),0),_xlfn.IFNA(LOOKUP(W103,use_fish!A:A,use_fish!I:I),0),)</f>
        <v>250</v>
      </c>
      <c r="J103" s="30">
        <f>SUM(_xlfn.IFNA(LOOKUP(Q103,use_fish!A:A,use_fish!K:K),0),_xlfn.IFNA(LOOKUP(R103,use_fish!A:A,use_fish!K:K),0),_xlfn.IFNA(LOOKUP(S103,use_fish!A:A,use_fish!K:K),0),_xlfn.IFNA(LOOKUP(T103,use_fish!A:A,use_fish!K:K),0),_xlfn.IFNA(LOOKUP(U103,use_fish!A:A,use_fish!K:K),0),_xlfn.IFNA(LOOKUP(V103,use_fish!A:A,use_fish!K:K),0),_xlfn.IFNA(LOOKUP(W103,use_fish!A:A,use_fish!K:K),0),)</f>
        <v>0</v>
      </c>
      <c r="Q103" s="28">
        <v>86</v>
      </c>
    </row>
    <row r="104" spans="1:17" s="29" customFormat="1" x14ac:dyDescent="0.2">
      <c r="A104" s="29">
        <v>103</v>
      </c>
      <c r="B104" s="29">
        <v>1</v>
      </c>
      <c r="C104" s="93" t="s">
        <v>358</v>
      </c>
      <c r="H104" s="29">
        <f>SUM(_xlfn.IFNA(LOOKUP(Q104,use_fish!A:A,use_fish!E:E),0),_xlfn.IFNA(LOOKUP(R104,use_fish!A:A,use_fish!E:E),0),_xlfn.IFNA(LOOKUP(S104,use_fish!A:A,use_fish!E:E),0),_xlfn.IFNA(LOOKUP(T104,use_fish!A:A,use_fish!E:E),0),_xlfn.IFNA(LOOKUP(U104,use_fish!A:A,use_fish!E:E),0),_xlfn.IFNA(LOOKUP(V104,use_fish!A:A,use_fish!E:E),0),_xlfn.IFNA(LOOKUP(W104,use_fish!A:A,use_fish!E:E),0),)</f>
        <v>60</v>
      </c>
      <c r="I104" s="29">
        <f>SUM(_xlfn.IFNA(LOOKUP(Q104,use_fish!A:A,use_fish!I:I),0),_xlfn.IFNA(LOOKUP(R104,use_fish!A:A,use_fish!I:I),0),_xlfn.IFNA(LOOKUP(S104,use_fish!A:A,use_fish!I:I),0),_xlfn.IFNA(LOOKUP(T104,use_fish!A:A,use_fish!I:I),0),_xlfn.IFNA(LOOKUP(U104,use_fish!A:A,use_fish!I:I),0),_xlfn.IFNA(LOOKUP(V104,use_fish!A:A,use_fish!I:I),0),_xlfn.IFNA(LOOKUP(W104,use_fish!A:A,use_fish!I:I),0),)</f>
        <v>60</v>
      </c>
      <c r="J104" s="30">
        <f>SUM(_xlfn.IFNA(LOOKUP(Q104,use_fish!A:A,use_fish!K:K),0),_xlfn.IFNA(LOOKUP(R104,use_fish!A:A,use_fish!K:K),0),_xlfn.IFNA(LOOKUP(S104,use_fish!A:A,use_fish!K:K),0),_xlfn.IFNA(LOOKUP(T104,use_fish!A:A,use_fish!K:K),0),_xlfn.IFNA(LOOKUP(U104,use_fish!A:A,use_fish!K:K),0),_xlfn.IFNA(LOOKUP(V104,use_fish!A:A,use_fish!K:K),0),_xlfn.IFNA(LOOKUP(W104,use_fish!A:A,use_fish!K:K),0),)</f>
        <v>0</v>
      </c>
      <c r="Q104" s="28">
        <v>87</v>
      </c>
    </row>
    <row r="105" spans="1:17" s="29" customFormat="1" x14ac:dyDescent="0.2">
      <c r="A105" s="29">
        <v>104</v>
      </c>
      <c r="B105" s="29">
        <v>1</v>
      </c>
      <c r="C105" s="93" t="s">
        <v>359</v>
      </c>
      <c r="H105" s="29">
        <f>SUM(_xlfn.IFNA(LOOKUP(Q105,use_fish!A:A,use_fish!E:E),0),_xlfn.IFNA(LOOKUP(R105,use_fish!A:A,use_fish!E:E),0),_xlfn.IFNA(LOOKUP(S105,use_fish!A:A,use_fish!E:E),0),_xlfn.IFNA(LOOKUP(T105,use_fish!A:A,use_fish!E:E),0),_xlfn.IFNA(LOOKUP(U105,use_fish!A:A,use_fish!E:E),0),_xlfn.IFNA(LOOKUP(V105,use_fish!A:A,use_fish!E:E),0),_xlfn.IFNA(LOOKUP(W105,use_fish!A:A,use_fish!E:E),0),)</f>
        <v>40</v>
      </c>
      <c r="I105" s="29">
        <f>SUM(_xlfn.IFNA(LOOKUP(Q105,use_fish!A:A,use_fish!I:I),0),_xlfn.IFNA(LOOKUP(R105,use_fish!A:A,use_fish!I:I),0),_xlfn.IFNA(LOOKUP(S105,use_fish!A:A,use_fish!I:I),0),_xlfn.IFNA(LOOKUP(T105,use_fish!A:A,use_fish!I:I),0),_xlfn.IFNA(LOOKUP(U105,use_fish!A:A,use_fish!I:I),0),_xlfn.IFNA(LOOKUP(V105,use_fish!A:A,use_fish!I:I),0),_xlfn.IFNA(LOOKUP(W105,use_fish!A:A,use_fish!I:I),0),)</f>
        <v>40</v>
      </c>
      <c r="J105" s="30">
        <f>SUM(_xlfn.IFNA(LOOKUP(Q105,use_fish!A:A,use_fish!K:K),0),_xlfn.IFNA(LOOKUP(R105,use_fish!A:A,use_fish!K:K),0),_xlfn.IFNA(LOOKUP(S105,use_fish!A:A,use_fish!K:K),0),_xlfn.IFNA(LOOKUP(T105,use_fish!A:A,use_fish!K:K),0),_xlfn.IFNA(LOOKUP(U105,use_fish!A:A,use_fish!K:K),0),_xlfn.IFNA(LOOKUP(V105,use_fish!A:A,use_fish!K:K),0),_xlfn.IFNA(LOOKUP(W105,use_fish!A:A,use_fish!K:K),0),)</f>
        <v>0</v>
      </c>
      <c r="Q105" s="28">
        <v>88</v>
      </c>
    </row>
    <row r="106" spans="1:17" s="29" customFormat="1" x14ac:dyDescent="0.2">
      <c r="A106" s="29">
        <v>105</v>
      </c>
      <c r="B106" s="29">
        <v>1</v>
      </c>
      <c r="C106" s="93" t="s">
        <v>360</v>
      </c>
      <c r="H106" s="29">
        <f>SUM(_xlfn.IFNA(LOOKUP(Q106,use_fish!A:A,use_fish!E:E),0),_xlfn.IFNA(LOOKUP(R106,use_fish!A:A,use_fish!E:E),0),_xlfn.IFNA(LOOKUP(S106,use_fish!A:A,use_fish!E:E),0),_xlfn.IFNA(LOOKUP(T106,use_fish!A:A,use_fish!E:E),0),_xlfn.IFNA(LOOKUP(U106,use_fish!A:A,use_fish!E:E),0),_xlfn.IFNA(LOOKUP(V106,use_fish!A:A,use_fish!E:E),0),_xlfn.IFNA(LOOKUP(W106,use_fish!A:A,use_fish!E:E),0),)</f>
        <v>30</v>
      </c>
      <c r="I106" s="29">
        <f>SUM(_xlfn.IFNA(LOOKUP(Q106,use_fish!A:A,use_fish!I:I),0),_xlfn.IFNA(LOOKUP(R106,use_fish!A:A,use_fish!I:I),0),_xlfn.IFNA(LOOKUP(S106,use_fish!A:A,use_fish!I:I),0),_xlfn.IFNA(LOOKUP(T106,use_fish!A:A,use_fish!I:I),0),_xlfn.IFNA(LOOKUP(U106,use_fish!A:A,use_fish!I:I),0),_xlfn.IFNA(LOOKUP(V106,use_fish!A:A,use_fish!I:I),0),_xlfn.IFNA(LOOKUP(W106,use_fish!A:A,use_fish!I:I),0),)</f>
        <v>30</v>
      </c>
      <c r="J106" s="30">
        <f>SUM(_xlfn.IFNA(LOOKUP(Q106,use_fish!A:A,use_fish!K:K),0),_xlfn.IFNA(LOOKUP(R106,use_fish!A:A,use_fish!K:K),0),_xlfn.IFNA(LOOKUP(S106,use_fish!A:A,use_fish!K:K),0),_xlfn.IFNA(LOOKUP(T106,use_fish!A:A,use_fish!K:K),0),_xlfn.IFNA(LOOKUP(U106,use_fish!A:A,use_fish!K:K),0),_xlfn.IFNA(LOOKUP(V106,use_fish!A:A,use_fish!K:K),0),_xlfn.IFNA(LOOKUP(W106,use_fish!A:A,use_fish!K:K),0),)</f>
        <v>0</v>
      </c>
      <c r="Q106" s="28">
        <v>89</v>
      </c>
    </row>
    <row r="107" spans="1:17" s="29" customFormat="1" x14ac:dyDescent="0.2">
      <c r="A107" s="29">
        <v>106</v>
      </c>
      <c r="B107" s="29">
        <v>1</v>
      </c>
      <c r="C107" s="93" t="s">
        <v>361</v>
      </c>
      <c r="H107" s="29">
        <f>SUM(_xlfn.IFNA(LOOKUP(Q107,use_fish!A:A,use_fish!E:E),0),_xlfn.IFNA(LOOKUP(R107,use_fish!A:A,use_fish!E:E),0),_xlfn.IFNA(LOOKUP(S107,use_fish!A:A,use_fish!E:E),0),_xlfn.IFNA(LOOKUP(T107,use_fish!A:A,use_fish!E:E),0),_xlfn.IFNA(LOOKUP(U107,use_fish!A:A,use_fish!E:E),0),_xlfn.IFNA(LOOKUP(V107,use_fish!A:A,use_fish!E:E),0),_xlfn.IFNA(LOOKUP(W107,use_fish!A:A,use_fish!E:E),0),)</f>
        <v>20</v>
      </c>
      <c r="I107" s="29">
        <f>SUM(_xlfn.IFNA(LOOKUP(Q107,use_fish!A:A,use_fish!I:I),0),_xlfn.IFNA(LOOKUP(R107,use_fish!A:A,use_fish!I:I),0),_xlfn.IFNA(LOOKUP(S107,use_fish!A:A,use_fish!I:I),0),_xlfn.IFNA(LOOKUP(T107,use_fish!A:A,use_fish!I:I),0),_xlfn.IFNA(LOOKUP(U107,use_fish!A:A,use_fish!I:I),0),_xlfn.IFNA(LOOKUP(V107,use_fish!A:A,use_fish!I:I),0),_xlfn.IFNA(LOOKUP(W107,use_fish!A:A,use_fish!I:I),0),)</f>
        <v>20</v>
      </c>
      <c r="J107" s="30">
        <f>SUM(_xlfn.IFNA(LOOKUP(Q107,use_fish!A:A,use_fish!K:K),0),_xlfn.IFNA(LOOKUP(R107,use_fish!A:A,use_fish!K:K),0),_xlfn.IFNA(LOOKUP(S107,use_fish!A:A,use_fish!K:K),0),_xlfn.IFNA(LOOKUP(T107,use_fish!A:A,use_fish!K:K),0),_xlfn.IFNA(LOOKUP(U107,use_fish!A:A,use_fish!K:K),0),_xlfn.IFNA(LOOKUP(V107,use_fish!A:A,use_fish!K:K),0),_xlfn.IFNA(LOOKUP(W107,use_fish!A:A,use_fish!K:K),0),)</f>
        <v>0</v>
      </c>
      <c r="Q107" s="28">
        <v>90</v>
      </c>
    </row>
    <row r="108" spans="1:17" s="59" customFormat="1" x14ac:dyDescent="0.2">
      <c r="A108" s="59">
        <v>107</v>
      </c>
      <c r="B108" s="59">
        <v>1</v>
      </c>
      <c r="C108" s="96" t="s">
        <v>370</v>
      </c>
      <c r="H108" s="59">
        <f>SUM(_xlfn.IFNA(LOOKUP(Q108,use_fish!A:A,use_fish!E:E),0),_xlfn.IFNA(LOOKUP(R108,use_fish!A:A,use_fish!E:E),0),_xlfn.IFNA(LOOKUP(S108,use_fish!A:A,use_fish!E:E),0),_xlfn.IFNA(LOOKUP(T108,use_fish!A:A,use_fish!E:E),0),_xlfn.IFNA(LOOKUP(U108,use_fish!A:A,use_fish!E:E),0),_xlfn.IFNA(LOOKUP(V108,use_fish!A:A,use_fish!E:E),0),_xlfn.IFNA(LOOKUP(W108,use_fish!A:A,use_fish!E:E),0),)</f>
        <v>75</v>
      </c>
      <c r="I108" s="59">
        <f>SUM(_xlfn.IFNA(LOOKUP(Q108,use_fish!A:A,use_fish!I:I),0),_xlfn.IFNA(LOOKUP(R108,use_fish!A:A,use_fish!I:I),0),_xlfn.IFNA(LOOKUP(S108,use_fish!A:A,use_fish!I:I),0),_xlfn.IFNA(LOOKUP(T108,use_fish!A:A,use_fish!I:I),0),_xlfn.IFNA(LOOKUP(U108,use_fish!A:A,use_fish!I:I),0),_xlfn.IFNA(LOOKUP(V108,use_fish!A:A,use_fish!I:I),0),_xlfn.IFNA(LOOKUP(W108,use_fish!A:A,use_fish!I:I),0),)</f>
        <v>75</v>
      </c>
      <c r="J108" s="57">
        <f>SUM(_xlfn.IFNA(LOOKUP(Q108,use_fish!A:A,use_fish!K:K),0),_xlfn.IFNA(LOOKUP(R108,use_fish!A:A,use_fish!K:K),0),_xlfn.IFNA(LOOKUP(S108,use_fish!A:A,use_fish!K:K),0),_xlfn.IFNA(LOOKUP(T108,use_fish!A:A,use_fish!K:K),0),_xlfn.IFNA(LOOKUP(U108,use_fish!A:A,use_fish!K:K),0),_xlfn.IFNA(LOOKUP(V108,use_fish!A:A,use_fish!K:K),0),_xlfn.IFNA(LOOKUP(W108,use_fish!A:A,use_fish!K:K),0),)</f>
        <v>0</v>
      </c>
      <c r="Q108" s="56">
        <v>91</v>
      </c>
    </row>
    <row r="109" spans="1:17" s="59" customFormat="1" x14ac:dyDescent="0.2">
      <c r="A109" s="59">
        <v>108</v>
      </c>
      <c r="B109" s="59">
        <v>1</v>
      </c>
      <c r="C109" s="96" t="s">
        <v>374</v>
      </c>
      <c r="H109" s="59">
        <f>SUM(_xlfn.IFNA(LOOKUP(Q109,use_fish!A:A,use_fish!E:E),0),_xlfn.IFNA(LOOKUP(R109,use_fish!A:A,use_fish!E:E),0),_xlfn.IFNA(LOOKUP(S109,use_fish!A:A,use_fish!E:E),0),_xlfn.IFNA(LOOKUP(T109,use_fish!A:A,use_fish!E:E),0),_xlfn.IFNA(LOOKUP(U109,use_fish!A:A,use_fish!E:E),0),_xlfn.IFNA(LOOKUP(V109,use_fish!A:A,use_fish!E:E),0),_xlfn.IFNA(LOOKUP(W109,use_fish!A:A,use_fish!E:E),0),)</f>
        <v>150</v>
      </c>
      <c r="I109" s="59">
        <f>SUM(_xlfn.IFNA(LOOKUP(Q109,use_fish!A:A,use_fish!I:I),0),_xlfn.IFNA(LOOKUP(R109,use_fish!A:A,use_fish!I:I),0),_xlfn.IFNA(LOOKUP(S109,use_fish!A:A,use_fish!I:I),0),_xlfn.IFNA(LOOKUP(T109,use_fish!A:A,use_fish!I:I),0),_xlfn.IFNA(LOOKUP(U109,use_fish!A:A,use_fish!I:I),0),_xlfn.IFNA(LOOKUP(V109,use_fish!A:A,use_fish!I:I),0),_xlfn.IFNA(LOOKUP(W109,use_fish!A:A,use_fish!I:I),0),)</f>
        <v>150</v>
      </c>
      <c r="J109" s="57">
        <f>SUM(_xlfn.IFNA(LOOKUP(Q109,use_fish!A:A,use_fish!K:K),0),_xlfn.IFNA(LOOKUP(R109,use_fish!A:A,use_fish!K:K),0),_xlfn.IFNA(LOOKUP(S109,use_fish!A:A,use_fish!K:K),0),_xlfn.IFNA(LOOKUP(T109,use_fish!A:A,use_fish!K:K),0),_xlfn.IFNA(LOOKUP(U109,use_fish!A:A,use_fish!K:K),0),_xlfn.IFNA(LOOKUP(V109,use_fish!A:A,use_fish!K:K),0),_xlfn.IFNA(LOOKUP(W109,use_fish!A:A,use_fish!K:K),0),)</f>
        <v>0</v>
      </c>
      <c r="Q109" s="56">
        <v>92</v>
      </c>
    </row>
    <row r="110" spans="1:17" s="59" customFormat="1" x14ac:dyDescent="0.2">
      <c r="A110" s="59">
        <v>109</v>
      </c>
      <c r="B110" s="59">
        <v>1</v>
      </c>
      <c r="C110" s="96" t="s">
        <v>375</v>
      </c>
      <c r="H110" s="59">
        <f>SUM(_xlfn.IFNA(LOOKUP(Q110,use_fish!A:A,use_fish!E:E),0),_xlfn.IFNA(LOOKUP(R110,use_fish!A:A,use_fish!E:E),0),_xlfn.IFNA(LOOKUP(S110,use_fish!A:A,use_fish!E:E),0),_xlfn.IFNA(LOOKUP(T110,use_fish!A:A,use_fish!E:E),0),_xlfn.IFNA(LOOKUP(U110,use_fish!A:A,use_fish!E:E),0),_xlfn.IFNA(LOOKUP(V110,use_fish!A:A,use_fish!E:E),0),_xlfn.IFNA(LOOKUP(W110,use_fish!A:A,use_fish!E:E),0),)</f>
        <v>250</v>
      </c>
      <c r="I110" s="59">
        <f>SUM(_xlfn.IFNA(LOOKUP(Q110,use_fish!A:A,use_fish!I:I),0),_xlfn.IFNA(LOOKUP(R110,use_fish!A:A,use_fish!I:I),0),_xlfn.IFNA(LOOKUP(S110,use_fish!A:A,use_fish!I:I),0),_xlfn.IFNA(LOOKUP(T110,use_fish!A:A,use_fish!I:I),0),_xlfn.IFNA(LOOKUP(U110,use_fish!A:A,use_fish!I:I),0),_xlfn.IFNA(LOOKUP(V110,use_fish!A:A,use_fish!I:I),0),_xlfn.IFNA(LOOKUP(W110,use_fish!A:A,use_fish!I:I),0),)</f>
        <v>250</v>
      </c>
      <c r="J110" s="57">
        <f>SUM(_xlfn.IFNA(LOOKUP(Q110,use_fish!A:A,use_fish!K:K),0),_xlfn.IFNA(LOOKUP(R110,use_fish!A:A,use_fish!K:K),0),_xlfn.IFNA(LOOKUP(S110,use_fish!A:A,use_fish!K:K),0),_xlfn.IFNA(LOOKUP(T110,use_fish!A:A,use_fish!K:K),0),_xlfn.IFNA(LOOKUP(U110,use_fish!A:A,use_fish!K:K),0),_xlfn.IFNA(LOOKUP(V110,use_fish!A:A,use_fish!K:K),0),_xlfn.IFNA(LOOKUP(W110,use_fish!A:A,use_fish!K:K),0),)</f>
        <v>0</v>
      </c>
      <c r="Q110" s="56">
        <v>93</v>
      </c>
    </row>
    <row r="111" spans="1:17" s="59" customFormat="1" x14ac:dyDescent="0.2">
      <c r="A111" s="59">
        <v>110</v>
      </c>
      <c r="B111" s="59">
        <v>1</v>
      </c>
      <c r="C111" s="96" t="s">
        <v>371</v>
      </c>
      <c r="H111" s="59">
        <f>SUM(_xlfn.IFNA(LOOKUP(Q111,use_fish!A:A,use_fish!E:E),0),_xlfn.IFNA(LOOKUP(R111,use_fish!A:A,use_fish!E:E),0),_xlfn.IFNA(LOOKUP(S111,use_fish!A:A,use_fish!E:E),0),_xlfn.IFNA(LOOKUP(T111,use_fish!A:A,use_fish!E:E),0),_xlfn.IFNA(LOOKUP(U111,use_fish!A:A,use_fish!E:E),0),_xlfn.IFNA(LOOKUP(V111,use_fish!A:A,use_fish!E:E),0),_xlfn.IFNA(LOOKUP(W111,use_fish!A:A,use_fish!E:E),0),)</f>
        <v>25</v>
      </c>
      <c r="I111" s="59">
        <f>SUM(_xlfn.IFNA(LOOKUP(Q111,use_fish!A:A,use_fish!I:I),0),_xlfn.IFNA(LOOKUP(R111,use_fish!A:A,use_fish!I:I),0),_xlfn.IFNA(LOOKUP(S111,use_fish!A:A,use_fish!I:I),0),_xlfn.IFNA(LOOKUP(T111,use_fish!A:A,use_fish!I:I),0),_xlfn.IFNA(LOOKUP(U111,use_fish!A:A,use_fish!I:I),0),_xlfn.IFNA(LOOKUP(V111,use_fish!A:A,use_fish!I:I),0),_xlfn.IFNA(LOOKUP(W111,use_fish!A:A,use_fish!I:I),0),)</f>
        <v>25</v>
      </c>
      <c r="J111" s="57">
        <f>SUM(_xlfn.IFNA(LOOKUP(Q111,use_fish!A:A,use_fish!K:K),0),_xlfn.IFNA(LOOKUP(R111,use_fish!A:A,use_fish!K:K),0),_xlfn.IFNA(LOOKUP(S111,use_fish!A:A,use_fish!K:K),0),_xlfn.IFNA(LOOKUP(T111,use_fish!A:A,use_fish!K:K),0),_xlfn.IFNA(LOOKUP(U111,use_fish!A:A,use_fish!K:K),0),_xlfn.IFNA(LOOKUP(V111,use_fish!A:A,use_fish!K:K),0),_xlfn.IFNA(LOOKUP(W111,use_fish!A:A,use_fish!K:K),0),)</f>
        <v>0</v>
      </c>
      <c r="Q111" s="56">
        <v>94</v>
      </c>
    </row>
    <row r="112" spans="1:17" s="59" customFormat="1" x14ac:dyDescent="0.2">
      <c r="A112" s="59">
        <v>111</v>
      </c>
      <c r="B112" s="59">
        <v>1</v>
      </c>
      <c r="C112" s="96" t="s">
        <v>372</v>
      </c>
      <c r="H112" s="59">
        <f>SUM(_xlfn.IFNA(LOOKUP(Q112,use_fish!A:A,use_fish!E:E),0),_xlfn.IFNA(LOOKUP(R112,use_fish!A:A,use_fish!E:E),0),_xlfn.IFNA(LOOKUP(S112,use_fish!A:A,use_fish!E:E),0),_xlfn.IFNA(LOOKUP(T112,use_fish!A:A,use_fish!E:E),0),_xlfn.IFNA(LOOKUP(U112,use_fish!A:A,use_fish!E:E),0),_xlfn.IFNA(LOOKUP(V112,use_fish!A:A,use_fish!E:E),0),_xlfn.IFNA(LOOKUP(W112,use_fish!A:A,use_fish!E:E),0),)</f>
        <v>28</v>
      </c>
      <c r="I112" s="59">
        <f>SUM(_xlfn.IFNA(LOOKUP(Q112,use_fish!A:A,use_fish!I:I),0),_xlfn.IFNA(LOOKUP(R112,use_fish!A:A,use_fish!I:I),0),_xlfn.IFNA(LOOKUP(S112,use_fish!A:A,use_fish!I:I),0),_xlfn.IFNA(LOOKUP(T112,use_fish!A:A,use_fish!I:I),0),_xlfn.IFNA(LOOKUP(U112,use_fish!A:A,use_fish!I:I),0),_xlfn.IFNA(LOOKUP(V112,use_fish!A:A,use_fish!I:I),0),_xlfn.IFNA(LOOKUP(W112,use_fish!A:A,use_fish!I:I),0),)</f>
        <v>28</v>
      </c>
      <c r="J112" s="57">
        <f>SUM(_xlfn.IFNA(LOOKUP(Q112,use_fish!A:A,use_fish!K:K),0),_xlfn.IFNA(LOOKUP(R112,use_fish!A:A,use_fish!K:K),0),_xlfn.IFNA(LOOKUP(S112,use_fish!A:A,use_fish!K:K),0),_xlfn.IFNA(LOOKUP(T112,use_fish!A:A,use_fish!K:K),0),_xlfn.IFNA(LOOKUP(U112,use_fish!A:A,use_fish!K:K),0),_xlfn.IFNA(LOOKUP(V112,use_fish!A:A,use_fish!K:K),0),_xlfn.IFNA(LOOKUP(W112,use_fish!A:A,use_fish!K:K),0),)</f>
        <v>0</v>
      </c>
      <c r="Q112" s="56">
        <v>95</v>
      </c>
    </row>
    <row r="113" spans="1:17" s="59" customFormat="1" x14ac:dyDescent="0.2">
      <c r="A113" s="59">
        <v>112</v>
      </c>
      <c r="B113" s="59">
        <v>1</v>
      </c>
      <c r="C113" s="96" t="s">
        <v>373</v>
      </c>
      <c r="H113" s="59">
        <f>SUM(_xlfn.IFNA(LOOKUP(Q113,use_fish!A:A,use_fish!E:E),0),_xlfn.IFNA(LOOKUP(R113,use_fish!A:A,use_fish!E:E),0),_xlfn.IFNA(LOOKUP(S113,use_fish!A:A,use_fish!E:E),0),_xlfn.IFNA(LOOKUP(T113,use_fish!A:A,use_fish!E:E),0),_xlfn.IFNA(LOOKUP(U113,use_fish!A:A,use_fish!E:E),0),_xlfn.IFNA(LOOKUP(V113,use_fish!A:A,use_fish!E:E),0),_xlfn.IFNA(LOOKUP(W113,use_fish!A:A,use_fish!E:E),0),)</f>
        <v>30</v>
      </c>
      <c r="I113" s="59">
        <f>SUM(_xlfn.IFNA(LOOKUP(Q113,use_fish!A:A,use_fish!I:I),0),_xlfn.IFNA(LOOKUP(R113,use_fish!A:A,use_fish!I:I),0),_xlfn.IFNA(LOOKUP(S113,use_fish!A:A,use_fish!I:I),0),_xlfn.IFNA(LOOKUP(T113,use_fish!A:A,use_fish!I:I),0),_xlfn.IFNA(LOOKUP(U113,use_fish!A:A,use_fish!I:I),0),_xlfn.IFNA(LOOKUP(V113,use_fish!A:A,use_fish!I:I),0),_xlfn.IFNA(LOOKUP(W113,use_fish!A:A,use_fish!I:I),0),)</f>
        <v>30</v>
      </c>
      <c r="J113" s="57">
        <f>SUM(_xlfn.IFNA(LOOKUP(Q113,use_fish!A:A,use_fish!K:K),0),_xlfn.IFNA(LOOKUP(R113,use_fish!A:A,use_fish!K:K),0),_xlfn.IFNA(LOOKUP(S113,use_fish!A:A,use_fish!K:K),0),_xlfn.IFNA(LOOKUP(T113,use_fish!A:A,use_fish!K:K),0),_xlfn.IFNA(LOOKUP(U113,use_fish!A:A,use_fish!K:K),0),_xlfn.IFNA(LOOKUP(V113,use_fish!A:A,use_fish!K:K),0),_xlfn.IFNA(LOOKUP(W113,use_fish!A:A,use_fish!K:K),0),)</f>
        <v>0</v>
      </c>
      <c r="Q113" s="56">
        <v>96</v>
      </c>
    </row>
    <row r="114" spans="1:17" s="59" customFormat="1" x14ac:dyDescent="0.2">
      <c r="A114" s="59">
        <v>113</v>
      </c>
      <c r="B114" s="59">
        <v>1</v>
      </c>
      <c r="C114" s="96" t="s">
        <v>376</v>
      </c>
      <c r="H114" s="59">
        <f>SUM(_xlfn.IFNA(LOOKUP(Q114,use_fish!A:A,use_fish!E:E),0),_xlfn.IFNA(LOOKUP(R114,use_fish!A:A,use_fish!E:E),0),_xlfn.IFNA(LOOKUP(S114,use_fish!A:A,use_fish!E:E),0),_xlfn.IFNA(LOOKUP(T114,use_fish!A:A,use_fish!E:E),0),_xlfn.IFNA(LOOKUP(U114,use_fish!A:A,use_fish!E:E),0),_xlfn.IFNA(LOOKUP(V114,use_fish!A:A,use_fish!E:E),0),_xlfn.IFNA(LOOKUP(W114,use_fish!A:A,use_fish!E:E),0),)</f>
        <v>35</v>
      </c>
      <c r="I114" s="59">
        <f>SUM(_xlfn.IFNA(LOOKUP(Q114,use_fish!A:A,use_fish!I:I),0),_xlfn.IFNA(LOOKUP(R114,use_fish!A:A,use_fish!I:I),0),_xlfn.IFNA(LOOKUP(S114,use_fish!A:A,use_fish!I:I),0),_xlfn.IFNA(LOOKUP(T114,use_fish!A:A,use_fish!I:I),0),_xlfn.IFNA(LOOKUP(U114,use_fish!A:A,use_fish!I:I),0),_xlfn.IFNA(LOOKUP(V114,use_fish!A:A,use_fish!I:I),0),_xlfn.IFNA(LOOKUP(W114,use_fish!A:A,use_fish!I:I),0),)</f>
        <v>35</v>
      </c>
      <c r="J114" s="57">
        <f>SUM(_xlfn.IFNA(LOOKUP(Q114,use_fish!A:A,use_fish!K:K),0),_xlfn.IFNA(LOOKUP(R114,use_fish!A:A,use_fish!K:K),0),_xlfn.IFNA(LOOKUP(S114,use_fish!A:A,use_fish!K:K),0),_xlfn.IFNA(LOOKUP(T114,use_fish!A:A,use_fish!K:K),0),_xlfn.IFNA(LOOKUP(U114,use_fish!A:A,use_fish!K:K),0),_xlfn.IFNA(LOOKUP(V114,use_fish!A:A,use_fish!K:K),0),_xlfn.IFNA(LOOKUP(W114,use_fish!A:A,use_fish!K:K),0),)</f>
        <v>0</v>
      </c>
      <c r="Q114" s="56">
        <v>97</v>
      </c>
    </row>
    <row r="115" spans="1:17" s="59" customFormat="1" x14ac:dyDescent="0.2">
      <c r="A115" s="59">
        <v>114</v>
      </c>
      <c r="B115" s="59">
        <v>1</v>
      </c>
      <c r="C115" s="96" t="s">
        <v>377</v>
      </c>
      <c r="H115" s="59">
        <f>SUM(_xlfn.IFNA(LOOKUP(Q115,use_fish!A:A,use_fish!E:E),0),_xlfn.IFNA(LOOKUP(R115,use_fish!A:A,use_fish!E:E),0),_xlfn.IFNA(LOOKUP(S115,use_fish!A:A,use_fish!E:E),0),_xlfn.IFNA(LOOKUP(T115,use_fish!A:A,use_fish!E:E),0),_xlfn.IFNA(LOOKUP(U115,use_fish!A:A,use_fish!E:E),0),_xlfn.IFNA(LOOKUP(V115,use_fish!A:A,use_fish!E:E),0),_xlfn.IFNA(LOOKUP(W115,use_fish!A:A,use_fish!E:E),0),)</f>
        <v>40</v>
      </c>
      <c r="I115" s="59">
        <f>SUM(_xlfn.IFNA(LOOKUP(Q115,use_fish!A:A,use_fish!I:I),0),_xlfn.IFNA(LOOKUP(R115,use_fish!A:A,use_fish!I:I),0),_xlfn.IFNA(LOOKUP(S115,use_fish!A:A,use_fish!I:I),0),_xlfn.IFNA(LOOKUP(T115,use_fish!A:A,use_fish!I:I),0),_xlfn.IFNA(LOOKUP(U115,use_fish!A:A,use_fish!I:I),0),_xlfn.IFNA(LOOKUP(V115,use_fish!A:A,use_fish!I:I),0),_xlfn.IFNA(LOOKUP(W115,use_fish!A:A,use_fish!I:I),0),)</f>
        <v>40</v>
      </c>
      <c r="J115" s="57">
        <f>SUM(_xlfn.IFNA(LOOKUP(Q115,use_fish!A:A,use_fish!K:K),0),_xlfn.IFNA(LOOKUP(R115,use_fish!A:A,use_fish!K:K),0),_xlfn.IFNA(LOOKUP(S115,use_fish!A:A,use_fish!K:K),0),_xlfn.IFNA(LOOKUP(T115,use_fish!A:A,use_fish!K:K),0),_xlfn.IFNA(LOOKUP(U115,use_fish!A:A,use_fish!K:K),0),_xlfn.IFNA(LOOKUP(V115,use_fish!A:A,use_fish!K:K),0),_xlfn.IFNA(LOOKUP(W115,use_fish!A:A,use_fish!K:K),0),)</f>
        <v>0</v>
      </c>
      <c r="Q115" s="56">
        <v>98</v>
      </c>
    </row>
    <row r="116" spans="1:17" s="59" customFormat="1" x14ac:dyDescent="0.2">
      <c r="A116" s="59">
        <v>115</v>
      </c>
      <c r="B116" s="59">
        <v>1</v>
      </c>
      <c r="C116" s="96" t="s">
        <v>378</v>
      </c>
      <c r="H116" s="59">
        <f>SUM(_xlfn.IFNA(LOOKUP(Q116,use_fish!A:A,use_fish!E:E),0),_xlfn.IFNA(LOOKUP(R116,use_fish!A:A,use_fish!E:E),0),_xlfn.IFNA(LOOKUP(S116,use_fish!A:A,use_fish!E:E),0),_xlfn.IFNA(LOOKUP(T116,use_fish!A:A,use_fish!E:E),0),_xlfn.IFNA(LOOKUP(U116,use_fish!A:A,use_fish!E:E),0),_xlfn.IFNA(LOOKUP(V116,use_fish!A:A,use_fish!E:E),0),_xlfn.IFNA(LOOKUP(W116,use_fish!A:A,use_fish!E:E),0),)</f>
        <v>45</v>
      </c>
      <c r="I116" s="59">
        <f>SUM(_xlfn.IFNA(LOOKUP(Q116,use_fish!A:A,use_fish!I:I),0),_xlfn.IFNA(LOOKUP(R116,use_fish!A:A,use_fish!I:I),0),_xlfn.IFNA(LOOKUP(S116,use_fish!A:A,use_fish!I:I),0),_xlfn.IFNA(LOOKUP(T116,use_fish!A:A,use_fish!I:I),0),_xlfn.IFNA(LOOKUP(U116,use_fish!A:A,use_fish!I:I),0),_xlfn.IFNA(LOOKUP(V116,use_fish!A:A,use_fish!I:I),0),_xlfn.IFNA(LOOKUP(W116,use_fish!A:A,use_fish!I:I),0),)</f>
        <v>45</v>
      </c>
      <c r="J116" s="57">
        <f>SUM(_xlfn.IFNA(LOOKUP(Q116,use_fish!A:A,use_fish!K:K),0),_xlfn.IFNA(LOOKUP(R116,use_fish!A:A,use_fish!K:K),0),_xlfn.IFNA(LOOKUP(S116,use_fish!A:A,use_fish!K:K),0),_xlfn.IFNA(LOOKUP(T116,use_fish!A:A,use_fish!K:K),0),_xlfn.IFNA(LOOKUP(U116,use_fish!A:A,use_fish!K:K),0),_xlfn.IFNA(LOOKUP(V116,use_fish!A:A,use_fish!K:K),0),_xlfn.IFNA(LOOKUP(W116,use_fish!A:A,use_fish!K:K),0),)</f>
        <v>0</v>
      </c>
      <c r="Q116" s="56">
        <v>99</v>
      </c>
    </row>
    <row r="117" spans="1:17" s="59" customFormat="1" x14ac:dyDescent="0.2">
      <c r="A117" s="59">
        <v>116</v>
      </c>
      <c r="B117" s="59">
        <v>1</v>
      </c>
      <c r="C117" s="96" t="s">
        <v>379</v>
      </c>
      <c r="H117" s="59">
        <f>SUM(_xlfn.IFNA(LOOKUP(Q117,use_fish!A:A,use_fish!E:E),0),_xlfn.IFNA(LOOKUP(R117,use_fish!A:A,use_fish!E:E),0),_xlfn.IFNA(LOOKUP(S117,use_fish!A:A,use_fish!E:E),0),_xlfn.IFNA(LOOKUP(T117,use_fish!A:A,use_fish!E:E),0),_xlfn.IFNA(LOOKUP(U117,use_fish!A:A,use_fish!E:E),0),_xlfn.IFNA(LOOKUP(V117,use_fish!A:A,use_fish!E:E),0),_xlfn.IFNA(LOOKUP(W117,use_fish!A:A,use_fish!E:E),0),)</f>
        <v>50</v>
      </c>
      <c r="I117" s="59">
        <f>SUM(_xlfn.IFNA(LOOKUP(Q117,use_fish!A:A,use_fish!I:I),0),_xlfn.IFNA(LOOKUP(R117,use_fish!A:A,use_fish!I:I),0),_xlfn.IFNA(LOOKUP(S117,use_fish!A:A,use_fish!I:I),0),_xlfn.IFNA(LOOKUP(T117,use_fish!A:A,use_fish!I:I),0),_xlfn.IFNA(LOOKUP(U117,use_fish!A:A,use_fish!I:I),0),_xlfn.IFNA(LOOKUP(V117,use_fish!A:A,use_fish!I:I),0),_xlfn.IFNA(LOOKUP(W117,use_fish!A:A,use_fish!I:I),0),)</f>
        <v>50</v>
      </c>
      <c r="J117" s="57">
        <f>SUM(_xlfn.IFNA(LOOKUP(Q117,use_fish!A:A,use_fish!K:K),0),_xlfn.IFNA(LOOKUP(R117,use_fish!A:A,use_fish!K:K),0),_xlfn.IFNA(LOOKUP(S117,use_fish!A:A,use_fish!K:K),0),_xlfn.IFNA(LOOKUP(T117,use_fish!A:A,use_fish!K:K),0),_xlfn.IFNA(LOOKUP(U117,use_fish!A:A,use_fish!K:K),0),_xlfn.IFNA(LOOKUP(V117,use_fish!A:A,use_fish!K:K),0),_xlfn.IFNA(LOOKUP(W117,use_fish!A:A,use_fish!K:K),0),)</f>
        <v>0</v>
      </c>
      <c r="Q117" s="56">
        <v>100</v>
      </c>
    </row>
    <row r="118" spans="1:17" s="62" customFormat="1" ht="15" customHeight="1" x14ac:dyDescent="0.2">
      <c r="A118" s="62">
        <v>117</v>
      </c>
      <c r="B118" s="62">
        <v>1</v>
      </c>
      <c r="C118" s="97" t="s">
        <v>404</v>
      </c>
      <c r="H118" s="62">
        <f>SUM(_xlfn.IFNA(LOOKUP(Q118,use_fish!A:A,use_fish!E:E),0),_xlfn.IFNA(LOOKUP(R118,use_fish!A:A,use_fish!E:E),0),_xlfn.IFNA(LOOKUP(S118,use_fish!A:A,use_fish!E:E),0),_xlfn.IFNA(LOOKUP(T118,use_fish!A:A,use_fish!E:E),0),_xlfn.IFNA(LOOKUP(U118,use_fish!A:A,use_fish!E:E),0),_xlfn.IFNA(LOOKUP(V118,use_fish!A:A,use_fish!E:E),0),_xlfn.IFNA(LOOKUP(W118,use_fish!A:A,use_fish!E:E),0),)</f>
        <v>30</v>
      </c>
      <c r="I118" s="62">
        <f>SUM(_xlfn.IFNA(LOOKUP(Q118,use_fish!A:A,use_fish!I:I),0),_xlfn.IFNA(LOOKUP(R118,use_fish!A:A,use_fish!I:I),0),_xlfn.IFNA(LOOKUP(S118,use_fish!A:A,use_fish!I:I),0),_xlfn.IFNA(LOOKUP(T118,use_fish!A:A,use_fish!I:I),0),_xlfn.IFNA(LOOKUP(U118,use_fish!A:A,use_fish!I:I),0),_xlfn.IFNA(LOOKUP(V118,use_fish!A:A,use_fish!I:I),0),_xlfn.IFNA(LOOKUP(W118,use_fish!A:A,use_fish!I:I),0),)</f>
        <v>30</v>
      </c>
      <c r="J118" s="61">
        <f>SUM(_xlfn.IFNA(LOOKUP(Q118,use_fish!A:A,use_fish!K:K),0),_xlfn.IFNA(LOOKUP(R118,use_fish!A:A,use_fish!K:K),0),_xlfn.IFNA(LOOKUP(S118,use_fish!A:A,use_fish!K:K),0),_xlfn.IFNA(LOOKUP(T118,use_fish!A:A,use_fish!K:K),0),_xlfn.IFNA(LOOKUP(U118,use_fish!A:A,use_fish!K:K),0),_xlfn.IFNA(LOOKUP(V118,use_fish!A:A,use_fish!K:K),0),_xlfn.IFNA(LOOKUP(W118,use_fish!A:A,use_fish!K:K),0),)</f>
        <v>0</v>
      </c>
      <c r="Q118" s="63">
        <v>101</v>
      </c>
    </row>
    <row r="119" spans="1:17" s="62" customFormat="1" x14ac:dyDescent="0.2">
      <c r="A119" s="62">
        <v>118</v>
      </c>
      <c r="B119" s="62">
        <v>1</v>
      </c>
      <c r="C119" s="97" t="s">
        <v>405</v>
      </c>
      <c r="H119" s="62">
        <f>SUM(_xlfn.IFNA(LOOKUP(Q119,use_fish!A:A,use_fish!E:E),0),_xlfn.IFNA(LOOKUP(R119,use_fish!A:A,use_fish!E:E),0),_xlfn.IFNA(LOOKUP(S119,use_fish!A:A,use_fish!E:E),0),_xlfn.IFNA(LOOKUP(T119,use_fish!A:A,use_fish!E:E),0),_xlfn.IFNA(LOOKUP(U119,use_fish!A:A,use_fish!E:E),0),_xlfn.IFNA(LOOKUP(V119,use_fish!A:A,use_fish!E:E),0),_xlfn.IFNA(LOOKUP(W119,use_fish!A:A,use_fish!E:E),0),)</f>
        <v>35</v>
      </c>
      <c r="I119" s="62">
        <f>SUM(_xlfn.IFNA(LOOKUP(Q119,use_fish!A:A,use_fish!I:I),0),_xlfn.IFNA(LOOKUP(R119,use_fish!A:A,use_fish!I:I),0),_xlfn.IFNA(LOOKUP(S119,use_fish!A:A,use_fish!I:I),0),_xlfn.IFNA(LOOKUP(T119,use_fish!A:A,use_fish!I:I),0),_xlfn.IFNA(LOOKUP(U119,use_fish!A:A,use_fish!I:I),0),_xlfn.IFNA(LOOKUP(V119,use_fish!A:A,use_fish!I:I),0),_xlfn.IFNA(LOOKUP(W119,use_fish!A:A,use_fish!I:I),0),)</f>
        <v>35</v>
      </c>
      <c r="J119" s="61">
        <f>SUM(_xlfn.IFNA(LOOKUP(Q119,use_fish!A:A,use_fish!K:K),0),_xlfn.IFNA(LOOKUP(R119,use_fish!A:A,use_fish!K:K),0),_xlfn.IFNA(LOOKUP(S119,use_fish!A:A,use_fish!K:K),0),_xlfn.IFNA(LOOKUP(T119,use_fish!A:A,use_fish!K:K),0),_xlfn.IFNA(LOOKUP(U119,use_fish!A:A,use_fish!K:K),0),_xlfn.IFNA(LOOKUP(V119,use_fish!A:A,use_fish!K:K),0),_xlfn.IFNA(LOOKUP(W119,use_fish!A:A,use_fish!K:K),0),)</f>
        <v>0</v>
      </c>
      <c r="Q119" s="63">
        <v>102</v>
      </c>
    </row>
    <row r="120" spans="1:17" s="62" customFormat="1" x14ac:dyDescent="0.2">
      <c r="A120" s="62">
        <v>119</v>
      </c>
      <c r="B120" s="62">
        <v>1</v>
      </c>
      <c r="C120" s="97" t="s">
        <v>406</v>
      </c>
      <c r="H120" s="62">
        <f>SUM(_xlfn.IFNA(LOOKUP(Q120,use_fish!A:A,use_fish!E:E),0),_xlfn.IFNA(LOOKUP(R120,use_fish!A:A,use_fish!E:E),0),_xlfn.IFNA(LOOKUP(S120,use_fish!A:A,use_fish!E:E),0),_xlfn.IFNA(LOOKUP(T120,use_fish!A:A,use_fish!E:E),0),_xlfn.IFNA(LOOKUP(U120,use_fish!A:A,use_fish!E:E),0),_xlfn.IFNA(LOOKUP(V120,use_fish!A:A,use_fish!E:E),0),_xlfn.IFNA(LOOKUP(W120,use_fish!A:A,use_fish!E:E),0),)</f>
        <v>40</v>
      </c>
      <c r="I120" s="62">
        <f>SUM(_xlfn.IFNA(LOOKUP(Q120,use_fish!A:A,use_fish!I:I),0),_xlfn.IFNA(LOOKUP(R120,use_fish!A:A,use_fish!I:I),0),_xlfn.IFNA(LOOKUP(S120,use_fish!A:A,use_fish!I:I),0),_xlfn.IFNA(LOOKUP(T120,use_fish!A:A,use_fish!I:I),0),_xlfn.IFNA(LOOKUP(U120,use_fish!A:A,use_fish!I:I),0),_xlfn.IFNA(LOOKUP(V120,use_fish!A:A,use_fish!I:I),0),_xlfn.IFNA(LOOKUP(W120,use_fish!A:A,use_fish!I:I),0),)</f>
        <v>40</v>
      </c>
      <c r="J120" s="61">
        <f>SUM(_xlfn.IFNA(LOOKUP(Q120,use_fish!A:A,use_fish!K:K),0),_xlfn.IFNA(LOOKUP(R120,use_fish!A:A,use_fish!K:K),0),_xlfn.IFNA(LOOKUP(S120,use_fish!A:A,use_fish!K:K),0),_xlfn.IFNA(LOOKUP(T120,use_fish!A:A,use_fish!K:K),0),_xlfn.IFNA(LOOKUP(U120,use_fish!A:A,use_fish!K:K),0),_xlfn.IFNA(LOOKUP(V120,use_fish!A:A,use_fish!K:K),0),_xlfn.IFNA(LOOKUP(W120,use_fish!A:A,use_fish!K:K),0),)</f>
        <v>0</v>
      </c>
      <c r="Q120" s="63">
        <v>103</v>
      </c>
    </row>
    <row r="121" spans="1:17" s="62" customFormat="1" x14ac:dyDescent="0.2">
      <c r="A121" s="62">
        <v>120</v>
      </c>
      <c r="B121" s="62">
        <v>1</v>
      </c>
      <c r="C121" s="97" t="s">
        <v>407</v>
      </c>
      <c r="H121" s="62">
        <f>SUM(_xlfn.IFNA(LOOKUP(Q121,use_fish!A:A,use_fish!E:E),0),_xlfn.IFNA(LOOKUP(R121,use_fish!A:A,use_fish!E:E),0),_xlfn.IFNA(LOOKUP(S121,use_fish!A:A,use_fish!E:E),0),_xlfn.IFNA(LOOKUP(T121,use_fish!A:A,use_fish!E:E),0),_xlfn.IFNA(LOOKUP(U121,use_fish!A:A,use_fish!E:E),0),_xlfn.IFNA(LOOKUP(V121,use_fish!A:A,use_fish!E:E),0),_xlfn.IFNA(LOOKUP(W121,use_fish!A:A,use_fish!E:E),0),)</f>
        <v>45</v>
      </c>
      <c r="I121" s="62">
        <f>SUM(_xlfn.IFNA(LOOKUP(Q121,use_fish!A:A,use_fish!I:I),0),_xlfn.IFNA(LOOKUP(R121,use_fish!A:A,use_fish!I:I),0),_xlfn.IFNA(LOOKUP(S121,use_fish!A:A,use_fish!I:I),0),_xlfn.IFNA(LOOKUP(T121,use_fish!A:A,use_fish!I:I),0),_xlfn.IFNA(LOOKUP(U121,use_fish!A:A,use_fish!I:I),0),_xlfn.IFNA(LOOKUP(V121,use_fish!A:A,use_fish!I:I),0),_xlfn.IFNA(LOOKUP(W121,use_fish!A:A,use_fish!I:I),0),)</f>
        <v>45</v>
      </c>
      <c r="J121" s="61">
        <f>SUM(_xlfn.IFNA(LOOKUP(Q121,use_fish!A:A,use_fish!K:K),0),_xlfn.IFNA(LOOKUP(R121,use_fish!A:A,use_fish!K:K),0),_xlfn.IFNA(LOOKUP(S121,use_fish!A:A,use_fish!K:K),0),_xlfn.IFNA(LOOKUP(T121,use_fish!A:A,use_fish!K:K),0),_xlfn.IFNA(LOOKUP(U121,use_fish!A:A,use_fish!K:K),0),_xlfn.IFNA(LOOKUP(V121,use_fish!A:A,use_fish!K:K),0),_xlfn.IFNA(LOOKUP(W121,use_fish!A:A,use_fish!K:K),0),)</f>
        <v>0</v>
      </c>
      <c r="Q121" s="63">
        <v>104</v>
      </c>
    </row>
    <row r="122" spans="1:17" s="62" customFormat="1" x14ac:dyDescent="0.2">
      <c r="A122" s="62">
        <v>121</v>
      </c>
      <c r="B122" s="62">
        <v>1</v>
      </c>
      <c r="C122" s="97" t="s">
        <v>408</v>
      </c>
      <c r="H122" s="62">
        <f>SUM(_xlfn.IFNA(LOOKUP(Q122,use_fish!A:A,use_fish!E:E),0),_xlfn.IFNA(LOOKUP(R122,use_fish!A:A,use_fish!E:E),0),_xlfn.IFNA(LOOKUP(S122,use_fish!A:A,use_fish!E:E),0),_xlfn.IFNA(LOOKUP(T122,use_fish!A:A,use_fish!E:E),0),_xlfn.IFNA(LOOKUP(U122,use_fish!A:A,use_fish!E:E),0),_xlfn.IFNA(LOOKUP(V122,use_fish!A:A,use_fish!E:E),0),_xlfn.IFNA(LOOKUP(W122,use_fish!A:A,use_fish!E:E),0),)</f>
        <v>50</v>
      </c>
      <c r="I122" s="62">
        <f>SUM(_xlfn.IFNA(LOOKUP(Q122,use_fish!A:A,use_fish!I:I),0),_xlfn.IFNA(LOOKUP(R122,use_fish!A:A,use_fish!I:I),0),_xlfn.IFNA(LOOKUP(S122,use_fish!A:A,use_fish!I:I),0),_xlfn.IFNA(LOOKUP(T122,use_fish!A:A,use_fish!I:I),0),_xlfn.IFNA(LOOKUP(U122,use_fish!A:A,use_fish!I:I),0),_xlfn.IFNA(LOOKUP(V122,use_fish!A:A,use_fish!I:I),0),_xlfn.IFNA(LOOKUP(W122,use_fish!A:A,use_fish!I:I),0),)</f>
        <v>50</v>
      </c>
      <c r="J122" s="61">
        <f>SUM(_xlfn.IFNA(LOOKUP(Q122,use_fish!A:A,use_fish!K:K),0),_xlfn.IFNA(LOOKUP(R122,use_fish!A:A,use_fish!K:K),0),_xlfn.IFNA(LOOKUP(S122,use_fish!A:A,use_fish!K:K),0),_xlfn.IFNA(LOOKUP(T122,use_fish!A:A,use_fish!K:K),0),_xlfn.IFNA(LOOKUP(U122,use_fish!A:A,use_fish!K:K),0),_xlfn.IFNA(LOOKUP(V122,use_fish!A:A,use_fish!K:K),0),_xlfn.IFNA(LOOKUP(W122,use_fish!A:A,use_fish!K:K),0),)</f>
        <v>0</v>
      </c>
      <c r="Q122" s="63">
        <v>105</v>
      </c>
    </row>
    <row r="123" spans="1:17" s="62" customFormat="1" x14ac:dyDescent="0.2">
      <c r="A123" s="62">
        <v>122</v>
      </c>
      <c r="B123" s="62">
        <v>1</v>
      </c>
      <c r="C123" s="97" t="s">
        <v>409</v>
      </c>
      <c r="H123" s="62">
        <f>SUM(_xlfn.IFNA(LOOKUP(Q123,use_fish!A:A,use_fish!E:E),0),_xlfn.IFNA(LOOKUP(R123,use_fish!A:A,use_fish!E:E),0),_xlfn.IFNA(LOOKUP(S123,use_fish!A:A,use_fish!E:E),0),_xlfn.IFNA(LOOKUP(T123,use_fish!A:A,use_fish!E:E),0),_xlfn.IFNA(LOOKUP(U123,use_fish!A:A,use_fish!E:E),0),_xlfn.IFNA(LOOKUP(V123,use_fish!A:A,use_fish!E:E),0),_xlfn.IFNA(LOOKUP(W123,use_fish!A:A,use_fish!E:E),0),)</f>
        <v>70</v>
      </c>
      <c r="I123" s="62">
        <f>SUM(_xlfn.IFNA(LOOKUP(Q123,use_fish!A:A,use_fish!I:I),0),_xlfn.IFNA(LOOKUP(R123,use_fish!A:A,use_fish!I:I),0),_xlfn.IFNA(LOOKUP(S123,use_fish!A:A,use_fish!I:I),0),_xlfn.IFNA(LOOKUP(T123,use_fish!A:A,use_fish!I:I),0),_xlfn.IFNA(LOOKUP(U123,use_fish!A:A,use_fish!I:I),0),_xlfn.IFNA(LOOKUP(V123,use_fish!A:A,use_fish!I:I),0),_xlfn.IFNA(LOOKUP(W123,use_fish!A:A,use_fish!I:I),0),)</f>
        <v>70</v>
      </c>
      <c r="J123" s="61">
        <f>SUM(_xlfn.IFNA(LOOKUP(Q123,use_fish!A:A,use_fish!K:K),0),_xlfn.IFNA(LOOKUP(R123,use_fish!A:A,use_fish!K:K),0),_xlfn.IFNA(LOOKUP(S123,use_fish!A:A,use_fish!K:K),0),_xlfn.IFNA(LOOKUP(T123,use_fish!A:A,use_fish!K:K),0),_xlfn.IFNA(LOOKUP(U123,use_fish!A:A,use_fish!K:K),0),_xlfn.IFNA(LOOKUP(V123,use_fish!A:A,use_fish!K:K),0),_xlfn.IFNA(LOOKUP(W123,use_fish!A:A,use_fish!K:K),0),)</f>
        <v>0</v>
      </c>
      <c r="Q123" s="63">
        <v>106</v>
      </c>
    </row>
    <row r="124" spans="1:17" s="62" customFormat="1" x14ac:dyDescent="0.2">
      <c r="A124" s="62">
        <v>123</v>
      </c>
      <c r="B124" s="62">
        <v>1</v>
      </c>
      <c r="C124" s="97" t="s">
        <v>410</v>
      </c>
      <c r="H124" s="62">
        <f>SUM(_xlfn.IFNA(LOOKUP(Q124,use_fish!A:A,use_fish!E:E),0),_xlfn.IFNA(LOOKUP(R124,use_fish!A:A,use_fish!E:E),0),_xlfn.IFNA(LOOKUP(S124,use_fish!A:A,use_fish!E:E),0),_xlfn.IFNA(LOOKUP(T124,use_fish!A:A,use_fish!E:E),0),_xlfn.IFNA(LOOKUP(U124,use_fish!A:A,use_fish!E:E),0),_xlfn.IFNA(LOOKUP(V124,use_fish!A:A,use_fish!E:E),0),_xlfn.IFNA(LOOKUP(W124,use_fish!A:A,use_fish!E:E),0),)</f>
        <v>75</v>
      </c>
      <c r="I124" s="62">
        <f>SUM(_xlfn.IFNA(LOOKUP(Q124,use_fish!A:A,use_fish!I:I),0),_xlfn.IFNA(LOOKUP(R124,use_fish!A:A,use_fish!I:I),0),_xlfn.IFNA(LOOKUP(S124,use_fish!A:A,use_fish!I:I),0),_xlfn.IFNA(LOOKUP(T124,use_fish!A:A,use_fish!I:I),0),_xlfn.IFNA(LOOKUP(U124,use_fish!A:A,use_fish!I:I),0),_xlfn.IFNA(LOOKUP(V124,use_fish!A:A,use_fish!I:I),0),_xlfn.IFNA(LOOKUP(W124,use_fish!A:A,use_fish!I:I),0),)</f>
        <v>75</v>
      </c>
      <c r="J124" s="61">
        <f>SUM(_xlfn.IFNA(LOOKUP(Q124,use_fish!A:A,use_fish!K:K),0),_xlfn.IFNA(LOOKUP(R124,use_fish!A:A,use_fish!K:K),0),_xlfn.IFNA(LOOKUP(S124,use_fish!A:A,use_fish!K:K),0),_xlfn.IFNA(LOOKUP(T124,use_fish!A:A,use_fish!K:K),0),_xlfn.IFNA(LOOKUP(U124,use_fish!A:A,use_fish!K:K),0),_xlfn.IFNA(LOOKUP(V124,use_fish!A:A,use_fish!K:K),0),_xlfn.IFNA(LOOKUP(W124,use_fish!A:A,use_fish!K:K),0),)</f>
        <v>0</v>
      </c>
      <c r="Q124" s="63">
        <v>107</v>
      </c>
    </row>
    <row r="125" spans="1:17" s="62" customFormat="1" x14ac:dyDescent="0.2">
      <c r="A125" s="62">
        <v>124</v>
      </c>
      <c r="B125" s="62">
        <v>1</v>
      </c>
      <c r="C125" s="97" t="s">
        <v>411</v>
      </c>
      <c r="H125" s="62">
        <f>SUM(_xlfn.IFNA(LOOKUP(Q125,use_fish!A:A,use_fish!E:E),0),_xlfn.IFNA(LOOKUP(R125,use_fish!A:A,use_fish!E:E),0),_xlfn.IFNA(LOOKUP(S125,use_fish!A:A,use_fish!E:E),0),_xlfn.IFNA(LOOKUP(T125,use_fish!A:A,use_fish!E:E),0),_xlfn.IFNA(LOOKUP(U125,use_fish!A:A,use_fish!E:E),0),_xlfn.IFNA(LOOKUP(V125,use_fish!A:A,use_fish!E:E),0),_xlfn.IFNA(LOOKUP(W125,use_fish!A:A,use_fish!E:E),0),)</f>
        <v>150</v>
      </c>
      <c r="I125" s="62">
        <f>SUM(_xlfn.IFNA(LOOKUP(Q125,use_fish!A:A,use_fish!I:I),0),_xlfn.IFNA(LOOKUP(R125,use_fish!A:A,use_fish!I:I),0),_xlfn.IFNA(LOOKUP(S125,use_fish!A:A,use_fish!I:I),0),_xlfn.IFNA(LOOKUP(T125,use_fish!A:A,use_fish!I:I),0),_xlfn.IFNA(LOOKUP(U125,use_fish!A:A,use_fish!I:I),0),_xlfn.IFNA(LOOKUP(V125,use_fish!A:A,use_fish!I:I),0),_xlfn.IFNA(LOOKUP(W125,use_fish!A:A,use_fish!I:I),0),)</f>
        <v>150</v>
      </c>
      <c r="J125" s="61">
        <f>SUM(_xlfn.IFNA(LOOKUP(Q125,use_fish!A:A,use_fish!K:K),0),_xlfn.IFNA(LOOKUP(R125,use_fish!A:A,use_fish!K:K),0),_xlfn.IFNA(LOOKUP(S125,use_fish!A:A,use_fish!K:K),0),_xlfn.IFNA(LOOKUP(T125,use_fish!A:A,use_fish!K:K),0),_xlfn.IFNA(LOOKUP(U125,use_fish!A:A,use_fish!K:K),0),_xlfn.IFNA(LOOKUP(V125,use_fish!A:A,use_fish!K:K),0),_xlfn.IFNA(LOOKUP(W125,use_fish!A:A,use_fish!K:K),0),)</f>
        <v>0</v>
      </c>
      <c r="Q125" s="63">
        <v>108</v>
      </c>
    </row>
    <row r="126" spans="1:17" s="62" customFormat="1" x14ac:dyDescent="0.2">
      <c r="A126" s="62">
        <v>125</v>
      </c>
      <c r="B126" s="62">
        <v>1</v>
      </c>
      <c r="C126" s="97" t="s">
        <v>412</v>
      </c>
      <c r="H126" s="62">
        <f>SUM(_xlfn.IFNA(LOOKUP(Q126,use_fish!A:A,use_fish!E:E),0),_xlfn.IFNA(LOOKUP(R126,use_fish!A:A,use_fish!E:E),0),_xlfn.IFNA(LOOKUP(S126,use_fish!A:A,use_fish!E:E),0),_xlfn.IFNA(LOOKUP(T126,use_fish!A:A,use_fish!E:E),0),_xlfn.IFNA(LOOKUP(U126,use_fish!A:A,use_fish!E:E),0),_xlfn.IFNA(LOOKUP(V126,use_fish!A:A,use_fish!E:E),0),_xlfn.IFNA(LOOKUP(W126,use_fish!A:A,use_fish!E:E),0),)</f>
        <v>250</v>
      </c>
      <c r="I126" s="62">
        <f>SUM(_xlfn.IFNA(LOOKUP(Q126,use_fish!A:A,use_fish!I:I),0),_xlfn.IFNA(LOOKUP(R126,use_fish!A:A,use_fish!I:I),0),_xlfn.IFNA(LOOKUP(S126,use_fish!A:A,use_fish!I:I),0),_xlfn.IFNA(LOOKUP(T126,use_fish!A:A,use_fish!I:I),0),_xlfn.IFNA(LOOKUP(U126,use_fish!A:A,use_fish!I:I),0),_xlfn.IFNA(LOOKUP(V126,use_fish!A:A,use_fish!I:I),0),_xlfn.IFNA(LOOKUP(W126,use_fish!A:A,use_fish!I:I),0),)</f>
        <v>250</v>
      </c>
      <c r="J126" s="61">
        <f>SUM(_xlfn.IFNA(LOOKUP(Q126,use_fish!A:A,use_fish!K:K),0),_xlfn.IFNA(LOOKUP(R126,use_fish!A:A,use_fish!K:K),0),_xlfn.IFNA(LOOKUP(S126,use_fish!A:A,use_fish!K:K),0),_xlfn.IFNA(LOOKUP(T126,use_fish!A:A,use_fish!K:K),0),_xlfn.IFNA(LOOKUP(U126,use_fish!A:A,use_fish!K:K),0),_xlfn.IFNA(LOOKUP(V126,use_fish!A:A,use_fish!K:K),0),_xlfn.IFNA(LOOKUP(W126,use_fish!A:A,use_fish!K:K),0),)</f>
        <v>0</v>
      </c>
      <c r="Q126" s="63">
        <v>109</v>
      </c>
    </row>
    <row r="127" spans="1:17" s="65" customFormat="1" x14ac:dyDescent="0.2">
      <c r="A127" s="65">
        <v>126</v>
      </c>
      <c r="B127" s="65">
        <v>1</v>
      </c>
      <c r="C127" s="98" t="s">
        <v>419</v>
      </c>
      <c r="H127" s="65">
        <f>SUM(_xlfn.IFNA(LOOKUP(Q127,use_fish!A:A,use_fish!E:E),0),_xlfn.IFNA(LOOKUP(R127,use_fish!A:A,use_fish!E:E),0),_xlfn.IFNA(LOOKUP(S127,use_fish!A:A,use_fish!E:E),0),_xlfn.IFNA(LOOKUP(T127,use_fish!A:A,use_fish!E:E),0),_xlfn.IFNA(LOOKUP(U127,use_fish!A:A,use_fish!E:E),0),_xlfn.IFNA(LOOKUP(V127,use_fish!A:A,use_fish!E:E),0),_xlfn.IFNA(LOOKUP(W127,use_fish!A:A,use_fish!E:E),0),)</f>
        <v>75</v>
      </c>
      <c r="I127" s="65">
        <f>SUM(_xlfn.IFNA(LOOKUP(Q127,use_fish!A:A,use_fish!I:I),0),_xlfn.IFNA(LOOKUP(R127,use_fish!A:A,use_fish!I:I),0),_xlfn.IFNA(LOOKUP(S127,use_fish!A:A,use_fish!I:I),0),_xlfn.IFNA(LOOKUP(T127,use_fish!A:A,use_fish!I:I),0),_xlfn.IFNA(LOOKUP(U127,use_fish!A:A,use_fish!I:I),0),_xlfn.IFNA(LOOKUP(V127,use_fish!A:A,use_fish!I:I),0),_xlfn.IFNA(LOOKUP(W127,use_fish!A:A,use_fish!I:I),0),)</f>
        <v>75</v>
      </c>
      <c r="J127" s="67">
        <f>SUM(_xlfn.IFNA(LOOKUP(Q127,use_fish!A:A,use_fish!K:K),0),_xlfn.IFNA(LOOKUP(R127,use_fish!A:A,use_fish!K:K),0),_xlfn.IFNA(LOOKUP(S127,use_fish!A:A,use_fish!K:K),0),_xlfn.IFNA(LOOKUP(T127,use_fish!A:A,use_fish!K:K),0),_xlfn.IFNA(LOOKUP(U127,use_fish!A:A,use_fish!K:K),0),_xlfn.IFNA(LOOKUP(V127,use_fish!A:A,use_fish!K:K),0),_xlfn.IFNA(LOOKUP(W127,use_fish!A:A,use_fish!K:K),0),)</f>
        <v>0</v>
      </c>
      <c r="Q127" s="66">
        <v>110</v>
      </c>
    </row>
    <row r="128" spans="1:17" s="65" customFormat="1" x14ac:dyDescent="0.2">
      <c r="A128" s="65">
        <v>127</v>
      </c>
      <c r="B128" s="65">
        <v>1</v>
      </c>
      <c r="C128" s="98" t="s">
        <v>420</v>
      </c>
      <c r="H128" s="65">
        <f>SUM(_xlfn.IFNA(LOOKUP(Q128,use_fish!A:A,use_fish!E:E),0),_xlfn.IFNA(LOOKUP(R128,use_fish!A:A,use_fish!E:E),0),_xlfn.IFNA(LOOKUP(S128,use_fish!A:A,use_fish!E:E),0),_xlfn.IFNA(LOOKUP(T128,use_fish!A:A,use_fish!E:E),0),_xlfn.IFNA(LOOKUP(U128,use_fish!A:A,use_fish!E:E),0),_xlfn.IFNA(LOOKUP(V128,use_fish!A:A,use_fish!E:E),0),_xlfn.IFNA(LOOKUP(W128,use_fish!A:A,use_fish!E:E),0),)</f>
        <v>0</v>
      </c>
      <c r="I128" s="65">
        <f>SUM(_xlfn.IFNA(LOOKUP(Q128,use_fish!A:A,use_fish!I:I),0),_xlfn.IFNA(LOOKUP(R128,use_fish!A:A,use_fish!I:I),0),_xlfn.IFNA(LOOKUP(S128,use_fish!A:A,use_fish!I:I),0),_xlfn.IFNA(LOOKUP(T128,use_fish!A:A,use_fish!I:I),0),_xlfn.IFNA(LOOKUP(U128,use_fish!A:A,use_fish!I:I),0),_xlfn.IFNA(LOOKUP(V128,use_fish!A:A,use_fish!I:I),0),_xlfn.IFNA(LOOKUP(W128,use_fish!A:A,use_fish!I:I),0),)</f>
        <v>0</v>
      </c>
      <c r="J128" s="67">
        <f>SUM(_xlfn.IFNA(LOOKUP(Q128,use_fish!A:A,use_fish!K:K),0),_xlfn.IFNA(LOOKUP(R128,use_fish!A:A,use_fish!K:K),0),_xlfn.IFNA(LOOKUP(S128,use_fish!A:A,use_fish!K:K),0),_xlfn.IFNA(LOOKUP(T128,use_fish!A:A,use_fish!K:K),0),_xlfn.IFNA(LOOKUP(U128,use_fish!A:A,use_fish!K:K),0),_xlfn.IFNA(LOOKUP(V128,use_fish!A:A,use_fish!K:K),0),_xlfn.IFNA(LOOKUP(W128,use_fish!A:A,use_fish!K:K),0),)</f>
        <v>0</v>
      </c>
      <c r="Q128" s="66">
        <v>111</v>
      </c>
    </row>
    <row r="129" spans="1:17" s="74" customFormat="1" x14ac:dyDescent="0.2">
      <c r="A129" s="74">
        <v>128</v>
      </c>
      <c r="B129" s="74">
        <v>1</v>
      </c>
      <c r="C129" s="99" t="s">
        <v>427</v>
      </c>
      <c r="H129" s="74">
        <f>SUM(_xlfn.IFNA(LOOKUP(Q129,use_fish!A:A,use_fish!E:E),0),_xlfn.IFNA(LOOKUP(R129,use_fish!A:A,use_fish!E:E),0),_xlfn.IFNA(LOOKUP(S129,use_fish!A:A,use_fish!E:E),0),_xlfn.IFNA(LOOKUP(T129,use_fish!A:A,use_fish!E:E),0),_xlfn.IFNA(LOOKUP(U129,use_fish!A:A,use_fish!E:E),0),_xlfn.IFNA(LOOKUP(V129,use_fish!A:A,use_fish!E:E),0),_xlfn.IFNA(LOOKUP(W129,use_fish!A:A,use_fish!E:E),0),)</f>
        <v>30</v>
      </c>
      <c r="I129" s="74">
        <f>SUM(_xlfn.IFNA(LOOKUP(Q129,use_fish!A:A,use_fish!I:I),0),_xlfn.IFNA(LOOKUP(R129,use_fish!A:A,use_fish!I:I),0),_xlfn.IFNA(LOOKUP(S129,use_fish!A:A,use_fish!I:I),0),_xlfn.IFNA(LOOKUP(T129,use_fish!A:A,use_fish!I:I),0),_xlfn.IFNA(LOOKUP(U129,use_fish!A:A,use_fish!I:I),0),_xlfn.IFNA(LOOKUP(V129,use_fish!A:A,use_fish!I:I),0),_xlfn.IFNA(LOOKUP(W129,use_fish!A:A,use_fish!I:I),0),)</f>
        <v>30</v>
      </c>
      <c r="J129" s="72">
        <f>SUM(_xlfn.IFNA(LOOKUP(Q129,use_fish!A:A,use_fish!K:K),0),_xlfn.IFNA(LOOKUP(R129,use_fish!A:A,use_fish!K:K),0),_xlfn.IFNA(LOOKUP(S129,use_fish!A:A,use_fish!K:K),0),_xlfn.IFNA(LOOKUP(T129,use_fish!A:A,use_fish!K:K),0),_xlfn.IFNA(LOOKUP(U129,use_fish!A:A,use_fish!K:K),0),_xlfn.IFNA(LOOKUP(V129,use_fish!A:A,use_fish!K:K),0),_xlfn.IFNA(LOOKUP(W129,use_fish!A:A,use_fish!K:K),0),)</f>
        <v>0</v>
      </c>
      <c r="Q129" s="71">
        <v>112</v>
      </c>
    </row>
    <row r="130" spans="1:17" s="74" customFormat="1" x14ac:dyDescent="0.2">
      <c r="A130" s="74">
        <v>129</v>
      </c>
      <c r="B130" s="74">
        <v>1</v>
      </c>
      <c r="C130" s="99" t="s">
        <v>428</v>
      </c>
      <c r="H130" s="74">
        <f>SUM(_xlfn.IFNA(LOOKUP(Q130,use_fish!A:A,use_fish!E:E),0),_xlfn.IFNA(LOOKUP(R130,use_fish!A:A,use_fish!E:E),0),_xlfn.IFNA(LOOKUP(S130,use_fish!A:A,use_fish!E:E),0),_xlfn.IFNA(LOOKUP(T130,use_fish!A:A,use_fish!E:E),0),_xlfn.IFNA(LOOKUP(U130,use_fish!A:A,use_fish!E:E),0),_xlfn.IFNA(LOOKUP(V130,use_fish!A:A,use_fish!E:E),0),_xlfn.IFNA(LOOKUP(W130,use_fish!A:A,use_fish!E:E),0),)</f>
        <v>35</v>
      </c>
      <c r="I130" s="74">
        <f>SUM(_xlfn.IFNA(LOOKUP(Q130,use_fish!A:A,use_fish!I:I),0),_xlfn.IFNA(LOOKUP(R130,use_fish!A:A,use_fish!I:I),0),_xlfn.IFNA(LOOKUP(S130,use_fish!A:A,use_fish!I:I),0),_xlfn.IFNA(LOOKUP(T130,use_fish!A:A,use_fish!I:I),0),_xlfn.IFNA(LOOKUP(U130,use_fish!A:A,use_fish!I:I),0),_xlfn.IFNA(LOOKUP(V130,use_fish!A:A,use_fish!I:I),0),_xlfn.IFNA(LOOKUP(W130,use_fish!A:A,use_fish!I:I),0),)</f>
        <v>35</v>
      </c>
      <c r="J130" s="72">
        <f>SUM(_xlfn.IFNA(LOOKUP(Q130,use_fish!A:A,use_fish!K:K),0),_xlfn.IFNA(LOOKUP(R130,use_fish!A:A,use_fish!K:K),0),_xlfn.IFNA(LOOKUP(S130,use_fish!A:A,use_fish!K:K),0),_xlfn.IFNA(LOOKUP(T130,use_fish!A:A,use_fish!K:K),0),_xlfn.IFNA(LOOKUP(U130,use_fish!A:A,use_fish!K:K),0),_xlfn.IFNA(LOOKUP(V130,use_fish!A:A,use_fish!K:K),0),_xlfn.IFNA(LOOKUP(W130,use_fish!A:A,use_fish!K:K),0),)</f>
        <v>0</v>
      </c>
      <c r="Q130" s="71">
        <v>113</v>
      </c>
    </row>
    <row r="131" spans="1:17" s="74" customFormat="1" x14ac:dyDescent="0.2">
      <c r="A131" s="74">
        <v>130</v>
      </c>
      <c r="B131" s="74">
        <v>1</v>
      </c>
      <c r="C131" s="99" t="s">
        <v>429</v>
      </c>
      <c r="H131" s="74">
        <f>SUM(_xlfn.IFNA(LOOKUP(Q131,use_fish!A:A,use_fish!E:E),0),_xlfn.IFNA(LOOKUP(R131,use_fish!A:A,use_fish!E:E),0),_xlfn.IFNA(LOOKUP(S131,use_fish!A:A,use_fish!E:E),0),_xlfn.IFNA(LOOKUP(T131,use_fish!A:A,use_fish!E:E),0),_xlfn.IFNA(LOOKUP(U131,use_fish!A:A,use_fish!E:E),0),_xlfn.IFNA(LOOKUP(V131,use_fish!A:A,use_fish!E:E),0),_xlfn.IFNA(LOOKUP(W131,use_fish!A:A,use_fish!E:E),0),)</f>
        <v>40</v>
      </c>
      <c r="I131" s="74">
        <f>SUM(_xlfn.IFNA(LOOKUP(Q131,use_fish!A:A,use_fish!I:I),0),_xlfn.IFNA(LOOKUP(R131,use_fish!A:A,use_fish!I:I),0),_xlfn.IFNA(LOOKUP(S131,use_fish!A:A,use_fish!I:I),0),_xlfn.IFNA(LOOKUP(T131,use_fish!A:A,use_fish!I:I),0),_xlfn.IFNA(LOOKUP(U131,use_fish!A:A,use_fish!I:I),0),_xlfn.IFNA(LOOKUP(V131,use_fish!A:A,use_fish!I:I),0),_xlfn.IFNA(LOOKUP(W131,use_fish!A:A,use_fish!I:I),0),)</f>
        <v>40</v>
      </c>
      <c r="J131" s="72">
        <f>SUM(_xlfn.IFNA(LOOKUP(Q131,use_fish!A:A,use_fish!K:K),0),_xlfn.IFNA(LOOKUP(R131,use_fish!A:A,use_fish!K:K),0),_xlfn.IFNA(LOOKUP(S131,use_fish!A:A,use_fish!K:K),0),_xlfn.IFNA(LOOKUP(T131,use_fish!A:A,use_fish!K:K),0),_xlfn.IFNA(LOOKUP(U131,use_fish!A:A,use_fish!K:K),0),_xlfn.IFNA(LOOKUP(V131,use_fish!A:A,use_fish!K:K),0),_xlfn.IFNA(LOOKUP(W131,use_fish!A:A,use_fish!K:K),0),)</f>
        <v>0</v>
      </c>
      <c r="Q131" s="71">
        <v>114</v>
      </c>
    </row>
    <row r="132" spans="1:17" s="74" customFormat="1" x14ac:dyDescent="0.2">
      <c r="A132" s="74">
        <v>131</v>
      </c>
      <c r="B132" s="74">
        <v>1</v>
      </c>
      <c r="C132" s="99" t="s">
        <v>430</v>
      </c>
      <c r="H132" s="74">
        <f>SUM(_xlfn.IFNA(LOOKUP(Q132,use_fish!A:A,use_fish!E:E),0),_xlfn.IFNA(LOOKUP(R132,use_fish!A:A,use_fish!E:E),0),_xlfn.IFNA(LOOKUP(S132,use_fish!A:A,use_fish!E:E),0),_xlfn.IFNA(LOOKUP(T132,use_fish!A:A,use_fish!E:E),0),_xlfn.IFNA(LOOKUP(U132,use_fish!A:A,use_fish!E:E),0),_xlfn.IFNA(LOOKUP(V132,use_fish!A:A,use_fish!E:E),0),_xlfn.IFNA(LOOKUP(W132,use_fish!A:A,use_fish!E:E),0),)</f>
        <v>45</v>
      </c>
      <c r="I132" s="74">
        <f>SUM(_xlfn.IFNA(LOOKUP(Q132,use_fish!A:A,use_fish!I:I),0),_xlfn.IFNA(LOOKUP(R132,use_fish!A:A,use_fish!I:I),0),_xlfn.IFNA(LOOKUP(S132,use_fish!A:A,use_fish!I:I),0),_xlfn.IFNA(LOOKUP(T132,use_fish!A:A,use_fish!I:I),0),_xlfn.IFNA(LOOKUP(U132,use_fish!A:A,use_fish!I:I),0),_xlfn.IFNA(LOOKUP(V132,use_fish!A:A,use_fish!I:I),0),_xlfn.IFNA(LOOKUP(W132,use_fish!A:A,use_fish!I:I),0),)</f>
        <v>45</v>
      </c>
      <c r="J132" s="72">
        <f>SUM(_xlfn.IFNA(LOOKUP(Q132,use_fish!A:A,use_fish!K:K),0),_xlfn.IFNA(LOOKUP(R132,use_fish!A:A,use_fish!K:K),0),_xlfn.IFNA(LOOKUP(S132,use_fish!A:A,use_fish!K:K),0),_xlfn.IFNA(LOOKUP(T132,use_fish!A:A,use_fish!K:K),0),_xlfn.IFNA(LOOKUP(U132,use_fish!A:A,use_fish!K:K),0),_xlfn.IFNA(LOOKUP(V132,use_fish!A:A,use_fish!K:K),0),_xlfn.IFNA(LOOKUP(W132,use_fish!A:A,use_fish!K:K),0),)</f>
        <v>0</v>
      </c>
      <c r="Q132" s="71">
        <v>115</v>
      </c>
    </row>
    <row r="133" spans="1:17" s="74" customFormat="1" x14ac:dyDescent="0.2">
      <c r="A133" s="74">
        <v>132</v>
      </c>
      <c r="B133" s="74">
        <v>1</v>
      </c>
      <c r="C133" s="99" t="s">
        <v>431</v>
      </c>
      <c r="H133" s="74">
        <f>SUM(_xlfn.IFNA(LOOKUP(Q133,use_fish!A:A,use_fish!E:E),0),_xlfn.IFNA(LOOKUP(R133,use_fish!A:A,use_fish!E:E),0),_xlfn.IFNA(LOOKUP(S133,use_fish!A:A,use_fish!E:E),0),_xlfn.IFNA(LOOKUP(T133,use_fish!A:A,use_fish!E:E),0),_xlfn.IFNA(LOOKUP(U133,use_fish!A:A,use_fish!E:E),0),_xlfn.IFNA(LOOKUP(V133,use_fish!A:A,use_fish!E:E),0),_xlfn.IFNA(LOOKUP(W133,use_fish!A:A,use_fish!E:E),0),)</f>
        <v>50</v>
      </c>
      <c r="I133" s="74">
        <f>SUM(_xlfn.IFNA(LOOKUP(Q133,use_fish!A:A,use_fish!I:I),0),_xlfn.IFNA(LOOKUP(R133,use_fish!A:A,use_fish!I:I),0),_xlfn.IFNA(LOOKUP(S133,use_fish!A:A,use_fish!I:I),0),_xlfn.IFNA(LOOKUP(T133,use_fish!A:A,use_fish!I:I),0),_xlfn.IFNA(LOOKUP(U133,use_fish!A:A,use_fish!I:I),0),_xlfn.IFNA(LOOKUP(V133,use_fish!A:A,use_fish!I:I),0),_xlfn.IFNA(LOOKUP(W133,use_fish!A:A,use_fish!I:I),0),)</f>
        <v>50</v>
      </c>
      <c r="J133" s="72">
        <f>SUM(_xlfn.IFNA(LOOKUP(Q133,use_fish!A:A,use_fish!K:K),0),_xlfn.IFNA(LOOKUP(R133,use_fish!A:A,use_fish!K:K),0),_xlfn.IFNA(LOOKUP(S133,use_fish!A:A,use_fish!K:K),0),_xlfn.IFNA(LOOKUP(T133,use_fish!A:A,use_fish!K:K),0),_xlfn.IFNA(LOOKUP(U133,use_fish!A:A,use_fish!K:K),0),_xlfn.IFNA(LOOKUP(V133,use_fish!A:A,use_fish!K:K),0),_xlfn.IFNA(LOOKUP(W133,use_fish!A:A,use_fish!K:K),0),)</f>
        <v>0</v>
      </c>
      <c r="Q133" s="71">
        <v>116</v>
      </c>
    </row>
    <row r="134" spans="1:17" s="74" customFormat="1" x14ac:dyDescent="0.2">
      <c r="A134" s="74">
        <v>133</v>
      </c>
      <c r="B134" s="74">
        <v>1</v>
      </c>
      <c r="C134" s="99" t="s">
        <v>432</v>
      </c>
      <c r="H134" s="74">
        <f>SUM(_xlfn.IFNA(LOOKUP(Q134,use_fish!A:A,use_fish!E:E),0),_xlfn.IFNA(LOOKUP(R134,use_fish!A:A,use_fish!E:E),0),_xlfn.IFNA(LOOKUP(S134,use_fish!A:A,use_fish!E:E),0),_xlfn.IFNA(LOOKUP(T134,use_fish!A:A,use_fish!E:E),0),_xlfn.IFNA(LOOKUP(U134,use_fish!A:A,use_fish!E:E),0),_xlfn.IFNA(LOOKUP(V134,use_fish!A:A,use_fish!E:E),0),_xlfn.IFNA(LOOKUP(W134,use_fish!A:A,use_fish!E:E),0),)</f>
        <v>70</v>
      </c>
      <c r="I134" s="74">
        <f>SUM(_xlfn.IFNA(LOOKUP(Q134,use_fish!A:A,use_fish!I:I),0),_xlfn.IFNA(LOOKUP(R134,use_fish!A:A,use_fish!I:I),0),_xlfn.IFNA(LOOKUP(S134,use_fish!A:A,use_fish!I:I),0),_xlfn.IFNA(LOOKUP(T134,use_fish!A:A,use_fish!I:I),0),_xlfn.IFNA(LOOKUP(U134,use_fish!A:A,use_fish!I:I),0),_xlfn.IFNA(LOOKUP(V134,use_fish!A:A,use_fish!I:I),0),_xlfn.IFNA(LOOKUP(W134,use_fish!A:A,use_fish!I:I),0),)</f>
        <v>70</v>
      </c>
      <c r="J134" s="72">
        <f>SUM(_xlfn.IFNA(LOOKUP(Q134,use_fish!A:A,use_fish!K:K),0),_xlfn.IFNA(LOOKUP(R134,use_fish!A:A,use_fish!K:K),0),_xlfn.IFNA(LOOKUP(S134,use_fish!A:A,use_fish!K:K),0),_xlfn.IFNA(LOOKUP(T134,use_fish!A:A,use_fish!K:K),0),_xlfn.IFNA(LOOKUP(U134,use_fish!A:A,use_fish!K:K),0),_xlfn.IFNA(LOOKUP(V134,use_fish!A:A,use_fish!K:K),0),_xlfn.IFNA(LOOKUP(W134,use_fish!A:A,use_fish!K:K),0),)</f>
        <v>0</v>
      </c>
      <c r="Q134" s="71">
        <v>117</v>
      </c>
    </row>
    <row r="135" spans="1:17" s="74" customFormat="1" x14ac:dyDescent="0.2">
      <c r="A135" s="74">
        <v>134</v>
      </c>
      <c r="B135" s="74">
        <v>1</v>
      </c>
      <c r="C135" s="99" t="s">
        <v>433</v>
      </c>
      <c r="H135" s="74">
        <f>SUM(_xlfn.IFNA(LOOKUP(Q135,use_fish!A:A,use_fish!E:E),0),_xlfn.IFNA(LOOKUP(R135,use_fish!A:A,use_fish!E:E),0),_xlfn.IFNA(LOOKUP(S135,use_fish!A:A,use_fish!E:E),0),_xlfn.IFNA(LOOKUP(T135,use_fish!A:A,use_fish!E:E),0),_xlfn.IFNA(LOOKUP(U135,use_fish!A:A,use_fish!E:E),0),_xlfn.IFNA(LOOKUP(V135,use_fish!A:A,use_fish!E:E),0),_xlfn.IFNA(LOOKUP(W135,use_fish!A:A,use_fish!E:E),0),)</f>
        <v>75</v>
      </c>
      <c r="I135" s="74">
        <f>SUM(_xlfn.IFNA(LOOKUP(Q135,use_fish!A:A,use_fish!I:I),0),_xlfn.IFNA(LOOKUP(R135,use_fish!A:A,use_fish!I:I),0),_xlfn.IFNA(LOOKUP(S135,use_fish!A:A,use_fish!I:I),0),_xlfn.IFNA(LOOKUP(T135,use_fish!A:A,use_fish!I:I),0),_xlfn.IFNA(LOOKUP(U135,use_fish!A:A,use_fish!I:I),0),_xlfn.IFNA(LOOKUP(V135,use_fish!A:A,use_fish!I:I),0),_xlfn.IFNA(LOOKUP(W135,use_fish!A:A,use_fish!I:I),0),)</f>
        <v>75</v>
      </c>
      <c r="J135" s="72">
        <f>SUM(_xlfn.IFNA(LOOKUP(Q135,use_fish!A:A,use_fish!K:K),0),_xlfn.IFNA(LOOKUP(R135,use_fish!A:A,use_fish!K:K),0),_xlfn.IFNA(LOOKUP(S135,use_fish!A:A,use_fish!K:K),0),_xlfn.IFNA(LOOKUP(T135,use_fish!A:A,use_fish!K:K),0),_xlfn.IFNA(LOOKUP(U135,use_fish!A:A,use_fish!K:K),0),_xlfn.IFNA(LOOKUP(V135,use_fish!A:A,use_fish!K:K),0),_xlfn.IFNA(LOOKUP(W135,use_fish!A:A,use_fish!K:K),0),)</f>
        <v>0</v>
      </c>
      <c r="Q135" s="71">
        <v>118</v>
      </c>
    </row>
    <row r="136" spans="1:17" s="74" customFormat="1" x14ac:dyDescent="0.2">
      <c r="A136" s="74">
        <v>135</v>
      </c>
      <c r="B136" s="74">
        <v>1</v>
      </c>
      <c r="C136" s="99" t="s">
        <v>434</v>
      </c>
      <c r="H136" s="74">
        <f>SUM(_xlfn.IFNA(LOOKUP(Q136,use_fish!A:A,use_fish!E:E),0),_xlfn.IFNA(LOOKUP(R136,use_fish!A:A,use_fish!E:E),0),_xlfn.IFNA(LOOKUP(S136,use_fish!A:A,use_fish!E:E),0),_xlfn.IFNA(LOOKUP(T136,use_fish!A:A,use_fish!E:E),0),_xlfn.IFNA(LOOKUP(U136,use_fish!A:A,use_fish!E:E),0),_xlfn.IFNA(LOOKUP(V136,use_fish!A:A,use_fish!E:E),0),_xlfn.IFNA(LOOKUP(W136,use_fish!A:A,use_fish!E:E),0),)</f>
        <v>150</v>
      </c>
      <c r="I136" s="74">
        <f>SUM(_xlfn.IFNA(LOOKUP(Q136,use_fish!A:A,use_fish!I:I),0),_xlfn.IFNA(LOOKUP(R136,use_fish!A:A,use_fish!I:I),0),_xlfn.IFNA(LOOKUP(S136,use_fish!A:A,use_fish!I:I),0),_xlfn.IFNA(LOOKUP(T136,use_fish!A:A,use_fish!I:I),0),_xlfn.IFNA(LOOKUP(U136,use_fish!A:A,use_fish!I:I),0),_xlfn.IFNA(LOOKUP(V136,use_fish!A:A,use_fish!I:I),0),_xlfn.IFNA(LOOKUP(W136,use_fish!A:A,use_fish!I:I),0),)</f>
        <v>150</v>
      </c>
      <c r="J136" s="72">
        <f>SUM(_xlfn.IFNA(LOOKUP(Q136,use_fish!A:A,use_fish!K:K),0),_xlfn.IFNA(LOOKUP(R136,use_fish!A:A,use_fish!K:K),0),_xlfn.IFNA(LOOKUP(S136,use_fish!A:A,use_fish!K:K),0),_xlfn.IFNA(LOOKUP(T136,use_fish!A:A,use_fish!K:K),0),_xlfn.IFNA(LOOKUP(U136,use_fish!A:A,use_fish!K:K),0),_xlfn.IFNA(LOOKUP(V136,use_fish!A:A,use_fish!K:K),0),_xlfn.IFNA(LOOKUP(W136,use_fish!A:A,use_fish!K:K),0),)</f>
        <v>0</v>
      </c>
      <c r="Q136" s="71">
        <v>119</v>
      </c>
    </row>
    <row r="137" spans="1:17" s="74" customFormat="1" x14ac:dyDescent="0.2">
      <c r="A137" s="74">
        <v>136</v>
      </c>
      <c r="B137" s="74">
        <v>1</v>
      </c>
      <c r="C137" s="99" t="s">
        <v>435</v>
      </c>
      <c r="H137" s="74">
        <f>SUM(_xlfn.IFNA(LOOKUP(Q137,use_fish!A:A,use_fish!E:E),0),_xlfn.IFNA(LOOKUP(R137,use_fish!A:A,use_fish!E:E),0),_xlfn.IFNA(LOOKUP(S137,use_fish!A:A,use_fish!E:E),0),_xlfn.IFNA(LOOKUP(T137,use_fish!A:A,use_fish!E:E),0),_xlfn.IFNA(LOOKUP(U137,use_fish!A:A,use_fish!E:E),0),_xlfn.IFNA(LOOKUP(V137,use_fish!A:A,use_fish!E:E),0),_xlfn.IFNA(LOOKUP(W137,use_fish!A:A,use_fish!E:E),0),)</f>
        <v>250</v>
      </c>
      <c r="I137" s="74">
        <f>SUM(_xlfn.IFNA(LOOKUP(Q137,use_fish!A:A,use_fish!I:I),0),_xlfn.IFNA(LOOKUP(R137,use_fish!A:A,use_fish!I:I),0),_xlfn.IFNA(LOOKUP(S137,use_fish!A:A,use_fish!I:I),0),_xlfn.IFNA(LOOKUP(T137,use_fish!A:A,use_fish!I:I),0),_xlfn.IFNA(LOOKUP(U137,use_fish!A:A,use_fish!I:I),0),_xlfn.IFNA(LOOKUP(V137,use_fish!A:A,use_fish!I:I),0),_xlfn.IFNA(LOOKUP(W137,use_fish!A:A,use_fish!I:I),0),)</f>
        <v>250</v>
      </c>
      <c r="J137" s="72">
        <f>SUM(_xlfn.IFNA(LOOKUP(Q137,use_fish!A:A,use_fish!K:K),0),_xlfn.IFNA(LOOKUP(R137,use_fish!A:A,use_fish!K:K),0),_xlfn.IFNA(LOOKUP(S137,use_fish!A:A,use_fish!K:K),0),_xlfn.IFNA(LOOKUP(T137,use_fish!A:A,use_fish!K:K),0),_xlfn.IFNA(LOOKUP(U137,use_fish!A:A,use_fish!K:K),0),_xlfn.IFNA(LOOKUP(V137,use_fish!A:A,use_fish!K:K),0),_xlfn.IFNA(LOOKUP(W137,use_fish!A:A,use_fish!K:K),0),)</f>
        <v>0</v>
      </c>
      <c r="Q137" s="71">
        <v>120</v>
      </c>
    </row>
    <row r="138" spans="1:17" s="78" customFormat="1" x14ac:dyDescent="0.2">
      <c r="A138" s="78">
        <v>137</v>
      </c>
      <c r="B138" s="78">
        <v>1</v>
      </c>
      <c r="C138" s="100" t="s">
        <v>436</v>
      </c>
      <c r="H138" s="78">
        <f>SUM(_xlfn.IFNA(LOOKUP(Q138,use_fish!A:A,use_fish!E:E),0),_xlfn.IFNA(LOOKUP(R138,use_fish!A:A,use_fish!E:E),0),_xlfn.IFNA(LOOKUP(S138,use_fish!A:A,use_fish!E:E),0),_xlfn.IFNA(LOOKUP(T138,use_fish!A:A,use_fish!E:E),0),_xlfn.IFNA(LOOKUP(U138,use_fish!A:A,use_fish!E:E),0),_xlfn.IFNA(LOOKUP(V138,use_fish!A:A,use_fish!E:E),0),_xlfn.IFNA(LOOKUP(W138,use_fish!A:A,use_fish!E:E),0),)</f>
        <v>65</v>
      </c>
      <c r="I138" s="78">
        <f>SUM(_xlfn.IFNA(LOOKUP(Q138,use_fish!A:A,use_fish!I:I),0),_xlfn.IFNA(LOOKUP(R138,use_fish!A:A,use_fish!I:I),0),_xlfn.IFNA(LOOKUP(S138,use_fish!A:A,use_fish!I:I),0),_xlfn.IFNA(LOOKUP(T138,use_fish!A:A,use_fish!I:I),0),_xlfn.IFNA(LOOKUP(U138,use_fish!A:A,use_fish!I:I),0),_xlfn.IFNA(LOOKUP(V138,use_fish!A:A,use_fish!I:I),0),_xlfn.IFNA(LOOKUP(W138,use_fish!A:A,use_fish!I:I),0),)</f>
        <v>60</v>
      </c>
      <c r="J138" s="76">
        <f>SUM(_xlfn.IFNA(LOOKUP(Q138,use_fish!A:A,use_fish!K:K),0),_xlfn.IFNA(LOOKUP(R138,use_fish!A:A,use_fish!K:K),0),_xlfn.IFNA(LOOKUP(S138,use_fish!A:A,use_fish!K:K),0),_xlfn.IFNA(LOOKUP(T138,use_fish!A:A,use_fish!K:K),0),_xlfn.IFNA(LOOKUP(U138,use_fish!A:A,use_fish!K:K),0),_xlfn.IFNA(LOOKUP(V138,use_fish!A:A,use_fish!K:K),0),_xlfn.IFNA(LOOKUP(W138,use_fish!A:A,use_fish!K:K),0),)</f>
        <v>0</v>
      </c>
      <c r="Q138" s="78">
        <v>121</v>
      </c>
    </row>
    <row r="139" spans="1:17" s="78" customFormat="1" x14ac:dyDescent="0.2">
      <c r="A139" s="78">
        <v>138</v>
      </c>
      <c r="B139" s="78">
        <v>1</v>
      </c>
      <c r="C139" s="100" t="s">
        <v>437</v>
      </c>
      <c r="H139" s="78">
        <f>SUM(_xlfn.IFNA(LOOKUP(Q139,use_fish!A:A,use_fish!E:E),0),_xlfn.IFNA(LOOKUP(R139,use_fish!A:A,use_fish!E:E),0),_xlfn.IFNA(LOOKUP(S139,use_fish!A:A,use_fish!E:E),0),_xlfn.IFNA(LOOKUP(T139,use_fish!A:A,use_fish!E:E),0),_xlfn.IFNA(LOOKUP(U139,use_fish!A:A,use_fish!E:E),0),_xlfn.IFNA(LOOKUP(V139,use_fish!A:A,use_fish!E:E),0),_xlfn.IFNA(LOOKUP(W139,use_fish!A:A,use_fish!E:E),0),)</f>
        <v>65</v>
      </c>
      <c r="I139" s="78">
        <f>SUM(_xlfn.IFNA(LOOKUP(Q139,use_fish!A:A,use_fish!I:I),0),_xlfn.IFNA(LOOKUP(R139,use_fish!A:A,use_fish!I:I),0),_xlfn.IFNA(LOOKUP(S139,use_fish!A:A,use_fish!I:I),0),_xlfn.IFNA(LOOKUP(T139,use_fish!A:A,use_fish!I:I),0),_xlfn.IFNA(LOOKUP(U139,use_fish!A:A,use_fish!I:I),0),_xlfn.IFNA(LOOKUP(V139,use_fish!A:A,use_fish!I:I),0),_xlfn.IFNA(LOOKUP(W139,use_fish!A:A,use_fish!I:I),0),)</f>
        <v>60</v>
      </c>
      <c r="J139" s="76">
        <f>SUM(_xlfn.IFNA(LOOKUP(Q139,use_fish!A:A,use_fish!K:K),0),_xlfn.IFNA(LOOKUP(R139,use_fish!A:A,use_fish!K:K),0),_xlfn.IFNA(LOOKUP(S139,use_fish!A:A,use_fish!K:K),0),_xlfn.IFNA(LOOKUP(T139,use_fish!A:A,use_fish!K:K),0),_xlfn.IFNA(LOOKUP(U139,use_fish!A:A,use_fish!K:K),0),_xlfn.IFNA(LOOKUP(V139,use_fish!A:A,use_fish!K:K),0),_xlfn.IFNA(LOOKUP(W139,use_fish!A:A,use_fish!K:K),0),)</f>
        <v>0</v>
      </c>
      <c r="Q139" s="78">
        <v>122</v>
      </c>
    </row>
    <row r="140" spans="1:17" s="78" customFormat="1" x14ac:dyDescent="0.2">
      <c r="A140" s="78">
        <v>139</v>
      </c>
      <c r="B140" s="78">
        <v>1</v>
      </c>
      <c r="C140" s="100" t="s">
        <v>438</v>
      </c>
      <c r="H140" s="78">
        <f>SUM(_xlfn.IFNA(LOOKUP(Q140,use_fish!A:A,use_fish!E:E),0),_xlfn.IFNA(LOOKUP(R140,use_fish!A:A,use_fish!E:E),0),_xlfn.IFNA(LOOKUP(S140,use_fish!A:A,use_fish!E:E),0),_xlfn.IFNA(LOOKUP(T140,use_fish!A:A,use_fish!E:E),0),_xlfn.IFNA(LOOKUP(U140,use_fish!A:A,use_fish!E:E),0),_xlfn.IFNA(LOOKUP(V140,use_fish!A:A,use_fish!E:E),0),_xlfn.IFNA(LOOKUP(W140,use_fish!A:A,use_fish!E:E),0),)</f>
        <v>65</v>
      </c>
      <c r="I140" s="78">
        <f>SUM(_xlfn.IFNA(LOOKUP(Q140,use_fish!A:A,use_fish!I:I),0),_xlfn.IFNA(LOOKUP(R140,use_fish!A:A,use_fish!I:I),0),_xlfn.IFNA(LOOKUP(S140,use_fish!A:A,use_fish!I:I),0),_xlfn.IFNA(LOOKUP(T140,use_fish!A:A,use_fish!I:I),0),_xlfn.IFNA(LOOKUP(U140,use_fish!A:A,use_fish!I:I),0),_xlfn.IFNA(LOOKUP(V140,use_fish!A:A,use_fish!I:I),0),_xlfn.IFNA(LOOKUP(W140,use_fish!A:A,use_fish!I:I),0),)</f>
        <v>60</v>
      </c>
      <c r="J140" s="76">
        <f>SUM(_xlfn.IFNA(LOOKUP(Q140,use_fish!A:A,use_fish!K:K),0),_xlfn.IFNA(LOOKUP(R140,use_fish!A:A,use_fish!K:K),0),_xlfn.IFNA(LOOKUP(S140,use_fish!A:A,use_fish!K:K),0),_xlfn.IFNA(LOOKUP(T140,use_fish!A:A,use_fish!K:K),0),_xlfn.IFNA(LOOKUP(U140,use_fish!A:A,use_fish!K:K),0),_xlfn.IFNA(LOOKUP(V140,use_fish!A:A,use_fish!K:K),0),_xlfn.IFNA(LOOKUP(W140,use_fish!A:A,use_fish!K:K),0),)</f>
        <v>0</v>
      </c>
      <c r="Q140" s="78">
        <v>123</v>
      </c>
    </row>
    <row r="141" spans="1:17" s="78" customFormat="1" x14ac:dyDescent="0.2">
      <c r="A141" s="78">
        <v>140</v>
      </c>
      <c r="B141" s="78">
        <v>1</v>
      </c>
      <c r="C141" s="100" t="s">
        <v>439</v>
      </c>
      <c r="H141" s="78">
        <f>SUM(_xlfn.IFNA(LOOKUP(Q141,use_fish!A:A,use_fish!E:E),0),_xlfn.IFNA(LOOKUP(R141,use_fish!A:A,use_fish!E:E),0),_xlfn.IFNA(LOOKUP(S141,use_fish!A:A,use_fish!E:E),0),_xlfn.IFNA(LOOKUP(T141,use_fish!A:A,use_fish!E:E),0),_xlfn.IFNA(LOOKUP(U141,use_fish!A:A,use_fish!E:E),0),_xlfn.IFNA(LOOKUP(V141,use_fish!A:A,use_fish!E:E),0),_xlfn.IFNA(LOOKUP(W141,use_fish!A:A,use_fish!E:E),0),)</f>
        <v>86</v>
      </c>
      <c r="I141" s="78">
        <f>SUM(_xlfn.IFNA(LOOKUP(Q141,use_fish!A:A,use_fish!I:I),0),_xlfn.IFNA(LOOKUP(R141,use_fish!A:A,use_fish!I:I),0),_xlfn.IFNA(LOOKUP(S141,use_fish!A:A,use_fish!I:I),0),_xlfn.IFNA(LOOKUP(T141,use_fish!A:A,use_fish!I:I),0),_xlfn.IFNA(LOOKUP(U141,use_fish!A:A,use_fish!I:I),0),_xlfn.IFNA(LOOKUP(V141,use_fish!A:A,use_fish!I:I),0),_xlfn.IFNA(LOOKUP(W141,use_fish!A:A,use_fish!I:I),0),)</f>
        <v>80</v>
      </c>
      <c r="J141" s="76">
        <f>SUM(_xlfn.IFNA(LOOKUP(Q141,use_fish!A:A,use_fish!K:K),0),_xlfn.IFNA(LOOKUP(R141,use_fish!A:A,use_fish!K:K),0),_xlfn.IFNA(LOOKUP(S141,use_fish!A:A,use_fish!K:K),0),_xlfn.IFNA(LOOKUP(T141,use_fish!A:A,use_fish!K:K),0),_xlfn.IFNA(LOOKUP(U141,use_fish!A:A,use_fish!K:K),0),_xlfn.IFNA(LOOKUP(V141,use_fish!A:A,use_fish!K:K),0),_xlfn.IFNA(LOOKUP(W141,use_fish!A:A,use_fish!K:K),0),)</f>
        <v>0</v>
      </c>
      <c r="Q141" s="78">
        <v>124</v>
      </c>
    </row>
    <row r="142" spans="1:17" s="78" customFormat="1" x14ac:dyDescent="0.2">
      <c r="A142" s="78">
        <v>141</v>
      </c>
      <c r="B142" s="78">
        <v>1</v>
      </c>
      <c r="C142" s="100" t="s">
        <v>440</v>
      </c>
      <c r="H142" s="78">
        <f>SUM(_xlfn.IFNA(LOOKUP(Q142,use_fish!A:A,use_fish!E:E),0),_xlfn.IFNA(LOOKUP(R142,use_fish!A:A,use_fish!E:E),0),_xlfn.IFNA(LOOKUP(S142,use_fish!A:A,use_fish!E:E),0),_xlfn.IFNA(LOOKUP(T142,use_fish!A:A,use_fish!E:E),0),_xlfn.IFNA(LOOKUP(U142,use_fish!A:A,use_fish!E:E),0),_xlfn.IFNA(LOOKUP(V142,use_fish!A:A,use_fish!E:E),0),_xlfn.IFNA(LOOKUP(W142,use_fish!A:A,use_fish!E:E),0),)</f>
        <v>107</v>
      </c>
      <c r="I142" s="78">
        <f>SUM(_xlfn.IFNA(LOOKUP(Q142,use_fish!A:A,use_fish!I:I),0),_xlfn.IFNA(LOOKUP(R142,use_fish!A:A,use_fish!I:I),0),_xlfn.IFNA(LOOKUP(S142,use_fish!A:A,use_fish!I:I),0),_xlfn.IFNA(LOOKUP(T142,use_fish!A:A,use_fish!I:I),0),_xlfn.IFNA(LOOKUP(U142,use_fish!A:A,use_fish!I:I),0),_xlfn.IFNA(LOOKUP(V142,use_fish!A:A,use_fish!I:I),0),_xlfn.IFNA(LOOKUP(W142,use_fish!A:A,use_fish!I:I),0),)</f>
        <v>100</v>
      </c>
      <c r="J142" s="76">
        <f>SUM(_xlfn.IFNA(LOOKUP(Q142,use_fish!A:A,use_fish!K:K),0),_xlfn.IFNA(LOOKUP(R142,use_fish!A:A,use_fish!K:K),0),_xlfn.IFNA(LOOKUP(S142,use_fish!A:A,use_fish!K:K),0),_xlfn.IFNA(LOOKUP(T142,use_fish!A:A,use_fish!K:K),0),_xlfn.IFNA(LOOKUP(U142,use_fish!A:A,use_fish!K:K),0),_xlfn.IFNA(LOOKUP(V142,use_fish!A:A,use_fish!K:K),0),_xlfn.IFNA(LOOKUP(W142,use_fish!A:A,use_fish!K:K),0),)</f>
        <v>0</v>
      </c>
      <c r="Q142" s="78">
        <v>125</v>
      </c>
    </row>
    <row r="143" spans="1:17" s="78" customFormat="1" x14ac:dyDescent="0.2">
      <c r="A143" s="78">
        <v>142</v>
      </c>
      <c r="B143" s="78">
        <v>1</v>
      </c>
      <c r="C143" s="100" t="s">
        <v>441</v>
      </c>
      <c r="H143" s="78">
        <f>SUM(_xlfn.IFNA(LOOKUP(Q143,use_fish!A:A,use_fish!E:E),0),_xlfn.IFNA(LOOKUP(R143,use_fish!A:A,use_fish!E:E),0),_xlfn.IFNA(LOOKUP(S143,use_fish!A:A,use_fish!E:E),0),_xlfn.IFNA(LOOKUP(T143,use_fish!A:A,use_fish!E:E),0),_xlfn.IFNA(LOOKUP(U143,use_fish!A:A,use_fish!E:E),0),_xlfn.IFNA(LOOKUP(V143,use_fish!A:A,use_fish!E:E),0),_xlfn.IFNA(LOOKUP(W143,use_fish!A:A,use_fish!E:E),0),)</f>
        <v>107</v>
      </c>
      <c r="I143" s="78">
        <f>SUM(_xlfn.IFNA(LOOKUP(Q143,use_fish!A:A,use_fish!I:I),0),_xlfn.IFNA(LOOKUP(R143,use_fish!A:A,use_fish!I:I),0),_xlfn.IFNA(LOOKUP(S143,use_fish!A:A,use_fish!I:I),0),_xlfn.IFNA(LOOKUP(T143,use_fish!A:A,use_fish!I:I),0),_xlfn.IFNA(LOOKUP(U143,use_fish!A:A,use_fish!I:I),0),_xlfn.IFNA(LOOKUP(V143,use_fish!A:A,use_fish!I:I),0),_xlfn.IFNA(LOOKUP(W143,use_fish!A:A,use_fish!I:I),0),)</f>
        <v>100</v>
      </c>
      <c r="J143" s="76">
        <f>SUM(_xlfn.IFNA(LOOKUP(Q143,use_fish!A:A,use_fish!K:K),0),_xlfn.IFNA(LOOKUP(R143,use_fish!A:A,use_fish!K:K),0),_xlfn.IFNA(LOOKUP(S143,use_fish!A:A,use_fish!K:K),0),_xlfn.IFNA(LOOKUP(T143,use_fish!A:A,use_fish!K:K),0),_xlfn.IFNA(LOOKUP(U143,use_fish!A:A,use_fish!K:K),0),_xlfn.IFNA(LOOKUP(V143,use_fish!A:A,use_fish!K:K),0),_xlfn.IFNA(LOOKUP(W143,use_fish!A:A,use_fish!K:K),0),)</f>
        <v>0</v>
      </c>
      <c r="Q143" s="78">
        <v>126</v>
      </c>
    </row>
    <row r="144" spans="1:17" s="19" customFormat="1" x14ac:dyDescent="0.2">
      <c r="A144" s="19">
        <v>143</v>
      </c>
      <c r="B144" s="19">
        <v>1</v>
      </c>
      <c r="C144" s="91" t="s">
        <v>442</v>
      </c>
      <c r="H144" s="19">
        <f>SUM(_xlfn.IFNA(LOOKUP(Q144,use_fish!A:A,use_fish!E:E),0),_xlfn.IFNA(LOOKUP(R144,use_fish!A:A,use_fish!E:E),0),_xlfn.IFNA(LOOKUP(S144,use_fish!A:A,use_fish!E:E),0),_xlfn.IFNA(LOOKUP(T144,use_fish!A:A,use_fish!E:E),0),_xlfn.IFNA(LOOKUP(U144,use_fish!A:A,use_fish!E:E),0),_xlfn.IFNA(LOOKUP(V144,use_fish!A:A,use_fish!E:E),0),_xlfn.IFNA(LOOKUP(W144,use_fish!A:A,use_fish!E:E),0),)</f>
        <v>69</v>
      </c>
      <c r="I144" s="19">
        <f>SUM(_xlfn.IFNA(LOOKUP(Q144,use_fish!A:A,use_fish!I:I),0),_xlfn.IFNA(LOOKUP(R144,use_fish!A:A,use_fish!I:I),0),_xlfn.IFNA(LOOKUP(S144,use_fish!A:A,use_fish!I:I),0),_xlfn.IFNA(LOOKUP(T144,use_fish!A:A,use_fish!I:I),0),_xlfn.IFNA(LOOKUP(U144,use_fish!A:A,use_fish!I:I),0),_xlfn.IFNA(LOOKUP(V144,use_fish!A:A,use_fish!I:I),0),_xlfn.IFNA(LOOKUP(W144,use_fish!A:A,use_fish!I:I),0),)</f>
        <v>60</v>
      </c>
      <c r="J144" s="17">
        <f>SUM(_xlfn.IFNA(LOOKUP(Q144,use_fish!A:A,use_fish!K:K),0),_xlfn.IFNA(LOOKUP(R144,use_fish!A:A,use_fish!K:K),0),_xlfn.IFNA(LOOKUP(S144,use_fish!A:A,use_fish!K:K),0),_xlfn.IFNA(LOOKUP(T144,use_fish!A:A,use_fish!K:K),0),_xlfn.IFNA(LOOKUP(U144,use_fish!A:A,use_fish!K:K),0),_xlfn.IFNA(LOOKUP(V144,use_fish!A:A,use_fish!K:K),0),_xlfn.IFNA(LOOKUP(W144,use_fish!A:A,use_fish!K:K),0),)</f>
        <v>0</v>
      </c>
      <c r="Q144" s="19">
        <v>127</v>
      </c>
    </row>
    <row r="145" spans="1:17" s="19" customFormat="1" x14ac:dyDescent="0.2">
      <c r="A145" s="19">
        <v>144</v>
      </c>
      <c r="B145" s="19">
        <v>1</v>
      </c>
      <c r="C145" s="91" t="s">
        <v>443</v>
      </c>
      <c r="H145" s="19">
        <f>SUM(_xlfn.IFNA(LOOKUP(Q145,use_fish!A:A,use_fish!E:E),0),_xlfn.IFNA(LOOKUP(R145,use_fish!A:A,use_fish!E:E),0),_xlfn.IFNA(LOOKUP(S145,use_fish!A:A,use_fish!E:E),0),_xlfn.IFNA(LOOKUP(T145,use_fish!A:A,use_fish!E:E),0),_xlfn.IFNA(LOOKUP(U145,use_fish!A:A,use_fish!E:E),0),_xlfn.IFNA(LOOKUP(V145,use_fish!A:A,use_fish!E:E),0),_xlfn.IFNA(LOOKUP(W145,use_fish!A:A,use_fish!E:E),0),)</f>
        <v>69</v>
      </c>
      <c r="I145" s="19">
        <f>SUM(_xlfn.IFNA(LOOKUP(Q145,use_fish!A:A,use_fish!I:I),0),_xlfn.IFNA(LOOKUP(R145,use_fish!A:A,use_fish!I:I),0),_xlfn.IFNA(LOOKUP(S145,use_fish!A:A,use_fish!I:I),0),_xlfn.IFNA(LOOKUP(T145,use_fish!A:A,use_fish!I:I),0),_xlfn.IFNA(LOOKUP(U145,use_fish!A:A,use_fish!I:I),0),_xlfn.IFNA(LOOKUP(V145,use_fish!A:A,use_fish!I:I),0),_xlfn.IFNA(LOOKUP(W145,use_fish!A:A,use_fish!I:I),0),)</f>
        <v>60</v>
      </c>
      <c r="J145" s="17">
        <f>SUM(_xlfn.IFNA(LOOKUP(Q145,use_fish!A:A,use_fish!K:K),0),_xlfn.IFNA(LOOKUP(R145,use_fish!A:A,use_fish!K:K),0),_xlfn.IFNA(LOOKUP(S145,use_fish!A:A,use_fish!K:K),0),_xlfn.IFNA(LOOKUP(T145,use_fish!A:A,use_fish!K:K),0),_xlfn.IFNA(LOOKUP(U145,use_fish!A:A,use_fish!K:K),0),_xlfn.IFNA(LOOKUP(V145,use_fish!A:A,use_fish!K:K),0),_xlfn.IFNA(LOOKUP(W145,use_fish!A:A,use_fish!K:K),0),)</f>
        <v>0</v>
      </c>
      <c r="Q145" s="19">
        <v>128</v>
      </c>
    </row>
    <row r="146" spans="1:17" s="19" customFormat="1" x14ac:dyDescent="0.2">
      <c r="A146" s="19">
        <v>145</v>
      </c>
      <c r="B146" s="19">
        <v>1</v>
      </c>
      <c r="C146" s="91" t="s">
        <v>444</v>
      </c>
      <c r="H146" s="19">
        <f>SUM(_xlfn.IFNA(LOOKUP(Q146,use_fish!A:A,use_fish!E:E),0),_xlfn.IFNA(LOOKUP(R146,use_fish!A:A,use_fish!E:E),0),_xlfn.IFNA(LOOKUP(S146,use_fish!A:A,use_fish!E:E),0),_xlfn.IFNA(LOOKUP(T146,use_fish!A:A,use_fish!E:E),0),_xlfn.IFNA(LOOKUP(U146,use_fish!A:A,use_fish!E:E),0),_xlfn.IFNA(LOOKUP(V146,use_fish!A:A,use_fish!E:E),0),_xlfn.IFNA(LOOKUP(W146,use_fish!A:A,use_fish!E:E),0),)</f>
        <v>69</v>
      </c>
      <c r="I146" s="19">
        <f>SUM(_xlfn.IFNA(LOOKUP(Q146,use_fish!A:A,use_fish!I:I),0),_xlfn.IFNA(LOOKUP(R146,use_fish!A:A,use_fish!I:I),0),_xlfn.IFNA(LOOKUP(S146,use_fish!A:A,use_fish!I:I),0),_xlfn.IFNA(LOOKUP(T146,use_fish!A:A,use_fish!I:I),0),_xlfn.IFNA(LOOKUP(U146,use_fish!A:A,use_fish!I:I),0),_xlfn.IFNA(LOOKUP(V146,use_fish!A:A,use_fish!I:I),0),_xlfn.IFNA(LOOKUP(W146,use_fish!A:A,use_fish!I:I),0),)</f>
        <v>60</v>
      </c>
      <c r="J146" s="17">
        <f>SUM(_xlfn.IFNA(LOOKUP(Q146,use_fish!A:A,use_fish!K:K),0),_xlfn.IFNA(LOOKUP(R146,use_fish!A:A,use_fish!K:K),0),_xlfn.IFNA(LOOKUP(S146,use_fish!A:A,use_fish!K:K),0),_xlfn.IFNA(LOOKUP(T146,use_fish!A:A,use_fish!K:K),0),_xlfn.IFNA(LOOKUP(U146,use_fish!A:A,use_fish!K:K),0),_xlfn.IFNA(LOOKUP(V146,use_fish!A:A,use_fish!K:K),0),_xlfn.IFNA(LOOKUP(W146,use_fish!A:A,use_fish!K:K),0),)</f>
        <v>0</v>
      </c>
      <c r="Q146" s="19">
        <v>129</v>
      </c>
    </row>
    <row r="147" spans="1:17" s="19" customFormat="1" x14ac:dyDescent="0.2">
      <c r="A147" s="19">
        <v>146</v>
      </c>
      <c r="B147" s="19">
        <v>1</v>
      </c>
      <c r="C147" s="91" t="s">
        <v>445</v>
      </c>
      <c r="H147" s="19">
        <f>SUM(_xlfn.IFNA(LOOKUP(Q147,use_fish!A:A,use_fish!E:E),0),_xlfn.IFNA(LOOKUP(R147,use_fish!A:A,use_fish!E:E),0),_xlfn.IFNA(LOOKUP(S147,use_fish!A:A,use_fish!E:E),0),_xlfn.IFNA(LOOKUP(T147,use_fish!A:A,use_fish!E:E),0),_xlfn.IFNA(LOOKUP(U147,use_fish!A:A,use_fish!E:E),0),_xlfn.IFNA(LOOKUP(V147,use_fish!A:A,use_fish!E:E),0),_xlfn.IFNA(LOOKUP(W147,use_fish!A:A,use_fish!E:E),0),)</f>
        <v>90</v>
      </c>
      <c r="I147" s="19">
        <f>SUM(_xlfn.IFNA(LOOKUP(Q147,use_fish!A:A,use_fish!I:I),0),_xlfn.IFNA(LOOKUP(R147,use_fish!A:A,use_fish!I:I),0),_xlfn.IFNA(LOOKUP(S147,use_fish!A:A,use_fish!I:I),0),_xlfn.IFNA(LOOKUP(T147,use_fish!A:A,use_fish!I:I),0),_xlfn.IFNA(LOOKUP(U147,use_fish!A:A,use_fish!I:I),0),_xlfn.IFNA(LOOKUP(V147,use_fish!A:A,use_fish!I:I),0),_xlfn.IFNA(LOOKUP(W147,use_fish!A:A,use_fish!I:I),0),)</f>
        <v>80</v>
      </c>
      <c r="J147" s="17">
        <f>SUM(_xlfn.IFNA(LOOKUP(Q147,use_fish!A:A,use_fish!K:K),0),_xlfn.IFNA(LOOKUP(R147,use_fish!A:A,use_fish!K:K),0),_xlfn.IFNA(LOOKUP(S147,use_fish!A:A,use_fish!K:K),0),_xlfn.IFNA(LOOKUP(T147,use_fish!A:A,use_fish!K:K),0),_xlfn.IFNA(LOOKUP(U147,use_fish!A:A,use_fish!K:K),0),_xlfn.IFNA(LOOKUP(V147,use_fish!A:A,use_fish!K:K),0),_xlfn.IFNA(LOOKUP(W147,use_fish!A:A,use_fish!K:K),0),)</f>
        <v>0</v>
      </c>
      <c r="Q147" s="19">
        <v>130</v>
      </c>
    </row>
    <row r="148" spans="1:17" s="19" customFormat="1" x14ac:dyDescent="0.2">
      <c r="A148" s="19">
        <v>147</v>
      </c>
      <c r="B148" s="19">
        <v>1</v>
      </c>
      <c r="C148" s="91" t="s">
        <v>446</v>
      </c>
      <c r="H148" s="19">
        <f>SUM(_xlfn.IFNA(LOOKUP(Q148,use_fish!A:A,use_fish!E:E),0),_xlfn.IFNA(LOOKUP(R148,use_fish!A:A,use_fish!E:E),0),_xlfn.IFNA(LOOKUP(S148,use_fish!A:A,use_fish!E:E),0),_xlfn.IFNA(LOOKUP(T148,use_fish!A:A,use_fish!E:E),0),_xlfn.IFNA(LOOKUP(U148,use_fish!A:A,use_fish!E:E),0),_xlfn.IFNA(LOOKUP(V148,use_fish!A:A,use_fish!E:E),0),_xlfn.IFNA(LOOKUP(W148,use_fish!A:A,use_fish!E:E),0),)</f>
        <v>111</v>
      </c>
      <c r="I148" s="19">
        <f>SUM(_xlfn.IFNA(LOOKUP(Q148,use_fish!A:A,use_fish!I:I),0),_xlfn.IFNA(LOOKUP(R148,use_fish!A:A,use_fish!I:I),0),_xlfn.IFNA(LOOKUP(S148,use_fish!A:A,use_fish!I:I),0),_xlfn.IFNA(LOOKUP(T148,use_fish!A:A,use_fish!I:I),0),_xlfn.IFNA(LOOKUP(U148,use_fish!A:A,use_fish!I:I),0),_xlfn.IFNA(LOOKUP(V148,use_fish!A:A,use_fish!I:I),0),_xlfn.IFNA(LOOKUP(W148,use_fish!A:A,use_fish!I:I),0),)</f>
        <v>100</v>
      </c>
      <c r="J148" s="17">
        <f>SUM(_xlfn.IFNA(LOOKUP(Q148,use_fish!A:A,use_fish!K:K),0),_xlfn.IFNA(LOOKUP(R148,use_fish!A:A,use_fish!K:K),0),_xlfn.IFNA(LOOKUP(S148,use_fish!A:A,use_fish!K:K),0),_xlfn.IFNA(LOOKUP(T148,use_fish!A:A,use_fish!K:K),0),_xlfn.IFNA(LOOKUP(U148,use_fish!A:A,use_fish!K:K),0),_xlfn.IFNA(LOOKUP(V148,use_fish!A:A,use_fish!K:K),0),_xlfn.IFNA(LOOKUP(W148,use_fish!A:A,use_fish!K:K),0),)</f>
        <v>0</v>
      </c>
      <c r="Q148" s="19">
        <v>131</v>
      </c>
    </row>
    <row r="149" spans="1:17" s="19" customFormat="1" x14ac:dyDescent="0.2">
      <c r="A149" s="19">
        <v>148</v>
      </c>
      <c r="B149" s="19">
        <v>1</v>
      </c>
      <c r="C149" s="91" t="s">
        <v>447</v>
      </c>
      <c r="H149" s="19">
        <f>SUM(_xlfn.IFNA(LOOKUP(Q149,use_fish!A:A,use_fish!E:E),0),_xlfn.IFNA(LOOKUP(R149,use_fish!A:A,use_fish!E:E),0),_xlfn.IFNA(LOOKUP(S149,use_fish!A:A,use_fish!E:E),0),_xlfn.IFNA(LOOKUP(T149,use_fish!A:A,use_fish!E:E),0),_xlfn.IFNA(LOOKUP(U149,use_fish!A:A,use_fish!E:E),0),_xlfn.IFNA(LOOKUP(V149,use_fish!A:A,use_fish!E:E),0),_xlfn.IFNA(LOOKUP(W149,use_fish!A:A,use_fish!E:E),0),)</f>
        <v>111</v>
      </c>
      <c r="I149" s="19">
        <f>SUM(_xlfn.IFNA(LOOKUP(Q149,use_fish!A:A,use_fish!I:I),0),_xlfn.IFNA(LOOKUP(R149,use_fish!A:A,use_fish!I:I),0),_xlfn.IFNA(LOOKUP(S149,use_fish!A:A,use_fish!I:I),0),_xlfn.IFNA(LOOKUP(T149,use_fish!A:A,use_fish!I:I),0),_xlfn.IFNA(LOOKUP(U149,use_fish!A:A,use_fish!I:I),0),_xlfn.IFNA(LOOKUP(V149,use_fish!A:A,use_fish!I:I),0),_xlfn.IFNA(LOOKUP(W149,use_fish!A:A,use_fish!I:I),0),)</f>
        <v>100</v>
      </c>
      <c r="J149" s="17">
        <f>SUM(_xlfn.IFNA(LOOKUP(Q149,use_fish!A:A,use_fish!K:K),0),_xlfn.IFNA(LOOKUP(R149,use_fish!A:A,use_fish!K:K),0),_xlfn.IFNA(LOOKUP(S149,use_fish!A:A,use_fish!K:K),0),_xlfn.IFNA(LOOKUP(T149,use_fish!A:A,use_fish!K:K),0),_xlfn.IFNA(LOOKUP(U149,use_fish!A:A,use_fish!K:K),0),_xlfn.IFNA(LOOKUP(V149,use_fish!A:A,use_fish!K:K),0),_xlfn.IFNA(LOOKUP(W149,use_fish!A:A,use_fish!K:K),0),)</f>
        <v>0</v>
      </c>
      <c r="Q149" s="19">
        <v>132</v>
      </c>
    </row>
    <row r="150" spans="1:17" s="78" customFormat="1" x14ac:dyDescent="0.2">
      <c r="A150" s="78">
        <v>149</v>
      </c>
      <c r="B150" s="78">
        <v>1</v>
      </c>
      <c r="C150" s="100" t="s">
        <v>448</v>
      </c>
      <c r="H150" s="78">
        <f>SUM(_xlfn.IFNA(LOOKUP(Q150,use_fish!A:A,use_fish!E:E),0),_xlfn.IFNA(LOOKUP(R150,use_fish!A:A,use_fish!E:E),0),_xlfn.IFNA(LOOKUP(S150,use_fish!A:A,use_fish!E:E),0),_xlfn.IFNA(LOOKUP(T150,use_fish!A:A,use_fish!E:E),0),_xlfn.IFNA(LOOKUP(U150,use_fish!A:A,use_fish!E:E),0),_xlfn.IFNA(LOOKUP(V150,use_fish!A:A,use_fish!E:E),0),_xlfn.IFNA(LOOKUP(W150,use_fish!A:A,use_fish!E:E),0),)</f>
        <v>65</v>
      </c>
      <c r="I150" s="78">
        <f>SUM(_xlfn.IFNA(LOOKUP(Q150,use_fish!A:A,use_fish!I:I),0),_xlfn.IFNA(LOOKUP(R150,use_fish!A:A,use_fish!I:I),0),_xlfn.IFNA(LOOKUP(S150,use_fish!A:A,use_fish!I:I),0),_xlfn.IFNA(LOOKUP(T150,use_fish!A:A,use_fish!I:I),0),_xlfn.IFNA(LOOKUP(U150,use_fish!A:A,use_fish!I:I),0),_xlfn.IFNA(LOOKUP(V150,use_fish!A:A,use_fish!I:I),0),_xlfn.IFNA(LOOKUP(W150,use_fish!A:A,use_fish!I:I),0),)</f>
        <v>60</v>
      </c>
      <c r="J150" s="76">
        <f>SUM(_xlfn.IFNA(LOOKUP(Q150,use_fish!A:A,use_fish!K:K),0),_xlfn.IFNA(LOOKUP(R150,use_fish!A:A,use_fish!K:K),0),_xlfn.IFNA(LOOKUP(S150,use_fish!A:A,use_fish!K:K),0),_xlfn.IFNA(LOOKUP(T150,use_fish!A:A,use_fish!K:K),0),_xlfn.IFNA(LOOKUP(U150,use_fish!A:A,use_fish!K:K),0),_xlfn.IFNA(LOOKUP(V150,use_fish!A:A,use_fish!K:K),0),_xlfn.IFNA(LOOKUP(W150,use_fish!A:A,use_fish!K:K),0),)</f>
        <v>0</v>
      </c>
      <c r="Q150" s="78">
        <v>133</v>
      </c>
    </row>
    <row r="151" spans="1:17" s="78" customFormat="1" x14ac:dyDescent="0.2">
      <c r="A151" s="78">
        <v>150</v>
      </c>
      <c r="B151" s="78">
        <v>1</v>
      </c>
      <c r="C151" s="100" t="s">
        <v>449</v>
      </c>
      <c r="H151" s="78">
        <f>SUM(_xlfn.IFNA(LOOKUP(Q151,use_fish!A:A,use_fish!E:E),0),_xlfn.IFNA(LOOKUP(R151,use_fish!A:A,use_fish!E:E),0),_xlfn.IFNA(LOOKUP(S151,use_fish!A:A,use_fish!E:E),0),_xlfn.IFNA(LOOKUP(T151,use_fish!A:A,use_fish!E:E),0),_xlfn.IFNA(LOOKUP(U151,use_fish!A:A,use_fish!E:E),0),_xlfn.IFNA(LOOKUP(V151,use_fish!A:A,use_fish!E:E),0),_xlfn.IFNA(LOOKUP(W151,use_fish!A:A,use_fish!E:E),0),)</f>
        <v>65</v>
      </c>
      <c r="I151" s="78">
        <f>SUM(_xlfn.IFNA(LOOKUP(Q151,use_fish!A:A,use_fish!I:I),0),_xlfn.IFNA(LOOKUP(R151,use_fish!A:A,use_fish!I:I),0),_xlfn.IFNA(LOOKUP(S151,use_fish!A:A,use_fish!I:I),0),_xlfn.IFNA(LOOKUP(T151,use_fish!A:A,use_fish!I:I),0),_xlfn.IFNA(LOOKUP(U151,use_fish!A:A,use_fish!I:I),0),_xlfn.IFNA(LOOKUP(V151,use_fish!A:A,use_fish!I:I),0),_xlfn.IFNA(LOOKUP(W151,use_fish!A:A,use_fish!I:I),0),)</f>
        <v>60</v>
      </c>
      <c r="J151" s="76">
        <f>SUM(_xlfn.IFNA(LOOKUP(Q151,use_fish!A:A,use_fish!K:K),0),_xlfn.IFNA(LOOKUP(R151,use_fish!A:A,use_fish!K:K),0),_xlfn.IFNA(LOOKUP(S151,use_fish!A:A,use_fish!K:K),0),_xlfn.IFNA(LOOKUP(T151,use_fish!A:A,use_fish!K:K),0),_xlfn.IFNA(LOOKUP(U151,use_fish!A:A,use_fish!K:K),0),_xlfn.IFNA(LOOKUP(V151,use_fish!A:A,use_fish!K:K),0),_xlfn.IFNA(LOOKUP(W151,use_fish!A:A,use_fish!K:K),0),)</f>
        <v>0</v>
      </c>
      <c r="Q151" s="78">
        <v>134</v>
      </c>
    </row>
    <row r="152" spans="1:17" s="78" customFormat="1" x14ac:dyDescent="0.2">
      <c r="A152" s="78">
        <v>151</v>
      </c>
      <c r="B152" s="78">
        <v>1</v>
      </c>
      <c r="C152" s="100" t="s">
        <v>450</v>
      </c>
      <c r="H152" s="78">
        <f>SUM(_xlfn.IFNA(LOOKUP(Q152,use_fish!A:A,use_fish!E:E),0),_xlfn.IFNA(LOOKUP(R152,use_fish!A:A,use_fish!E:E),0),_xlfn.IFNA(LOOKUP(S152,use_fish!A:A,use_fish!E:E),0),_xlfn.IFNA(LOOKUP(T152,use_fish!A:A,use_fish!E:E),0),_xlfn.IFNA(LOOKUP(U152,use_fish!A:A,use_fish!E:E),0),_xlfn.IFNA(LOOKUP(V152,use_fish!A:A,use_fish!E:E),0),_xlfn.IFNA(LOOKUP(W152,use_fish!A:A,use_fish!E:E),0),)</f>
        <v>65</v>
      </c>
      <c r="I152" s="78">
        <f>SUM(_xlfn.IFNA(LOOKUP(Q152,use_fish!A:A,use_fish!I:I),0),_xlfn.IFNA(LOOKUP(R152,use_fish!A:A,use_fish!I:I),0),_xlfn.IFNA(LOOKUP(S152,use_fish!A:A,use_fish!I:I),0),_xlfn.IFNA(LOOKUP(T152,use_fish!A:A,use_fish!I:I),0),_xlfn.IFNA(LOOKUP(U152,use_fish!A:A,use_fish!I:I),0),_xlfn.IFNA(LOOKUP(V152,use_fish!A:A,use_fish!I:I),0),_xlfn.IFNA(LOOKUP(W152,use_fish!A:A,use_fish!I:I),0),)</f>
        <v>60</v>
      </c>
      <c r="J152" s="76">
        <f>SUM(_xlfn.IFNA(LOOKUP(Q152,use_fish!A:A,use_fish!K:K),0),_xlfn.IFNA(LOOKUP(R152,use_fish!A:A,use_fish!K:K),0),_xlfn.IFNA(LOOKUP(S152,use_fish!A:A,use_fish!K:K),0),_xlfn.IFNA(LOOKUP(T152,use_fish!A:A,use_fish!K:K),0),_xlfn.IFNA(LOOKUP(U152,use_fish!A:A,use_fish!K:K),0),_xlfn.IFNA(LOOKUP(V152,use_fish!A:A,use_fish!K:K),0),_xlfn.IFNA(LOOKUP(W152,use_fish!A:A,use_fish!K:K),0),)</f>
        <v>0</v>
      </c>
      <c r="Q152" s="78">
        <v>135</v>
      </c>
    </row>
    <row r="153" spans="1:17" s="78" customFormat="1" x14ac:dyDescent="0.2">
      <c r="A153" s="78">
        <v>152</v>
      </c>
      <c r="B153" s="78">
        <v>1</v>
      </c>
      <c r="C153" s="100" t="s">
        <v>451</v>
      </c>
      <c r="H153" s="78">
        <f>SUM(_xlfn.IFNA(LOOKUP(Q153,use_fish!A:A,use_fish!E:E),0),_xlfn.IFNA(LOOKUP(R153,use_fish!A:A,use_fish!E:E),0),_xlfn.IFNA(LOOKUP(S153,use_fish!A:A,use_fish!E:E),0),_xlfn.IFNA(LOOKUP(T153,use_fish!A:A,use_fish!E:E),0),_xlfn.IFNA(LOOKUP(U153,use_fish!A:A,use_fish!E:E),0),_xlfn.IFNA(LOOKUP(V153,use_fish!A:A,use_fish!E:E),0),_xlfn.IFNA(LOOKUP(W153,use_fish!A:A,use_fish!E:E),0),)</f>
        <v>86</v>
      </c>
      <c r="I153" s="78">
        <f>SUM(_xlfn.IFNA(LOOKUP(Q153,use_fish!A:A,use_fish!I:I),0),_xlfn.IFNA(LOOKUP(R153,use_fish!A:A,use_fish!I:I),0),_xlfn.IFNA(LOOKUP(S153,use_fish!A:A,use_fish!I:I),0),_xlfn.IFNA(LOOKUP(T153,use_fish!A:A,use_fish!I:I),0),_xlfn.IFNA(LOOKUP(U153,use_fish!A:A,use_fish!I:I),0),_xlfn.IFNA(LOOKUP(V153,use_fish!A:A,use_fish!I:I),0),_xlfn.IFNA(LOOKUP(W153,use_fish!A:A,use_fish!I:I),0),)</f>
        <v>80</v>
      </c>
      <c r="J153" s="76">
        <f>SUM(_xlfn.IFNA(LOOKUP(Q153,use_fish!A:A,use_fish!K:K),0),_xlfn.IFNA(LOOKUP(R153,use_fish!A:A,use_fish!K:K),0),_xlfn.IFNA(LOOKUP(S153,use_fish!A:A,use_fish!K:K),0),_xlfn.IFNA(LOOKUP(T153,use_fish!A:A,use_fish!K:K),0),_xlfn.IFNA(LOOKUP(U153,use_fish!A:A,use_fish!K:K),0),_xlfn.IFNA(LOOKUP(V153,use_fish!A:A,use_fish!K:K),0),_xlfn.IFNA(LOOKUP(W153,use_fish!A:A,use_fish!K:K),0),)</f>
        <v>0</v>
      </c>
      <c r="Q153" s="78">
        <v>136</v>
      </c>
    </row>
    <row r="154" spans="1:17" s="78" customFormat="1" x14ac:dyDescent="0.2">
      <c r="A154" s="78">
        <v>153</v>
      </c>
      <c r="B154" s="78">
        <v>1</v>
      </c>
      <c r="C154" s="100" t="s">
        <v>452</v>
      </c>
      <c r="H154" s="78">
        <f>SUM(_xlfn.IFNA(LOOKUP(Q154,use_fish!A:A,use_fish!E:E),0),_xlfn.IFNA(LOOKUP(R154,use_fish!A:A,use_fish!E:E),0),_xlfn.IFNA(LOOKUP(S154,use_fish!A:A,use_fish!E:E),0),_xlfn.IFNA(LOOKUP(T154,use_fish!A:A,use_fish!E:E),0),_xlfn.IFNA(LOOKUP(U154,use_fish!A:A,use_fish!E:E),0),_xlfn.IFNA(LOOKUP(V154,use_fish!A:A,use_fish!E:E),0),_xlfn.IFNA(LOOKUP(W154,use_fish!A:A,use_fish!E:E),0),)</f>
        <v>107</v>
      </c>
      <c r="I154" s="78">
        <f>SUM(_xlfn.IFNA(LOOKUP(Q154,use_fish!A:A,use_fish!I:I),0),_xlfn.IFNA(LOOKUP(R154,use_fish!A:A,use_fish!I:I),0),_xlfn.IFNA(LOOKUP(S154,use_fish!A:A,use_fish!I:I),0),_xlfn.IFNA(LOOKUP(T154,use_fish!A:A,use_fish!I:I),0),_xlfn.IFNA(LOOKUP(U154,use_fish!A:A,use_fish!I:I),0),_xlfn.IFNA(LOOKUP(V154,use_fish!A:A,use_fish!I:I),0),_xlfn.IFNA(LOOKUP(W154,use_fish!A:A,use_fish!I:I),0),)</f>
        <v>100</v>
      </c>
      <c r="J154" s="76">
        <f>SUM(_xlfn.IFNA(LOOKUP(Q154,use_fish!A:A,use_fish!K:K),0),_xlfn.IFNA(LOOKUP(R154,use_fish!A:A,use_fish!K:K),0),_xlfn.IFNA(LOOKUP(S154,use_fish!A:A,use_fish!K:K),0),_xlfn.IFNA(LOOKUP(T154,use_fish!A:A,use_fish!K:K),0),_xlfn.IFNA(LOOKUP(U154,use_fish!A:A,use_fish!K:K),0),_xlfn.IFNA(LOOKUP(V154,use_fish!A:A,use_fish!K:K),0),_xlfn.IFNA(LOOKUP(W154,use_fish!A:A,use_fish!K:K),0),)</f>
        <v>0</v>
      </c>
      <c r="Q154" s="78">
        <v>137</v>
      </c>
    </row>
    <row r="155" spans="1:17" s="78" customFormat="1" x14ac:dyDescent="0.2">
      <c r="A155" s="78">
        <v>154</v>
      </c>
      <c r="B155" s="78">
        <v>1</v>
      </c>
      <c r="C155" s="100" t="s">
        <v>453</v>
      </c>
      <c r="H155" s="78">
        <f>SUM(_xlfn.IFNA(LOOKUP(Q155,use_fish!A:A,use_fish!E:E),0),_xlfn.IFNA(LOOKUP(R155,use_fish!A:A,use_fish!E:E),0),_xlfn.IFNA(LOOKUP(S155,use_fish!A:A,use_fish!E:E),0),_xlfn.IFNA(LOOKUP(T155,use_fish!A:A,use_fish!E:E),0),_xlfn.IFNA(LOOKUP(U155,use_fish!A:A,use_fish!E:E),0),_xlfn.IFNA(LOOKUP(V155,use_fish!A:A,use_fish!E:E),0),_xlfn.IFNA(LOOKUP(W155,use_fish!A:A,use_fish!E:E),0),)</f>
        <v>107</v>
      </c>
      <c r="I155" s="78">
        <f>SUM(_xlfn.IFNA(LOOKUP(Q155,use_fish!A:A,use_fish!I:I),0),_xlfn.IFNA(LOOKUP(R155,use_fish!A:A,use_fish!I:I),0),_xlfn.IFNA(LOOKUP(S155,use_fish!A:A,use_fish!I:I),0),_xlfn.IFNA(LOOKUP(T155,use_fish!A:A,use_fish!I:I),0),_xlfn.IFNA(LOOKUP(U155,use_fish!A:A,use_fish!I:I),0),_xlfn.IFNA(LOOKUP(V155,use_fish!A:A,use_fish!I:I),0),_xlfn.IFNA(LOOKUP(W155,use_fish!A:A,use_fish!I:I),0),)</f>
        <v>100</v>
      </c>
      <c r="J155" s="76">
        <f>SUM(_xlfn.IFNA(LOOKUP(Q155,use_fish!A:A,use_fish!K:K),0),_xlfn.IFNA(LOOKUP(R155,use_fish!A:A,use_fish!K:K),0),_xlfn.IFNA(LOOKUP(S155,use_fish!A:A,use_fish!K:K),0),_xlfn.IFNA(LOOKUP(T155,use_fish!A:A,use_fish!K:K),0),_xlfn.IFNA(LOOKUP(U155,use_fish!A:A,use_fish!K:K),0),_xlfn.IFNA(LOOKUP(V155,use_fish!A:A,use_fish!K:K),0),_xlfn.IFNA(LOOKUP(W155,use_fish!A:A,use_fish!K:K),0),)</f>
        <v>0</v>
      </c>
      <c r="Q155" s="78">
        <v>138</v>
      </c>
    </row>
    <row r="156" spans="1:17" s="19" customFormat="1" x14ac:dyDescent="0.2">
      <c r="A156" s="19">
        <v>155</v>
      </c>
      <c r="B156" s="19">
        <v>1</v>
      </c>
      <c r="C156" s="91" t="s">
        <v>454</v>
      </c>
      <c r="H156" s="19">
        <f>SUM(_xlfn.IFNA(LOOKUP(Q156,use_fish!A:A,use_fish!E:E),0),_xlfn.IFNA(LOOKUP(R156,use_fish!A:A,use_fish!E:E),0),_xlfn.IFNA(LOOKUP(S156,use_fish!A:A,use_fish!E:E),0),_xlfn.IFNA(LOOKUP(T156,use_fish!A:A,use_fish!E:E),0),_xlfn.IFNA(LOOKUP(U156,use_fish!A:A,use_fish!E:E),0),_xlfn.IFNA(LOOKUP(V156,use_fish!A:A,use_fish!E:E),0),_xlfn.IFNA(LOOKUP(W156,use_fish!A:A,use_fish!E:E),0),)</f>
        <v>65</v>
      </c>
      <c r="I156" s="19">
        <f>SUM(_xlfn.IFNA(LOOKUP(Q156,use_fish!A:A,use_fish!I:I),0),_xlfn.IFNA(LOOKUP(R156,use_fish!A:A,use_fish!I:I),0),_xlfn.IFNA(LOOKUP(S156,use_fish!A:A,use_fish!I:I),0),_xlfn.IFNA(LOOKUP(T156,use_fish!A:A,use_fish!I:I),0),_xlfn.IFNA(LOOKUP(U156,use_fish!A:A,use_fish!I:I),0),_xlfn.IFNA(LOOKUP(V156,use_fish!A:A,use_fish!I:I),0),_xlfn.IFNA(LOOKUP(W156,use_fish!A:A,use_fish!I:I),0),)</f>
        <v>60</v>
      </c>
      <c r="J156" s="17">
        <f>SUM(_xlfn.IFNA(LOOKUP(Q156,use_fish!A:A,use_fish!K:K),0),_xlfn.IFNA(LOOKUP(R156,use_fish!A:A,use_fish!K:K),0),_xlfn.IFNA(LOOKUP(S156,use_fish!A:A,use_fish!K:K),0),_xlfn.IFNA(LOOKUP(T156,use_fish!A:A,use_fish!K:K),0),_xlfn.IFNA(LOOKUP(U156,use_fish!A:A,use_fish!K:K),0),_xlfn.IFNA(LOOKUP(V156,use_fish!A:A,use_fish!K:K),0),_xlfn.IFNA(LOOKUP(W156,use_fish!A:A,use_fish!K:K),0),)</f>
        <v>0</v>
      </c>
      <c r="Q156" s="19">
        <v>139</v>
      </c>
    </row>
    <row r="157" spans="1:17" s="19" customFormat="1" x14ac:dyDescent="0.2">
      <c r="A157" s="19">
        <v>156</v>
      </c>
      <c r="B157" s="19">
        <v>1</v>
      </c>
      <c r="C157" s="91" t="s">
        <v>455</v>
      </c>
      <c r="H157" s="19">
        <f>SUM(_xlfn.IFNA(LOOKUP(Q157,use_fish!A:A,use_fish!E:E),0),_xlfn.IFNA(LOOKUP(R157,use_fish!A:A,use_fish!E:E),0),_xlfn.IFNA(LOOKUP(S157,use_fish!A:A,use_fish!E:E),0),_xlfn.IFNA(LOOKUP(T157,use_fish!A:A,use_fish!E:E),0),_xlfn.IFNA(LOOKUP(U157,use_fish!A:A,use_fish!E:E),0),_xlfn.IFNA(LOOKUP(V157,use_fish!A:A,use_fish!E:E),0),_xlfn.IFNA(LOOKUP(W157,use_fish!A:A,use_fish!E:E),0),)</f>
        <v>65</v>
      </c>
      <c r="I157" s="19">
        <f>SUM(_xlfn.IFNA(LOOKUP(Q157,use_fish!A:A,use_fish!I:I),0),_xlfn.IFNA(LOOKUP(R157,use_fish!A:A,use_fish!I:I),0),_xlfn.IFNA(LOOKUP(S157,use_fish!A:A,use_fish!I:I),0),_xlfn.IFNA(LOOKUP(T157,use_fish!A:A,use_fish!I:I),0),_xlfn.IFNA(LOOKUP(U157,use_fish!A:A,use_fish!I:I),0),_xlfn.IFNA(LOOKUP(V157,use_fish!A:A,use_fish!I:I),0),_xlfn.IFNA(LOOKUP(W157,use_fish!A:A,use_fish!I:I),0),)</f>
        <v>60</v>
      </c>
      <c r="J157" s="17">
        <f>SUM(_xlfn.IFNA(LOOKUP(Q157,use_fish!A:A,use_fish!K:K),0),_xlfn.IFNA(LOOKUP(R157,use_fish!A:A,use_fish!K:K),0),_xlfn.IFNA(LOOKUP(S157,use_fish!A:A,use_fish!K:K),0),_xlfn.IFNA(LOOKUP(T157,use_fish!A:A,use_fish!K:K),0),_xlfn.IFNA(LOOKUP(U157,use_fish!A:A,use_fish!K:K),0),_xlfn.IFNA(LOOKUP(V157,use_fish!A:A,use_fish!K:K),0),_xlfn.IFNA(LOOKUP(W157,use_fish!A:A,use_fish!K:K),0),)</f>
        <v>0</v>
      </c>
      <c r="Q157" s="19">
        <v>140</v>
      </c>
    </row>
    <row r="158" spans="1:17" s="19" customFormat="1" x14ac:dyDescent="0.2">
      <c r="A158" s="19">
        <v>157</v>
      </c>
      <c r="B158" s="19">
        <v>1</v>
      </c>
      <c r="C158" s="91" t="s">
        <v>456</v>
      </c>
      <c r="H158" s="19">
        <f>SUM(_xlfn.IFNA(LOOKUP(Q158,use_fish!A:A,use_fish!E:E),0),_xlfn.IFNA(LOOKUP(R158,use_fish!A:A,use_fish!E:E),0),_xlfn.IFNA(LOOKUP(S158,use_fish!A:A,use_fish!E:E),0),_xlfn.IFNA(LOOKUP(T158,use_fish!A:A,use_fish!E:E),0),_xlfn.IFNA(LOOKUP(U158,use_fish!A:A,use_fish!E:E),0),_xlfn.IFNA(LOOKUP(V158,use_fish!A:A,use_fish!E:E),0),_xlfn.IFNA(LOOKUP(W158,use_fish!A:A,use_fish!E:E),0),)</f>
        <v>65</v>
      </c>
      <c r="I158" s="19">
        <f>SUM(_xlfn.IFNA(LOOKUP(Q158,use_fish!A:A,use_fish!I:I),0),_xlfn.IFNA(LOOKUP(R158,use_fish!A:A,use_fish!I:I),0),_xlfn.IFNA(LOOKUP(S158,use_fish!A:A,use_fish!I:I),0),_xlfn.IFNA(LOOKUP(T158,use_fish!A:A,use_fish!I:I),0),_xlfn.IFNA(LOOKUP(U158,use_fish!A:A,use_fish!I:I),0),_xlfn.IFNA(LOOKUP(V158,use_fish!A:A,use_fish!I:I),0),_xlfn.IFNA(LOOKUP(W158,use_fish!A:A,use_fish!I:I),0),)</f>
        <v>60</v>
      </c>
      <c r="J158" s="17">
        <f>SUM(_xlfn.IFNA(LOOKUP(Q158,use_fish!A:A,use_fish!K:K),0),_xlfn.IFNA(LOOKUP(R158,use_fish!A:A,use_fish!K:K),0),_xlfn.IFNA(LOOKUP(S158,use_fish!A:A,use_fish!K:K),0),_xlfn.IFNA(LOOKUP(T158,use_fish!A:A,use_fish!K:K),0),_xlfn.IFNA(LOOKUP(U158,use_fish!A:A,use_fish!K:K),0),_xlfn.IFNA(LOOKUP(V158,use_fish!A:A,use_fish!K:K),0),_xlfn.IFNA(LOOKUP(W158,use_fish!A:A,use_fish!K:K),0),)</f>
        <v>0</v>
      </c>
      <c r="Q158" s="19">
        <v>141</v>
      </c>
    </row>
    <row r="159" spans="1:17" s="19" customFormat="1" x14ac:dyDescent="0.2">
      <c r="A159" s="19">
        <v>158</v>
      </c>
      <c r="B159" s="19">
        <v>1</v>
      </c>
      <c r="C159" s="91" t="s">
        <v>457</v>
      </c>
      <c r="H159" s="19">
        <f>SUM(_xlfn.IFNA(LOOKUP(Q159,use_fish!A:A,use_fish!E:E),0),_xlfn.IFNA(LOOKUP(R159,use_fish!A:A,use_fish!E:E),0),_xlfn.IFNA(LOOKUP(S159,use_fish!A:A,use_fish!E:E),0),_xlfn.IFNA(LOOKUP(T159,use_fish!A:A,use_fish!E:E),0),_xlfn.IFNA(LOOKUP(U159,use_fish!A:A,use_fish!E:E),0),_xlfn.IFNA(LOOKUP(V159,use_fish!A:A,use_fish!E:E),0),_xlfn.IFNA(LOOKUP(W159,use_fish!A:A,use_fish!E:E),0),)</f>
        <v>86</v>
      </c>
      <c r="I159" s="19">
        <f>SUM(_xlfn.IFNA(LOOKUP(Q159,use_fish!A:A,use_fish!I:I),0),_xlfn.IFNA(LOOKUP(R159,use_fish!A:A,use_fish!I:I),0),_xlfn.IFNA(LOOKUP(S159,use_fish!A:A,use_fish!I:I),0),_xlfn.IFNA(LOOKUP(T159,use_fish!A:A,use_fish!I:I),0),_xlfn.IFNA(LOOKUP(U159,use_fish!A:A,use_fish!I:I),0),_xlfn.IFNA(LOOKUP(V159,use_fish!A:A,use_fish!I:I),0),_xlfn.IFNA(LOOKUP(W159,use_fish!A:A,use_fish!I:I),0),)</f>
        <v>80</v>
      </c>
      <c r="J159" s="17">
        <f>SUM(_xlfn.IFNA(LOOKUP(Q159,use_fish!A:A,use_fish!K:K),0),_xlfn.IFNA(LOOKUP(R159,use_fish!A:A,use_fish!K:K),0),_xlfn.IFNA(LOOKUP(S159,use_fish!A:A,use_fish!K:K),0),_xlfn.IFNA(LOOKUP(T159,use_fish!A:A,use_fish!K:K),0),_xlfn.IFNA(LOOKUP(U159,use_fish!A:A,use_fish!K:K),0),_xlfn.IFNA(LOOKUP(V159,use_fish!A:A,use_fish!K:K),0),_xlfn.IFNA(LOOKUP(W159,use_fish!A:A,use_fish!K:K),0),)</f>
        <v>0</v>
      </c>
      <c r="Q159" s="19">
        <v>142</v>
      </c>
    </row>
    <row r="160" spans="1:17" s="19" customFormat="1" x14ac:dyDescent="0.2">
      <c r="A160" s="19">
        <v>159</v>
      </c>
      <c r="B160" s="19">
        <v>1</v>
      </c>
      <c r="C160" s="91" t="s">
        <v>458</v>
      </c>
      <c r="H160" s="19">
        <f>SUM(_xlfn.IFNA(LOOKUP(Q160,use_fish!A:A,use_fish!E:E),0),_xlfn.IFNA(LOOKUP(R160,use_fish!A:A,use_fish!E:E),0),_xlfn.IFNA(LOOKUP(S160,use_fish!A:A,use_fish!E:E),0),_xlfn.IFNA(LOOKUP(T160,use_fish!A:A,use_fish!E:E),0),_xlfn.IFNA(LOOKUP(U160,use_fish!A:A,use_fish!E:E),0),_xlfn.IFNA(LOOKUP(V160,use_fish!A:A,use_fish!E:E),0),_xlfn.IFNA(LOOKUP(W160,use_fish!A:A,use_fish!E:E),0),)</f>
        <v>107</v>
      </c>
      <c r="I160" s="19">
        <f>SUM(_xlfn.IFNA(LOOKUP(Q160,use_fish!A:A,use_fish!I:I),0),_xlfn.IFNA(LOOKUP(R160,use_fish!A:A,use_fish!I:I),0),_xlfn.IFNA(LOOKUP(S160,use_fish!A:A,use_fish!I:I),0),_xlfn.IFNA(LOOKUP(T160,use_fish!A:A,use_fish!I:I),0),_xlfn.IFNA(LOOKUP(U160,use_fish!A:A,use_fish!I:I),0),_xlfn.IFNA(LOOKUP(V160,use_fish!A:A,use_fish!I:I),0),_xlfn.IFNA(LOOKUP(W160,use_fish!A:A,use_fish!I:I),0),)</f>
        <v>100</v>
      </c>
      <c r="J160" s="17">
        <f>SUM(_xlfn.IFNA(LOOKUP(Q160,use_fish!A:A,use_fish!K:K),0),_xlfn.IFNA(LOOKUP(R160,use_fish!A:A,use_fish!K:K),0),_xlfn.IFNA(LOOKUP(S160,use_fish!A:A,use_fish!K:K),0),_xlfn.IFNA(LOOKUP(T160,use_fish!A:A,use_fish!K:K),0),_xlfn.IFNA(LOOKUP(U160,use_fish!A:A,use_fish!K:K),0),_xlfn.IFNA(LOOKUP(V160,use_fish!A:A,use_fish!K:K),0),_xlfn.IFNA(LOOKUP(W160,use_fish!A:A,use_fish!K:K),0),)</f>
        <v>0</v>
      </c>
      <c r="Q160" s="19">
        <v>143</v>
      </c>
    </row>
    <row r="161" spans="1:17" s="19" customFormat="1" x14ac:dyDescent="0.2">
      <c r="A161" s="19">
        <v>160</v>
      </c>
      <c r="B161" s="19">
        <v>1</v>
      </c>
      <c r="C161" s="91" t="s">
        <v>459</v>
      </c>
      <c r="H161" s="19">
        <f>SUM(_xlfn.IFNA(LOOKUP(Q161,use_fish!A:A,use_fish!E:E),0),_xlfn.IFNA(LOOKUP(R161,use_fish!A:A,use_fish!E:E),0),_xlfn.IFNA(LOOKUP(S161,use_fish!A:A,use_fish!E:E),0),_xlfn.IFNA(LOOKUP(T161,use_fish!A:A,use_fish!E:E),0),_xlfn.IFNA(LOOKUP(U161,use_fish!A:A,use_fish!E:E),0),_xlfn.IFNA(LOOKUP(V161,use_fish!A:A,use_fish!E:E),0),_xlfn.IFNA(LOOKUP(W161,use_fish!A:A,use_fish!E:E),0),)</f>
        <v>107</v>
      </c>
      <c r="I161" s="19">
        <f>SUM(_xlfn.IFNA(LOOKUP(Q161,use_fish!A:A,use_fish!I:I),0),_xlfn.IFNA(LOOKUP(R161,use_fish!A:A,use_fish!I:I),0),_xlfn.IFNA(LOOKUP(S161,use_fish!A:A,use_fish!I:I),0),_xlfn.IFNA(LOOKUP(T161,use_fish!A:A,use_fish!I:I),0),_xlfn.IFNA(LOOKUP(U161,use_fish!A:A,use_fish!I:I),0),_xlfn.IFNA(LOOKUP(V161,use_fish!A:A,use_fish!I:I),0),_xlfn.IFNA(LOOKUP(W161,use_fish!A:A,use_fish!I:I),0),)</f>
        <v>100</v>
      </c>
      <c r="J161" s="17">
        <f>SUM(_xlfn.IFNA(LOOKUP(Q161,use_fish!A:A,use_fish!K:K),0),_xlfn.IFNA(LOOKUP(R161,use_fish!A:A,use_fish!K:K),0),_xlfn.IFNA(LOOKUP(S161,use_fish!A:A,use_fish!K:K),0),_xlfn.IFNA(LOOKUP(T161,use_fish!A:A,use_fish!K:K),0),_xlfn.IFNA(LOOKUP(U161,use_fish!A:A,use_fish!K:K),0),_xlfn.IFNA(LOOKUP(V161,use_fish!A:A,use_fish!K:K),0),_xlfn.IFNA(LOOKUP(W161,use_fish!A:A,use_fish!K:K),0),)</f>
        <v>0</v>
      </c>
      <c r="Q161" s="19">
        <v>144</v>
      </c>
    </row>
    <row r="162" spans="1:17" x14ac:dyDescent="0.2">
      <c r="A162" s="29">
        <v>161</v>
      </c>
      <c r="B162" s="29">
        <v>1</v>
      </c>
      <c r="C162" s="93" t="s">
        <v>461</v>
      </c>
      <c r="D162" s="29"/>
      <c r="E162" s="29"/>
      <c r="F162" s="29"/>
      <c r="G162" s="29"/>
      <c r="H162" s="29">
        <f>SUM(_xlfn.IFNA(LOOKUP(Q162,use_fish!A:A,use_fish!E:E),0),_xlfn.IFNA(LOOKUP(R162,use_fish!A:A,use_fish!E:E),0),_xlfn.IFNA(LOOKUP(S162,use_fish!A:A,use_fish!E:E),0),_xlfn.IFNA(LOOKUP(T162,use_fish!A:A,use_fish!E:E),0),_xlfn.IFNA(LOOKUP(U162,use_fish!A:A,use_fish!E:E),0),_xlfn.IFNA(LOOKUP(V162,use_fish!A:A,use_fish!E:E),0),_xlfn.IFNA(LOOKUP(W162,use_fish!A:A,use_fish!E:E),0),)</f>
        <v>30</v>
      </c>
      <c r="I162" s="29">
        <f>SUM(_xlfn.IFNA(LOOKUP(Q162,use_fish!A:A,use_fish!I:I),0),_xlfn.IFNA(LOOKUP(R162,use_fish!A:A,use_fish!I:I),0),_xlfn.IFNA(LOOKUP(S162,use_fish!A:A,use_fish!I:I),0),_xlfn.IFNA(LOOKUP(T162,use_fish!A:A,use_fish!I:I),0),_xlfn.IFNA(LOOKUP(U162,use_fish!A:A,use_fish!I:I),0),_xlfn.IFNA(LOOKUP(V162,use_fish!A:A,use_fish!I:I),0),_xlfn.IFNA(LOOKUP(W162,use_fish!A:A,use_fish!I:I),0),)</f>
        <v>30</v>
      </c>
      <c r="J162" s="30">
        <f>SUM(_xlfn.IFNA(LOOKUP(Q162,use_fish!A:A,use_fish!K:K),0),_xlfn.IFNA(LOOKUP(R162,use_fish!A:A,use_fish!K:K),0),_xlfn.IFNA(LOOKUP(S162,use_fish!A:A,use_fish!K:K),0),_xlfn.IFNA(LOOKUP(T162,use_fish!A:A,use_fish!K:K),0),_xlfn.IFNA(LOOKUP(U162,use_fish!A:A,use_fish!K:K),0),_xlfn.IFNA(LOOKUP(V162,use_fish!A:A,use_fish!K:K),0),_xlfn.IFNA(LOOKUP(W162,use_fish!A:A,use_fish!K:K),0),)</f>
        <v>0</v>
      </c>
      <c r="K162" s="29"/>
      <c r="L162" s="29"/>
      <c r="M162" s="29"/>
      <c r="N162" s="29"/>
      <c r="O162" s="29"/>
      <c r="P162" s="29"/>
      <c r="Q162" s="29">
        <v>145</v>
      </c>
    </row>
    <row r="163" spans="1:17" x14ac:dyDescent="0.2">
      <c r="A163" s="29">
        <v>162</v>
      </c>
      <c r="B163" s="29">
        <v>1</v>
      </c>
      <c r="C163" s="93" t="s">
        <v>462</v>
      </c>
      <c r="D163" s="29"/>
      <c r="E163" s="29"/>
      <c r="F163" s="29"/>
      <c r="G163" s="29"/>
      <c r="H163" s="29">
        <f>SUM(_xlfn.IFNA(LOOKUP(Q163,use_fish!A:A,use_fish!E:E),0),_xlfn.IFNA(LOOKUP(R163,use_fish!A:A,use_fish!E:E),0),_xlfn.IFNA(LOOKUP(S163,use_fish!A:A,use_fish!E:E),0),_xlfn.IFNA(LOOKUP(T163,use_fish!A:A,use_fish!E:E),0),_xlfn.IFNA(LOOKUP(U163,use_fish!A:A,use_fish!E:E),0),_xlfn.IFNA(LOOKUP(V163,use_fish!A:A,use_fish!E:E),0),_xlfn.IFNA(LOOKUP(W163,use_fish!A:A,use_fish!E:E),0),)</f>
        <v>35</v>
      </c>
      <c r="I163" s="29">
        <f>SUM(_xlfn.IFNA(LOOKUP(Q163,use_fish!A:A,use_fish!I:I),0),_xlfn.IFNA(LOOKUP(R163,use_fish!A:A,use_fish!I:I),0),_xlfn.IFNA(LOOKUP(S163,use_fish!A:A,use_fish!I:I),0),_xlfn.IFNA(LOOKUP(T163,use_fish!A:A,use_fish!I:I),0),_xlfn.IFNA(LOOKUP(U163,use_fish!A:A,use_fish!I:I),0),_xlfn.IFNA(LOOKUP(V163,use_fish!A:A,use_fish!I:I),0),_xlfn.IFNA(LOOKUP(W163,use_fish!A:A,use_fish!I:I),0),)</f>
        <v>35</v>
      </c>
      <c r="J163" s="30">
        <f>SUM(_xlfn.IFNA(LOOKUP(Q163,use_fish!A:A,use_fish!K:K),0),_xlfn.IFNA(LOOKUP(R163,use_fish!A:A,use_fish!K:K),0),_xlfn.IFNA(LOOKUP(S163,use_fish!A:A,use_fish!K:K),0),_xlfn.IFNA(LOOKUP(T163,use_fish!A:A,use_fish!K:K),0),_xlfn.IFNA(LOOKUP(U163,use_fish!A:A,use_fish!K:K),0),_xlfn.IFNA(LOOKUP(V163,use_fish!A:A,use_fish!K:K),0),_xlfn.IFNA(LOOKUP(W163,use_fish!A:A,use_fish!K:K),0),)</f>
        <v>0</v>
      </c>
      <c r="K163" s="29"/>
      <c r="L163" s="29"/>
      <c r="M163" s="29"/>
      <c r="N163" s="29"/>
      <c r="O163" s="29"/>
      <c r="P163" s="29"/>
      <c r="Q163" s="29">
        <v>146</v>
      </c>
    </row>
    <row r="164" spans="1:17" x14ac:dyDescent="0.2">
      <c r="A164" s="29">
        <v>163</v>
      </c>
      <c r="B164" s="29">
        <v>1</v>
      </c>
      <c r="C164" s="93" t="s">
        <v>463</v>
      </c>
      <c r="D164" s="29"/>
      <c r="E164" s="29"/>
      <c r="F164" s="29"/>
      <c r="G164" s="29"/>
      <c r="H164" s="29">
        <f>SUM(_xlfn.IFNA(LOOKUP(Q164,use_fish!A:A,use_fish!E:E),0),_xlfn.IFNA(LOOKUP(R164,use_fish!A:A,use_fish!E:E),0),_xlfn.IFNA(LOOKUP(S164,use_fish!A:A,use_fish!E:E),0),_xlfn.IFNA(LOOKUP(T164,use_fish!A:A,use_fish!E:E),0),_xlfn.IFNA(LOOKUP(U164,use_fish!A:A,use_fish!E:E),0),_xlfn.IFNA(LOOKUP(V164,use_fish!A:A,use_fish!E:E),0),_xlfn.IFNA(LOOKUP(W164,use_fish!A:A,use_fish!E:E),0),)</f>
        <v>40</v>
      </c>
      <c r="I164" s="29">
        <f>SUM(_xlfn.IFNA(LOOKUP(Q164,use_fish!A:A,use_fish!I:I),0),_xlfn.IFNA(LOOKUP(R164,use_fish!A:A,use_fish!I:I),0),_xlfn.IFNA(LOOKUP(S164,use_fish!A:A,use_fish!I:I),0),_xlfn.IFNA(LOOKUP(T164,use_fish!A:A,use_fish!I:I),0),_xlfn.IFNA(LOOKUP(U164,use_fish!A:A,use_fish!I:I),0),_xlfn.IFNA(LOOKUP(V164,use_fish!A:A,use_fish!I:I),0),_xlfn.IFNA(LOOKUP(W164,use_fish!A:A,use_fish!I:I),0),)</f>
        <v>40</v>
      </c>
      <c r="J164" s="30">
        <f>SUM(_xlfn.IFNA(LOOKUP(Q164,use_fish!A:A,use_fish!K:K),0),_xlfn.IFNA(LOOKUP(R164,use_fish!A:A,use_fish!K:K),0),_xlfn.IFNA(LOOKUP(S164,use_fish!A:A,use_fish!K:K),0),_xlfn.IFNA(LOOKUP(T164,use_fish!A:A,use_fish!K:K),0),_xlfn.IFNA(LOOKUP(U164,use_fish!A:A,use_fish!K:K),0),_xlfn.IFNA(LOOKUP(V164,use_fish!A:A,use_fish!K:K),0),_xlfn.IFNA(LOOKUP(W164,use_fish!A:A,use_fish!K:K),0),)</f>
        <v>0</v>
      </c>
      <c r="K164" s="29"/>
      <c r="L164" s="29"/>
      <c r="M164" s="29"/>
      <c r="N164" s="29"/>
      <c r="O164" s="29"/>
      <c r="P164" s="29"/>
      <c r="Q164" s="29">
        <v>147</v>
      </c>
    </row>
    <row r="165" spans="1:17" x14ac:dyDescent="0.2">
      <c r="A165" s="29">
        <v>164</v>
      </c>
      <c r="B165" s="29">
        <v>1</v>
      </c>
      <c r="C165" s="93" t="s">
        <v>464</v>
      </c>
      <c r="D165" s="29"/>
      <c r="E165" s="29"/>
      <c r="F165" s="29"/>
      <c r="G165" s="29"/>
      <c r="H165" s="29">
        <f>SUM(_xlfn.IFNA(LOOKUP(Q165,use_fish!A:A,use_fish!E:E),0),_xlfn.IFNA(LOOKUP(R165,use_fish!A:A,use_fish!E:E),0),_xlfn.IFNA(LOOKUP(S165,use_fish!A:A,use_fish!E:E),0),_xlfn.IFNA(LOOKUP(T165,use_fish!A:A,use_fish!E:E),0),_xlfn.IFNA(LOOKUP(U165,use_fish!A:A,use_fish!E:E),0),_xlfn.IFNA(LOOKUP(V165,use_fish!A:A,use_fish!E:E),0),_xlfn.IFNA(LOOKUP(W165,use_fish!A:A,use_fish!E:E),0),)</f>
        <v>45</v>
      </c>
      <c r="I165" s="29">
        <f>SUM(_xlfn.IFNA(LOOKUP(Q165,use_fish!A:A,use_fish!I:I),0),_xlfn.IFNA(LOOKUP(R165,use_fish!A:A,use_fish!I:I),0),_xlfn.IFNA(LOOKUP(S165,use_fish!A:A,use_fish!I:I),0),_xlfn.IFNA(LOOKUP(T165,use_fish!A:A,use_fish!I:I),0),_xlfn.IFNA(LOOKUP(U165,use_fish!A:A,use_fish!I:I),0),_xlfn.IFNA(LOOKUP(V165,use_fish!A:A,use_fish!I:I),0),_xlfn.IFNA(LOOKUP(W165,use_fish!A:A,use_fish!I:I),0),)</f>
        <v>45</v>
      </c>
      <c r="J165" s="30">
        <f>SUM(_xlfn.IFNA(LOOKUP(Q165,use_fish!A:A,use_fish!K:K),0),_xlfn.IFNA(LOOKUP(R165,use_fish!A:A,use_fish!K:K),0),_xlfn.IFNA(LOOKUP(S165,use_fish!A:A,use_fish!K:K),0),_xlfn.IFNA(LOOKUP(T165,use_fish!A:A,use_fish!K:K),0),_xlfn.IFNA(LOOKUP(U165,use_fish!A:A,use_fish!K:K),0),_xlfn.IFNA(LOOKUP(V165,use_fish!A:A,use_fish!K:K),0),_xlfn.IFNA(LOOKUP(W165,use_fish!A:A,use_fish!K:K),0),)</f>
        <v>0</v>
      </c>
      <c r="K165" s="29"/>
      <c r="L165" s="29"/>
      <c r="M165" s="29"/>
      <c r="N165" s="29"/>
      <c r="O165" s="29"/>
      <c r="P165" s="29"/>
      <c r="Q165" s="29">
        <v>148</v>
      </c>
    </row>
    <row r="166" spans="1:17" x14ac:dyDescent="0.2">
      <c r="A166" s="29">
        <v>165</v>
      </c>
      <c r="B166" s="29">
        <v>1</v>
      </c>
      <c r="C166" s="93" t="s">
        <v>465</v>
      </c>
      <c r="D166" s="29"/>
      <c r="E166" s="29"/>
      <c r="F166" s="29"/>
      <c r="G166" s="29"/>
      <c r="H166" s="29">
        <f>SUM(_xlfn.IFNA(LOOKUP(Q166,use_fish!A:A,use_fish!E:E),0),_xlfn.IFNA(LOOKUP(R166,use_fish!A:A,use_fish!E:E),0),_xlfn.IFNA(LOOKUP(S166,use_fish!A:A,use_fish!E:E),0),_xlfn.IFNA(LOOKUP(T166,use_fish!A:A,use_fish!E:E),0),_xlfn.IFNA(LOOKUP(U166,use_fish!A:A,use_fish!E:E),0),_xlfn.IFNA(LOOKUP(V166,use_fish!A:A,use_fish!E:E),0),_xlfn.IFNA(LOOKUP(W166,use_fish!A:A,use_fish!E:E),0),)</f>
        <v>50</v>
      </c>
      <c r="I166" s="29">
        <f>SUM(_xlfn.IFNA(LOOKUP(Q166,use_fish!A:A,use_fish!I:I),0),_xlfn.IFNA(LOOKUP(R166,use_fish!A:A,use_fish!I:I),0),_xlfn.IFNA(LOOKUP(S166,use_fish!A:A,use_fish!I:I),0),_xlfn.IFNA(LOOKUP(T166,use_fish!A:A,use_fish!I:I),0),_xlfn.IFNA(LOOKUP(U166,use_fish!A:A,use_fish!I:I),0),_xlfn.IFNA(LOOKUP(V166,use_fish!A:A,use_fish!I:I),0),_xlfn.IFNA(LOOKUP(W166,use_fish!A:A,use_fish!I:I),0),)</f>
        <v>50</v>
      </c>
      <c r="J166" s="30">
        <f>SUM(_xlfn.IFNA(LOOKUP(Q166,use_fish!A:A,use_fish!K:K),0),_xlfn.IFNA(LOOKUP(R166,use_fish!A:A,use_fish!K:K),0),_xlfn.IFNA(LOOKUP(S166,use_fish!A:A,use_fish!K:K),0),_xlfn.IFNA(LOOKUP(T166,use_fish!A:A,use_fish!K:K),0),_xlfn.IFNA(LOOKUP(U166,use_fish!A:A,use_fish!K:K),0),_xlfn.IFNA(LOOKUP(V166,use_fish!A:A,use_fish!K:K),0),_xlfn.IFNA(LOOKUP(W166,use_fish!A:A,use_fish!K:K),0),)</f>
        <v>0</v>
      </c>
      <c r="K166" s="29"/>
      <c r="L166" s="29"/>
      <c r="M166" s="29"/>
      <c r="N166" s="29"/>
      <c r="O166" s="29"/>
      <c r="P166" s="29"/>
      <c r="Q166" s="29">
        <v>149</v>
      </c>
    </row>
    <row r="167" spans="1:17" x14ac:dyDescent="0.2">
      <c r="A167" s="29">
        <v>166</v>
      </c>
      <c r="B167" s="29">
        <v>1</v>
      </c>
      <c r="C167" s="93" t="s">
        <v>466</v>
      </c>
      <c r="D167" s="29"/>
      <c r="E167" s="29"/>
      <c r="F167" s="29"/>
      <c r="G167" s="29"/>
      <c r="H167" s="29">
        <f>SUM(_xlfn.IFNA(LOOKUP(Q167,use_fish!A:A,use_fish!E:E),0),_xlfn.IFNA(LOOKUP(R167,use_fish!A:A,use_fish!E:E),0),_xlfn.IFNA(LOOKUP(S167,use_fish!A:A,use_fish!E:E),0),_xlfn.IFNA(LOOKUP(T167,use_fish!A:A,use_fish!E:E),0),_xlfn.IFNA(LOOKUP(U167,use_fish!A:A,use_fish!E:E),0),_xlfn.IFNA(LOOKUP(V167,use_fish!A:A,use_fish!E:E),0),_xlfn.IFNA(LOOKUP(W167,use_fish!A:A,use_fish!E:E),0),)</f>
        <v>70</v>
      </c>
      <c r="I167" s="29">
        <f>SUM(_xlfn.IFNA(LOOKUP(Q167,use_fish!A:A,use_fish!I:I),0),_xlfn.IFNA(LOOKUP(R167,use_fish!A:A,use_fish!I:I),0),_xlfn.IFNA(LOOKUP(S167,use_fish!A:A,use_fish!I:I),0),_xlfn.IFNA(LOOKUP(T167,use_fish!A:A,use_fish!I:I),0),_xlfn.IFNA(LOOKUP(U167,use_fish!A:A,use_fish!I:I),0),_xlfn.IFNA(LOOKUP(V167,use_fish!A:A,use_fish!I:I),0),_xlfn.IFNA(LOOKUP(W167,use_fish!A:A,use_fish!I:I),0),)</f>
        <v>70</v>
      </c>
      <c r="J167" s="30">
        <f>SUM(_xlfn.IFNA(LOOKUP(Q167,use_fish!A:A,use_fish!K:K),0),_xlfn.IFNA(LOOKUP(R167,use_fish!A:A,use_fish!K:K),0),_xlfn.IFNA(LOOKUP(S167,use_fish!A:A,use_fish!K:K),0),_xlfn.IFNA(LOOKUP(T167,use_fish!A:A,use_fish!K:K),0),_xlfn.IFNA(LOOKUP(U167,use_fish!A:A,use_fish!K:K),0),_xlfn.IFNA(LOOKUP(V167,use_fish!A:A,use_fish!K:K),0),_xlfn.IFNA(LOOKUP(W167,use_fish!A:A,use_fish!K:K),0),)</f>
        <v>0</v>
      </c>
      <c r="K167" s="29"/>
      <c r="L167" s="29"/>
      <c r="M167" s="29"/>
      <c r="N167" s="29"/>
      <c r="O167" s="29"/>
      <c r="P167" s="29"/>
      <c r="Q167" s="29">
        <v>150</v>
      </c>
    </row>
    <row r="168" spans="1:17" x14ac:dyDescent="0.2">
      <c r="A168" s="29">
        <v>167</v>
      </c>
      <c r="B168" s="29">
        <v>1</v>
      </c>
      <c r="C168" s="93" t="s">
        <v>467</v>
      </c>
      <c r="D168" s="29"/>
      <c r="E168" s="29"/>
      <c r="F168" s="29"/>
      <c r="G168" s="29"/>
      <c r="H168" s="29">
        <f>SUM(_xlfn.IFNA(LOOKUP(Q168,use_fish!A:A,use_fish!E:E),0),_xlfn.IFNA(LOOKUP(R168,use_fish!A:A,use_fish!E:E),0),_xlfn.IFNA(LOOKUP(S168,use_fish!A:A,use_fish!E:E),0),_xlfn.IFNA(LOOKUP(T168,use_fish!A:A,use_fish!E:E),0),_xlfn.IFNA(LOOKUP(U168,use_fish!A:A,use_fish!E:E),0),_xlfn.IFNA(LOOKUP(V168,use_fish!A:A,use_fish!E:E),0),_xlfn.IFNA(LOOKUP(W168,use_fish!A:A,use_fish!E:E),0),)</f>
        <v>250</v>
      </c>
      <c r="I168" s="29">
        <f>SUM(_xlfn.IFNA(LOOKUP(Q168,use_fish!A:A,use_fish!I:I),0),_xlfn.IFNA(LOOKUP(R168,use_fish!A:A,use_fish!I:I),0),_xlfn.IFNA(LOOKUP(S168,use_fish!A:A,use_fish!I:I),0),_xlfn.IFNA(LOOKUP(T168,use_fish!A:A,use_fish!I:I),0),_xlfn.IFNA(LOOKUP(U168,use_fish!A:A,use_fish!I:I),0),_xlfn.IFNA(LOOKUP(V168,use_fish!A:A,use_fish!I:I),0),_xlfn.IFNA(LOOKUP(W168,use_fish!A:A,use_fish!I:I),0),)</f>
        <v>250</v>
      </c>
      <c r="J168" s="30">
        <f>SUM(_xlfn.IFNA(LOOKUP(Q168,use_fish!A:A,use_fish!K:K),0),_xlfn.IFNA(LOOKUP(R168,use_fish!A:A,use_fish!K:K),0),_xlfn.IFNA(LOOKUP(S168,use_fish!A:A,use_fish!K:K),0),_xlfn.IFNA(LOOKUP(T168,use_fish!A:A,use_fish!K:K),0),_xlfn.IFNA(LOOKUP(U168,use_fish!A:A,use_fish!K:K),0),_xlfn.IFNA(LOOKUP(V168,use_fish!A:A,use_fish!K:K),0),_xlfn.IFNA(LOOKUP(W168,use_fish!A:A,use_fish!K:K),0),)</f>
        <v>0</v>
      </c>
      <c r="K168" s="29"/>
      <c r="L168" s="29"/>
      <c r="M168" s="29"/>
      <c r="N168" s="29"/>
      <c r="O168" s="29"/>
      <c r="P168" s="29"/>
      <c r="Q168" s="29">
        <v>151</v>
      </c>
    </row>
    <row r="169" spans="1:17" x14ac:dyDescent="0.2">
      <c r="A169" s="29">
        <v>168</v>
      </c>
      <c r="B169" s="29">
        <v>1</v>
      </c>
      <c r="C169" s="93" t="s">
        <v>468</v>
      </c>
      <c r="D169" s="29"/>
      <c r="E169" s="29"/>
      <c r="F169" s="29"/>
      <c r="G169" s="29"/>
      <c r="H169" s="29">
        <f>SUM(_xlfn.IFNA(LOOKUP(Q169,use_fish!A:A,use_fish!E:E),0),_xlfn.IFNA(LOOKUP(R169,use_fish!A:A,use_fish!E:E),0),_xlfn.IFNA(LOOKUP(S169,use_fish!A:A,use_fish!E:E),0),_xlfn.IFNA(LOOKUP(T169,use_fish!A:A,use_fish!E:E),0),_xlfn.IFNA(LOOKUP(U169,use_fish!A:A,use_fish!E:E),0),_xlfn.IFNA(LOOKUP(V169,use_fish!A:A,use_fish!E:E),0),_xlfn.IFNA(LOOKUP(W169,use_fish!A:A,use_fish!E:E),0),)</f>
        <v>350</v>
      </c>
      <c r="I169" s="29">
        <f>SUM(_xlfn.IFNA(LOOKUP(Q169,use_fish!A:A,use_fish!I:I),0),_xlfn.IFNA(LOOKUP(R169,use_fish!A:A,use_fish!I:I),0),_xlfn.IFNA(LOOKUP(S169,use_fish!A:A,use_fish!I:I),0),_xlfn.IFNA(LOOKUP(T169,use_fish!A:A,use_fish!I:I),0),_xlfn.IFNA(LOOKUP(U169,use_fish!A:A,use_fish!I:I),0),_xlfn.IFNA(LOOKUP(V169,use_fish!A:A,use_fish!I:I),0),_xlfn.IFNA(LOOKUP(W169,use_fish!A:A,use_fish!I:I),0),)</f>
        <v>350</v>
      </c>
      <c r="J169" s="30">
        <f>SUM(_xlfn.IFNA(LOOKUP(Q169,use_fish!A:A,use_fish!K:K),0),_xlfn.IFNA(LOOKUP(R169,use_fish!A:A,use_fish!K:K),0),_xlfn.IFNA(LOOKUP(S169,use_fish!A:A,use_fish!K:K),0),_xlfn.IFNA(LOOKUP(T169,use_fish!A:A,use_fish!K:K),0),_xlfn.IFNA(LOOKUP(U169,use_fish!A:A,use_fish!K:K),0),_xlfn.IFNA(LOOKUP(V169,use_fish!A:A,use_fish!K:K),0),_xlfn.IFNA(LOOKUP(W169,use_fish!A:A,use_fish!K:K),0),)</f>
        <v>0</v>
      </c>
      <c r="K169" s="29"/>
      <c r="L169" s="29"/>
      <c r="M169" s="29"/>
      <c r="N169" s="29"/>
      <c r="O169" s="29"/>
      <c r="P169" s="29"/>
      <c r="Q169" s="29">
        <v>152</v>
      </c>
    </row>
    <row r="170" spans="1:17" x14ac:dyDescent="0.2">
      <c r="A170" s="29">
        <v>169</v>
      </c>
      <c r="B170" s="29">
        <v>1</v>
      </c>
      <c r="C170" s="93" t="s">
        <v>469</v>
      </c>
      <c r="D170" s="29"/>
      <c r="E170" s="29"/>
      <c r="F170" s="29"/>
      <c r="G170" s="29"/>
      <c r="H170" s="29">
        <f>SUM(_xlfn.IFNA(LOOKUP(Q170,use_fish!A:A,use_fish!E:E),0),_xlfn.IFNA(LOOKUP(R170,use_fish!A:A,use_fish!E:E),0),_xlfn.IFNA(LOOKUP(S170,use_fish!A:A,use_fish!E:E),0),_xlfn.IFNA(LOOKUP(T170,use_fish!A:A,use_fish!E:E),0),_xlfn.IFNA(LOOKUP(U170,use_fish!A:A,use_fish!E:E),0),_xlfn.IFNA(LOOKUP(V170,use_fish!A:A,use_fish!E:E),0),_xlfn.IFNA(LOOKUP(W170,use_fish!A:A,use_fish!E:E),0),)</f>
        <v>450</v>
      </c>
      <c r="I170" s="29">
        <f>SUM(_xlfn.IFNA(LOOKUP(Q170,use_fish!A:A,use_fish!I:I),0),_xlfn.IFNA(LOOKUP(R170,use_fish!A:A,use_fish!I:I),0),_xlfn.IFNA(LOOKUP(S170,use_fish!A:A,use_fish!I:I),0),_xlfn.IFNA(LOOKUP(T170,use_fish!A:A,use_fish!I:I),0),_xlfn.IFNA(LOOKUP(U170,use_fish!A:A,use_fish!I:I),0),_xlfn.IFNA(LOOKUP(V170,use_fish!A:A,use_fish!I:I),0),_xlfn.IFNA(LOOKUP(W170,use_fish!A:A,use_fish!I:I),0),)</f>
        <v>450</v>
      </c>
      <c r="J170" s="30">
        <f>SUM(_xlfn.IFNA(LOOKUP(Q170,use_fish!A:A,use_fish!K:K),0),_xlfn.IFNA(LOOKUP(R170,use_fish!A:A,use_fish!K:K),0),_xlfn.IFNA(LOOKUP(S170,use_fish!A:A,use_fish!K:K),0),_xlfn.IFNA(LOOKUP(T170,use_fish!A:A,use_fish!K:K),0),_xlfn.IFNA(LOOKUP(U170,use_fish!A:A,use_fish!K:K),0),_xlfn.IFNA(LOOKUP(V170,use_fish!A:A,use_fish!K:K),0),_xlfn.IFNA(LOOKUP(W170,use_fish!A:A,use_fish!K:K),0),)</f>
        <v>0</v>
      </c>
      <c r="K170" s="29"/>
      <c r="L170" s="29"/>
      <c r="M170" s="29"/>
      <c r="N170" s="29"/>
      <c r="O170" s="29"/>
      <c r="P170" s="29"/>
      <c r="Q170" s="29">
        <v>153</v>
      </c>
    </row>
    <row r="171" spans="1:17" s="55" customFormat="1" x14ac:dyDescent="0.2">
      <c r="A171" s="62">
        <v>170</v>
      </c>
      <c r="B171" s="62">
        <v>1</v>
      </c>
      <c r="C171" s="97" t="s">
        <v>471</v>
      </c>
      <c r="D171" s="62"/>
      <c r="E171" s="62"/>
      <c r="F171" s="62"/>
      <c r="G171" s="62"/>
      <c r="H171" s="62">
        <f>SUM(_xlfn.IFNA(LOOKUP(Q171,use_fish!A:A,use_fish!E:E),0),_xlfn.IFNA(LOOKUP(R171,use_fish!A:A,use_fish!E:E),0),_xlfn.IFNA(LOOKUP(S171,use_fish!A:A,use_fish!E:E),0),_xlfn.IFNA(LOOKUP(T171,use_fish!A:A,use_fish!E:E),0),_xlfn.IFNA(LOOKUP(U171,use_fish!A:A,use_fish!E:E),0),_xlfn.IFNA(LOOKUP(V171,use_fish!A:A,use_fish!E:E),0),_xlfn.IFNA(LOOKUP(W171,use_fish!A:A,use_fish!E:E),0),)</f>
        <v>30</v>
      </c>
      <c r="I171" s="62">
        <f>SUM(_xlfn.IFNA(LOOKUP(Q171,use_fish!A:A,use_fish!I:I),0),_xlfn.IFNA(LOOKUP(R171,use_fish!A:A,use_fish!I:I),0),_xlfn.IFNA(LOOKUP(S171,use_fish!A:A,use_fish!I:I),0),_xlfn.IFNA(LOOKUP(T171,use_fish!A:A,use_fish!I:I),0),_xlfn.IFNA(LOOKUP(U171,use_fish!A:A,use_fish!I:I),0),_xlfn.IFNA(LOOKUP(V171,use_fish!A:A,use_fish!I:I),0),_xlfn.IFNA(LOOKUP(W171,use_fish!A:A,use_fish!I:I),0),)</f>
        <v>30</v>
      </c>
      <c r="J171" s="61">
        <f>SUM(_xlfn.IFNA(LOOKUP(Q171,use_fish!A:A,use_fish!K:K),0),_xlfn.IFNA(LOOKUP(R171,use_fish!A:A,use_fish!K:K),0),_xlfn.IFNA(LOOKUP(S171,use_fish!A:A,use_fish!K:K),0),_xlfn.IFNA(LOOKUP(T171,use_fish!A:A,use_fish!K:K),0),_xlfn.IFNA(LOOKUP(U171,use_fish!A:A,use_fish!K:K),0),_xlfn.IFNA(LOOKUP(V171,use_fish!A:A,use_fish!K:K),0),_xlfn.IFNA(LOOKUP(W171,use_fish!A:A,use_fish!K:K),0),)</f>
        <v>0</v>
      </c>
      <c r="K171" s="62"/>
      <c r="L171" s="62"/>
      <c r="M171" s="62"/>
      <c r="N171" s="62"/>
      <c r="O171" s="62"/>
      <c r="P171" s="62"/>
      <c r="Q171" s="62">
        <v>154</v>
      </c>
    </row>
    <row r="172" spans="1:17" s="55" customFormat="1" x14ac:dyDescent="0.2">
      <c r="A172" s="62">
        <v>171</v>
      </c>
      <c r="B172" s="62">
        <v>1</v>
      </c>
      <c r="C172" s="97" t="s">
        <v>472</v>
      </c>
      <c r="D172" s="62"/>
      <c r="E172" s="62"/>
      <c r="F172" s="62"/>
      <c r="G172" s="62"/>
      <c r="H172" s="62">
        <f>SUM(_xlfn.IFNA(LOOKUP(Q172,use_fish!A:A,use_fish!E:E),0),_xlfn.IFNA(LOOKUP(R172,use_fish!A:A,use_fish!E:E),0),_xlfn.IFNA(LOOKUP(S172,use_fish!A:A,use_fish!E:E),0),_xlfn.IFNA(LOOKUP(T172,use_fish!A:A,use_fish!E:E),0),_xlfn.IFNA(LOOKUP(U172,use_fish!A:A,use_fish!E:E),0),_xlfn.IFNA(LOOKUP(V172,use_fish!A:A,use_fish!E:E),0),_xlfn.IFNA(LOOKUP(W172,use_fish!A:A,use_fish!E:E),0),)</f>
        <v>35</v>
      </c>
      <c r="I172" s="62">
        <f>SUM(_xlfn.IFNA(LOOKUP(Q172,use_fish!A:A,use_fish!I:I),0),_xlfn.IFNA(LOOKUP(R172,use_fish!A:A,use_fish!I:I),0),_xlfn.IFNA(LOOKUP(S172,use_fish!A:A,use_fish!I:I),0),_xlfn.IFNA(LOOKUP(T172,use_fish!A:A,use_fish!I:I),0),_xlfn.IFNA(LOOKUP(U172,use_fish!A:A,use_fish!I:I),0),_xlfn.IFNA(LOOKUP(V172,use_fish!A:A,use_fish!I:I),0),_xlfn.IFNA(LOOKUP(W172,use_fish!A:A,use_fish!I:I),0),)</f>
        <v>35</v>
      </c>
      <c r="J172" s="61">
        <f>SUM(_xlfn.IFNA(LOOKUP(Q172,use_fish!A:A,use_fish!K:K),0),_xlfn.IFNA(LOOKUP(R172,use_fish!A:A,use_fish!K:K),0),_xlfn.IFNA(LOOKUP(S172,use_fish!A:A,use_fish!K:K),0),_xlfn.IFNA(LOOKUP(T172,use_fish!A:A,use_fish!K:K),0),_xlfn.IFNA(LOOKUP(U172,use_fish!A:A,use_fish!K:K),0),_xlfn.IFNA(LOOKUP(V172,use_fish!A:A,use_fish!K:K),0),_xlfn.IFNA(LOOKUP(W172,use_fish!A:A,use_fish!K:K),0),)</f>
        <v>0</v>
      </c>
      <c r="K172" s="62"/>
      <c r="L172" s="62"/>
      <c r="M172" s="62"/>
      <c r="N172" s="62"/>
      <c r="O172" s="62"/>
      <c r="P172" s="62"/>
      <c r="Q172" s="62">
        <v>155</v>
      </c>
    </row>
    <row r="173" spans="1:17" s="55" customFormat="1" x14ac:dyDescent="0.2">
      <c r="A173" s="62">
        <v>172</v>
      </c>
      <c r="B173" s="62">
        <v>1</v>
      </c>
      <c r="C173" s="97" t="s">
        <v>473</v>
      </c>
      <c r="D173" s="62"/>
      <c r="E173" s="62"/>
      <c r="F173" s="62"/>
      <c r="G173" s="62"/>
      <c r="H173" s="62">
        <f>SUM(_xlfn.IFNA(LOOKUP(Q173,use_fish!A:A,use_fish!E:E),0),_xlfn.IFNA(LOOKUP(R173,use_fish!A:A,use_fish!E:E),0),_xlfn.IFNA(LOOKUP(S173,use_fish!A:A,use_fish!E:E),0),_xlfn.IFNA(LOOKUP(T173,use_fish!A:A,use_fish!E:E),0),_xlfn.IFNA(LOOKUP(U173,use_fish!A:A,use_fish!E:E),0),_xlfn.IFNA(LOOKUP(V173,use_fish!A:A,use_fish!E:E),0),_xlfn.IFNA(LOOKUP(W173,use_fish!A:A,use_fish!E:E),0),)</f>
        <v>40</v>
      </c>
      <c r="I173" s="62">
        <f>SUM(_xlfn.IFNA(LOOKUP(Q173,use_fish!A:A,use_fish!I:I),0),_xlfn.IFNA(LOOKUP(R173,use_fish!A:A,use_fish!I:I),0),_xlfn.IFNA(LOOKUP(S173,use_fish!A:A,use_fish!I:I),0),_xlfn.IFNA(LOOKUP(T173,use_fish!A:A,use_fish!I:I),0),_xlfn.IFNA(LOOKUP(U173,use_fish!A:A,use_fish!I:I),0),_xlfn.IFNA(LOOKUP(V173,use_fish!A:A,use_fish!I:I),0),_xlfn.IFNA(LOOKUP(W173,use_fish!A:A,use_fish!I:I),0),)</f>
        <v>40</v>
      </c>
      <c r="J173" s="61">
        <f>SUM(_xlfn.IFNA(LOOKUP(Q173,use_fish!A:A,use_fish!K:K),0),_xlfn.IFNA(LOOKUP(R173,use_fish!A:A,use_fish!K:K),0),_xlfn.IFNA(LOOKUP(S173,use_fish!A:A,use_fish!K:K),0),_xlfn.IFNA(LOOKUP(T173,use_fish!A:A,use_fish!K:K),0),_xlfn.IFNA(LOOKUP(U173,use_fish!A:A,use_fish!K:K),0),_xlfn.IFNA(LOOKUP(V173,use_fish!A:A,use_fish!K:K),0),_xlfn.IFNA(LOOKUP(W173,use_fish!A:A,use_fish!K:K),0),)</f>
        <v>0</v>
      </c>
      <c r="K173" s="62"/>
      <c r="L173" s="62"/>
      <c r="M173" s="62"/>
      <c r="N173" s="62"/>
      <c r="O173" s="62"/>
      <c r="P173" s="62"/>
      <c r="Q173" s="62">
        <v>156</v>
      </c>
    </row>
    <row r="174" spans="1:17" s="55" customFormat="1" x14ac:dyDescent="0.2">
      <c r="A174" s="62">
        <v>173</v>
      </c>
      <c r="B174" s="62">
        <v>1</v>
      </c>
      <c r="C174" s="97" t="s">
        <v>474</v>
      </c>
      <c r="D174" s="62"/>
      <c r="E174" s="62"/>
      <c r="F174" s="62"/>
      <c r="G174" s="62"/>
      <c r="H174" s="62">
        <f>SUM(_xlfn.IFNA(LOOKUP(Q174,use_fish!A:A,use_fish!E:E),0),_xlfn.IFNA(LOOKUP(R174,use_fish!A:A,use_fish!E:E),0),_xlfn.IFNA(LOOKUP(S174,use_fish!A:A,use_fish!E:E),0),_xlfn.IFNA(LOOKUP(T174,use_fish!A:A,use_fish!E:E),0),_xlfn.IFNA(LOOKUP(U174,use_fish!A:A,use_fish!E:E),0),_xlfn.IFNA(LOOKUP(V174,use_fish!A:A,use_fish!E:E),0),_xlfn.IFNA(LOOKUP(W174,use_fish!A:A,use_fish!E:E),0),)</f>
        <v>45</v>
      </c>
      <c r="I174" s="62">
        <f>SUM(_xlfn.IFNA(LOOKUP(Q174,use_fish!A:A,use_fish!I:I),0),_xlfn.IFNA(LOOKUP(R174,use_fish!A:A,use_fish!I:I),0),_xlfn.IFNA(LOOKUP(S174,use_fish!A:A,use_fish!I:I),0),_xlfn.IFNA(LOOKUP(T174,use_fish!A:A,use_fish!I:I),0),_xlfn.IFNA(LOOKUP(U174,use_fish!A:A,use_fish!I:I),0),_xlfn.IFNA(LOOKUP(V174,use_fish!A:A,use_fish!I:I),0),_xlfn.IFNA(LOOKUP(W174,use_fish!A:A,use_fish!I:I),0),)</f>
        <v>45</v>
      </c>
      <c r="J174" s="61">
        <f>SUM(_xlfn.IFNA(LOOKUP(Q174,use_fish!A:A,use_fish!K:K),0),_xlfn.IFNA(LOOKUP(R174,use_fish!A:A,use_fish!K:K),0),_xlfn.IFNA(LOOKUP(S174,use_fish!A:A,use_fish!K:K),0),_xlfn.IFNA(LOOKUP(T174,use_fish!A:A,use_fish!K:K),0),_xlfn.IFNA(LOOKUP(U174,use_fish!A:A,use_fish!K:K),0),_xlfn.IFNA(LOOKUP(V174,use_fish!A:A,use_fish!K:K),0),_xlfn.IFNA(LOOKUP(W174,use_fish!A:A,use_fish!K:K),0),)</f>
        <v>0</v>
      </c>
      <c r="K174" s="62"/>
      <c r="L174" s="62"/>
      <c r="M174" s="62"/>
      <c r="N174" s="62"/>
      <c r="O174" s="62"/>
      <c r="P174" s="62"/>
      <c r="Q174" s="62">
        <v>157</v>
      </c>
    </row>
    <row r="175" spans="1:17" s="55" customFormat="1" x14ac:dyDescent="0.2">
      <c r="A175" s="62">
        <v>174</v>
      </c>
      <c r="B175" s="62">
        <v>1</v>
      </c>
      <c r="C175" s="97" t="s">
        <v>475</v>
      </c>
      <c r="D175" s="62"/>
      <c r="E175" s="62"/>
      <c r="F175" s="62"/>
      <c r="G175" s="62"/>
      <c r="H175" s="62">
        <f>SUM(_xlfn.IFNA(LOOKUP(Q175,use_fish!A:A,use_fish!E:E),0),_xlfn.IFNA(LOOKUP(R175,use_fish!A:A,use_fish!E:E),0),_xlfn.IFNA(LOOKUP(S175,use_fish!A:A,use_fish!E:E),0),_xlfn.IFNA(LOOKUP(T175,use_fish!A:A,use_fish!E:E),0),_xlfn.IFNA(LOOKUP(U175,use_fish!A:A,use_fish!E:E),0),_xlfn.IFNA(LOOKUP(V175,use_fish!A:A,use_fish!E:E),0),_xlfn.IFNA(LOOKUP(W175,use_fish!A:A,use_fish!E:E),0),)</f>
        <v>50</v>
      </c>
      <c r="I175" s="62">
        <f>SUM(_xlfn.IFNA(LOOKUP(Q175,use_fish!A:A,use_fish!I:I),0),_xlfn.IFNA(LOOKUP(R175,use_fish!A:A,use_fish!I:I),0),_xlfn.IFNA(LOOKUP(S175,use_fish!A:A,use_fish!I:I),0),_xlfn.IFNA(LOOKUP(T175,use_fish!A:A,use_fish!I:I),0),_xlfn.IFNA(LOOKUP(U175,use_fish!A:A,use_fish!I:I),0),_xlfn.IFNA(LOOKUP(V175,use_fish!A:A,use_fish!I:I),0),_xlfn.IFNA(LOOKUP(W175,use_fish!A:A,use_fish!I:I),0),)</f>
        <v>50</v>
      </c>
      <c r="J175" s="61">
        <f>SUM(_xlfn.IFNA(LOOKUP(Q175,use_fish!A:A,use_fish!K:K),0),_xlfn.IFNA(LOOKUP(R175,use_fish!A:A,use_fish!K:K),0),_xlfn.IFNA(LOOKUP(S175,use_fish!A:A,use_fish!K:K),0),_xlfn.IFNA(LOOKUP(T175,use_fish!A:A,use_fish!K:K),0),_xlfn.IFNA(LOOKUP(U175,use_fish!A:A,use_fish!K:K),0),_xlfn.IFNA(LOOKUP(V175,use_fish!A:A,use_fish!K:K),0),_xlfn.IFNA(LOOKUP(W175,use_fish!A:A,use_fish!K:K),0),)</f>
        <v>0</v>
      </c>
      <c r="K175" s="62"/>
      <c r="L175" s="62"/>
      <c r="M175" s="62"/>
      <c r="N175" s="62"/>
      <c r="O175" s="62"/>
      <c r="P175" s="62"/>
      <c r="Q175" s="62">
        <v>158</v>
      </c>
    </row>
    <row r="176" spans="1:17" s="55" customFormat="1" x14ac:dyDescent="0.2">
      <c r="A176" s="62">
        <v>175</v>
      </c>
      <c r="B176" s="62">
        <v>1</v>
      </c>
      <c r="C176" s="97" t="s">
        <v>476</v>
      </c>
      <c r="D176" s="62"/>
      <c r="E176" s="62"/>
      <c r="F176" s="62"/>
      <c r="G176" s="62"/>
      <c r="H176" s="62">
        <f>SUM(_xlfn.IFNA(LOOKUP(Q176,use_fish!A:A,use_fish!E:E),0),_xlfn.IFNA(LOOKUP(R176,use_fish!A:A,use_fish!E:E),0),_xlfn.IFNA(LOOKUP(S176,use_fish!A:A,use_fish!E:E),0),_xlfn.IFNA(LOOKUP(T176,use_fish!A:A,use_fish!E:E),0),_xlfn.IFNA(LOOKUP(U176,use_fish!A:A,use_fish!E:E),0),_xlfn.IFNA(LOOKUP(V176,use_fish!A:A,use_fish!E:E),0),_xlfn.IFNA(LOOKUP(W176,use_fish!A:A,use_fish!E:E),0),)</f>
        <v>70</v>
      </c>
      <c r="I176" s="62">
        <f>SUM(_xlfn.IFNA(LOOKUP(Q176,use_fish!A:A,use_fish!I:I),0),_xlfn.IFNA(LOOKUP(R176,use_fish!A:A,use_fish!I:I),0),_xlfn.IFNA(LOOKUP(S176,use_fish!A:A,use_fish!I:I),0),_xlfn.IFNA(LOOKUP(T176,use_fish!A:A,use_fish!I:I),0),_xlfn.IFNA(LOOKUP(U176,use_fish!A:A,use_fish!I:I),0),_xlfn.IFNA(LOOKUP(V176,use_fish!A:A,use_fish!I:I),0),_xlfn.IFNA(LOOKUP(W176,use_fish!A:A,use_fish!I:I),0),)</f>
        <v>70</v>
      </c>
      <c r="J176" s="61">
        <f>SUM(_xlfn.IFNA(LOOKUP(Q176,use_fish!A:A,use_fish!K:K),0),_xlfn.IFNA(LOOKUP(R176,use_fish!A:A,use_fish!K:K),0),_xlfn.IFNA(LOOKUP(S176,use_fish!A:A,use_fish!K:K),0),_xlfn.IFNA(LOOKUP(T176,use_fish!A:A,use_fish!K:K),0),_xlfn.IFNA(LOOKUP(U176,use_fish!A:A,use_fish!K:K),0),_xlfn.IFNA(LOOKUP(V176,use_fish!A:A,use_fish!K:K),0),_xlfn.IFNA(LOOKUP(W176,use_fish!A:A,use_fish!K:K),0),)</f>
        <v>0</v>
      </c>
      <c r="K176" s="62"/>
      <c r="L176" s="62"/>
      <c r="M176" s="62"/>
      <c r="N176" s="62"/>
      <c r="O176" s="62"/>
      <c r="P176" s="62"/>
      <c r="Q176" s="62">
        <v>159</v>
      </c>
    </row>
    <row r="177" spans="1:17" s="55" customFormat="1" x14ac:dyDescent="0.2">
      <c r="A177" s="62">
        <v>176</v>
      </c>
      <c r="B177" s="62">
        <v>1</v>
      </c>
      <c r="C177" s="97" t="s">
        <v>477</v>
      </c>
      <c r="D177" s="62"/>
      <c r="E177" s="62"/>
      <c r="F177" s="62"/>
      <c r="G177" s="62"/>
      <c r="H177" s="62">
        <f>SUM(_xlfn.IFNA(LOOKUP(Q177,use_fish!A:A,use_fish!E:E),0),_xlfn.IFNA(LOOKUP(R177,use_fish!A:A,use_fish!E:E),0),_xlfn.IFNA(LOOKUP(S177,use_fish!A:A,use_fish!E:E),0),_xlfn.IFNA(LOOKUP(T177,use_fish!A:A,use_fish!E:E),0),_xlfn.IFNA(LOOKUP(U177,use_fish!A:A,use_fish!E:E),0),_xlfn.IFNA(LOOKUP(V177,use_fish!A:A,use_fish!E:E),0),_xlfn.IFNA(LOOKUP(W177,use_fish!A:A,use_fish!E:E),0),)</f>
        <v>250</v>
      </c>
      <c r="I177" s="62">
        <f>SUM(_xlfn.IFNA(LOOKUP(Q177,use_fish!A:A,use_fish!I:I),0),_xlfn.IFNA(LOOKUP(R177,use_fish!A:A,use_fish!I:I),0),_xlfn.IFNA(LOOKUP(S177,use_fish!A:A,use_fish!I:I),0),_xlfn.IFNA(LOOKUP(T177,use_fish!A:A,use_fish!I:I),0),_xlfn.IFNA(LOOKUP(U177,use_fish!A:A,use_fish!I:I),0),_xlfn.IFNA(LOOKUP(V177,use_fish!A:A,use_fish!I:I),0),_xlfn.IFNA(LOOKUP(W177,use_fish!A:A,use_fish!I:I),0),)</f>
        <v>250</v>
      </c>
      <c r="J177" s="61">
        <f>SUM(_xlfn.IFNA(LOOKUP(Q177,use_fish!A:A,use_fish!K:K),0),_xlfn.IFNA(LOOKUP(R177,use_fish!A:A,use_fish!K:K),0),_xlfn.IFNA(LOOKUP(S177,use_fish!A:A,use_fish!K:K),0),_xlfn.IFNA(LOOKUP(T177,use_fish!A:A,use_fish!K:K),0),_xlfn.IFNA(LOOKUP(U177,use_fish!A:A,use_fish!K:K),0),_xlfn.IFNA(LOOKUP(V177,use_fish!A:A,use_fish!K:K),0),_xlfn.IFNA(LOOKUP(W177,use_fish!A:A,use_fish!K:K),0),)</f>
        <v>0</v>
      </c>
      <c r="K177" s="62"/>
      <c r="L177" s="62"/>
      <c r="M177" s="62"/>
      <c r="N177" s="62"/>
      <c r="O177" s="62"/>
      <c r="P177" s="62"/>
      <c r="Q177" s="62">
        <v>160</v>
      </c>
    </row>
    <row r="178" spans="1:17" s="55" customFormat="1" x14ac:dyDescent="0.2">
      <c r="A178" s="62">
        <v>177</v>
      </c>
      <c r="B178" s="62">
        <v>1</v>
      </c>
      <c r="C178" s="97" t="s">
        <v>478</v>
      </c>
      <c r="D178" s="62"/>
      <c r="E178" s="62"/>
      <c r="F178" s="62"/>
      <c r="G178" s="62"/>
      <c r="H178" s="62">
        <f>SUM(_xlfn.IFNA(LOOKUP(Q178,use_fish!A:A,use_fish!E:E),0),_xlfn.IFNA(LOOKUP(R178,use_fish!A:A,use_fish!E:E),0),_xlfn.IFNA(LOOKUP(S178,use_fish!A:A,use_fish!E:E),0),_xlfn.IFNA(LOOKUP(T178,use_fish!A:A,use_fish!E:E),0),_xlfn.IFNA(LOOKUP(U178,use_fish!A:A,use_fish!E:E),0),_xlfn.IFNA(LOOKUP(V178,use_fish!A:A,use_fish!E:E),0),_xlfn.IFNA(LOOKUP(W178,use_fish!A:A,use_fish!E:E),0),)</f>
        <v>350</v>
      </c>
      <c r="I178" s="62">
        <f>SUM(_xlfn.IFNA(LOOKUP(Q178,use_fish!A:A,use_fish!I:I),0),_xlfn.IFNA(LOOKUP(R178,use_fish!A:A,use_fish!I:I),0),_xlfn.IFNA(LOOKUP(S178,use_fish!A:A,use_fish!I:I),0),_xlfn.IFNA(LOOKUP(T178,use_fish!A:A,use_fish!I:I),0),_xlfn.IFNA(LOOKUP(U178,use_fish!A:A,use_fish!I:I),0),_xlfn.IFNA(LOOKUP(V178,use_fish!A:A,use_fish!I:I),0),_xlfn.IFNA(LOOKUP(W178,use_fish!A:A,use_fish!I:I),0),)</f>
        <v>350</v>
      </c>
      <c r="J178" s="61">
        <f>SUM(_xlfn.IFNA(LOOKUP(Q178,use_fish!A:A,use_fish!K:K),0),_xlfn.IFNA(LOOKUP(R178,use_fish!A:A,use_fish!K:K),0),_xlfn.IFNA(LOOKUP(S178,use_fish!A:A,use_fish!K:K),0),_xlfn.IFNA(LOOKUP(T178,use_fish!A:A,use_fish!K:K),0),_xlfn.IFNA(LOOKUP(U178,use_fish!A:A,use_fish!K:K),0),_xlfn.IFNA(LOOKUP(V178,use_fish!A:A,use_fish!K:K),0),_xlfn.IFNA(LOOKUP(W178,use_fish!A:A,use_fish!K:K),0),)</f>
        <v>0</v>
      </c>
      <c r="K178" s="62"/>
      <c r="L178" s="62"/>
      <c r="M178" s="62"/>
      <c r="N178" s="62"/>
      <c r="O178" s="62"/>
      <c r="P178" s="62"/>
      <c r="Q178" s="62">
        <v>161</v>
      </c>
    </row>
    <row r="179" spans="1:17" s="55" customFormat="1" x14ac:dyDescent="0.2">
      <c r="A179" s="62">
        <v>178</v>
      </c>
      <c r="B179" s="62">
        <v>1</v>
      </c>
      <c r="C179" s="97" t="s">
        <v>479</v>
      </c>
      <c r="D179" s="62"/>
      <c r="E179" s="62"/>
      <c r="F179" s="62"/>
      <c r="G179" s="62"/>
      <c r="H179" s="62">
        <f>SUM(_xlfn.IFNA(LOOKUP(Q179,use_fish!A:A,use_fish!E:E),0),_xlfn.IFNA(LOOKUP(R179,use_fish!A:A,use_fish!E:E),0),_xlfn.IFNA(LOOKUP(S179,use_fish!A:A,use_fish!E:E),0),_xlfn.IFNA(LOOKUP(T179,use_fish!A:A,use_fish!E:E),0),_xlfn.IFNA(LOOKUP(U179,use_fish!A:A,use_fish!E:E),0),_xlfn.IFNA(LOOKUP(V179,use_fish!A:A,use_fish!E:E),0),_xlfn.IFNA(LOOKUP(W179,use_fish!A:A,use_fish!E:E),0),)</f>
        <v>450</v>
      </c>
      <c r="I179" s="62">
        <f>SUM(_xlfn.IFNA(LOOKUP(Q179,use_fish!A:A,use_fish!I:I),0),_xlfn.IFNA(LOOKUP(R179,use_fish!A:A,use_fish!I:I),0),_xlfn.IFNA(LOOKUP(S179,use_fish!A:A,use_fish!I:I),0),_xlfn.IFNA(LOOKUP(T179,use_fish!A:A,use_fish!I:I),0),_xlfn.IFNA(LOOKUP(U179,use_fish!A:A,use_fish!I:I),0),_xlfn.IFNA(LOOKUP(V179,use_fish!A:A,use_fish!I:I),0),_xlfn.IFNA(LOOKUP(W179,use_fish!A:A,use_fish!I:I),0),)</f>
        <v>450</v>
      </c>
      <c r="J179" s="61">
        <f>SUM(_xlfn.IFNA(LOOKUP(Q179,use_fish!A:A,use_fish!K:K),0),_xlfn.IFNA(LOOKUP(R179,use_fish!A:A,use_fish!K:K),0),_xlfn.IFNA(LOOKUP(S179,use_fish!A:A,use_fish!K:K),0),_xlfn.IFNA(LOOKUP(T179,use_fish!A:A,use_fish!K:K),0),_xlfn.IFNA(LOOKUP(U179,use_fish!A:A,use_fish!K:K),0),_xlfn.IFNA(LOOKUP(V179,use_fish!A:A,use_fish!K:K),0),_xlfn.IFNA(LOOKUP(W179,use_fish!A:A,use_fish!K:K),0),)</f>
        <v>0</v>
      </c>
      <c r="K179" s="62"/>
      <c r="L179" s="62"/>
      <c r="M179" s="62"/>
      <c r="N179" s="62"/>
      <c r="O179" s="62"/>
      <c r="P179" s="62"/>
      <c r="Q179" s="62">
        <v>162</v>
      </c>
    </row>
    <row r="180" spans="1:17" s="55" customFormat="1" x14ac:dyDescent="0.2">
      <c r="A180" s="82">
        <v>179</v>
      </c>
      <c r="B180" s="82">
        <v>1</v>
      </c>
      <c r="C180" s="102" t="s">
        <v>480</v>
      </c>
      <c r="D180" s="82"/>
      <c r="E180" s="82"/>
      <c r="F180" s="82"/>
      <c r="G180" s="82"/>
      <c r="H180" s="82">
        <f>SUM(_xlfn.IFNA(LOOKUP(Q180,use_fish!A:A,use_fish!E:E),0),_xlfn.IFNA(LOOKUP(R180,use_fish!A:A,use_fish!E:E),0),_xlfn.IFNA(LOOKUP(S180,use_fish!A:A,use_fish!E:E),0),_xlfn.IFNA(LOOKUP(T180,use_fish!A:A,use_fish!E:E),0),_xlfn.IFNA(LOOKUP(U180,use_fish!A:A,use_fish!E:E),0),_xlfn.IFNA(LOOKUP(V180,use_fish!A:A,use_fish!E:E),0),_xlfn.IFNA(LOOKUP(W180,use_fish!A:A,use_fish!E:E),0),)</f>
        <v>30</v>
      </c>
      <c r="I180" s="82">
        <f>SUM(_xlfn.IFNA(LOOKUP(Q180,use_fish!A:A,use_fish!I:I),0),_xlfn.IFNA(LOOKUP(R180,use_fish!A:A,use_fish!I:I),0),_xlfn.IFNA(LOOKUP(S180,use_fish!A:A,use_fish!I:I),0),_xlfn.IFNA(LOOKUP(T180,use_fish!A:A,use_fish!I:I),0),_xlfn.IFNA(LOOKUP(U180,use_fish!A:A,use_fish!I:I),0),_xlfn.IFNA(LOOKUP(V180,use_fish!A:A,use_fish!I:I),0),_xlfn.IFNA(LOOKUP(W180,use_fish!A:A,use_fish!I:I),0),)</f>
        <v>30</v>
      </c>
      <c r="J180" s="85">
        <f>SUM(_xlfn.IFNA(LOOKUP(Q180,use_fish!A:A,use_fish!K:K),0),_xlfn.IFNA(LOOKUP(R180,use_fish!A:A,use_fish!K:K),0),_xlfn.IFNA(LOOKUP(S180,use_fish!A:A,use_fish!K:K),0),_xlfn.IFNA(LOOKUP(T180,use_fish!A:A,use_fish!K:K),0),_xlfn.IFNA(LOOKUP(U180,use_fish!A:A,use_fish!K:K),0),_xlfn.IFNA(LOOKUP(V180,use_fish!A:A,use_fish!K:K),0),_xlfn.IFNA(LOOKUP(W180,use_fish!A:A,use_fish!K:K),0),)</f>
        <v>0</v>
      </c>
      <c r="K180" s="82"/>
      <c r="L180" s="82"/>
      <c r="M180" s="82"/>
      <c r="N180" s="82"/>
      <c r="O180" s="82"/>
      <c r="P180" s="82"/>
      <c r="Q180" s="82">
        <v>163</v>
      </c>
    </row>
    <row r="181" spans="1:17" s="55" customFormat="1" x14ac:dyDescent="0.2">
      <c r="A181" s="82">
        <v>180</v>
      </c>
      <c r="B181" s="82">
        <v>1</v>
      </c>
      <c r="C181" s="102" t="s">
        <v>481</v>
      </c>
      <c r="D181" s="82"/>
      <c r="E181" s="82"/>
      <c r="F181" s="82"/>
      <c r="G181" s="82"/>
      <c r="H181" s="82">
        <f>SUM(_xlfn.IFNA(LOOKUP(Q181,use_fish!A:A,use_fish!E:E),0),_xlfn.IFNA(LOOKUP(R181,use_fish!A:A,use_fish!E:E),0),_xlfn.IFNA(LOOKUP(S181,use_fish!A:A,use_fish!E:E),0),_xlfn.IFNA(LOOKUP(T181,use_fish!A:A,use_fish!E:E),0),_xlfn.IFNA(LOOKUP(U181,use_fish!A:A,use_fish!E:E),0),_xlfn.IFNA(LOOKUP(V181,use_fish!A:A,use_fish!E:E),0),_xlfn.IFNA(LOOKUP(W181,use_fish!A:A,use_fish!E:E),0),)</f>
        <v>35</v>
      </c>
      <c r="I181" s="82">
        <f>SUM(_xlfn.IFNA(LOOKUP(Q181,use_fish!A:A,use_fish!I:I),0),_xlfn.IFNA(LOOKUP(R181,use_fish!A:A,use_fish!I:I),0),_xlfn.IFNA(LOOKUP(S181,use_fish!A:A,use_fish!I:I),0),_xlfn.IFNA(LOOKUP(T181,use_fish!A:A,use_fish!I:I),0),_xlfn.IFNA(LOOKUP(U181,use_fish!A:A,use_fish!I:I),0),_xlfn.IFNA(LOOKUP(V181,use_fish!A:A,use_fish!I:I),0),_xlfn.IFNA(LOOKUP(W181,use_fish!A:A,use_fish!I:I),0),)</f>
        <v>35</v>
      </c>
      <c r="J181" s="85">
        <f>SUM(_xlfn.IFNA(LOOKUP(Q181,use_fish!A:A,use_fish!K:K),0),_xlfn.IFNA(LOOKUP(R181,use_fish!A:A,use_fish!K:K),0),_xlfn.IFNA(LOOKUP(S181,use_fish!A:A,use_fish!K:K),0),_xlfn.IFNA(LOOKUP(T181,use_fish!A:A,use_fish!K:K),0),_xlfn.IFNA(LOOKUP(U181,use_fish!A:A,use_fish!K:K),0),_xlfn.IFNA(LOOKUP(V181,use_fish!A:A,use_fish!K:K),0),_xlfn.IFNA(LOOKUP(W181,use_fish!A:A,use_fish!K:K),0),)</f>
        <v>0</v>
      </c>
      <c r="K181" s="82"/>
      <c r="L181" s="82"/>
      <c r="M181" s="82"/>
      <c r="N181" s="82"/>
      <c r="O181" s="82"/>
      <c r="P181" s="82"/>
      <c r="Q181" s="82">
        <v>164</v>
      </c>
    </row>
    <row r="182" spans="1:17" s="55" customFormat="1" x14ac:dyDescent="0.2">
      <c r="A182" s="82">
        <v>181</v>
      </c>
      <c r="B182" s="82">
        <v>1</v>
      </c>
      <c r="C182" s="102" t="s">
        <v>482</v>
      </c>
      <c r="D182" s="82"/>
      <c r="E182" s="82"/>
      <c r="F182" s="82"/>
      <c r="G182" s="82"/>
      <c r="H182" s="82">
        <f>SUM(_xlfn.IFNA(LOOKUP(Q182,use_fish!A:A,use_fish!E:E),0),_xlfn.IFNA(LOOKUP(R182,use_fish!A:A,use_fish!E:E),0),_xlfn.IFNA(LOOKUP(S182,use_fish!A:A,use_fish!E:E),0),_xlfn.IFNA(LOOKUP(T182,use_fish!A:A,use_fish!E:E),0),_xlfn.IFNA(LOOKUP(U182,use_fish!A:A,use_fish!E:E),0),_xlfn.IFNA(LOOKUP(V182,use_fish!A:A,use_fish!E:E),0),_xlfn.IFNA(LOOKUP(W182,use_fish!A:A,use_fish!E:E),0),)</f>
        <v>40</v>
      </c>
      <c r="I182" s="82">
        <f>SUM(_xlfn.IFNA(LOOKUP(Q182,use_fish!A:A,use_fish!I:I),0),_xlfn.IFNA(LOOKUP(R182,use_fish!A:A,use_fish!I:I),0),_xlfn.IFNA(LOOKUP(S182,use_fish!A:A,use_fish!I:I),0),_xlfn.IFNA(LOOKUP(T182,use_fish!A:A,use_fish!I:I),0),_xlfn.IFNA(LOOKUP(U182,use_fish!A:A,use_fish!I:I),0),_xlfn.IFNA(LOOKUP(V182,use_fish!A:A,use_fish!I:I),0),_xlfn.IFNA(LOOKUP(W182,use_fish!A:A,use_fish!I:I),0),)</f>
        <v>40</v>
      </c>
      <c r="J182" s="85">
        <f>SUM(_xlfn.IFNA(LOOKUP(Q182,use_fish!A:A,use_fish!K:K),0),_xlfn.IFNA(LOOKUP(R182,use_fish!A:A,use_fish!K:K),0),_xlfn.IFNA(LOOKUP(S182,use_fish!A:A,use_fish!K:K),0),_xlfn.IFNA(LOOKUP(T182,use_fish!A:A,use_fish!K:K),0),_xlfn.IFNA(LOOKUP(U182,use_fish!A:A,use_fish!K:K),0),_xlfn.IFNA(LOOKUP(V182,use_fish!A:A,use_fish!K:K),0),_xlfn.IFNA(LOOKUP(W182,use_fish!A:A,use_fish!K:K),0),)</f>
        <v>0</v>
      </c>
      <c r="K182" s="82"/>
      <c r="L182" s="82"/>
      <c r="M182" s="82"/>
      <c r="N182" s="82"/>
      <c r="O182" s="82"/>
      <c r="P182" s="82"/>
      <c r="Q182" s="82">
        <v>165</v>
      </c>
    </row>
    <row r="183" spans="1:17" s="55" customFormat="1" x14ac:dyDescent="0.2">
      <c r="A183" s="82">
        <v>182</v>
      </c>
      <c r="B183" s="82">
        <v>1</v>
      </c>
      <c r="C183" s="102" t="s">
        <v>483</v>
      </c>
      <c r="D183" s="82"/>
      <c r="E183" s="82"/>
      <c r="F183" s="82"/>
      <c r="G183" s="82"/>
      <c r="H183" s="82">
        <f>SUM(_xlfn.IFNA(LOOKUP(Q183,use_fish!A:A,use_fish!E:E),0),_xlfn.IFNA(LOOKUP(R183,use_fish!A:A,use_fish!E:E),0),_xlfn.IFNA(LOOKUP(S183,use_fish!A:A,use_fish!E:E),0),_xlfn.IFNA(LOOKUP(T183,use_fish!A:A,use_fish!E:E),0),_xlfn.IFNA(LOOKUP(U183,use_fish!A:A,use_fish!E:E),0),_xlfn.IFNA(LOOKUP(V183,use_fish!A:A,use_fish!E:E),0),_xlfn.IFNA(LOOKUP(W183,use_fish!A:A,use_fish!E:E),0),)</f>
        <v>45</v>
      </c>
      <c r="I183" s="82">
        <f>SUM(_xlfn.IFNA(LOOKUP(Q183,use_fish!A:A,use_fish!I:I),0),_xlfn.IFNA(LOOKUP(R183,use_fish!A:A,use_fish!I:I),0),_xlfn.IFNA(LOOKUP(S183,use_fish!A:A,use_fish!I:I),0),_xlfn.IFNA(LOOKUP(T183,use_fish!A:A,use_fish!I:I),0),_xlfn.IFNA(LOOKUP(U183,use_fish!A:A,use_fish!I:I),0),_xlfn.IFNA(LOOKUP(V183,use_fish!A:A,use_fish!I:I),0),_xlfn.IFNA(LOOKUP(W183,use_fish!A:A,use_fish!I:I),0),)</f>
        <v>45</v>
      </c>
      <c r="J183" s="85">
        <f>SUM(_xlfn.IFNA(LOOKUP(Q183,use_fish!A:A,use_fish!K:K),0),_xlfn.IFNA(LOOKUP(R183,use_fish!A:A,use_fish!K:K),0),_xlfn.IFNA(LOOKUP(S183,use_fish!A:A,use_fish!K:K),0),_xlfn.IFNA(LOOKUP(T183,use_fish!A:A,use_fish!K:K),0),_xlfn.IFNA(LOOKUP(U183,use_fish!A:A,use_fish!K:K),0),_xlfn.IFNA(LOOKUP(V183,use_fish!A:A,use_fish!K:K),0),_xlfn.IFNA(LOOKUP(W183,use_fish!A:A,use_fish!K:K),0),)</f>
        <v>0</v>
      </c>
      <c r="K183" s="82"/>
      <c r="L183" s="82"/>
      <c r="M183" s="82"/>
      <c r="N183" s="82"/>
      <c r="O183" s="82"/>
      <c r="P183" s="82"/>
      <c r="Q183" s="82">
        <v>166</v>
      </c>
    </row>
    <row r="184" spans="1:17" s="55" customFormat="1" x14ac:dyDescent="0.2">
      <c r="A184" s="82">
        <v>183</v>
      </c>
      <c r="B184" s="82">
        <v>1</v>
      </c>
      <c r="C184" s="102" t="s">
        <v>484</v>
      </c>
      <c r="D184" s="82"/>
      <c r="E184" s="82"/>
      <c r="F184" s="82"/>
      <c r="G184" s="82"/>
      <c r="H184" s="82">
        <f>SUM(_xlfn.IFNA(LOOKUP(Q184,use_fish!A:A,use_fish!E:E),0),_xlfn.IFNA(LOOKUP(R184,use_fish!A:A,use_fish!E:E),0),_xlfn.IFNA(LOOKUP(S184,use_fish!A:A,use_fish!E:E),0),_xlfn.IFNA(LOOKUP(T184,use_fish!A:A,use_fish!E:E),0),_xlfn.IFNA(LOOKUP(U184,use_fish!A:A,use_fish!E:E),0),_xlfn.IFNA(LOOKUP(V184,use_fish!A:A,use_fish!E:E),0),_xlfn.IFNA(LOOKUP(W184,use_fish!A:A,use_fish!E:E),0),)</f>
        <v>50</v>
      </c>
      <c r="I184" s="82">
        <f>SUM(_xlfn.IFNA(LOOKUP(Q184,use_fish!A:A,use_fish!I:I),0),_xlfn.IFNA(LOOKUP(R184,use_fish!A:A,use_fish!I:I),0),_xlfn.IFNA(LOOKUP(S184,use_fish!A:A,use_fish!I:I),0),_xlfn.IFNA(LOOKUP(T184,use_fish!A:A,use_fish!I:I),0),_xlfn.IFNA(LOOKUP(U184,use_fish!A:A,use_fish!I:I),0),_xlfn.IFNA(LOOKUP(V184,use_fish!A:A,use_fish!I:I),0),_xlfn.IFNA(LOOKUP(W184,use_fish!A:A,use_fish!I:I),0),)</f>
        <v>50</v>
      </c>
      <c r="J184" s="85">
        <f>SUM(_xlfn.IFNA(LOOKUP(Q184,use_fish!A:A,use_fish!K:K),0),_xlfn.IFNA(LOOKUP(R184,use_fish!A:A,use_fish!K:K),0),_xlfn.IFNA(LOOKUP(S184,use_fish!A:A,use_fish!K:K),0),_xlfn.IFNA(LOOKUP(T184,use_fish!A:A,use_fish!K:K),0),_xlfn.IFNA(LOOKUP(U184,use_fish!A:A,use_fish!K:K),0),_xlfn.IFNA(LOOKUP(V184,use_fish!A:A,use_fish!K:K),0),_xlfn.IFNA(LOOKUP(W184,use_fish!A:A,use_fish!K:K),0),)</f>
        <v>0</v>
      </c>
      <c r="K184" s="82"/>
      <c r="L184" s="82"/>
      <c r="M184" s="82"/>
      <c r="N184" s="82"/>
      <c r="O184" s="82"/>
      <c r="P184" s="82"/>
      <c r="Q184" s="82">
        <v>167</v>
      </c>
    </row>
    <row r="185" spans="1:17" s="55" customFormat="1" x14ac:dyDescent="0.2">
      <c r="A185" s="82">
        <v>184</v>
      </c>
      <c r="B185" s="82">
        <v>1</v>
      </c>
      <c r="C185" s="102" t="s">
        <v>485</v>
      </c>
      <c r="D185" s="82"/>
      <c r="E185" s="82"/>
      <c r="F185" s="82"/>
      <c r="G185" s="82"/>
      <c r="H185" s="82">
        <f>SUM(_xlfn.IFNA(LOOKUP(Q185,use_fish!A:A,use_fish!E:E),0),_xlfn.IFNA(LOOKUP(R185,use_fish!A:A,use_fish!E:E),0),_xlfn.IFNA(LOOKUP(S185,use_fish!A:A,use_fish!E:E),0),_xlfn.IFNA(LOOKUP(T185,use_fish!A:A,use_fish!E:E),0),_xlfn.IFNA(LOOKUP(U185,use_fish!A:A,use_fish!E:E),0),_xlfn.IFNA(LOOKUP(V185,use_fish!A:A,use_fish!E:E),0),_xlfn.IFNA(LOOKUP(W185,use_fish!A:A,use_fish!E:E),0),)</f>
        <v>70</v>
      </c>
      <c r="I185" s="82">
        <f>SUM(_xlfn.IFNA(LOOKUP(Q185,use_fish!A:A,use_fish!I:I),0),_xlfn.IFNA(LOOKUP(R185,use_fish!A:A,use_fish!I:I),0),_xlfn.IFNA(LOOKUP(S185,use_fish!A:A,use_fish!I:I),0),_xlfn.IFNA(LOOKUP(T185,use_fish!A:A,use_fish!I:I),0),_xlfn.IFNA(LOOKUP(U185,use_fish!A:A,use_fish!I:I),0),_xlfn.IFNA(LOOKUP(V185,use_fish!A:A,use_fish!I:I),0),_xlfn.IFNA(LOOKUP(W185,use_fish!A:A,use_fish!I:I),0),)</f>
        <v>70</v>
      </c>
      <c r="J185" s="85">
        <f>SUM(_xlfn.IFNA(LOOKUP(Q185,use_fish!A:A,use_fish!K:K),0),_xlfn.IFNA(LOOKUP(R185,use_fish!A:A,use_fish!K:K),0),_xlfn.IFNA(LOOKUP(S185,use_fish!A:A,use_fish!K:K),0),_xlfn.IFNA(LOOKUP(T185,use_fish!A:A,use_fish!K:K),0),_xlfn.IFNA(LOOKUP(U185,use_fish!A:A,use_fish!K:K),0),_xlfn.IFNA(LOOKUP(V185,use_fish!A:A,use_fish!K:K),0),_xlfn.IFNA(LOOKUP(W185,use_fish!A:A,use_fish!K:K),0),)</f>
        <v>0</v>
      </c>
      <c r="K185" s="82"/>
      <c r="L185" s="82"/>
      <c r="M185" s="82"/>
      <c r="N185" s="82"/>
      <c r="O185" s="82"/>
      <c r="P185" s="82"/>
      <c r="Q185" s="82">
        <v>168</v>
      </c>
    </row>
    <row r="186" spans="1:17" s="55" customFormat="1" x14ac:dyDescent="0.2">
      <c r="A186" s="82">
        <v>185</v>
      </c>
      <c r="B186" s="82">
        <v>1</v>
      </c>
      <c r="C186" s="102" t="s">
        <v>486</v>
      </c>
      <c r="D186" s="82"/>
      <c r="E186" s="82"/>
      <c r="F186" s="82"/>
      <c r="G186" s="82"/>
      <c r="H186" s="82">
        <f>SUM(_xlfn.IFNA(LOOKUP(Q186,use_fish!A:A,use_fish!E:E),0),_xlfn.IFNA(LOOKUP(R186,use_fish!A:A,use_fish!E:E),0),_xlfn.IFNA(LOOKUP(S186,use_fish!A:A,use_fish!E:E),0),_xlfn.IFNA(LOOKUP(T186,use_fish!A:A,use_fish!E:E),0),_xlfn.IFNA(LOOKUP(U186,use_fish!A:A,use_fish!E:E),0),_xlfn.IFNA(LOOKUP(V186,use_fish!A:A,use_fish!E:E),0),_xlfn.IFNA(LOOKUP(W186,use_fish!A:A,use_fish!E:E),0),)</f>
        <v>250</v>
      </c>
      <c r="I186" s="82">
        <f>SUM(_xlfn.IFNA(LOOKUP(Q186,use_fish!A:A,use_fish!I:I),0),_xlfn.IFNA(LOOKUP(R186,use_fish!A:A,use_fish!I:I),0),_xlfn.IFNA(LOOKUP(S186,use_fish!A:A,use_fish!I:I),0),_xlfn.IFNA(LOOKUP(T186,use_fish!A:A,use_fish!I:I),0),_xlfn.IFNA(LOOKUP(U186,use_fish!A:A,use_fish!I:I),0),_xlfn.IFNA(LOOKUP(V186,use_fish!A:A,use_fish!I:I),0),_xlfn.IFNA(LOOKUP(W186,use_fish!A:A,use_fish!I:I),0),)</f>
        <v>250</v>
      </c>
      <c r="J186" s="85">
        <f>SUM(_xlfn.IFNA(LOOKUP(Q186,use_fish!A:A,use_fish!K:K),0),_xlfn.IFNA(LOOKUP(R186,use_fish!A:A,use_fish!K:K),0),_xlfn.IFNA(LOOKUP(S186,use_fish!A:A,use_fish!K:K),0),_xlfn.IFNA(LOOKUP(T186,use_fish!A:A,use_fish!K:K),0),_xlfn.IFNA(LOOKUP(U186,use_fish!A:A,use_fish!K:K),0),_xlfn.IFNA(LOOKUP(V186,use_fish!A:A,use_fish!K:K),0),_xlfn.IFNA(LOOKUP(W186,use_fish!A:A,use_fish!K:K),0),)</f>
        <v>0</v>
      </c>
      <c r="K186" s="82"/>
      <c r="L186" s="82"/>
      <c r="M186" s="82"/>
      <c r="N186" s="82"/>
      <c r="O186" s="82"/>
      <c r="P186" s="82"/>
      <c r="Q186" s="82">
        <v>169</v>
      </c>
    </row>
    <row r="187" spans="1:17" s="55" customFormat="1" x14ac:dyDescent="0.2">
      <c r="A187" s="82">
        <v>186</v>
      </c>
      <c r="B187" s="82">
        <v>1</v>
      </c>
      <c r="C187" s="102" t="s">
        <v>487</v>
      </c>
      <c r="D187" s="82"/>
      <c r="E187" s="82"/>
      <c r="F187" s="82"/>
      <c r="G187" s="82"/>
      <c r="H187" s="82">
        <f>SUM(_xlfn.IFNA(LOOKUP(Q187,use_fish!A:A,use_fish!E:E),0),_xlfn.IFNA(LOOKUP(R187,use_fish!A:A,use_fish!E:E),0),_xlfn.IFNA(LOOKUP(S187,use_fish!A:A,use_fish!E:E),0),_xlfn.IFNA(LOOKUP(T187,use_fish!A:A,use_fish!E:E),0),_xlfn.IFNA(LOOKUP(U187,use_fish!A:A,use_fish!E:E),0),_xlfn.IFNA(LOOKUP(V187,use_fish!A:A,use_fish!E:E),0),_xlfn.IFNA(LOOKUP(W187,use_fish!A:A,use_fish!E:E),0),)</f>
        <v>350</v>
      </c>
      <c r="I187" s="82">
        <f>SUM(_xlfn.IFNA(LOOKUP(Q187,use_fish!A:A,use_fish!I:I),0),_xlfn.IFNA(LOOKUP(R187,use_fish!A:A,use_fish!I:I),0),_xlfn.IFNA(LOOKUP(S187,use_fish!A:A,use_fish!I:I),0),_xlfn.IFNA(LOOKUP(T187,use_fish!A:A,use_fish!I:I),0),_xlfn.IFNA(LOOKUP(U187,use_fish!A:A,use_fish!I:I),0),_xlfn.IFNA(LOOKUP(V187,use_fish!A:A,use_fish!I:I),0),_xlfn.IFNA(LOOKUP(W187,use_fish!A:A,use_fish!I:I),0),)</f>
        <v>350</v>
      </c>
      <c r="J187" s="85">
        <f>SUM(_xlfn.IFNA(LOOKUP(Q187,use_fish!A:A,use_fish!K:K),0),_xlfn.IFNA(LOOKUP(R187,use_fish!A:A,use_fish!K:K),0),_xlfn.IFNA(LOOKUP(S187,use_fish!A:A,use_fish!K:K),0),_xlfn.IFNA(LOOKUP(T187,use_fish!A:A,use_fish!K:K),0),_xlfn.IFNA(LOOKUP(U187,use_fish!A:A,use_fish!K:K),0),_xlfn.IFNA(LOOKUP(V187,use_fish!A:A,use_fish!K:K),0),_xlfn.IFNA(LOOKUP(W187,use_fish!A:A,use_fish!K:K),0),)</f>
        <v>0</v>
      </c>
      <c r="K187" s="82"/>
      <c r="L187" s="82"/>
      <c r="M187" s="82"/>
      <c r="N187" s="82"/>
      <c r="O187" s="82"/>
      <c r="P187" s="82"/>
      <c r="Q187" s="82">
        <v>170</v>
      </c>
    </row>
    <row r="188" spans="1:17" s="55" customFormat="1" x14ac:dyDescent="0.2">
      <c r="A188" s="82">
        <v>187</v>
      </c>
      <c r="B188" s="82">
        <v>1</v>
      </c>
      <c r="C188" s="102" t="s">
        <v>488</v>
      </c>
      <c r="D188" s="82"/>
      <c r="E188" s="82"/>
      <c r="F188" s="82"/>
      <c r="G188" s="82"/>
      <c r="H188" s="82">
        <f>SUM(_xlfn.IFNA(LOOKUP(Q188,use_fish!A:A,use_fish!E:E),0),_xlfn.IFNA(LOOKUP(R188,use_fish!A:A,use_fish!E:E),0),_xlfn.IFNA(LOOKUP(S188,use_fish!A:A,use_fish!E:E),0),_xlfn.IFNA(LOOKUP(T188,use_fish!A:A,use_fish!E:E),0),_xlfn.IFNA(LOOKUP(U188,use_fish!A:A,use_fish!E:E),0),_xlfn.IFNA(LOOKUP(V188,use_fish!A:A,use_fish!E:E),0),_xlfn.IFNA(LOOKUP(W188,use_fish!A:A,use_fish!E:E),0),)</f>
        <v>450</v>
      </c>
      <c r="I188" s="82">
        <f>SUM(_xlfn.IFNA(LOOKUP(Q188,use_fish!A:A,use_fish!I:I),0),_xlfn.IFNA(LOOKUP(R188,use_fish!A:A,use_fish!I:I),0),_xlfn.IFNA(LOOKUP(S188,use_fish!A:A,use_fish!I:I),0),_xlfn.IFNA(LOOKUP(T188,use_fish!A:A,use_fish!I:I),0),_xlfn.IFNA(LOOKUP(U188,use_fish!A:A,use_fish!I:I),0),_xlfn.IFNA(LOOKUP(V188,use_fish!A:A,use_fish!I:I),0),_xlfn.IFNA(LOOKUP(W188,use_fish!A:A,use_fish!I:I),0),)</f>
        <v>450</v>
      </c>
      <c r="J188" s="85">
        <f>SUM(_xlfn.IFNA(LOOKUP(Q188,use_fish!A:A,use_fish!K:K),0),_xlfn.IFNA(LOOKUP(R188,use_fish!A:A,use_fish!K:K),0),_xlfn.IFNA(LOOKUP(S188,use_fish!A:A,use_fish!K:K),0),_xlfn.IFNA(LOOKUP(T188,use_fish!A:A,use_fish!K:K),0),_xlfn.IFNA(LOOKUP(U188,use_fish!A:A,use_fish!K:K),0),_xlfn.IFNA(LOOKUP(V188,use_fish!A:A,use_fish!K:K),0),_xlfn.IFNA(LOOKUP(W188,use_fish!A:A,use_fish!K:K),0),)</f>
        <v>0</v>
      </c>
      <c r="K188" s="82"/>
      <c r="L188" s="82"/>
      <c r="M188" s="82"/>
      <c r="N188" s="82"/>
      <c r="O188" s="82"/>
      <c r="P188" s="82"/>
      <c r="Q188" s="82">
        <v>171</v>
      </c>
    </row>
    <row r="189" spans="1:17" s="55" customFormat="1" x14ac:dyDescent="0.2">
      <c r="A189" s="82">
        <v>188</v>
      </c>
      <c r="B189" s="82">
        <v>1</v>
      </c>
      <c r="C189" s="102" t="s">
        <v>491</v>
      </c>
      <c r="D189" s="82"/>
      <c r="E189" s="82"/>
      <c r="F189" s="82"/>
      <c r="G189" s="82"/>
      <c r="H189" s="82">
        <f>SUM(_xlfn.IFNA(LOOKUP(Q189,use_fish!A:A,use_fish!E:E),0),_xlfn.IFNA(LOOKUP(R189,use_fish!A:A,use_fish!E:E),0),_xlfn.IFNA(LOOKUP(S189,use_fish!A:A,use_fish!E:E),0),_xlfn.IFNA(LOOKUP(T189,use_fish!A:A,use_fish!E:E),0),_xlfn.IFNA(LOOKUP(U189,use_fish!A:A,use_fish!E:E),0),_xlfn.IFNA(LOOKUP(V189,use_fish!A:A,use_fish!E:E),0),_xlfn.IFNA(LOOKUP(W189,use_fish!A:A,use_fish!E:E),0),)</f>
        <v>200</v>
      </c>
      <c r="I189" s="82">
        <f>SUM(_xlfn.IFNA(LOOKUP(Q189,use_fish!A:A,use_fish!I:I),0),_xlfn.IFNA(LOOKUP(R189,use_fish!A:A,use_fish!I:I),0),_xlfn.IFNA(LOOKUP(S189,use_fish!A:A,use_fish!I:I),0),_xlfn.IFNA(LOOKUP(T189,use_fish!A:A,use_fish!I:I),0),_xlfn.IFNA(LOOKUP(U189,use_fish!A:A,use_fish!I:I),0),_xlfn.IFNA(LOOKUP(V189,use_fish!A:A,use_fish!I:I),0),_xlfn.IFNA(LOOKUP(W189,use_fish!A:A,use_fish!I:I),0),)</f>
        <v>200</v>
      </c>
      <c r="J189" s="85">
        <f>SUM(_xlfn.IFNA(LOOKUP(Q189,use_fish!A:A,use_fish!K:K),0),_xlfn.IFNA(LOOKUP(R189,use_fish!A:A,use_fish!K:K),0),_xlfn.IFNA(LOOKUP(S189,use_fish!A:A,use_fish!K:K),0),_xlfn.IFNA(LOOKUP(T189,use_fish!A:A,use_fish!K:K),0),_xlfn.IFNA(LOOKUP(U189,use_fish!A:A,use_fish!K:K),0),_xlfn.IFNA(LOOKUP(V189,use_fish!A:A,use_fish!K:K),0),_xlfn.IFNA(LOOKUP(W189,use_fish!A:A,use_fish!K:K),0),)</f>
        <v>0</v>
      </c>
      <c r="K189" s="82"/>
      <c r="L189" s="82"/>
      <c r="M189" s="82"/>
      <c r="N189" s="82"/>
      <c r="O189" s="82"/>
      <c r="P189" s="82"/>
      <c r="Q189" s="82">
        <v>172</v>
      </c>
    </row>
    <row r="190" spans="1:17" s="55" customFormat="1" x14ac:dyDescent="0.2">
      <c r="A190" s="82">
        <v>189</v>
      </c>
      <c r="B190" s="82">
        <v>1</v>
      </c>
      <c r="C190" s="102" t="s">
        <v>492</v>
      </c>
      <c r="D190" s="82"/>
      <c r="E190" s="82"/>
      <c r="F190" s="82"/>
      <c r="G190" s="82"/>
      <c r="H190" s="82">
        <f>SUM(_xlfn.IFNA(LOOKUP(Q190,use_fish!A:A,use_fish!E:E),0),_xlfn.IFNA(LOOKUP(R190,use_fish!A:A,use_fish!E:E),0),_xlfn.IFNA(LOOKUP(S190,use_fish!A:A,use_fish!E:E),0),_xlfn.IFNA(LOOKUP(T190,use_fish!A:A,use_fish!E:E),0),_xlfn.IFNA(LOOKUP(U190,use_fish!A:A,use_fish!E:E),0),_xlfn.IFNA(LOOKUP(V190,use_fish!A:A,use_fish!E:E),0),_xlfn.IFNA(LOOKUP(W190,use_fish!A:A,use_fish!E:E),0),)</f>
        <v>0</v>
      </c>
      <c r="I190" s="82">
        <f>SUM(_xlfn.IFNA(LOOKUP(Q190,use_fish!A:A,use_fish!I:I),0),_xlfn.IFNA(LOOKUP(R190,use_fish!A:A,use_fish!I:I),0),_xlfn.IFNA(LOOKUP(S190,use_fish!A:A,use_fish!I:I),0),_xlfn.IFNA(LOOKUP(T190,use_fish!A:A,use_fish!I:I),0),_xlfn.IFNA(LOOKUP(U190,use_fish!A:A,use_fish!I:I),0),_xlfn.IFNA(LOOKUP(V190,use_fish!A:A,use_fish!I:I),0),_xlfn.IFNA(LOOKUP(W190,use_fish!A:A,use_fish!I:I),0),)</f>
        <v>0</v>
      </c>
      <c r="J190" s="85">
        <f>SUM(_xlfn.IFNA(LOOKUP(Q190,use_fish!A:A,use_fish!K:K),0),_xlfn.IFNA(LOOKUP(R190,use_fish!A:A,use_fish!K:K),0),_xlfn.IFNA(LOOKUP(S190,use_fish!A:A,use_fish!K:K),0),_xlfn.IFNA(LOOKUP(T190,use_fish!A:A,use_fish!K:K),0),_xlfn.IFNA(LOOKUP(U190,use_fish!A:A,use_fish!K:K),0),_xlfn.IFNA(LOOKUP(V190,use_fish!A:A,use_fish!K:K),0),_xlfn.IFNA(LOOKUP(W190,use_fish!A:A,use_fish!K:K),0),)</f>
        <v>0</v>
      </c>
      <c r="K190" s="82"/>
      <c r="L190" s="82"/>
      <c r="M190" s="82"/>
      <c r="N190" s="82"/>
      <c r="O190" s="82"/>
      <c r="P190" s="82"/>
      <c r="Q190" s="82">
        <v>173</v>
      </c>
    </row>
    <row r="191" spans="1:17" s="62" customFormat="1" x14ac:dyDescent="0.2">
      <c r="A191" s="62">
        <v>190</v>
      </c>
      <c r="B191" s="62">
        <v>1</v>
      </c>
      <c r="C191" s="97" t="s">
        <v>513</v>
      </c>
      <c r="H191" s="62">
        <f>SUM(_xlfn.IFNA(LOOKUP(Q191,use_fish!A:A,use_fish!E:E),0),_xlfn.IFNA(LOOKUP(R191,use_fish!A:A,use_fish!E:E),0),_xlfn.IFNA(LOOKUP(S191,use_fish!A:A,use_fish!E:E),0),_xlfn.IFNA(LOOKUP(T191,use_fish!A:A,use_fish!E:E),0),_xlfn.IFNA(LOOKUP(U191,use_fish!A:A,use_fish!E:E),0),_xlfn.IFNA(LOOKUP(V191,use_fish!A:A,use_fish!E:E),0),_xlfn.IFNA(LOOKUP(W191,use_fish!A:A,use_fish!E:E),0),)</f>
        <v>126</v>
      </c>
      <c r="I191" s="62">
        <f>SUM(_xlfn.IFNA(LOOKUP(Q191,use_fish!A:A,use_fish!I:I),0),_xlfn.IFNA(LOOKUP(R191,use_fish!A:A,use_fish!I:I),0),_xlfn.IFNA(LOOKUP(S191,use_fish!A:A,use_fish!I:I),0),_xlfn.IFNA(LOOKUP(T191,use_fish!A:A,use_fish!I:I),0),_xlfn.IFNA(LOOKUP(U191,use_fish!A:A,use_fish!I:I),0),_xlfn.IFNA(LOOKUP(V191,use_fish!A:A,use_fish!I:I),0),_xlfn.IFNA(LOOKUP(W191,use_fish!A:A,use_fish!I:I),0),)</f>
        <v>120</v>
      </c>
      <c r="J191" s="61">
        <f>SUM(_xlfn.IFNA(LOOKUP(Q191,use_fish!A:A,use_fish!K:K),0),_xlfn.IFNA(LOOKUP(R191,use_fish!A:A,use_fish!K:K),0),_xlfn.IFNA(LOOKUP(S191,use_fish!A:A,use_fish!K:K),0),_xlfn.IFNA(LOOKUP(T191,use_fish!A:A,use_fish!K:K),0),_xlfn.IFNA(LOOKUP(U191,use_fish!A:A,use_fish!K:K),0),_xlfn.IFNA(LOOKUP(V191,use_fish!A:A,use_fish!K:K),0),_xlfn.IFNA(LOOKUP(W191,use_fish!A:A,use_fish!K:K),0),)</f>
        <v>0</v>
      </c>
      <c r="Q191" s="62">
        <v>174</v>
      </c>
    </row>
    <row r="192" spans="1:17" s="62" customFormat="1" x14ac:dyDescent="0.2">
      <c r="A192" s="62">
        <v>191</v>
      </c>
      <c r="B192" s="62">
        <v>1</v>
      </c>
      <c r="C192" s="97" t="s">
        <v>514</v>
      </c>
      <c r="H192" s="62">
        <f>SUM(_xlfn.IFNA(LOOKUP(Q192,use_fish!A:A,use_fish!E:E),0),_xlfn.IFNA(LOOKUP(R192,use_fish!A:A,use_fish!E:E),0),_xlfn.IFNA(LOOKUP(S192,use_fish!A:A,use_fish!E:E),0),_xlfn.IFNA(LOOKUP(T192,use_fish!A:A,use_fish!E:E),0),_xlfn.IFNA(LOOKUP(U192,use_fish!A:A,use_fish!E:E),0),_xlfn.IFNA(LOOKUP(V192,use_fish!A:A,use_fish!E:E),0),_xlfn.IFNA(LOOKUP(W192,use_fish!A:A,use_fish!E:E),0),)</f>
        <v>126</v>
      </c>
      <c r="I192" s="62">
        <f>SUM(_xlfn.IFNA(LOOKUP(Q192,use_fish!A:A,use_fish!I:I),0),_xlfn.IFNA(LOOKUP(R192,use_fish!A:A,use_fish!I:I),0),_xlfn.IFNA(LOOKUP(S192,use_fish!A:A,use_fish!I:I),0),_xlfn.IFNA(LOOKUP(T192,use_fish!A:A,use_fish!I:I),0),_xlfn.IFNA(LOOKUP(U192,use_fish!A:A,use_fish!I:I),0),_xlfn.IFNA(LOOKUP(V192,use_fish!A:A,use_fish!I:I),0),_xlfn.IFNA(LOOKUP(W192,use_fish!A:A,use_fish!I:I),0),)</f>
        <v>120</v>
      </c>
      <c r="J192" s="61">
        <f>SUM(_xlfn.IFNA(LOOKUP(Q192,use_fish!A:A,use_fish!K:K),0),_xlfn.IFNA(LOOKUP(R192,use_fish!A:A,use_fish!K:K),0),_xlfn.IFNA(LOOKUP(S192,use_fish!A:A,use_fish!K:K),0),_xlfn.IFNA(LOOKUP(T192,use_fish!A:A,use_fish!K:K),0),_xlfn.IFNA(LOOKUP(U192,use_fish!A:A,use_fish!K:K),0),_xlfn.IFNA(LOOKUP(V192,use_fish!A:A,use_fish!K:K),0),_xlfn.IFNA(LOOKUP(W192,use_fish!A:A,use_fish!K:K),0),)</f>
        <v>0</v>
      </c>
      <c r="Q192" s="62">
        <v>175</v>
      </c>
    </row>
    <row r="193" spans="1:17" s="62" customFormat="1" x14ac:dyDescent="0.2">
      <c r="A193" s="62">
        <v>192</v>
      </c>
      <c r="B193" s="62">
        <v>1</v>
      </c>
      <c r="C193" s="97" t="s">
        <v>515</v>
      </c>
      <c r="H193" s="62">
        <f>SUM(_xlfn.IFNA(LOOKUP(Q193,use_fish!A:A,use_fish!E:E),0),_xlfn.IFNA(LOOKUP(R193,use_fish!A:A,use_fish!E:E),0),_xlfn.IFNA(LOOKUP(S193,use_fish!A:A,use_fish!E:E),0),_xlfn.IFNA(LOOKUP(T193,use_fish!A:A,use_fish!E:E),0),_xlfn.IFNA(LOOKUP(U193,use_fish!A:A,use_fish!E:E),0),_xlfn.IFNA(LOOKUP(V193,use_fish!A:A,use_fish!E:E),0),_xlfn.IFNA(LOOKUP(W193,use_fish!A:A,use_fish!E:E),0),)</f>
        <v>126</v>
      </c>
      <c r="I193" s="62">
        <f>SUM(_xlfn.IFNA(LOOKUP(Q193,use_fish!A:A,use_fish!I:I),0),_xlfn.IFNA(LOOKUP(R193,use_fish!A:A,use_fish!I:I),0),_xlfn.IFNA(LOOKUP(S193,use_fish!A:A,use_fish!I:I),0),_xlfn.IFNA(LOOKUP(T193,use_fish!A:A,use_fish!I:I),0),_xlfn.IFNA(LOOKUP(U193,use_fish!A:A,use_fish!I:I),0),_xlfn.IFNA(LOOKUP(V193,use_fish!A:A,use_fish!I:I),0),_xlfn.IFNA(LOOKUP(W193,use_fish!A:A,use_fish!I:I),0),)</f>
        <v>120</v>
      </c>
      <c r="J193" s="61">
        <f>SUM(_xlfn.IFNA(LOOKUP(Q193,use_fish!A:A,use_fish!K:K),0),_xlfn.IFNA(LOOKUP(R193,use_fish!A:A,use_fish!K:K),0),_xlfn.IFNA(LOOKUP(S193,use_fish!A:A,use_fish!K:K),0),_xlfn.IFNA(LOOKUP(T193,use_fish!A:A,use_fish!K:K),0),_xlfn.IFNA(LOOKUP(U193,use_fish!A:A,use_fish!K:K),0),_xlfn.IFNA(LOOKUP(V193,use_fish!A:A,use_fish!K:K),0),_xlfn.IFNA(LOOKUP(W193,use_fish!A:A,use_fish!K:K),0),)</f>
        <v>0</v>
      </c>
      <c r="Q193" s="62">
        <v>176</v>
      </c>
    </row>
    <row r="194" spans="1:17" s="62" customFormat="1" x14ac:dyDescent="0.2">
      <c r="A194" s="62">
        <v>193</v>
      </c>
      <c r="B194" s="62">
        <v>1</v>
      </c>
      <c r="C194" s="97" t="s">
        <v>516</v>
      </c>
      <c r="H194" s="62">
        <f>SUM(_xlfn.IFNA(LOOKUP(Q194,use_fish!A:A,use_fish!E:E),0),_xlfn.IFNA(LOOKUP(R194,use_fish!A:A,use_fish!E:E),0),_xlfn.IFNA(LOOKUP(S194,use_fish!A:A,use_fish!E:E),0),_xlfn.IFNA(LOOKUP(T194,use_fish!A:A,use_fish!E:E),0),_xlfn.IFNA(LOOKUP(U194,use_fish!A:A,use_fish!E:E),0),_xlfn.IFNA(LOOKUP(V194,use_fish!A:A,use_fish!E:E),0),_xlfn.IFNA(LOOKUP(W194,use_fish!A:A,use_fish!E:E),0),)</f>
        <v>168</v>
      </c>
      <c r="I194" s="62">
        <f>SUM(_xlfn.IFNA(LOOKUP(Q194,use_fish!A:A,use_fish!I:I),0),_xlfn.IFNA(LOOKUP(R194,use_fish!A:A,use_fish!I:I),0),_xlfn.IFNA(LOOKUP(S194,use_fish!A:A,use_fish!I:I),0),_xlfn.IFNA(LOOKUP(T194,use_fish!A:A,use_fish!I:I),0),_xlfn.IFNA(LOOKUP(U194,use_fish!A:A,use_fish!I:I),0),_xlfn.IFNA(LOOKUP(V194,use_fish!A:A,use_fish!I:I),0),_xlfn.IFNA(LOOKUP(W194,use_fish!A:A,use_fish!I:I),0),)</f>
        <v>160</v>
      </c>
      <c r="J194" s="61">
        <f>SUM(_xlfn.IFNA(LOOKUP(Q194,use_fish!A:A,use_fish!K:K),0),_xlfn.IFNA(LOOKUP(R194,use_fish!A:A,use_fish!K:K),0),_xlfn.IFNA(LOOKUP(S194,use_fish!A:A,use_fish!K:K),0),_xlfn.IFNA(LOOKUP(T194,use_fish!A:A,use_fish!K:K),0),_xlfn.IFNA(LOOKUP(U194,use_fish!A:A,use_fish!K:K),0),_xlfn.IFNA(LOOKUP(V194,use_fish!A:A,use_fish!K:K),0),_xlfn.IFNA(LOOKUP(W194,use_fish!A:A,use_fish!K:K),0),)</f>
        <v>0</v>
      </c>
      <c r="Q194" s="62">
        <v>177</v>
      </c>
    </row>
    <row r="195" spans="1:17" s="62" customFormat="1" x14ac:dyDescent="0.2">
      <c r="A195" s="62">
        <v>194</v>
      </c>
      <c r="B195" s="62">
        <v>1</v>
      </c>
      <c r="C195" s="97" t="s">
        <v>517</v>
      </c>
      <c r="H195" s="62">
        <f>SUM(_xlfn.IFNA(LOOKUP(Q195,use_fish!A:A,use_fish!E:E),0),_xlfn.IFNA(LOOKUP(R195,use_fish!A:A,use_fish!E:E),0),_xlfn.IFNA(LOOKUP(S195,use_fish!A:A,use_fish!E:E),0),_xlfn.IFNA(LOOKUP(T195,use_fish!A:A,use_fish!E:E),0),_xlfn.IFNA(LOOKUP(U195,use_fish!A:A,use_fish!E:E),0),_xlfn.IFNA(LOOKUP(V195,use_fish!A:A,use_fish!E:E),0),_xlfn.IFNA(LOOKUP(W195,use_fish!A:A,use_fish!E:E),0),)</f>
        <v>210</v>
      </c>
      <c r="I195" s="62">
        <f>SUM(_xlfn.IFNA(LOOKUP(Q195,use_fish!A:A,use_fish!I:I),0),_xlfn.IFNA(LOOKUP(R195,use_fish!A:A,use_fish!I:I),0),_xlfn.IFNA(LOOKUP(S195,use_fish!A:A,use_fish!I:I),0),_xlfn.IFNA(LOOKUP(T195,use_fish!A:A,use_fish!I:I),0),_xlfn.IFNA(LOOKUP(U195,use_fish!A:A,use_fish!I:I),0),_xlfn.IFNA(LOOKUP(V195,use_fish!A:A,use_fish!I:I),0),_xlfn.IFNA(LOOKUP(W195,use_fish!A:A,use_fish!I:I),0),)</f>
        <v>200</v>
      </c>
      <c r="J195" s="61">
        <f>SUM(_xlfn.IFNA(LOOKUP(Q195,use_fish!A:A,use_fish!K:K),0),_xlfn.IFNA(LOOKUP(R195,use_fish!A:A,use_fish!K:K),0),_xlfn.IFNA(LOOKUP(S195,use_fish!A:A,use_fish!K:K),0),_xlfn.IFNA(LOOKUP(T195,use_fish!A:A,use_fish!K:K),0),_xlfn.IFNA(LOOKUP(U195,use_fish!A:A,use_fish!K:K),0),_xlfn.IFNA(LOOKUP(V195,use_fish!A:A,use_fish!K:K),0),_xlfn.IFNA(LOOKUP(W195,use_fish!A:A,use_fish!K:K),0),)</f>
        <v>0</v>
      </c>
      <c r="Q195" s="62">
        <v>178</v>
      </c>
    </row>
    <row r="196" spans="1:17" s="62" customFormat="1" x14ac:dyDescent="0.2">
      <c r="A196" s="62">
        <v>195</v>
      </c>
      <c r="B196" s="62">
        <v>1</v>
      </c>
      <c r="C196" s="97" t="s">
        <v>518</v>
      </c>
      <c r="H196" s="62">
        <f>SUM(_xlfn.IFNA(LOOKUP(Q196,use_fish!A:A,use_fish!E:E),0),_xlfn.IFNA(LOOKUP(R196,use_fish!A:A,use_fish!E:E),0),_xlfn.IFNA(LOOKUP(S196,use_fish!A:A,use_fish!E:E),0),_xlfn.IFNA(LOOKUP(T196,use_fish!A:A,use_fish!E:E),0),_xlfn.IFNA(LOOKUP(U196,use_fish!A:A,use_fish!E:E),0),_xlfn.IFNA(LOOKUP(V196,use_fish!A:A,use_fish!E:E),0),_xlfn.IFNA(LOOKUP(W196,use_fish!A:A,use_fish!E:E),0),)</f>
        <v>210</v>
      </c>
      <c r="I196" s="62">
        <f>SUM(_xlfn.IFNA(LOOKUP(Q196,use_fish!A:A,use_fish!I:I),0),_xlfn.IFNA(LOOKUP(R196,use_fish!A:A,use_fish!I:I),0),_xlfn.IFNA(LOOKUP(S196,use_fish!A:A,use_fish!I:I),0),_xlfn.IFNA(LOOKUP(T196,use_fish!A:A,use_fish!I:I),0),_xlfn.IFNA(LOOKUP(U196,use_fish!A:A,use_fish!I:I),0),_xlfn.IFNA(LOOKUP(V196,use_fish!A:A,use_fish!I:I),0),_xlfn.IFNA(LOOKUP(W196,use_fish!A:A,use_fish!I:I),0),)</f>
        <v>200</v>
      </c>
      <c r="J196" s="61">
        <f>SUM(_xlfn.IFNA(LOOKUP(Q196,use_fish!A:A,use_fish!K:K),0),_xlfn.IFNA(LOOKUP(R196,use_fish!A:A,use_fish!K:K),0),_xlfn.IFNA(LOOKUP(S196,use_fish!A:A,use_fish!K:K),0),_xlfn.IFNA(LOOKUP(T196,use_fish!A:A,use_fish!K:K),0),_xlfn.IFNA(LOOKUP(U196,use_fish!A:A,use_fish!K:K),0),_xlfn.IFNA(LOOKUP(V196,use_fish!A:A,use_fish!K:K),0),_xlfn.IFNA(LOOKUP(W196,use_fish!A:A,use_fish!K:K),0),)</f>
        <v>0</v>
      </c>
      <c r="Q196" s="62">
        <v>179</v>
      </c>
    </row>
    <row r="197" spans="1:17" s="103" customFormat="1" x14ac:dyDescent="0.2">
      <c r="A197" s="103">
        <v>196</v>
      </c>
      <c r="B197" s="103">
        <v>1</v>
      </c>
      <c r="C197" s="104" t="s">
        <v>521</v>
      </c>
      <c r="H197" s="103">
        <f>SUM(_xlfn.IFNA(LOOKUP(Q197,use_fish!A:A,use_fish!E:E),0),_xlfn.IFNA(LOOKUP(R197,use_fish!A:A,use_fish!E:E),0),_xlfn.IFNA(LOOKUP(S197,use_fish!A:A,use_fish!E:E),0),_xlfn.IFNA(LOOKUP(T197,use_fish!A:A,use_fish!E:E),0),_xlfn.IFNA(LOOKUP(U197,use_fish!A:A,use_fish!E:E),0),_xlfn.IFNA(LOOKUP(V197,use_fish!A:A,use_fish!E:E),0),_xlfn.IFNA(LOOKUP(W197,use_fish!A:A,use_fish!E:E),0),)</f>
        <v>73</v>
      </c>
      <c r="I197" s="103">
        <f>SUM(_xlfn.IFNA(LOOKUP(Q197,use_fish!A:A,use_fish!I:I),0),_xlfn.IFNA(LOOKUP(R197,use_fish!A:A,use_fish!I:I),0),_xlfn.IFNA(LOOKUP(S197,use_fish!A:A,use_fish!I:I),0),_xlfn.IFNA(LOOKUP(T197,use_fish!A:A,use_fish!I:I),0),_xlfn.IFNA(LOOKUP(U197,use_fish!A:A,use_fish!I:I),0),_xlfn.IFNA(LOOKUP(V197,use_fish!A:A,use_fish!I:I),0),_xlfn.IFNA(LOOKUP(W197,use_fish!A:A,use_fish!I:I),0),)</f>
        <v>60</v>
      </c>
      <c r="J197" s="105">
        <f>SUM(_xlfn.IFNA(LOOKUP(Q197,use_fish!A:A,use_fish!K:K),0),_xlfn.IFNA(LOOKUP(R197,use_fish!A:A,use_fish!K:K),0),_xlfn.IFNA(LOOKUP(S197,use_fish!A:A,use_fish!K:K),0),_xlfn.IFNA(LOOKUP(T197,use_fish!A:A,use_fish!K:K),0),_xlfn.IFNA(LOOKUP(U197,use_fish!A:A,use_fish!K:K),0),_xlfn.IFNA(LOOKUP(V197,use_fish!A:A,use_fish!K:K),0),_xlfn.IFNA(LOOKUP(W197,use_fish!A:A,use_fish!K:K),0),)</f>
        <v>0</v>
      </c>
      <c r="Q197" s="103">
        <v>180</v>
      </c>
    </row>
    <row r="198" spans="1:17" s="103" customFormat="1" x14ac:dyDescent="0.2">
      <c r="A198" s="103">
        <v>197</v>
      </c>
      <c r="B198" s="103">
        <v>1</v>
      </c>
      <c r="C198" s="104" t="s">
        <v>522</v>
      </c>
      <c r="H198" s="103">
        <f>SUM(_xlfn.IFNA(LOOKUP(Q198,use_fish!A:A,use_fish!E:E),0),_xlfn.IFNA(LOOKUP(R198,use_fish!A:A,use_fish!E:E),0),_xlfn.IFNA(LOOKUP(S198,use_fish!A:A,use_fish!E:E),0),_xlfn.IFNA(LOOKUP(T198,use_fish!A:A,use_fish!E:E),0),_xlfn.IFNA(LOOKUP(U198,use_fish!A:A,use_fish!E:E),0),_xlfn.IFNA(LOOKUP(V198,use_fish!A:A,use_fish!E:E),0),_xlfn.IFNA(LOOKUP(W198,use_fish!A:A,use_fish!E:E),0),)</f>
        <v>73</v>
      </c>
      <c r="I198" s="103">
        <f>SUM(_xlfn.IFNA(LOOKUP(Q198,use_fish!A:A,use_fish!I:I),0),_xlfn.IFNA(LOOKUP(R198,use_fish!A:A,use_fish!I:I),0),_xlfn.IFNA(LOOKUP(S198,use_fish!A:A,use_fish!I:I),0),_xlfn.IFNA(LOOKUP(T198,use_fish!A:A,use_fish!I:I),0),_xlfn.IFNA(LOOKUP(U198,use_fish!A:A,use_fish!I:I),0),_xlfn.IFNA(LOOKUP(V198,use_fish!A:A,use_fish!I:I),0),_xlfn.IFNA(LOOKUP(W198,use_fish!A:A,use_fish!I:I),0),)</f>
        <v>60</v>
      </c>
      <c r="J198" s="105">
        <f>SUM(_xlfn.IFNA(LOOKUP(Q198,use_fish!A:A,use_fish!K:K),0),_xlfn.IFNA(LOOKUP(R198,use_fish!A:A,use_fish!K:K),0),_xlfn.IFNA(LOOKUP(S198,use_fish!A:A,use_fish!K:K),0),_xlfn.IFNA(LOOKUP(T198,use_fish!A:A,use_fish!K:K),0),_xlfn.IFNA(LOOKUP(U198,use_fish!A:A,use_fish!K:K),0),_xlfn.IFNA(LOOKUP(V198,use_fish!A:A,use_fish!K:K),0),_xlfn.IFNA(LOOKUP(W198,use_fish!A:A,use_fish!K:K),0),)</f>
        <v>0</v>
      </c>
      <c r="Q198" s="103">
        <v>181</v>
      </c>
    </row>
    <row r="199" spans="1:17" s="103" customFormat="1" x14ac:dyDescent="0.2">
      <c r="A199" s="103">
        <v>198</v>
      </c>
      <c r="B199" s="103">
        <v>1</v>
      </c>
      <c r="C199" s="104" t="s">
        <v>523</v>
      </c>
      <c r="H199" s="103">
        <f>SUM(_xlfn.IFNA(LOOKUP(Q199,use_fish!A:A,use_fish!E:E),0),_xlfn.IFNA(LOOKUP(R199,use_fish!A:A,use_fish!E:E),0),_xlfn.IFNA(LOOKUP(S199,use_fish!A:A,use_fish!E:E),0),_xlfn.IFNA(LOOKUP(T199,use_fish!A:A,use_fish!E:E),0),_xlfn.IFNA(LOOKUP(U199,use_fish!A:A,use_fish!E:E),0),_xlfn.IFNA(LOOKUP(V199,use_fish!A:A,use_fish!E:E),0),_xlfn.IFNA(LOOKUP(W199,use_fish!A:A,use_fish!E:E),0),)</f>
        <v>73</v>
      </c>
      <c r="I199" s="103">
        <f>SUM(_xlfn.IFNA(LOOKUP(Q199,use_fish!A:A,use_fish!I:I),0),_xlfn.IFNA(LOOKUP(R199,use_fish!A:A,use_fish!I:I),0),_xlfn.IFNA(LOOKUP(S199,use_fish!A:A,use_fish!I:I),0),_xlfn.IFNA(LOOKUP(T199,use_fish!A:A,use_fish!I:I),0),_xlfn.IFNA(LOOKUP(U199,use_fish!A:A,use_fish!I:I),0),_xlfn.IFNA(LOOKUP(V199,use_fish!A:A,use_fish!I:I),0),_xlfn.IFNA(LOOKUP(W199,use_fish!A:A,use_fish!I:I),0),)</f>
        <v>60</v>
      </c>
      <c r="J199" s="105">
        <f>SUM(_xlfn.IFNA(LOOKUP(Q199,use_fish!A:A,use_fish!K:K),0),_xlfn.IFNA(LOOKUP(R199,use_fish!A:A,use_fish!K:K),0),_xlfn.IFNA(LOOKUP(S199,use_fish!A:A,use_fish!K:K),0),_xlfn.IFNA(LOOKUP(T199,use_fish!A:A,use_fish!K:K),0),_xlfn.IFNA(LOOKUP(U199,use_fish!A:A,use_fish!K:K),0),_xlfn.IFNA(LOOKUP(V199,use_fish!A:A,use_fish!K:K),0),_xlfn.IFNA(LOOKUP(W199,use_fish!A:A,use_fish!K:K),0),)</f>
        <v>0</v>
      </c>
      <c r="Q199" s="103">
        <v>182</v>
      </c>
    </row>
    <row r="200" spans="1:17" s="103" customFormat="1" x14ac:dyDescent="0.2">
      <c r="A200" s="103">
        <v>199</v>
      </c>
      <c r="B200" s="103">
        <v>1</v>
      </c>
      <c r="C200" s="104" t="s">
        <v>524</v>
      </c>
      <c r="H200" s="103">
        <f>SUM(_xlfn.IFNA(LOOKUP(Q200,use_fish!A:A,use_fish!E:E),0),_xlfn.IFNA(LOOKUP(R200,use_fish!A:A,use_fish!E:E),0),_xlfn.IFNA(LOOKUP(S200,use_fish!A:A,use_fish!E:E),0),_xlfn.IFNA(LOOKUP(T200,use_fish!A:A,use_fish!E:E),0),_xlfn.IFNA(LOOKUP(U200,use_fish!A:A,use_fish!E:E),0),_xlfn.IFNA(LOOKUP(V200,use_fish!A:A,use_fish!E:E),0),_xlfn.IFNA(LOOKUP(W200,use_fish!A:A,use_fish!E:E),0),)</f>
        <v>74</v>
      </c>
      <c r="I200" s="103">
        <f>SUM(_xlfn.IFNA(LOOKUP(Q200,use_fish!A:A,use_fish!I:I),0),_xlfn.IFNA(LOOKUP(R200,use_fish!A:A,use_fish!I:I),0),_xlfn.IFNA(LOOKUP(S200,use_fish!A:A,use_fish!I:I),0),_xlfn.IFNA(LOOKUP(T200,use_fish!A:A,use_fish!I:I),0),_xlfn.IFNA(LOOKUP(U200,use_fish!A:A,use_fish!I:I),0),_xlfn.IFNA(LOOKUP(V200,use_fish!A:A,use_fish!I:I),0),_xlfn.IFNA(LOOKUP(W200,use_fish!A:A,use_fish!I:I),0),)</f>
        <v>80</v>
      </c>
      <c r="J200" s="105">
        <f>SUM(_xlfn.IFNA(LOOKUP(Q200,use_fish!A:A,use_fish!K:K),0),_xlfn.IFNA(LOOKUP(R200,use_fish!A:A,use_fish!K:K),0),_xlfn.IFNA(LOOKUP(S200,use_fish!A:A,use_fish!K:K),0),_xlfn.IFNA(LOOKUP(T200,use_fish!A:A,use_fish!K:K),0),_xlfn.IFNA(LOOKUP(U200,use_fish!A:A,use_fish!K:K),0),_xlfn.IFNA(LOOKUP(V200,use_fish!A:A,use_fish!K:K),0),_xlfn.IFNA(LOOKUP(W200,use_fish!A:A,use_fish!K:K),0),)</f>
        <v>0</v>
      </c>
      <c r="Q200" s="103">
        <v>183</v>
      </c>
    </row>
    <row r="201" spans="1:17" s="103" customFormat="1" x14ac:dyDescent="0.2">
      <c r="A201" s="103">
        <v>200</v>
      </c>
      <c r="B201" s="103">
        <v>1</v>
      </c>
      <c r="C201" s="104" t="s">
        <v>525</v>
      </c>
      <c r="H201" s="103">
        <f>SUM(_xlfn.IFNA(LOOKUP(Q201,use_fish!A:A,use_fish!E:E),0),_xlfn.IFNA(LOOKUP(R201,use_fish!A:A,use_fish!E:E),0),_xlfn.IFNA(LOOKUP(S201,use_fish!A:A,use_fish!E:E),0),_xlfn.IFNA(LOOKUP(T201,use_fish!A:A,use_fish!E:E),0),_xlfn.IFNA(LOOKUP(U201,use_fish!A:A,use_fish!E:E),0),_xlfn.IFNA(LOOKUP(V201,use_fish!A:A,use_fish!E:E),0),_xlfn.IFNA(LOOKUP(W201,use_fish!A:A,use_fish!E:E),0),)</f>
        <v>115</v>
      </c>
      <c r="I201" s="103">
        <f>SUM(_xlfn.IFNA(LOOKUP(Q201,use_fish!A:A,use_fish!I:I),0),_xlfn.IFNA(LOOKUP(R201,use_fish!A:A,use_fish!I:I),0),_xlfn.IFNA(LOOKUP(S201,use_fish!A:A,use_fish!I:I),0),_xlfn.IFNA(LOOKUP(T201,use_fish!A:A,use_fish!I:I),0),_xlfn.IFNA(LOOKUP(U201,use_fish!A:A,use_fish!I:I),0),_xlfn.IFNA(LOOKUP(V201,use_fish!A:A,use_fish!I:I),0),_xlfn.IFNA(LOOKUP(W201,use_fish!A:A,use_fish!I:I),0),)</f>
        <v>100</v>
      </c>
      <c r="J201" s="105">
        <f>SUM(_xlfn.IFNA(LOOKUP(Q201,use_fish!A:A,use_fish!K:K),0),_xlfn.IFNA(LOOKUP(R201,use_fish!A:A,use_fish!K:K),0),_xlfn.IFNA(LOOKUP(S201,use_fish!A:A,use_fish!K:K),0),_xlfn.IFNA(LOOKUP(T201,use_fish!A:A,use_fish!K:K),0),_xlfn.IFNA(LOOKUP(U201,use_fish!A:A,use_fish!K:K),0),_xlfn.IFNA(LOOKUP(V201,use_fish!A:A,use_fish!K:K),0),_xlfn.IFNA(LOOKUP(W201,use_fish!A:A,use_fish!K:K),0),)</f>
        <v>0</v>
      </c>
      <c r="Q201" s="103">
        <v>184</v>
      </c>
    </row>
    <row r="202" spans="1:17" s="103" customFormat="1" x14ac:dyDescent="0.2">
      <c r="A202" s="103">
        <v>201</v>
      </c>
      <c r="B202" s="103">
        <v>1</v>
      </c>
      <c r="C202" s="104" t="s">
        <v>526</v>
      </c>
      <c r="H202" s="103">
        <f>SUM(_xlfn.IFNA(LOOKUP(Q202,use_fish!A:A,use_fish!E:E),0),_xlfn.IFNA(LOOKUP(R202,use_fish!A:A,use_fish!E:E),0),_xlfn.IFNA(LOOKUP(S202,use_fish!A:A,use_fish!E:E),0),_xlfn.IFNA(LOOKUP(T202,use_fish!A:A,use_fish!E:E),0),_xlfn.IFNA(LOOKUP(U202,use_fish!A:A,use_fish!E:E),0),_xlfn.IFNA(LOOKUP(V202,use_fish!A:A,use_fish!E:E),0),_xlfn.IFNA(LOOKUP(W202,use_fish!A:A,use_fish!E:E),0),)</f>
        <v>115</v>
      </c>
      <c r="I202" s="103">
        <f>SUM(_xlfn.IFNA(LOOKUP(Q202,use_fish!A:A,use_fish!I:I),0),_xlfn.IFNA(LOOKUP(R202,use_fish!A:A,use_fish!I:I),0),_xlfn.IFNA(LOOKUP(S202,use_fish!A:A,use_fish!I:I),0),_xlfn.IFNA(LOOKUP(T202,use_fish!A:A,use_fish!I:I),0),_xlfn.IFNA(LOOKUP(U202,use_fish!A:A,use_fish!I:I),0),_xlfn.IFNA(LOOKUP(V202,use_fish!A:A,use_fish!I:I),0),_xlfn.IFNA(LOOKUP(W202,use_fish!A:A,use_fish!I:I),0),)</f>
        <v>100</v>
      </c>
      <c r="J202" s="105">
        <f>SUM(_xlfn.IFNA(LOOKUP(Q202,use_fish!A:A,use_fish!K:K),0),_xlfn.IFNA(LOOKUP(R202,use_fish!A:A,use_fish!K:K),0),_xlfn.IFNA(LOOKUP(S202,use_fish!A:A,use_fish!K:K),0),_xlfn.IFNA(LOOKUP(T202,use_fish!A:A,use_fish!K:K),0),_xlfn.IFNA(LOOKUP(U202,use_fish!A:A,use_fish!K:K),0),_xlfn.IFNA(LOOKUP(V202,use_fish!A:A,use_fish!K:K),0),_xlfn.IFNA(LOOKUP(W202,use_fish!A:A,use_fish!K:K),0),)</f>
        <v>0</v>
      </c>
      <c r="Q202" s="103">
        <v>185</v>
      </c>
    </row>
  </sheetData>
  <autoFilter ref="I1:I46"/>
  <dataConsolidate/>
  <phoneticPr fontId="1" type="noConversion"/>
  <conditionalFormatting sqref="J12">
    <cfRule type="iconSet" priority="3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3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3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2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2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2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:H11 H27:H64">
    <cfRule type="iconSet" priority="14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161">
    <cfRule type="iconSet" priority="18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03:J1048576 K1 J2:J11 J13:J25 J27:J64">
    <cfRule type="iconSet" priority="18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03:I1048576 I13:I25 I1:I11 I27:I64">
    <cfRule type="iconSet" priority="19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188">
    <cfRule type="iconSet" priority="19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188">
    <cfRule type="iconSet" priority="19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62:H188">
    <cfRule type="iconSet" priority="20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89:I202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89:J202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89:H202">
    <cfRule type="iconSet" priority="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L2:L7 L13 L65:L66</xm:sqref>
        </x14:dataValidation>
        <x14:dataValidation type="list" showInputMessage="1" showErrorMessage="1">
          <x14:formula1>
            <xm:f>activity!$I$2:$I$10</xm:f>
          </x14:formula1>
          <xm:sqref>L14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186"/>
  <sheetViews>
    <sheetView zoomScaleNormal="100" workbookViewId="0">
      <pane ySplit="1" topLeftCell="A53" activePane="bottomLeft" state="frozen"/>
      <selection pane="bottomLeft" activeCell="A74" activeCellId="1" sqref="A60:XFD65 A74:XFD79"/>
    </sheetView>
  </sheetViews>
  <sheetFormatPr defaultColWidth="8.875" defaultRowHeight="14.25" x14ac:dyDescent="0.2"/>
  <cols>
    <col min="1" max="1" width="14.125" customWidth="1"/>
    <col min="2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21</v>
      </c>
      <c r="B1" s="1" t="s">
        <v>171</v>
      </c>
      <c r="C1" s="1" t="s">
        <v>16</v>
      </c>
      <c r="D1" s="1" t="s">
        <v>244</v>
      </c>
      <c r="E1" s="1" t="s">
        <v>77</v>
      </c>
      <c r="F1" s="1" t="s">
        <v>0</v>
      </c>
      <c r="G1" s="1" t="s">
        <v>23</v>
      </c>
      <c r="H1" s="1" t="s">
        <v>18</v>
      </c>
      <c r="I1" s="7" t="s">
        <v>83</v>
      </c>
      <c r="J1" s="7" t="s">
        <v>78</v>
      </c>
      <c r="K1" s="7" t="s">
        <v>86</v>
      </c>
      <c r="L1" s="7" t="s">
        <v>92</v>
      </c>
      <c r="M1" s="7" t="s">
        <v>93</v>
      </c>
      <c r="N1" s="7" t="s">
        <v>163</v>
      </c>
      <c r="O1" s="7" t="s">
        <v>170</v>
      </c>
    </row>
    <row r="2" spans="1:15" s="27" customFormat="1" x14ac:dyDescent="0.2">
      <c r="A2" s="24">
        <v>1</v>
      </c>
      <c r="B2" s="24">
        <v>1</v>
      </c>
      <c r="C2" s="24"/>
      <c r="D2" s="24"/>
      <c r="E2" s="25">
        <f>LOOKUP(use_fish!B2,base_fish!A:A,base_fish!C:C)+_xlfn.IFNA(INDEX(activity!F:F,MATCH(use_fish!C2,activity!A:A,0)),0)</f>
        <v>2</v>
      </c>
      <c r="F2" s="25">
        <f>1/E2</f>
        <v>0.5</v>
      </c>
      <c r="G2" s="25" t="s">
        <v>22</v>
      </c>
      <c r="H2" s="26" t="str">
        <f>INDEX(base_fish!E:E,MATCH(use_fish!B2,base_fish!A:A,0))&amp;_xlfn.IFNA("+"&amp;INDEX(activity!G:G,MATCH(use_fish!C2,activity!A:A,0)),"")</f>
        <v>小牛角</v>
      </c>
      <c r="I2" s="25">
        <f>LOOKUP(use_fish!B2,base_fish!A:A,base_fish!F:F)+_xlfn.IFNA(INDEX(activity!F:F,MATCH(use_fish!C2,activity!A:A,0)),0)</f>
        <v>2</v>
      </c>
      <c r="J2" s="27">
        <v>1</v>
      </c>
      <c r="K2" s="27">
        <f>LOOKUP(use_fish!B2,base_fish!A:A,base_fish!G:G)</f>
        <v>0</v>
      </c>
      <c r="L2" s="27">
        <f>I2</f>
        <v>2</v>
      </c>
      <c r="M2" s="27">
        <v>1</v>
      </c>
      <c r="N2" s="27">
        <f>IF(OR(C2=4,C2=5),1,0)</f>
        <v>0</v>
      </c>
      <c r="O2" s="27">
        <v>1</v>
      </c>
    </row>
    <row r="3" spans="1:15" s="27" customFormat="1" x14ac:dyDescent="0.2">
      <c r="A3" s="24">
        <v>2</v>
      </c>
      <c r="B3" s="24">
        <v>2</v>
      </c>
      <c r="C3" s="24"/>
      <c r="D3" s="24"/>
      <c r="E3" s="25">
        <f>LOOKUP(use_fish!B3,base_fish!A:A,base_fish!C:C)+_xlfn.IFNA(INDEX(activity!F:F,MATCH(use_fish!C3,activity!A:A,0)),0)</f>
        <v>2</v>
      </c>
      <c r="F3" s="25">
        <f>1/E3</f>
        <v>0.5</v>
      </c>
      <c r="G3" s="25" t="s">
        <v>22</v>
      </c>
      <c r="H3" s="26" t="str">
        <f>INDEX(base_fish!E:E,MATCH(use_fish!B3,base_fish!A:A,0))&amp;_xlfn.IFNA("+"&amp;INDEX(activity!G:G,MATCH(use_fish!C3,activity!A:A,0)),"")</f>
        <v>小气泡</v>
      </c>
      <c r="I3" s="25">
        <f>LOOKUP(use_fish!B3,base_fish!A:A,base_fish!F:F)+_xlfn.IFNA(INDEX(activity!F:F,MATCH(use_fish!C3,activity!A:A,0)),0)</f>
        <v>2</v>
      </c>
      <c r="J3" s="27">
        <v>1</v>
      </c>
      <c r="K3" s="27">
        <f>LOOKUP(use_fish!B3,base_fish!A:A,base_fish!G:G)</f>
        <v>0</v>
      </c>
      <c r="L3" s="27">
        <f t="shared" ref="L3:L19" si="0">I3</f>
        <v>2</v>
      </c>
      <c r="M3" s="27">
        <v>1</v>
      </c>
      <c r="N3" s="27">
        <f t="shared" ref="N3:N17" si="1">IF(OR(C3=4,C3=5),1,0)</f>
        <v>0</v>
      </c>
      <c r="O3" s="27">
        <v>1</v>
      </c>
    </row>
    <row r="4" spans="1:15" s="27" customFormat="1" x14ac:dyDescent="0.2">
      <c r="A4" s="24">
        <v>3</v>
      </c>
      <c r="B4" s="24">
        <v>3</v>
      </c>
      <c r="C4" s="24"/>
      <c r="D4" s="24"/>
      <c r="E4" s="25">
        <f>LOOKUP(use_fish!B4,base_fish!A:A,base_fish!C:C)+_xlfn.IFNA(INDEX(activity!F:F,MATCH(use_fish!C4,activity!A:A,0)),0)</f>
        <v>3</v>
      </c>
      <c r="F4" s="25">
        <f t="shared" ref="F4:F19" si="2">1/E4</f>
        <v>0.33333333333333331</v>
      </c>
      <c r="G4" s="25" t="s">
        <v>22</v>
      </c>
      <c r="H4" s="26" t="str">
        <f>INDEX(base_fish!E:E,MATCH(use_fish!B4,base_fish!A:A,0))&amp;_xlfn.IFNA("+"&amp;INDEX(activity!G:G,MATCH(use_fish!C4,activity!A:A,0)),"")</f>
        <v>小丑鱼</v>
      </c>
      <c r="I4" s="25">
        <f>LOOKUP(use_fish!B4,base_fish!A:A,base_fish!F:F)+_xlfn.IFNA(INDEX(activity!F:F,MATCH(use_fish!C4,activity!A:A,0)),0)</f>
        <v>3</v>
      </c>
      <c r="J4" s="27">
        <v>1</v>
      </c>
      <c r="K4" s="27">
        <f>LOOKUP(use_fish!B4,base_fish!A:A,base_fish!G:G)</f>
        <v>0</v>
      </c>
      <c r="L4" s="27">
        <f t="shared" si="0"/>
        <v>3</v>
      </c>
      <c r="M4" s="27">
        <v>1</v>
      </c>
      <c r="N4" s="27">
        <f t="shared" si="1"/>
        <v>0</v>
      </c>
      <c r="O4" s="27">
        <v>1</v>
      </c>
    </row>
    <row r="5" spans="1:15" s="27" customFormat="1" x14ac:dyDescent="0.2">
      <c r="A5" s="24">
        <v>4</v>
      </c>
      <c r="B5" s="24">
        <v>4</v>
      </c>
      <c r="C5" s="24"/>
      <c r="D5" s="24"/>
      <c r="E5" s="25">
        <f>LOOKUP(use_fish!B5,base_fish!A:A,base_fish!C:C)+_xlfn.IFNA(INDEX(activity!F:F,MATCH(use_fish!C5,activity!A:A,0)),0)</f>
        <v>4</v>
      </c>
      <c r="F5" s="25">
        <f t="shared" si="2"/>
        <v>0.25</v>
      </c>
      <c r="G5" s="25" t="s">
        <v>22</v>
      </c>
      <c r="H5" s="26" t="str">
        <f>INDEX(base_fish!E:E,MATCH(use_fish!B5,base_fish!A:A,0))&amp;_xlfn.IFNA("+"&amp;INDEX(activity!G:G,MATCH(use_fish!C5,activity!A:A,0)),"")</f>
        <v>小燕鱼</v>
      </c>
      <c r="I5" s="25">
        <f>LOOKUP(use_fish!B5,base_fish!A:A,base_fish!F:F)+_xlfn.IFNA(INDEX(activity!F:F,MATCH(use_fish!C5,activity!A:A,0)),0)</f>
        <v>4</v>
      </c>
      <c r="J5" s="27">
        <v>1</v>
      </c>
      <c r="K5" s="27">
        <f>LOOKUP(use_fish!B5,base_fish!A:A,base_fish!G:G)</f>
        <v>0</v>
      </c>
      <c r="L5" s="27">
        <f t="shared" si="0"/>
        <v>4</v>
      </c>
      <c r="M5" s="27">
        <v>1</v>
      </c>
      <c r="N5" s="27">
        <f t="shared" si="1"/>
        <v>0</v>
      </c>
      <c r="O5" s="27">
        <v>1</v>
      </c>
    </row>
    <row r="6" spans="1:15" s="27" customFormat="1" x14ac:dyDescent="0.2">
      <c r="A6" s="24">
        <v>5</v>
      </c>
      <c r="B6" s="24">
        <v>5</v>
      </c>
      <c r="C6" s="24"/>
      <c r="D6" s="24"/>
      <c r="E6" s="25">
        <f>LOOKUP(use_fish!B6,base_fish!A:A,base_fish!C:C)+_xlfn.IFNA(INDEX(activity!F:F,MATCH(use_fish!C6,activity!A:A,0)),0)</f>
        <v>5</v>
      </c>
      <c r="F6" s="25">
        <f t="shared" si="2"/>
        <v>0.2</v>
      </c>
      <c r="G6" s="25" t="s">
        <v>22</v>
      </c>
      <c r="H6" s="26" t="str">
        <f>INDEX(base_fish!E:E,MATCH(use_fish!B6,base_fish!A:A,0))&amp;_xlfn.IFNA("+"&amp;INDEX(activity!G:G,MATCH(use_fish!C6,activity!A:A,0)),"")</f>
        <v>小黄鳍</v>
      </c>
      <c r="I6" s="25">
        <f>LOOKUP(use_fish!B6,base_fish!A:A,base_fish!F:F)+_xlfn.IFNA(INDEX(activity!F:F,MATCH(use_fish!C6,activity!A:A,0)),0)</f>
        <v>5</v>
      </c>
      <c r="J6" s="27">
        <v>1</v>
      </c>
      <c r="K6" s="27">
        <f>LOOKUP(use_fish!B6,base_fish!A:A,base_fish!G:G)</f>
        <v>0</v>
      </c>
      <c r="L6" s="27">
        <f t="shared" si="0"/>
        <v>5</v>
      </c>
      <c r="M6" s="27">
        <v>1</v>
      </c>
      <c r="N6" s="27">
        <f t="shared" si="1"/>
        <v>0</v>
      </c>
      <c r="O6" s="27">
        <v>1</v>
      </c>
    </row>
    <row r="7" spans="1:15" s="27" customFormat="1" x14ac:dyDescent="0.2">
      <c r="A7" s="24">
        <v>6</v>
      </c>
      <c r="B7" s="24">
        <v>6</v>
      </c>
      <c r="C7" s="24"/>
      <c r="D7" s="24"/>
      <c r="E7" s="25">
        <f>LOOKUP(use_fish!B7,base_fish!A:A,base_fish!C:C)+_xlfn.IFNA(INDEX(activity!F:F,MATCH(use_fish!C7,activity!A:A,0)),0)</f>
        <v>6</v>
      </c>
      <c r="F7" s="25">
        <f t="shared" si="2"/>
        <v>0.16666666666666666</v>
      </c>
      <c r="G7" s="25" t="s">
        <v>22</v>
      </c>
      <c r="H7" s="26" t="str">
        <f>INDEX(base_fish!E:E,MATCH(use_fish!B7,base_fish!A:A,0))&amp;_xlfn.IFNA("+"&amp;INDEX(activity!G:G,MATCH(use_fish!C7,activity!A:A,0)),"")</f>
        <v>河豚</v>
      </c>
      <c r="I7" s="25">
        <f>LOOKUP(use_fish!B7,base_fish!A:A,base_fish!F:F)+_xlfn.IFNA(INDEX(activity!F:F,MATCH(use_fish!C7,activity!A:A,0)),0)</f>
        <v>6</v>
      </c>
      <c r="J7" s="27">
        <v>1</v>
      </c>
      <c r="K7" s="27">
        <f>LOOKUP(use_fish!B7,base_fish!A:A,base_fish!G:G)</f>
        <v>0</v>
      </c>
      <c r="L7" s="27">
        <f t="shared" si="0"/>
        <v>6</v>
      </c>
      <c r="M7" s="27">
        <v>1</v>
      </c>
      <c r="N7" s="27">
        <f t="shared" si="1"/>
        <v>0</v>
      </c>
      <c r="O7" s="27">
        <v>1</v>
      </c>
    </row>
    <row r="8" spans="1:15" s="27" customFormat="1" x14ac:dyDescent="0.2">
      <c r="A8" s="24">
        <v>7</v>
      </c>
      <c r="B8" s="24">
        <v>7</v>
      </c>
      <c r="C8" s="24"/>
      <c r="D8" s="24"/>
      <c r="E8" s="25">
        <f>LOOKUP(use_fish!B8,base_fish!A:A,base_fish!C:C)+_xlfn.IFNA(INDEX(activity!F:F,MATCH(use_fish!C8,activity!A:A,0)),0)</f>
        <v>7</v>
      </c>
      <c r="F8" s="25">
        <f t="shared" si="2"/>
        <v>0.14285714285714285</v>
      </c>
      <c r="G8" s="25" t="s">
        <v>22</v>
      </c>
      <c r="H8" s="26" t="str">
        <f>INDEX(base_fish!E:E,MATCH(use_fish!B8,base_fish!A:A,0))&amp;_xlfn.IFNA("+"&amp;INDEX(activity!G:G,MATCH(use_fish!C8,activity!A:A,0)),"")</f>
        <v>小灯笼</v>
      </c>
      <c r="I8" s="25">
        <f>LOOKUP(use_fish!B8,base_fish!A:A,base_fish!F:F)+_xlfn.IFNA(INDEX(activity!F:F,MATCH(use_fish!C8,activity!A:A,0)),0)</f>
        <v>7</v>
      </c>
      <c r="J8" s="27">
        <v>1</v>
      </c>
      <c r="K8" s="27">
        <f>LOOKUP(use_fish!B8,base_fish!A:A,base_fish!G:G)</f>
        <v>0</v>
      </c>
      <c r="L8" s="27">
        <f t="shared" si="0"/>
        <v>7</v>
      </c>
      <c r="M8" s="27">
        <v>1</v>
      </c>
      <c r="N8" s="27">
        <f t="shared" si="1"/>
        <v>0</v>
      </c>
      <c r="O8" s="27">
        <v>1</v>
      </c>
    </row>
    <row r="9" spans="1:15" s="27" customFormat="1" x14ac:dyDescent="0.2">
      <c r="A9" s="24">
        <v>8</v>
      </c>
      <c r="B9" s="24">
        <v>8</v>
      </c>
      <c r="C9" s="24"/>
      <c r="D9" s="24"/>
      <c r="E9" s="25">
        <f>LOOKUP(use_fish!B9,base_fish!A:A,base_fish!C:C)+_xlfn.IFNA(INDEX(activity!F:F,MATCH(use_fish!C9,activity!A:A,0)),0)</f>
        <v>8</v>
      </c>
      <c r="F9" s="25">
        <f t="shared" si="2"/>
        <v>0.125</v>
      </c>
      <c r="G9" s="25" t="s">
        <v>22</v>
      </c>
      <c r="H9" s="26" t="str">
        <f>INDEX(base_fish!E:E,MATCH(use_fish!B9,base_fish!A:A,0))&amp;_xlfn.IFNA("+"&amp;INDEX(activity!G:G,MATCH(use_fish!C9,activity!A:A,0)),"")</f>
        <v>小旗鱼</v>
      </c>
      <c r="I9" s="25">
        <f>LOOKUP(use_fish!B9,base_fish!A:A,base_fish!F:F)+_xlfn.IFNA(INDEX(activity!F:F,MATCH(use_fish!C9,activity!A:A,0)),0)</f>
        <v>8</v>
      </c>
      <c r="J9" s="27">
        <v>1</v>
      </c>
      <c r="K9" s="27">
        <f>LOOKUP(use_fish!B9,base_fish!A:A,base_fish!G:G)</f>
        <v>0</v>
      </c>
      <c r="L9" s="27">
        <f t="shared" si="0"/>
        <v>8</v>
      </c>
      <c r="M9" s="27">
        <v>1</v>
      </c>
      <c r="N9" s="27">
        <f t="shared" si="1"/>
        <v>0</v>
      </c>
      <c r="O9" s="27">
        <v>1</v>
      </c>
    </row>
    <row r="10" spans="1:15" s="27" customFormat="1" x14ac:dyDescent="0.2">
      <c r="A10" s="24">
        <v>9</v>
      </c>
      <c r="B10" s="24">
        <v>9</v>
      </c>
      <c r="C10" s="24"/>
      <c r="D10" s="24"/>
      <c r="E10" s="25">
        <f>LOOKUP(use_fish!B10,base_fish!A:A,base_fish!C:C)+_xlfn.IFNA(INDEX(activity!F:F,MATCH(use_fish!C10,activity!A:A,0)),0)</f>
        <v>10</v>
      </c>
      <c r="F10" s="25">
        <f t="shared" si="2"/>
        <v>0.1</v>
      </c>
      <c r="G10" s="25" t="s">
        <v>22</v>
      </c>
      <c r="H10" s="26" t="str">
        <f>INDEX(base_fish!E:E,MATCH(use_fish!B10,base_fish!A:A,0))&amp;_xlfn.IFNA("+"&amp;INDEX(activity!G:G,MATCH(use_fish!C10,activity!A:A,0)),"")</f>
        <v>小水母</v>
      </c>
      <c r="I10" s="25">
        <f>LOOKUP(use_fish!B10,base_fish!A:A,base_fish!F:F)+_xlfn.IFNA(INDEX(activity!F:F,MATCH(use_fish!C10,activity!A:A,0)),0)</f>
        <v>10</v>
      </c>
      <c r="J10" s="27">
        <v>1</v>
      </c>
      <c r="K10" s="27">
        <f>LOOKUP(use_fish!B10,base_fish!A:A,base_fish!G:G)</f>
        <v>0</v>
      </c>
      <c r="L10" s="27">
        <f t="shared" si="0"/>
        <v>10</v>
      </c>
      <c r="M10" s="27">
        <v>1</v>
      </c>
      <c r="N10" s="27">
        <f t="shared" si="1"/>
        <v>0</v>
      </c>
      <c r="O10" s="27">
        <v>1</v>
      </c>
    </row>
    <row r="11" spans="1:15" s="27" customFormat="1" x14ac:dyDescent="0.2">
      <c r="A11" s="24">
        <v>10</v>
      </c>
      <c r="B11" s="24">
        <v>10</v>
      </c>
      <c r="C11" s="24"/>
      <c r="D11" s="24"/>
      <c r="E11" s="25">
        <f>LOOKUP(use_fish!B11,base_fish!A:A,base_fish!C:C)+_xlfn.IFNA(INDEX(activity!F:F,MATCH(use_fish!C11,activity!A:A,0)),0)</f>
        <v>12</v>
      </c>
      <c r="F11" s="25">
        <f t="shared" si="2"/>
        <v>8.3333333333333329E-2</v>
      </c>
      <c r="G11" s="25" t="s">
        <v>22</v>
      </c>
      <c r="H11" s="26" t="str">
        <f>INDEX(base_fish!E:E,MATCH(use_fish!B11,base_fish!A:A,0))&amp;_xlfn.IFNA("+"&amp;INDEX(activity!G:G,MATCH(use_fish!C11,activity!A:A,0)),"")</f>
        <v>小章鱼</v>
      </c>
      <c r="I11" s="25">
        <f>LOOKUP(use_fish!B11,base_fish!A:A,base_fish!F:F)+_xlfn.IFNA(INDEX(activity!F:F,MATCH(use_fish!C11,activity!A:A,0)),0)</f>
        <v>12</v>
      </c>
      <c r="J11" s="27">
        <v>1</v>
      </c>
      <c r="K11" s="27">
        <f>LOOKUP(use_fish!B11,base_fish!A:A,base_fish!G:G)</f>
        <v>0</v>
      </c>
      <c r="L11" s="27">
        <f t="shared" si="0"/>
        <v>12</v>
      </c>
      <c r="M11" s="27">
        <v>1</v>
      </c>
      <c r="N11" s="27">
        <f t="shared" si="1"/>
        <v>0</v>
      </c>
      <c r="O11" s="27">
        <v>1</v>
      </c>
    </row>
    <row r="12" spans="1:15" s="27" customFormat="1" x14ac:dyDescent="0.2">
      <c r="A12" s="24">
        <v>11</v>
      </c>
      <c r="B12" s="24">
        <v>11</v>
      </c>
      <c r="C12" s="24"/>
      <c r="D12" s="24"/>
      <c r="E12" s="25">
        <f>LOOKUP(use_fish!B12,base_fish!A:A,base_fish!C:C)+_xlfn.IFNA(INDEX(activity!F:F,MATCH(use_fish!C12,activity!A:A,0)),0)</f>
        <v>15</v>
      </c>
      <c r="F12" s="25">
        <f t="shared" si="2"/>
        <v>6.6666666666666666E-2</v>
      </c>
      <c r="G12" s="25" t="s">
        <v>22</v>
      </c>
      <c r="H12" s="26" t="str">
        <f>INDEX(base_fish!E:E,MATCH(use_fish!B12,base_fish!A:A,0))&amp;_xlfn.IFNA("+"&amp;INDEX(activity!G:G,MATCH(use_fish!C12,activity!A:A,0)),"")</f>
        <v>小海龟</v>
      </c>
      <c r="I12" s="25">
        <f>LOOKUP(use_fish!B12,base_fish!A:A,base_fish!F:F)+_xlfn.IFNA(INDEX(activity!F:F,MATCH(use_fish!C12,activity!A:A,0)),0)</f>
        <v>15</v>
      </c>
      <c r="J12" s="27">
        <v>1</v>
      </c>
      <c r="K12" s="27">
        <f>LOOKUP(use_fish!B12,base_fish!A:A,base_fish!G:G)</f>
        <v>0</v>
      </c>
      <c r="L12" s="27">
        <f t="shared" si="0"/>
        <v>15</v>
      </c>
      <c r="M12" s="27">
        <v>1</v>
      </c>
      <c r="N12" s="27">
        <f t="shared" si="1"/>
        <v>0</v>
      </c>
      <c r="O12" s="27">
        <v>1</v>
      </c>
    </row>
    <row r="13" spans="1:15" s="39" customFormat="1" x14ac:dyDescent="0.2">
      <c r="A13" s="36">
        <v>12</v>
      </c>
      <c r="B13" s="36">
        <v>12</v>
      </c>
      <c r="C13" s="36"/>
      <c r="D13" s="36"/>
      <c r="E13" s="37">
        <f>LOOKUP(use_fish!B13,base_fish!A:A,base_fish!C:C)+_xlfn.IFNA(INDEX(activity!F:F,MATCH(use_fish!C13,activity!A:A,0)),0)</f>
        <v>18</v>
      </c>
      <c r="F13" s="37">
        <f t="shared" si="2"/>
        <v>5.5555555555555552E-2</v>
      </c>
      <c r="G13" s="37" t="s">
        <v>22</v>
      </c>
      <c r="H13" s="38" t="str">
        <f>INDEX(base_fish!E:E,MATCH(use_fish!B13,base_fish!A:A,0))&amp;_xlfn.IFNA("+"&amp;INDEX(activity!G:G,MATCH(use_fish!C13,activity!A:A,0)),"")</f>
        <v>狮子鱼</v>
      </c>
      <c r="I13" s="37">
        <f>LOOKUP(use_fish!B13,base_fish!A:A,base_fish!F:F)+_xlfn.IFNA(INDEX(activity!F:F,MATCH(use_fish!C13,activity!A:A,0)),0)</f>
        <v>18</v>
      </c>
      <c r="J13" s="39">
        <v>1</v>
      </c>
      <c r="K13" s="39">
        <f>LOOKUP(use_fish!B13,base_fish!A:A,base_fish!G:G)</f>
        <v>0</v>
      </c>
      <c r="L13" s="39">
        <f t="shared" si="0"/>
        <v>18</v>
      </c>
      <c r="M13" s="39">
        <v>1</v>
      </c>
      <c r="N13" s="39">
        <f t="shared" si="1"/>
        <v>0</v>
      </c>
      <c r="O13" s="39">
        <v>1</v>
      </c>
    </row>
    <row r="14" spans="1:15" s="39" customFormat="1" x14ac:dyDescent="0.2">
      <c r="A14" s="36">
        <v>13</v>
      </c>
      <c r="B14" s="36">
        <v>13</v>
      </c>
      <c r="C14" s="36"/>
      <c r="D14" s="36"/>
      <c r="E14" s="37">
        <f>LOOKUP(use_fish!B14,base_fish!A:A,base_fish!C:C)+_xlfn.IFNA(INDEX(activity!F:F,MATCH(use_fish!C14,activity!A:A,0)),0)</f>
        <v>20</v>
      </c>
      <c r="F14" s="37">
        <f t="shared" si="2"/>
        <v>0.05</v>
      </c>
      <c r="G14" s="37" t="s">
        <v>22</v>
      </c>
      <c r="H14" s="38" t="str">
        <f>INDEX(base_fish!E:E,MATCH(use_fish!B14,base_fish!A:A,0))&amp;_xlfn.IFNA("+"&amp;INDEX(activity!G:G,MATCH(use_fish!C14,activity!A:A,0)),"")</f>
        <v>蝴蝶鱼</v>
      </c>
      <c r="I14" s="37">
        <f>LOOKUP(use_fish!B14,base_fish!A:A,base_fish!F:F)+_xlfn.IFNA(INDEX(activity!F:F,MATCH(use_fish!C14,activity!A:A,0)),0)</f>
        <v>20</v>
      </c>
      <c r="J14" s="39">
        <v>1</v>
      </c>
      <c r="K14" s="39">
        <f>LOOKUP(use_fish!B14,base_fish!A:A,base_fish!G:G)</f>
        <v>0</v>
      </c>
      <c r="L14" s="39">
        <f t="shared" si="0"/>
        <v>20</v>
      </c>
      <c r="M14" s="39">
        <v>1</v>
      </c>
      <c r="N14" s="39">
        <f t="shared" si="1"/>
        <v>0</v>
      </c>
      <c r="O14" s="39">
        <v>1</v>
      </c>
    </row>
    <row r="15" spans="1:15" s="39" customFormat="1" x14ac:dyDescent="0.2">
      <c r="A15" s="36">
        <v>14</v>
      </c>
      <c r="B15" s="36">
        <v>14</v>
      </c>
      <c r="C15" s="36"/>
      <c r="D15" s="36"/>
      <c r="E15" s="37">
        <f>LOOKUP(use_fish!B15,base_fish!A:A,base_fish!C:C)+_xlfn.IFNA(INDEX(activity!F:F,MATCH(use_fish!C15,activity!A:A,0)),0)</f>
        <v>25</v>
      </c>
      <c r="F15" s="37">
        <f t="shared" si="2"/>
        <v>0.04</v>
      </c>
      <c r="G15" s="37" t="s">
        <v>22</v>
      </c>
      <c r="H15" s="38" t="str">
        <f>INDEX(base_fish!E:E,MATCH(use_fish!B15,base_fish!A:A,0))&amp;_xlfn.IFNA("+"&amp;INDEX(activity!G:G,MATCH(use_fish!C15,activity!A:A,0)),"")</f>
        <v>巨大小丑鱼</v>
      </c>
      <c r="I15" s="37">
        <f>LOOKUP(use_fish!B15,base_fish!A:A,base_fish!F:F)+_xlfn.IFNA(INDEX(activity!F:F,MATCH(use_fish!C15,activity!A:A,0)),0)</f>
        <v>25</v>
      </c>
      <c r="J15" s="39">
        <v>1</v>
      </c>
      <c r="K15" s="39">
        <f>LOOKUP(use_fish!B15,base_fish!A:A,base_fish!G:G)</f>
        <v>0</v>
      </c>
      <c r="L15" s="39">
        <f t="shared" si="0"/>
        <v>25</v>
      </c>
      <c r="M15" s="39">
        <v>1</v>
      </c>
      <c r="N15" s="39">
        <f t="shared" si="1"/>
        <v>0</v>
      </c>
      <c r="O15" s="39">
        <v>1</v>
      </c>
    </row>
    <row r="16" spans="1:15" s="39" customFormat="1" x14ac:dyDescent="0.2">
      <c r="A16" s="36">
        <v>15</v>
      </c>
      <c r="B16" s="36">
        <v>15</v>
      </c>
      <c r="C16" s="36"/>
      <c r="D16" s="36"/>
      <c r="E16" s="37">
        <f>LOOKUP(use_fish!B16,base_fish!A:A,base_fish!C:C)+_xlfn.IFNA(INDEX(activity!F:F,MATCH(use_fish!C16,activity!A:A,0)),0)</f>
        <v>30</v>
      </c>
      <c r="F16" s="37">
        <f t="shared" si="2"/>
        <v>3.3333333333333333E-2</v>
      </c>
      <c r="G16" s="37" t="s">
        <v>22</v>
      </c>
      <c r="H16" s="38" t="str">
        <f>INDEX(base_fish!E:E,MATCH(use_fish!B16,base_fish!A:A,0))&amp;_xlfn.IFNA("+"&amp;INDEX(activity!G:G,MATCH(use_fish!C16,activity!A:A,0)),"")</f>
        <v>巨大灯笼鱼</v>
      </c>
      <c r="I16" s="37">
        <f>LOOKUP(use_fish!B16,base_fish!A:A,base_fish!F:F)+_xlfn.IFNA(INDEX(activity!F:F,MATCH(use_fish!C16,activity!A:A,0)),0)</f>
        <v>30</v>
      </c>
      <c r="J16" s="39">
        <v>1</v>
      </c>
      <c r="K16" s="39">
        <f>LOOKUP(use_fish!B16,base_fish!A:A,base_fish!G:G)</f>
        <v>0</v>
      </c>
      <c r="L16" s="39">
        <f t="shared" si="0"/>
        <v>30</v>
      </c>
      <c r="M16" s="39">
        <v>1</v>
      </c>
      <c r="N16" s="39">
        <f t="shared" si="1"/>
        <v>0</v>
      </c>
      <c r="O16" s="39">
        <v>1</v>
      </c>
    </row>
    <row r="17" spans="1:15" s="39" customFormat="1" x14ac:dyDescent="0.2">
      <c r="A17" s="36">
        <v>16</v>
      </c>
      <c r="B17" s="36">
        <v>16</v>
      </c>
      <c r="C17" s="36"/>
      <c r="D17" s="36"/>
      <c r="E17" s="37">
        <f>LOOKUP(use_fish!B17,base_fish!A:A,base_fish!C:C)+_xlfn.IFNA(INDEX(activity!F:F,MATCH(use_fish!C17,activity!A:A,0)),0)</f>
        <v>35</v>
      </c>
      <c r="F17" s="37">
        <f t="shared" si="2"/>
        <v>2.8571428571428571E-2</v>
      </c>
      <c r="G17" s="37" t="s">
        <v>22</v>
      </c>
      <c r="H17" s="38" t="str">
        <f>INDEX(base_fish!E:E,MATCH(use_fish!B17,base_fish!A:A,0))&amp;_xlfn.IFNA("+"&amp;INDEX(activity!G:G,MATCH(use_fish!C17,activity!A:A,0)),"")</f>
        <v>巨大燕鱼</v>
      </c>
      <c r="I17" s="37">
        <f>LOOKUP(use_fish!B17,base_fish!A:A,base_fish!F:F)+_xlfn.IFNA(INDEX(activity!F:F,MATCH(use_fish!C17,activity!A:A,0)),0)</f>
        <v>35</v>
      </c>
      <c r="J17" s="39">
        <v>1</v>
      </c>
      <c r="K17" s="39">
        <f>LOOKUP(use_fish!B17,base_fish!A:A,base_fish!G:G)</f>
        <v>0</v>
      </c>
      <c r="L17" s="39">
        <f t="shared" si="0"/>
        <v>35</v>
      </c>
      <c r="M17" s="39">
        <v>1</v>
      </c>
      <c r="N17" s="39">
        <f t="shared" si="1"/>
        <v>0</v>
      </c>
      <c r="O17" s="39">
        <v>1</v>
      </c>
    </row>
    <row r="18" spans="1:15" s="39" customFormat="1" x14ac:dyDescent="0.2">
      <c r="A18" s="36">
        <v>17</v>
      </c>
      <c r="B18" s="36">
        <v>17</v>
      </c>
      <c r="C18" s="36"/>
      <c r="D18" s="36"/>
      <c r="E18" s="37">
        <f>LOOKUP(use_fish!B18,base_fish!A:A,base_fish!C:C)+_xlfn.IFNA(INDEX(activity!F:F,MATCH(use_fish!C18,activity!A:A,0)),0)</f>
        <v>40</v>
      </c>
      <c r="F18" s="37">
        <f t="shared" si="2"/>
        <v>2.5000000000000001E-2</v>
      </c>
      <c r="G18" s="37" t="s">
        <v>22</v>
      </c>
      <c r="H18" s="38" t="str">
        <f>INDEX(base_fish!E:E,MATCH(use_fish!B18,base_fish!A:A,0))&amp;_xlfn.IFNA("+"&amp;INDEX(activity!G:G,MATCH(use_fish!C18,activity!A:A,0)),"")</f>
        <v>魔鬼鱼</v>
      </c>
      <c r="I18" s="37">
        <f>LOOKUP(use_fish!B18,base_fish!A:A,base_fish!F:F)+_xlfn.IFNA(INDEX(activity!F:F,MATCH(use_fish!C18,activity!A:A,0)),0)</f>
        <v>40</v>
      </c>
      <c r="J18" s="39">
        <v>1</v>
      </c>
      <c r="K18" s="39">
        <f>LOOKUP(use_fish!B18,base_fish!A:A,base_fish!G:G)</f>
        <v>0</v>
      </c>
      <c r="L18" s="39">
        <f t="shared" si="0"/>
        <v>40</v>
      </c>
      <c r="M18" s="39">
        <v>1</v>
      </c>
      <c r="N18" s="39">
        <v>0</v>
      </c>
      <c r="O18" s="39">
        <v>1</v>
      </c>
    </row>
    <row r="19" spans="1:15" s="39" customFormat="1" x14ac:dyDescent="0.2">
      <c r="A19" s="36">
        <v>18</v>
      </c>
      <c r="B19" s="36">
        <v>18</v>
      </c>
      <c r="C19" s="36"/>
      <c r="D19" s="36"/>
      <c r="E19" s="37">
        <f>LOOKUP(use_fish!B19,base_fish!A:A,base_fish!C:C)+_xlfn.IFNA(INDEX(activity!F:F,MATCH(use_fish!C19,activity!A:A,0)),0)</f>
        <v>60</v>
      </c>
      <c r="F19" s="37">
        <f t="shared" si="2"/>
        <v>1.6666666666666666E-2</v>
      </c>
      <c r="G19" s="37" t="s">
        <v>22</v>
      </c>
      <c r="H19" s="38" t="str">
        <f>INDEX(base_fish!E:E,MATCH(use_fish!B19,base_fish!A:A,0))&amp;_xlfn.IFNA("+"&amp;INDEX(activity!G:G,MATCH(use_fish!C19,activity!A:A,0)),"")</f>
        <v>虎鲸</v>
      </c>
      <c r="I19" s="37">
        <f>LOOKUP(use_fish!B19,base_fish!A:A,base_fish!F:F)+_xlfn.IFNA(INDEX(activity!F:F,MATCH(use_fish!C19,activity!A:A,0)),0)</f>
        <v>60</v>
      </c>
      <c r="J19" s="39">
        <v>1</v>
      </c>
      <c r="K19" s="39">
        <f>LOOKUP(use_fish!B19,base_fish!A:A,base_fish!G:G)</f>
        <v>0</v>
      </c>
      <c r="L19" s="39">
        <f t="shared" si="0"/>
        <v>60</v>
      </c>
      <c r="M19" s="39">
        <v>1</v>
      </c>
      <c r="N19" s="39">
        <v>0</v>
      </c>
      <c r="O19" s="39">
        <v>1</v>
      </c>
    </row>
    <row r="20" spans="1:15" s="39" customFormat="1" x14ac:dyDescent="0.2">
      <c r="A20" s="36">
        <v>19</v>
      </c>
      <c r="B20" s="36">
        <v>19</v>
      </c>
      <c r="C20" s="36">
        <v>6</v>
      </c>
      <c r="D20" s="36"/>
      <c r="E20" s="37">
        <f>LOOKUP(use_fish!B20,base_fish!A:A,base_fish!C:C)+_xlfn.IFNA(INDEX(activity!F:F,MATCH(use_fish!C20,activity!A:A,0)),0)</f>
        <v>30</v>
      </c>
      <c r="F20" s="37">
        <f t="shared" ref="F20:F28" si="3">1/E20</f>
        <v>3.3333333333333333E-2</v>
      </c>
      <c r="G20" s="37" t="s">
        <v>22</v>
      </c>
      <c r="H20" s="38" t="str">
        <f>INDEX(base_fish!E:E,MATCH(use_fish!B20,base_fish!A:A,0))&amp;_xlfn.IFNA("+"&amp;INDEX(activity!G:G,MATCH(use_fish!C20,activity!A:A,0)),"")</f>
        <v>炸弹鱼+炸弹</v>
      </c>
      <c r="I20" s="37">
        <f>LOOKUP(use_fish!B20,base_fish!A:A,base_fish!F:F)+_xlfn.IFNA(INDEX(activity!F:F,MATCH(use_fish!C20,activity!A:A,0)),0)</f>
        <v>30</v>
      </c>
      <c r="J20" s="39">
        <v>1</v>
      </c>
      <c r="K20" s="39">
        <f>LOOKUP(use_fish!B20,base_fish!A:A,base_fish!G:G)</f>
        <v>0</v>
      </c>
      <c r="L20" s="39">
        <f t="shared" ref="L20:L28" si="4">I20</f>
        <v>30</v>
      </c>
      <c r="M20" s="39">
        <v>1</v>
      </c>
      <c r="N20" s="39">
        <v>0</v>
      </c>
      <c r="O20" s="39">
        <v>2</v>
      </c>
    </row>
    <row r="21" spans="1:15" s="19" customFormat="1" x14ac:dyDescent="0.2">
      <c r="A21" s="16">
        <v>20</v>
      </c>
      <c r="B21" s="16">
        <v>20</v>
      </c>
      <c r="C21" s="16"/>
      <c r="D21" s="16" t="s">
        <v>248</v>
      </c>
      <c r="E21" s="17">
        <v>63</v>
      </c>
      <c r="F21" s="17">
        <f t="shared" si="3"/>
        <v>1.5873015873015872E-2</v>
      </c>
      <c r="G21" s="17" t="s">
        <v>22</v>
      </c>
      <c r="H21" s="18" t="str">
        <f>INDEX(base_fish!E:E,MATCH(use_fish!B21,base_fish!A:A,0))&amp;_xlfn.IFNA("+"&amp;INDEX(activity!G:G,MATCH(use_fish!C21,activity!A:A,0)),"")</f>
        <v>黄金灯笼鱼</v>
      </c>
      <c r="I21" s="17">
        <f>LOOKUP(use_fish!B21,base_fish!A:A,base_fish!F:F)+_xlfn.IFNA(INDEX(activity!F:F,MATCH(use_fish!C21,activity!A:A,0)),0)</f>
        <v>60</v>
      </c>
      <c r="J21" s="19">
        <v>1</v>
      </c>
      <c r="K21" s="19">
        <f>LOOKUP(use_fish!B21,base_fish!A:A,base_fish!G:G)</f>
        <v>0</v>
      </c>
      <c r="L21" s="19">
        <f t="shared" si="4"/>
        <v>60</v>
      </c>
      <c r="M21" s="19">
        <v>1</v>
      </c>
      <c r="N21" s="19">
        <v>0</v>
      </c>
      <c r="O21" s="19">
        <v>2</v>
      </c>
    </row>
    <row r="22" spans="1:15" s="19" customFormat="1" x14ac:dyDescent="0.2">
      <c r="A22" s="16">
        <v>21</v>
      </c>
      <c r="B22" s="16">
        <v>21</v>
      </c>
      <c r="C22" s="16">
        <v>8</v>
      </c>
      <c r="D22" s="16"/>
      <c r="E22" s="17">
        <v>80</v>
      </c>
      <c r="F22" s="17">
        <f t="shared" si="3"/>
        <v>1.2500000000000001E-2</v>
      </c>
      <c r="G22" s="17" t="s">
        <v>22</v>
      </c>
      <c r="H22" s="18" t="str">
        <f>INDEX(base_fish!E:E,MATCH(use_fish!B22,base_fish!A:A,0))&amp;_xlfn.IFNA("+"&amp;INDEX(activity!G:G,MATCH(use_fish!C22,activity!A:A,0)),"")</f>
        <v>黄金炸弹鱼+炸弹</v>
      </c>
      <c r="I22" s="17">
        <f>LOOKUP(use_fish!B22,base_fish!A:A,base_fish!F:F)+_xlfn.IFNA(INDEX(activity!F:F,MATCH(use_fish!C22,activity!A:A,0)),0)</f>
        <v>80</v>
      </c>
      <c r="J22" s="19">
        <v>1</v>
      </c>
      <c r="K22" s="19">
        <f>LOOKUP(use_fish!B22,base_fish!A:A,base_fish!G:G)</f>
        <v>0</v>
      </c>
      <c r="L22" s="19">
        <f t="shared" si="4"/>
        <v>80</v>
      </c>
      <c r="M22" s="19">
        <v>1</v>
      </c>
      <c r="N22" s="19">
        <v>0</v>
      </c>
      <c r="O22" s="19">
        <v>2</v>
      </c>
    </row>
    <row r="23" spans="1:15" s="19" customFormat="1" x14ac:dyDescent="0.2">
      <c r="A23" s="16">
        <v>22</v>
      </c>
      <c r="B23" s="16">
        <v>22</v>
      </c>
      <c r="C23" s="16"/>
      <c r="D23" s="16" t="s">
        <v>277</v>
      </c>
      <c r="E23" s="17">
        <v>63</v>
      </c>
      <c r="F23" s="17">
        <f t="shared" si="3"/>
        <v>1.5873015873015872E-2</v>
      </c>
      <c r="G23" s="17" t="s">
        <v>22</v>
      </c>
      <c r="H23" s="18" t="str">
        <f>INDEX(base_fish!E:E,MATCH(use_fish!B23,base_fish!A:A,0))&amp;_xlfn.IFNA("+"&amp;INDEX(activity!G:G,MATCH(use_fish!C23,activity!A:A,0)),"")</f>
        <v>黄金狮子鱼</v>
      </c>
      <c r="I23" s="17">
        <f>LOOKUP(use_fish!B23,base_fish!A:A,base_fish!F:F)+_xlfn.IFNA(INDEX(activity!F:F,MATCH(use_fish!C23,activity!A:A,0)),0)</f>
        <v>60</v>
      </c>
      <c r="J23" s="19">
        <v>1</v>
      </c>
      <c r="K23" s="19">
        <f>LOOKUP(use_fish!B23,base_fish!A:A,base_fish!G:G)</f>
        <v>0</v>
      </c>
      <c r="L23" s="19">
        <f t="shared" si="4"/>
        <v>60</v>
      </c>
      <c r="M23" s="19">
        <v>1</v>
      </c>
      <c r="N23" s="19">
        <v>0</v>
      </c>
      <c r="O23" s="19">
        <v>2</v>
      </c>
    </row>
    <row r="24" spans="1:15" s="19" customFormat="1" x14ac:dyDescent="0.2">
      <c r="A24" s="16">
        <v>23</v>
      </c>
      <c r="B24" s="16">
        <v>23</v>
      </c>
      <c r="C24" s="16"/>
      <c r="D24" s="16" t="s">
        <v>278</v>
      </c>
      <c r="E24" s="17">
        <v>63</v>
      </c>
      <c r="F24" s="17">
        <f t="shared" si="3"/>
        <v>1.5873015873015872E-2</v>
      </c>
      <c r="G24" s="17" t="s">
        <v>22</v>
      </c>
      <c r="H24" s="18" t="str">
        <f>INDEX(base_fish!E:E,MATCH(use_fish!B24,base_fish!A:A,0))&amp;_xlfn.IFNA("+"&amp;INDEX(activity!G:G,MATCH(use_fish!C24,activity!A:A,0)),"")</f>
        <v>黄金海龟</v>
      </c>
      <c r="I24" s="17">
        <f>LOOKUP(use_fish!B24,base_fish!A:A,base_fish!F:F)+_xlfn.IFNA(INDEX(activity!F:F,MATCH(use_fish!C24,activity!A:A,0)),0)</f>
        <v>60</v>
      </c>
      <c r="J24" s="19">
        <v>1</v>
      </c>
      <c r="K24" s="19">
        <f>LOOKUP(use_fish!B24,base_fish!A:A,base_fish!G:G)</f>
        <v>0</v>
      </c>
      <c r="L24" s="19">
        <f t="shared" si="4"/>
        <v>60</v>
      </c>
      <c r="M24" s="19">
        <v>1</v>
      </c>
      <c r="N24" s="19">
        <v>0</v>
      </c>
      <c r="O24" s="19">
        <v>2</v>
      </c>
    </row>
    <row r="25" spans="1:15" s="19" customFormat="1" x14ac:dyDescent="0.2">
      <c r="A25" s="16">
        <v>24</v>
      </c>
      <c r="B25" s="16">
        <v>24</v>
      </c>
      <c r="C25" s="16"/>
      <c r="D25" s="16"/>
      <c r="E25" s="17" t="s">
        <v>291</v>
      </c>
      <c r="F25" s="17" t="s">
        <v>292</v>
      </c>
      <c r="G25" s="17" t="s">
        <v>22</v>
      </c>
      <c r="H25" s="18" t="str">
        <f>INDEX(base_fish!E:E,MATCH(use_fish!B25,base_fish!A:A,0))&amp;_xlfn.IFNA("+"&amp;INDEX(activity!G:G,MATCH(use_fish!C25,activity!A:A,0)),"")</f>
        <v>黄金河豚</v>
      </c>
      <c r="I25" s="17" t="s">
        <v>212</v>
      </c>
      <c r="J25" s="19">
        <v>1</v>
      </c>
      <c r="K25" s="19">
        <f>LOOKUP(use_fish!B25,base_fish!A:A,base_fish!G:G)</f>
        <v>0</v>
      </c>
      <c r="L25" s="19" t="str">
        <f>I25</f>
        <v>50,50,50,50,100,</v>
      </c>
      <c r="M25" s="19">
        <v>1</v>
      </c>
      <c r="N25" s="19">
        <v>0</v>
      </c>
      <c r="O25" s="19">
        <v>2</v>
      </c>
    </row>
    <row r="26" spans="1:15" s="19" customFormat="1" x14ac:dyDescent="0.2">
      <c r="A26" s="16">
        <v>25</v>
      </c>
      <c r="B26" s="16">
        <v>25</v>
      </c>
      <c r="C26" s="16"/>
      <c r="D26" s="16" t="s">
        <v>248</v>
      </c>
      <c r="E26" s="17">
        <v>84</v>
      </c>
      <c r="F26" s="17">
        <f t="shared" si="3"/>
        <v>1.1904761904761904E-2</v>
      </c>
      <c r="G26" s="17" t="s">
        <v>22</v>
      </c>
      <c r="H26" s="18" t="str">
        <f>INDEX(base_fish!E:E,MATCH(use_fish!B26,base_fish!A:A,0))&amp;_xlfn.IFNA("+"&amp;INDEX(activity!G:G,MATCH(use_fish!C26,activity!A:A,0)),"")</f>
        <v>金蟾</v>
      </c>
      <c r="I26" s="17">
        <f>LOOKUP(use_fish!B26,base_fish!A:A,base_fish!F:F)+_xlfn.IFNA(INDEX(activity!F:F,MATCH(use_fish!C26,activity!A:A,0)),0)</f>
        <v>80</v>
      </c>
      <c r="J26" s="19">
        <v>1</v>
      </c>
      <c r="K26" s="19">
        <f>LOOKUP(use_fish!B26,base_fish!A:A,base_fish!G:G)</f>
        <v>0</v>
      </c>
      <c r="L26" s="19">
        <f t="shared" si="4"/>
        <v>80</v>
      </c>
      <c r="M26" s="19">
        <v>1</v>
      </c>
      <c r="N26" s="19">
        <v>0</v>
      </c>
      <c r="O26" s="19">
        <v>2</v>
      </c>
    </row>
    <row r="27" spans="1:15" s="19" customFormat="1" x14ac:dyDescent="0.2">
      <c r="A27" s="16">
        <v>26</v>
      </c>
      <c r="B27" s="16">
        <v>26</v>
      </c>
      <c r="C27" s="16"/>
      <c r="D27" s="16" t="s">
        <v>248</v>
      </c>
      <c r="E27" s="17">
        <v>105</v>
      </c>
      <c r="F27" s="17">
        <f t="shared" si="3"/>
        <v>9.5238095238095247E-3</v>
      </c>
      <c r="G27" s="17" t="s">
        <v>22</v>
      </c>
      <c r="H27" s="18" t="str">
        <f>INDEX(base_fish!E:E,MATCH(use_fish!B27,base_fish!A:A,0))&amp;_xlfn.IFNA("+"&amp;INDEX(activity!G:G,MATCH(use_fish!C27,activity!A:A,0)),"")</f>
        <v>大金鲨</v>
      </c>
      <c r="I27" s="17">
        <f>LOOKUP(use_fish!B27,base_fish!A:A,base_fish!F:F)+_xlfn.IFNA(INDEX(activity!F:F,MATCH(use_fish!C27,activity!A:A,0)),0)</f>
        <v>100</v>
      </c>
      <c r="J27" s="19">
        <v>1</v>
      </c>
      <c r="K27" s="19">
        <f>LOOKUP(use_fish!B27,base_fish!A:A,base_fish!G:G)</f>
        <v>0</v>
      </c>
      <c r="L27" s="19">
        <f t="shared" si="4"/>
        <v>100</v>
      </c>
      <c r="M27" s="19">
        <v>1</v>
      </c>
      <c r="N27" s="19">
        <v>0</v>
      </c>
      <c r="O27" s="19">
        <v>2</v>
      </c>
    </row>
    <row r="28" spans="1:15" s="19" customFormat="1" x14ac:dyDescent="0.2">
      <c r="A28" s="16">
        <v>27</v>
      </c>
      <c r="B28" s="16">
        <v>27</v>
      </c>
      <c r="C28" s="16"/>
      <c r="D28" s="16" t="s">
        <v>279</v>
      </c>
      <c r="E28" s="17">
        <v>105</v>
      </c>
      <c r="F28" s="17">
        <f t="shared" si="3"/>
        <v>9.5238095238095247E-3</v>
      </c>
      <c r="G28" s="17" t="s">
        <v>22</v>
      </c>
      <c r="H28" s="18" t="str">
        <f>INDEX(base_fish!E:E,MATCH(use_fish!B28,base_fish!A:A,0))&amp;_xlfn.IFNA("+"&amp;INDEX(activity!G:G,MATCH(use_fish!C28,activity!A:A,0)),"")</f>
        <v>黄金锤头鲨</v>
      </c>
      <c r="I28" s="17">
        <f>LOOKUP(use_fish!B28,base_fish!A:A,base_fish!F:F)+_xlfn.IFNA(INDEX(activity!F:F,MATCH(use_fish!C28,activity!A:A,0)),0)</f>
        <v>100</v>
      </c>
      <c r="J28" s="19">
        <v>1</v>
      </c>
      <c r="K28" s="19">
        <f>LOOKUP(use_fish!B28,base_fish!A:A,base_fish!G:G)</f>
        <v>0</v>
      </c>
      <c r="L28" s="19">
        <f t="shared" si="4"/>
        <v>100</v>
      </c>
      <c r="M28" s="19">
        <v>1</v>
      </c>
      <c r="N28" s="19">
        <v>0</v>
      </c>
      <c r="O28" s="19">
        <v>2</v>
      </c>
    </row>
    <row r="29" spans="1:15" s="23" customFormat="1" x14ac:dyDescent="0.2">
      <c r="A29" s="20">
        <v>28</v>
      </c>
      <c r="B29" s="20">
        <v>28</v>
      </c>
      <c r="C29" s="20">
        <v>10</v>
      </c>
      <c r="D29" s="20"/>
      <c r="E29" s="21">
        <f>LOOKUP(use_fish!B29,base_fish!A:A,base_fish!C:C)+_xlfn.IFNA(INDEX(activity!F:F,MATCH(use_fish!C29,activity!A:A,0)),0)</f>
        <v>100</v>
      </c>
      <c r="F29" s="21">
        <f t="shared" ref="F29:F32" si="5">1/E29</f>
        <v>0.01</v>
      </c>
      <c r="G29" s="21" t="s">
        <v>22</v>
      </c>
      <c r="H29" s="22" t="str">
        <f>INDEX(base_fish!E:E,MATCH(use_fish!B29,base_fish!A:A,0))&amp;_xlfn.IFNA("+"&amp;INDEX(activity!G:G,MATCH(use_fish!C29,activity!A:A,0)),"")</f>
        <v>闪电海鳗+闪电</v>
      </c>
      <c r="I29" s="21">
        <f>LOOKUP(use_fish!B29,base_fish!A:A,base_fish!F:F)+_xlfn.IFNA(INDEX(activity!F:F,MATCH(use_fish!C29,activity!A:A,0)),0)</f>
        <v>100</v>
      </c>
      <c r="J29" s="23">
        <v>1</v>
      </c>
      <c r="K29" s="23">
        <f>LOOKUP(use_fish!B29,base_fish!A:A,base_fish!G:G)</f>
        <v>0</v>
      </c>
      <c r="L29" s="23">
        <f t="shared" ref="L29:L32" si="6">I29</f>
        <v>100</v>
      </c>
      <c r="M29" s="23">
        <v>1</v>
      </c>
      <c r="N29" s="23">
        <v>1</v>
      </c>
      <c r="O29" s="23">
        <v>2</v>
      </c>
    </row>
    <row r="30" spans="1:15" s="23" customFormat="1" x14ac:dyDescent="0.2">
      <c r="A30" s="20">
        <v>29</v>
      </c>
      <c r="B30" s="20">
        <v>29</v>
      </c>
      <c r="C30" s="20">
        <v>19</v>
      </c>
      <c r="D30" s="20"/>
      <c r="E30" s="21">
        <f>LOOKUP(use_fish!B30,base_fish!A:A,base_fish!C:C)+_xlfn.IFNA(INDEX(activity!F:F,MATCH(use_fish!C30,activity!A:A,0)),0)</f>
        <v>300</v>
      </c>
      <c r="F30" s="21">
        <f t="shared" si="5"/>
        <v>3.3333333333333335E-3</v>
      </c>
      <c r="G30" s="21" t="s">
        <v>22</v>
      </c>
      <c r="H30" s="22" t="str">
        <f>INDEX(base_fish!E:E,MATCH(use_fish!B30,base_fish!A:A,0))&amp;_xlfn.IFNA("+"&amp;INDEX(activity!G:G,MATCH(use_fish!C30,activity!A:A,0)),"")</f>
        <v>穿云蟹+钻头弹</v>
      </c>
      <c r="I30" s="21">
        <f>LOOKUP(use_fish!B30,base_fish!A:A,base_fish!F:F)+_xlfn.IFNA(INDEX(activity!F:F,MATCH(use_fish!C30,activity!A:A,0)),0)</f>
        <v>300</v>
      </c>
      <c r="J30" s="23">
        <v>1</v>
      </c>
      <c r="K30" s="23">
        <f>LOOKUP(use_fish!B30,base_fish!A:A,base_fish!G:G)</f>
        <v>0</v>
      </c>
      <c r="L30" s="23">
        <f t="shared" si="6"/>
        <v>300</v>
      </c>
      <c r="M30" s="23">
        <v>1</v>
      </c>
      <c r="N30" s="23">
        <v>1</v>
      </c>
      <c r="O30" s="23">
        <v>2</v>
      </c>
    </row>
    <row r="31" spans="1:15" s="23" customFormat="1" x14ac:dyDescent="0.2">
      <c r="A31" s="20">
        <v>30</v>
      </c>
      <c r="B31" s="20">
        <v>30</v>
      </c>
      <c r="C31" s="20">
        <v>31</v>
      </c>
      <c r="D31" s="20"/>
      <c r="E31" s="21">
        <f>LOOKUP(use_fish!B31,base_fish!A:A,base_fish!C:C)+_xlfn.IFNA(INDEX(activity!F:F,MATCH(use_fish!C31,activity!A:A,0)),0)</f>
        <v>200</v>
      </c>
      <c r="F31" s="21">
        <f t="shared" si="5"/>
        <v>5.0000000000000001E-3</v>
      </c>
      <c r="G31" s="21" t="s">
        <v>22</v>
      </c>
      <c r="H31" s="22" t="str">
        <f>INDEX(base_fish!E:E,MATCH(use_fish!B31,base_fish!A:A,0))&amp;_xlfn.IFNA("+"&amp;INDEX(activity!G:G,MATCH(use_fish!C31,activity!A:A,0)),"")</f>
        <v>电磁蟹+电磁弹</v>
      </c>
      <c r="I31" s="21">
        <f>LOOKUP(use_fish!B31,base_fish!A:A,base_fish!F:F)+_xlfn.IFNA(INDEX(activity!F:F,MATCH(use_fish!C31,activity!A:A,0)),0)</f>
        <v>200</v>
      </c>
      <c r="J31" s="23">
        <v>1</v>
      </c>
      <c r="K31" s="23">
        <f>LOOKUP(use_fish!B31,base_fish!A:A,base_fish!G:G)</f>
        <v>0</v>
      </c>
      <c r="L31" s="23">
        <f t="shared" si="6"/>
        <v>200</v>
      </c>
      <c r="M31" s="23">
        <v>1</v>
      </c>
      <c r="N31" s="23">
        <v>1</v>
      </c>
      <c r="O31" s="23">
        <v>1</v>
      </c>
    </row>
    <row r="32" spans="1:15" s="23" customFormat="1" x14ac:dyDescent="0.2">
      <c r="A32" s="20">
        <v>31</v>
      </c>
      <c r="B32" s="20">
        <v>31</v>
      </c>
      <c r="C32" s="20">
        <v>39</v>
      </c>
      <c r="D32" s="20"/>
      <c r="E32" s="21">
        <f>LOOKUP(use_fish!B32,base_fish!A:A,base_fish!C:C)+_xlfn.IFNA(INDEX(activity!F:F,MATCH(use_fish!C32,activity!A:A,0)),0)</f>
        <v>250</v>
      </c>
      <c r="F32" s="21">
        <f t="shared" si="5"/>
        <v>4.0000000000000001E-3</v>
      </c>
      <c r="G32" s="21" t="s">
        <v>22</v>
      </c>
      <c r="H32" s="22" t="str">
        <f>INDEX(base_fish!E:E,MATCH(use_fish!B32,base_fish!A:A,0))&amp;_xlfn.IFNA("+"&amp;INDEX(activity!G:G,MATCH(use_fish!C32,activity!A:A,0)),"")</f>
        <v>奇遇蟹+强击弹（双倍）</v>
      </c>
      <c r="I32" s="21">
        <f>LOOKUP(use_fish!B32,base_fish!A:A,base_fish!F:F)+_xlfn.IFNA(INDEX(activity!F:F,MATCH(use_fish!C32,activity!A:A,0)),0)</f>
        <v>250</v>
      </c>
      <c r="J32" s="23">
        <v>1</v>
      </c>
      <c r="K32" s="23">
        <f>LOOKUP(use_fish!B32,base_fish!A:A,base_fish!G:G)</f>
        <v>0</v>
      </c>
      <c r="L32" s="23">
        <f t="shared" si="6"/>
        <v>250</v>
      </c>
      <c r="M32" s="23">
        <v>1</v>
      </c>
      <c r="N32" s="23">
        <v>1</v>
      </c>
      <c r="O32" s="23">
        <v>1</v>
      </c>
    </row>
    <row r="33" spans="1:15" s="23" customFormat="1" x14ac:dyDescent="0.2">
      <c r="A33" s="20">
        <v>32</v>
      </c>
      <c r="B33" s="20">
        <v>32</v>
      </c>
      <c r="C33" s="20">
        <v>32</v>
      </c>
      <c r="D33" s="20"/>
      <c r="E33" s="21">
        <f>LOOKUP(use_fish!B33,base_fish!A:A,base_fish!C:C)+_xlfn.IFNA(INDEX(activity!F:F,MATCH(use_fish!C33,activity!A:A,0)),0)</f>
        <v>200</v>
      </c>
      <c r="F33" s="21">
        <f t="shared" ref="F33:F39" si="7">1/E33</f>
        <v>5.0000000000000001E-3</v>
      </c>
      <c r="G33" s="21" t="s">
        <v>22</v>
      </c>
      <c r="H33" s="22" t="str">
        <f>INDEX(base_fish!E:E,MATCH(use_fish!B33,base_fish!A:A,0))&amp;_xlfn.IFNA("+"&amp;INDEX(activity!G:G,MATCH(use_fish!C33,activity!A:A,0)),"")</f>
        <v>宝藏章鱼+金币转盘</v>
      </c>
      <c r="I33" s="21">
        <f>LOOKUP(use_fish!B33,base_fish!A:A,base_fish!F:F)+_xlfn.IFNA(INDEX(activity!F:F,MATCH(use_fish!C33,activity!A:A,0)),0)</f>
        <v>200</v>
      </c>
      <c r="J33" s="23">
        <v>1</v>
      </c>
      <c r="K33" s="23">
        <f>LOOKUP(use_fish!B33,base_fish!A:A,base_fish!G:G)</f>
        <v>0</v>
      </c>
      <c r="L33" s="23">
        <f t="shared" ref="L33:L39" si="8">I33</f>
        <v>200</v>
      </c>
      <c r="M33" s="23">
        <v>1</v>
      </c>
      <c r="N33" s="23">
        <v>1</v>
      </c>
      <c r="O33" s="23">
        <v>1</v>
      </c>
    </row>
    <row r="34" spans="1:15" s="23" customFormat="1" x14ac:dyDescent="0.2">
      <c r="A34" s="20">
        <v>33</v>
      </c>
      <c r="B34" s="20">
        <v>33</v>
      </c>
      <c r="C34" s="20">
        <v>33</v>
      </c>
      <c r="D34" s="20"/>
      <c r="E34" s="21">
        <f>LOOKUP(use_fish!B34,base_fish!A:A,base_fish!C:C)+_xlfn.IFNA(INDEX(activity!F:F,MATCH(use_fish!C34,activity!A:A,0)),0)</f>
        <v>300</v>
      </c>
      <c r="F34" s="21">
        <f t="shared" si="7"/>
        <v>3.3333333333333335E-3</v>
      </c>
      <c r="G34" s="21" t="s">
        <v>22</v>
      </c>
      <c r="H34" s="22" t="str">
        <f>INDEX(base_fish!E:E,MATCH(use_fish!B34,base_fish!A:A,0))&amp;_xlfn.IFNA("+"&amp;INDEX(activity!G:G,MATCH(use_fish!C34,activity!A:A,0)),"")</f>
        <v>美人鱼+疯狂6选一</v>
      </c>
      <c r="I34" s="21">
        <f>LOOKUP(use_fish!B34,base_fish!A:A,base_fish!F:F)+_xlfn.IFNA(INDEX(activity!F:F,MATCH(use_fish!C34,activity!A:A,0)),0)</f>
        <v>300</v>
      </c>
      <c r="J34" s="23">
        <v>1</v>
      </c>
      <c r="K34" s="23">
        <f>LOOKUP(use_fish!B34,base_fish!A:A,base_fish!G:G)</f>
        <v>0</v>
      </c>
      <c r="L34" s="23">
        <f t="shared" si="8"/>
        <v>300</v>
      </c>
      <c r="M34" s="23">
        <v>1</v>
      </c>
      <c r="N34" s="23">
        <v>1</v>
      </c>
      <c r="O34" s="23">
        <v>1</v>
      </c>
    </row>
    <row r="35" spans="1:15" s="23" customFormat="1" x14ac:dyDescent="0.2">
      <c r="A35" s="20">
        <v>34</v>
      </c>
      <c r="B35" s="20">
        <v>34</v>
      </c>
      <c r="C35" s="20">
        <v>37</v>
      </c>
      <c r="D35" s="20"/>
      <c r="E35" s="21">
        <f>LOOKUP(use_fish!B35,base_fish!A:A,base_fish!C:C)+_xlfn.IFNA(INDEX(activity!F:F,MATCH(use_fish!C35,activity!A:A,0)),0)</f>
        <v>200</v>
      </c>
      <c r="F35" s="21">
        <f t="shared" si="7"/>
        <v>5.0000000000000001E-3</v>
      </c>
      <c r="G35" s="21" t="s">
        <v>22</v>
      </c>
      <c r="H35" s="22" t="str">
        <f>INDEX(base_fish!E:E,MATCH(use_fish!B35,base_fish!A:A,0))&amp;_xlfn.IFNA("+"&amp;INDEX(activity!G:G,MATCH(use_fish!C35,activity!A:A,0)),"")</f>
        <v>骰子龟+骰子龟</v>
      </c>
      <c r="I35" s="21">
        <v>20</v>
      </c>
      <c r="J35" s="23">
        <v>1</v>
      </c>
      <c r="K35" s="23">
        <f>LOOKUP(use_fish!B35,base_fish!A:A,base_fish!G:G)</f>
        <v>0</v>
      </c>
      <c r="L35" s="23">
        <f t="shared" si="8"/>
        <v>20</v>
      </c>
      <c r="M35" s="23">
        <v>1</v>
      </c>
      <c r="N35" s="23">
        <v>1</v>
      </c>
      <c r="O35" s="23">
        <v>1</v>
      </c>
    </row>
    <row r="36" spans="1:15" s="23" customFormat="1" x14ac:dyDescent="0.2">
      <c r="A36" s="20">
        <v>35</v>
      </c>
      <c r="B36" s="20">
        <v>35</v>
      </c>
      <c r="C36" s="20">
        <v>30</v>
      </c>
      <c r="D36" s="20"/>
      <c r="E36" s="21">
        <f>LOOKUP(use_fish!B36,base_fish!A:A,base_fish!C:C)+_xlfn.IFNA(INDEX(activity!F:F,MATCH(use_fish!C36,activity!A:A,0)),0)</f>
        <v>300</v>
      </c>
      <c r="F36" s="21">
        <f t="shared" si="7"/>
        <v>3.3333333333333335E-3</v>
      </c>
      <c r="G36" s="21" t="s">
        <v>22</v>
      </c>
      <c r="H36" s="22" t="str">
        <f>INDEX(base_fish!E:E,MATCH(use_fish!B36,base_fish!A:A,0))&amp;_xlfn.IFNA("+"&amp;INDEX(activity!G:G,MATCH(use_fish!C36,activity!A:A,0)),"")</f>
        <v>金龙转盘+连环转盘</v>
      </c>
      <c r="I36" s="21">
        <f>LOOKUP(use_fish!B36,base_fish!A:A,base_fish!F:F)+_xlfn.IFNA(INDEX(activity!F:F,MATCH(use_fish!C36,activity!A:A,0)),0)</f>
        <v>300</v>
      </c>
      <c r="J36" s="23">
        <v>1</v>
      </c>
      <c r="K36" s="23">
        <f>LOOKUP(use_fish!B36,base_fish!A:A,base_fish!G:G)</f>
        <v>0</v>
      </c>
      <c r="L36" s="23">
        <f t="shared" si="8"/>
        <v>300</v>
      </c>
      <c r="M36" s="23">
        <v>1</v>
      </c>
      <c r="N36" s="23">
        <v>1</v>
      </c>
      <c r="O36" s="23">
        <v>1</v>
      </c>
    </row>
    <row r="37" spans="1:15" s="23" customFormat="1" x14ac:dyDescent="0.2">
      <c r="A37" s="20">
        <v>36</v>
      </c>
      <c r="B37" s="20">
        <v>36</v>
      </c>
      <c r="C37" s="20">
        <v>36</v>
      </c>
      <c r="D37" s="20"/>
      <c r="E37" s="21">
        <f>LOOKUP(use_fish!B37,base_fish!A:A,base_fish!C:C)+_xlfn.IFNA(INDEX(activity!F:F,MATCH(use_fish!C37,activity!A:A,0)),0)</f>
        <v>300</v>
      </c>
      <c r="F37" s="21">
        <f t="shared" si="7"/>
        <v>3.3333333333333335E-3</v>
      </c>
      <c r="G37" s="21" t="s">
        <v>22</v>
      </c>
      <c r="H37" s="22" t="str">
        <f>INDEX(base_fish!E:E,MATCH(use_fish!B37,base_fish!A:A,0))&amp;_xlfn.IFNA("+"&amp;INDEX(activity!G:G,MATCH(use_fish!C37,activity!A:A,0)),"")</f>
        <v>炽火龙王+炽火龙王</v>
      </c>
      <c r="I37" s="21">
        <f>LOOKUP(use_fish!B37,base_fish!A:A,base_fish!F:F)+_xlfn.IFNA(INDEX(activity!F:F,MATCH(use_fish!C37,activity!A:A,0)),0)</f>
        <v>300</v>
      </c>
      <c r="J37" s="23">
        <v>1</v>
      </c>
      <c r="K37" s="23">
        <f>LOOKUP(use_fish!B37,base_fish!A:A,base_fish!G:G)</f>
        <v>0</v>
      </c>
      <c r="L37" s="23">
        <f t="shared" si="8"/>
        <v>300</v>
      </c>
      <c r="M37" s="23">
        <v>1</v>
      </c>
      <c r="N37" s="23">
        <v>1</v>
      </c>
      <c r="O37" s="23">
        <v>1</v>
      </c>
    </row>
    <row r="38" spans="1:15" s="23" customFormat="1" x14ac:dyDescent="0.2">
      <c r="A38" s="20">
        <v>37</v>
      </c>
      <c r="B38" s="20">
        <v>37</v>
      </c>
      <c r="C38" s="20"/>
      <c r="D38" s="45"/>
      <c r="E38" s="21">
        <f>LOOKUP(use_fish!B38,base_fish!A:A,base_fish!C:C)+_xlfn.IFNA(INDEX(activity!F:F,MATCH(use_fish!C38,activity!A:A,0)),0)</f>
        <v>0</v>
      </c>
      <c r="F38" s="21">
        <v>0</v>
      </c>
      <c r="G38" s="21" t="s">
        <v>22</v>
      </c>
      <c r="H38" s="22" t="str">
        <f>INDEX(base_fish!E:E,MATCH(use_fish!B38,base_fish!A:A,0))&amp;_xlfn.IFNA("+"&amp;INDEX(activity!G:G,MATCH(use_fish!C38,activity!A:A,0)),"")</f>
        <v>财神</v>
      </c>
      <c r="I38" s="21">
        <f>LOOKUP(use_fish!B38,base_fish!A:A,base_fish!F:F)+_xlfn.IFNA(INDEX(activity!F:F,MATCH(use_fish!C38,activity!A:A,0)),0)</f>
        <v>0</v>
      </c>
      <c r="J38" s="23">
        <v>1</v>
      </c>
      <c r="K38" s="23">
        <f>LOOKUP(use_fish!B38,base_fish!A:A,base_fish!G:G)</f>
        <v>0</v>
      </c>
      <c r="L38" s="23">
        <f t="shared" si="8"/>
        <v>0</v>
      </c>
      <c r="M38" s="23">
        <v>1</v>
      </c>
      <c r="N38" s="23">
        <v>1</v>
      </c>
      <c r="O38" s="23">
        <v>1</v>
      </c>
    </row>
    <row r="39" spans="1:15" s="29" customFormat="1" x14ac:dyDescent="0.2">
      <c r="A39" s="28">
        <v>38</v>
      </c>
      <c r="B39" s="28">
        <v>38</v>
      </c>
      <c r="C39" s="28">
        <v>26</v>
      </c>
      <c r="D39" s="28" t="s">
        <v>257</v>
      </c>
      <c r="E39" s="30">
        <f>LOOKUP(use_fish!B39,base_fish!A:A,base_fish!C:C)+_xlfn.IFNA(INDEX(activity!F:F,MATCH(use_fish!C39,activity!A:A,0)),0)</f>
        <v>102</v>
      </c>
      <c r="F39" s="30">
        <f t="shared" si="7"/>
        <v>9.8039215686274508E-3</v>
      </c>
      <c r="G39" s="30" t="s">
        <v>22</v>
      </c>
      <c r="H39" s="31" t="str">
        <f>INDEX(base_fish!E:E,MATCH(use_fish!B39,base_fish!A:A,0))&amp;_xlfn.IFNA("+"&amp;INDEX(activity!G:G,MATCH(use_fish!C39,activity!A:A,0)),"")</f>
        <v>黄金巨龙+彩贝-场次1</v>
      </c>
      <c r="I39" s="30">
        <f>LOOKUP(use_fish!B39,base_fish!A:A,base_fish!F:F)+_xlfn.IFNA(INDEX(activity!F:F,MATCH(use_fish!C39,activity!A:A,0)),0)</f>
        <v>102</v>
      </c>
      <c r="J39" s="29">
        <v>1</v>
      </c>
      <c r="K39" s="29">
        <f>LOOKUP(use_fish!B39,base_fish!A:A,base_fish!G:G)</f>
        <v>0</v>
      </c>
      <c r="L39" s="29">
        <f t="shared" si="8"/>
        <v>102</v>
      </c>
      <c r="M39" s="29">
        <v>2</v>
      </c>
      <c r="N39" s="29">
        <v>2</v>
      </c>
      <c r="O39" s="29">
        <v>1</v>
      </c>
    </row>
    <row r="40" spans="1:15" s="29" customFormat="1" x14ac:dyDescent="0.2">
      <c r="A40" s="28">
        <v>39</v>
      </c>
      <c r="B40" s="28">
        <v>39</v>
      </c>
      <c r="C40" s="28">
        <v>25</v>
      </c>
      <c r="D40" s="28" t="s">
        <v>280</v>
      </c>
      <c r="E40" s="30">
        <f>LOOKUP(use_fish!B40,base_fish!A:A,base_fish!C:C)+_xlfn.IFNA(INDEX(activity!F:F,MATCH(use_fish!C40,activity!A:A,0)),0)</f>
        <v>105</v>
      </c>
      <c r="F40" s="30">
        <f t="shared" ref="F40:F44" si="9">1/E40</f>
        <v>9.5238095238095247E-3</v>
      </c>
      <c r="G40" s="30" t="s">
        <v>22</v>
      </c>
      <c r="H40" s="31" t="str">
        <f>INDEX(base_fish!E:E,MATCH(use_fish!B40,base_fish!A:A,0))&amp;_xlfn.IFNA("+"&amp;INDEX(activity!G:G,MATCH(use_fish!C40,activity!A:A,0)),"")</f>
        <v>霸王蟹+彩贝-试炼场</v>
      </c>
      <c r="I40" s="30">
        <f>LOOKUP(use_fish!B40,base_fish!A:A,base_fish!F:F)+_xlfn.IFNA(INDEX(activity!F:F,MATCH(use_fish!C40,activity!A:A,0)),0)</f>
        <v>105</v>
      </c>
      <c r="J40" s="29">
        <v>1</v>
      </c>
      <c r="K40" s="29">
        <f>LOOKUP(use_fish!B40,base_fish!A:A,base_fish!G:G)</f>
        <v>0</v>
      </c>
      <c r="L40" s="29">
        <f t="shared" ref="L40:L45" si="10">I40</f>
        <v>105</v>
      </c>
      <c r="M40" s="29">
        <v>1</v>
      </c>
      <c r="N40" s="29">
        <v>2</v>
      </c>
      <c r="O40" s="29">
        <v>1</v>
      </c>
    </row>
    <row r="41" spans="1:15" s="29" customFormat="1" x14ac:dyDescent="0.2">
      <c r="A41" s="28">
        <v>40</v>
      </c>
      <c r="B41" s="28">
        <v>40</v>
      </c>
      <c r="C41" s="28">
        <v>41</v>
      </c>
      <c r="D41" s="28" t="s">
        <v>281</v>
      </c>
      <c r="E41" s="30">
        <f>LOOKUP(use_fish!B41,base_fish!A:A,base_fish!C:C)+_xlfn.IFNA(INDEX(activity!F:F,MATCH(use_fish!C41,activity!A:A,0)),0)</f>
        <v>302</v>
      </c>
      <c r="F41" s="30">
        <f t="shared" si="9"/>
        <v>3.3112582781456954E-3</v>
      </c>
      <c r="G41" s="30" t="s">
        <v>22</v>
      </c>
      <c r="H41" s="31" t="str">
        <f>INDEX(base_fish!E:E,MATCH(use_fish!B41,base_fish!A:A,0))&amp;_xlfn.IFNA("+"&amp;INDEX(activity!G:G,MATCH(use_fish!C41,activity!A:A,0)),"")</f>
        <v>深海鲸+彩贝-场次4</v>
      </c>
      <c r="I41" s="30">
        <f>LOOKUP(use_fish!B41,base_fish!A:A,base_fish!F:F)+_xlfn.IFNA(INDEX(activity!F:F,MATCH(use_fish!C41,activity!A:A,0)),0)</f>
        <v>302</v>
      </c>
      <c r="J41" s="29">
        <v>1</v>
      </c>
      <c r="K41" s="29">
        <f>LOOKUP(use_fish!B41,base_fish!A:A,base_fish!G:G)</f>
        <v>0</v>
      </c>
      <c r="L41" s="29">
        <f t="shared" si="10"/>
        <v>302</v>
      </c>
      <c r="M41" s="29">
        <v>1</v>
      </c>
      <c r="N41" s="29">
        <v>2</v>
      </c>
      <c r="O41" s="29">
        <v>1</v>
      </c>
    </row>
    <row r="42" spans="1:15" s="29" customFormat="1" x14ac:dyDescent="0.2">
      <c r="A42" s="28">
        <v>41</v>
      </c>
      <c r="B42" s="28">
        <v>41</v>
      </c>
      <c r="C42" s="28">
        <v>27</v>
      </c>
      <c r="D42" s="28" t="s">
        <v>280</v>
      </c>
      <c r="E42" s="30">
        <f>LOOKUP(use_fish!B42,base_fish!A:A,base_fish!C:C)+_xlfn.IFNA(INDEX(activity!F:F,MATCH(use_fish!C42,activity!A:A,0)),0)</f>
        <v>206</v>
      </c>
      <c r="F42" s="30">
        <f t="shared" si="9"/>
        <v>4.8543689320388345E-3</v>
      </c>
      <c r="G42" s="30" t="s">
        <v>22</v>
      </c>
      <c r="H42" s="31" t="str">
        <f>INDEX(base_fish!E:E,MATCH(use_fish!B42,base_fish!A:A,0))&amp;_xlfn.IFNA("+"&amp;INDEX(activity!G:G,MATCH(use_fish!C42,activity!A:A,0)),"")</f>
        <v>鲨鱼武士+彩贝-场次2</v>
      </c>
      <c r="I42" s="30">
        <f>LOOKUP(use_fish!B42,base_fish!A:A,base_fish!F:F)+_xlfn.IFNA(INDEX(activity!F:F,MATCH(use_fish!C42,activity!A:A,0)),0)</f>
        <v>206</v>
      </c>
      <c r="J42" s="29">
        <v>1</v>
      </c>
      <c r="K42" s="29">
        <f>LOOKUP(use_fish!B42,base_fish!A:A,base_fish!G:G)</f>
        <v>0</v>
      </c>
      <c r="L42" s="29">
        <f t="shared" si="10"/>
        <v>206</v>
      </c>
      <c r="M42" s="29">
        <v>1</v>
      </c>
      <c r="N42" s="29">
        <v>2</v>
      </c>
      <c r="O42" s="29">
        <v>1</v>
      </c>
    </row>
    <row r="43" spans="1:15" s="49" customFormat="1" x14ac:dyDescent="0.2">
      <c r="A43" s="46">
        <v>42</v>
      </c>
      <c r="B43" s="46">
        <v>42</v>
      </c>
      <c r="C43" s="46"/>
      <c r="D43" s="46"/>
      <c r="E43" s="47">
        <f>LOOKUP(use_fish!B43,base_fish!A:A,base_fish!C:C)+_xlfn.IFNA(INDEX(activity!F:F,MATCH(use_fish!C43,activity!A:A,0)),0)</f>
        <v>0</v>
      </c>
      <c r="F43" s="47">
        <v>0</v>
      </c>
      <c r="G43" s="47" t="s">
        <v>22</v>
      </c>
      <c r="H43" s="48" t="str">
        <f>INDEX(base_fish!E:E,MATCH(use_fish!B43,base_fish!A:A,0))&amp;_xlfn.IFNA("+"&amp;INDEX(activity!G:G,MATCH(use_fish!C43,activity!A:A,0)),"")</f>
        <v>荧光女皇</v>
      </c>
      <c r="I43" s="47">
        <f>LOOKUP(use_fish!B43,base_fish!A:A,base_fish!F:F)+_xlfn.IFNA(INDEX(activity!F:F,MATCH(use_fish!C43,activity!A:A,0)),0)</f>
        <v>0</v>
      </c>
      <c r="J43" s="49">
        <v>1</v>
      </c>
      <c r="K43" s="49">
        <f>LOOKUP(use_fish!B43,base_fish!A:A,base_fish!G:G)</f>
        <v>0</v>
      </c>
      <c r="L43" s="49">
        <f t="shared" si="10"/>
        <v>0</v>
      </c>
      <c r="M43" s="49">
        <v>1</v>
      </c>
      <c r="N43" s="49">
        <v>2</v>
      </c>
      <c r="O43" s="49">
        <v>1</v>
      </c>
    </row>
    <row r="44" spans="1:15" s="29" customFormat="1" x14ac:dyDescent="0.2">
      <c r="A44" s="28">
        <v>43</v>
      </c>
      <c r="B44" s="28">
        <v>43</v>
      </c>
      <c r="C44" s="28">
        <v>40</v>
      </c>
      <c r="D44" s="28" t="s">
        <v>282</v>
      </c>
      <c r="E44" s="30">
        <f>LOOKUP(use_fish!B44,base_fish!A:A,base_fish!C:C)+_xlfn.IFNA(INDEX(activity!F:F,MATCH(use_fish!C44,activity!A:A,0)),0)</f>
        <v>202</v>
      </c>
      <c r="F44" s="30">
        <f t="shared" si="9"/>
        <v>4.9504950495049506E-3</v>
      </c>
      <c r="G44" s="30" t="s">
        <v>22</v>
      </c>
      <c r="H44" s="31" t="str">
        <f>INDEX(base_fish!E:E,MATCH(use_fish!B44,base_fish!A:A,0))&amp;_xlfn.IFNA("+"&amp;INDEX(activity!G:G,MATCH(use_fish!C44,activity!A:A,0)),"")</f>
        <v>龙龟+彩贝-场次3</v>
      </c>
      <c r="I44" s="30">
        <f>LOOKUP(use_fish!B44,base_fish!A:A,base_fish!F:F)+_xlfn.IFNA(INDEX(activity!F:F,MATCH(use_fish!C44,activity!A:A,0)),0)</f>
        <v>202</v>
      </c>
      <c r="J44" s="29">
        <v>1</v>
      </c>
      <c r="K44" s="29">
        <f>LOOKUP(use_fish!B44,base_fish!A:A,base_fish!G:G)</f>
        <v>0</v>
      </c>
      <c r="L44" s="29">
        <f t="shared" si="10"/>
        <v>202</v>
      </c>
      <c r="M44" s="29">
        <v>1</v>
      </c>
      <c r="N44" s="29">
        <v>2</v>
      </c>
      <c r="O44" s="29">
        <v>1</v>
      </c>
    </row>
    <row r="45" spans="1:15" s="49" customFormat="1" x14ac:dyDescent="0.2">
      <c r="A45" s="46">
        <v>44</v>
      </c>
      <c r="B45" s="46">
        <v>44</v>
      </c>
      <c r="C45" s="46"/>
      <c r="D45" s="46"/>
      <c r="E45" s="47">
        <f>LOOKUP(use_fish!B45,base_fish!A:A,base_fish!C:C)+_xlfn.IFNA(INDEX(activity!F:F,MATCH(use_fish!C45,activity!A:A,0)),0)</f>
        <v>0</v>
      </c>
      <c r="F45" s="47">
        <v>0</v>
      </c>
      <c r="G45" s="47" t="s">
        <v>22</v>
      </c>
      <c r="H45" s="48" t="str">
        <f>INDEX(base_fish!E:E,MATCH(use_fish!B45,base_fish!A:A,0))&amp;_xlfn.IFNA("+"&amp;INDEX(activity!G:G,MATCH(use_fish!C45,activity!A:A,0)),"")</f>
        <v>麒麟兽</v>
      </c>
      <c r="I45" s="47">
        <f>LOOKUP(use_fish!B45,base_fish!A:A,base_fish!F:F)+_xlfn.IFNA(INDEX(activity!F:F,MATCH(use_fish!C45,activity!A:A,0)),0)</f>
        <v>0</v>
      </c>
      <c r="J45" s="49">
        <v>1</v>
      </c>
      <c r="K45" s="49">
        <f>LOOKUP(use_fish!B45,base_fish!A:A,base_fish!G:G)</f>
        <v>0</v>
      </c>
      <c r="L45" s="49">
        <f t="shared" si="10"/>
        <v>0</v>
      </c>
      <c r="M45" s="49">
        <v>2</v>
      </c>
      <c r="N45" s="49">
        <v>2</v>
      </c>
      <c r="O45" s="49">
        <v>1</v>
      </c>
    </row>
    <row r="46" spans="1:15" s="49" customFormat="1" x14ac:dyDescent="0.2">
      <c r="A46" s="46">
        <v>45</v>
      </c>
      <c r="B46" s="46">
        <v>45</v>
      </c>
      <c r="C46" s="46"/>
      <c r="D46" s="46"/>
      <c r="E46" s="47">
        <f>LOOKUP(use_fish!B46,base_fish!A:A,base_fish!C:C)+_xlfn.IFNA(INDEX(activity!F:F,MATCH(use_fish!C46,activity!A:A,0)),0)</f>
        <v>0</v>
      </c>
      <c r="F46" s="47">
        <v>0</v>
      </c>
      <c r="G46" s="47" t="s">
        <v>22</v>
      </c>
      <c r="H46" s="48" t="str">
        <f>INDEX(base_fish!E:E,MATCH(use_fish!B46,base_fish!A:A,0))&amp;_xlfn.IFNA("+"&amp;INDEX(activity!G:G,MATCH(use_fish!C46,activity!A:A,0)),"")</f>
        <v>海盗船</v>
      </c>
      <c r="I46" s="47">
        <f>LOOKUP(use_fish!B46,base_fish!A:A,base_fish!F:F)+_xlfn.IFNA(INDEX(activity!F:F,MATCH(use_fish!C46,activity!A:A,0)),0)</f>
        <v>0</v>
      </c>
      <c r="J46" s="49">
        <v>1</v>
      </c>
      <c r="K46" s="49">
        <f>LOOKUP(use_fish!B46,base_fish!A:A,base_fish!G:G)</f>
        <v>0</v>
      </c>
      <c r="L46" s="49">
        <f t="shared" ref="L46:L50" si="11">I46</f>
        <v>0</v>
      </c>
      <c r="M46" s="49">
        <v>1</v>
      </c>
      <c r="N46" s="49">
        <v>2</v>
      </c>
      <c r="O46" s="49">
        <v>1</v>
      </c>
    </row>
    <row r="47" spans="1:15" s="33" customFormat="1" x14ac:dyDescent="0.2">
      <c r="A47" s="32">
        <v>46</v>
      </c>
      <c r="B47" s="32">
        <v>46</v>
      </c>
      <c r="C47" s="32"/>
      <c r="D47" s="32" t="s">
        <v>283</v>
      </c>
      <c r="E47" s="34">
        <f>LOOKUP(use_fish!B47,base_fish!A:A,base_fish!C:C)+_xlfn.IFNA(INDEX(activity!F:F,MATCH(use_fish!C47,activity!A:A,0)),0)</f>
        <v>200</v>
      </c>
      <c r="F47" s="34">
        <f t="shared" ref="F47:F50" si="12">1/E47</f>
        <v>5.0000000000000001E-3</v>
      </c>
      <c r="G47" s="34" t="s">
        <v>22</v>
      </c>
      <c r="H47" s="35" t="str">
        <f>INDEX(base_fish!E:E,MATCH(use_fish!B47,base_fish!A:A,0))&amp;_xlfn.IFNA("+"&amp;INDEX(activity!G:G,MATCH(use_fish!C47,activity!A:A,0)),"")</f>
        <v>金蟾</v>
      </c>
      <c r="I47" s="34">
        <f>LOOKUP(use_fish!B47,base_fish!A:A,base_fish!F:F)+_xlfn.IFNA(INDEX(activity!F:F,MATCH(use_fish!C47,activity!A:A,0)),0)</f>
        <v>200</v>
      </c>
      <c r="J47" s="33">
        <v>1</v>
      </c>
      <c r="K47" s="33">
        <f>LOOKUP(use_fish!B47,base_fish!A:A,base_fish!G:G)</f>
        <v>0</v>
      </c>
      <c r="L47" s="33">
        <f t="shared" si="11"/>
        <v>200</v>
      </c>
      <c r="M47" s="33">
        <v>1</v>
      </c>
      <c r="N47" s="33">
        <v>0</v>
      </c>
      <c r="O47" s="33">
        <v>1</v>
      </c>
    </row>
    <row r="48" spans="1:15" s="33" customFormat="1" x14ac:dyDescent="0.2">
      <c r="A48" s="32">
        <v>47</v>
      </c>
      <c r="B48" s="32">
        <v>47</v>
      </c>
      <c r="C48" s="32">
        <v>34</v>
      </c>
      <c r="D48" s="32" t="s">
        <v>285</v>
      </c>
      <c r="E48" s="34">
        <f>LOOKUP(use_fish!B48,base_fish!A:A,base_fish!C:C)+_xlfn.IFNA(INDEX(activity!F:F,MATCH(use_fish!C48,activity!A:A,0)),0)</f>
        <v>300</v>
      </c>
      <c r="F48" s="34">
        <f t="shared" si="12"/>
        <v>3.3333333333333335E-3</v>
      </c>
      <c r="G48" s="34" t="s">
        <v>22</v>
      </c>
      <c r="H48" s="35" t="str">
        <f>INDEX(base_fish!E:E,MATCH(use_fish!B48,base_fish!A:A,0))&amp;_xlfn.IFNA("+"&amp;INDEX(activity!G:G,MATCH(use_fish!C48,activity!A:A,0)),"")</f>
        <v>深海狂鲨+吞噬天下</v>
      </c>
      <c r="I48" s="34">
        <f>LOOKUP(use_fish!B48,base_fish!A:A,base_fish!F:F)+_xlfn.IFNA(INDEX(activity!F:F,MATCH(use_fish!C48,activity!A:A,0)),0)</f>
        <v>300</v>
      </c>
      <c r="J48" s="33">
        <v>1</v>
      </c>
      <c r="K48" s="33">
        <f>LOOKUP(use_fish!B48,base_fish!A:A,base_fish!G:G)</f>
        <v>0</v>
      </c>
      <c r="L48" s="33">
        <f t="shared" si="11"/>
        <v>300</v>
      </c>
      <c r="M48" s="33">
        <v>1</v>
      </c>
      <c r="N48" s="33">
        <v>0</v>
      </c>
      <c r="O48" s="33">
        <v>1</v>
      </c>
    </row>
    <row r="49" spans="1:15" s="33" customFormat="1" x14ac:dyDescent="0.2">
      <c r="A49" s="32">
        <v>48</v>
      </c>
      <c r="B49" s="32">
        <v>48</v>
      </c>
      <c r="C49" s="32">
        <v>17</v>
      </c>
      <c r="D49" s="32" t="s">
        <v>286</v>
      </c>
      <c r="E49" s="34">
        <f>LOOKUP(use_fish!B49,base_fish!A:A,base_fish!C:C)+_xlfn.IFNA(INDEX(activity!F:F,MATCH(use_fish!C49,activity!A:A,0)),0)</f>
        <v>400</v>
      </c>
      <c r="F49" s="34">
        <f t="shared" si="12"/>
        <v>2.5000000000000001E-3</v>
      </c>
      <c r="G49" s="34" t="s">
        <v>22</v>
      </c>
      <c r="H49" s="35" t="str">
        <f>INDEX(base_fish!E:E,MATCH(use_fish!B49,base_fish!A:A,0))&amp;_xlfn.IFNA("+"&amp;INDEX(activity!G:G,MATCH(use_fish!C49,activity!A:A,0)),"")</f>
        <v>鳄鱼+宝箱</v>
      </c>
      <c r="I49" s="34">
        <f>LOOKUP(use_fish!B49,base_fish!A:A,base_fish!F:F)+_xlfn.IFNA(INDEX(activity!F:F,MATCH(use_fish!C49,activity!A:A,0)),0)</f>
        <v>400</v>
      </c>
      <c r="J49" s="33">
        <v>1</v>
      </c>
      <c r="K49" s="33">
        <f>LOOKUP(use_fish!B49,base_fish!A:A,base_fish!G:G)</f>
        <v>0</v>
      </c>
      <c r="L49" s="33">
        <f t="shared" si="11"/>
        <v>400</v>
      </c>
      <c r="M49" s="33">
        <v>1</v>
      </c>
      <c r="N49" s="33">
        <v>0</v>
      </c>
      <c r="O49" s="33">
        <v>1</v>
      </c>
    </row>
    <row r="50" spans="1:15" s="33" customFormat="1" x14ac:dyDescent="0.2">
      <c r="A50" s="32">
        <v>49</v>
      </c>
      <c r="B50" s="32">
        <v>49</v>
      </c>
      <c r="C50" s="32">
        <v>35</v>
      </c>
      <c r="D50" s="32" t="s">
        <v>287</v>
      </c>
      <c r="E50" s="34">
        <f>LOOKUP(use_fish!B50,base_fish!A:A,base_fish!C:C)+_xlfn.IFNA(INDEX(activity!F:F,MATCH(use_fish!C50,activity!A:A,0)),0)</f>
        <v>400</v>
      </c>
      <c r="F50" s="34">
        <f t="shared" si="12"/>
        <v>2.5000000000000001E-3</v>
      </c>
      <c r="G50" s="34" t="s">
        <v>22</v>
      </c>
      <c r="H50" s="35" t="str">
        <f>INDEX(base_fish!E:E,MATCH(use_fish!B50,base_fish!A:A,0))&amp;_xlfn.IFNA("+"&amp;INDEX(activity!G:G,MATCH(use_fish!C50,activity!A:A,0)),"")</f>
        <v>大王乌贼+连环炸弹</v>
      </c>
      <c r="I50" s="34">
        <f>LOOKUP(use_fish!B50,base_fish!A:A,base_fish!F:F)+_xlfn.IFNA(INDEX(activity!F:F,MATCH(use_fish!C50,activity!A:A,0)),0)</f>
        <v>400</v>
      </c>
      <c r="J50" s="33">
        <v>1</v>
      </c>
      <c r="K50" s="33">
        <f>LOOKUP(use_fish!B50,base_fish!A:A,base_fish!G:G)</f>
        <v>0</v>
      </c>
      <c r="L50" s="33">
        <f t="shared" si="11"/>
        <v>400</v>
      </c>
      <c r="M50" s="33">
        <v>1</v>
      </c>
      <c r="N50" s="33">
        <v>0</v>
      </c>
      <c r="O50" s="33">
        <v>1</v>
      </c>
    </row>
    <row r="51" spans="1:15" s="33" customFormat="1" x14ac:dyDescent="0.2">
      <c r="A51" s="32">
        <v>50</v>
      </c>
      <c r="B51" s="32">
        <v>50</v>
      </c>
      <c r="C51" s="32"/>
      <c r="D51" s="32"/>
      <c r="E51" s="34">
        <v>0</v>
      </c>
      <c r="F51" s="32">
        <v>0</v>
      </c>
      <c r="G51" s="34" t="s">
        <v>22</v>
      </c>
      <c r="H51" s="33" t="s">
        <v>249</v>
      </c>
      <c r="I51" s="34">
        <v>0</v>
      </c>
      <c r="J51" s="33">
        <v>3</v>
      </c>
      <c r="K51" s="34">
        <v>0</v>
      </c>
      <c r="L51" s="34">
        <v>0</v>
      </c>
      <c r="M51" s="34">
        <v>1</v>
      </c>
      <c r="N51" s="33">
        <v>0</v>
      </c>
      <c r="O51" s="33">
        <v>3</v>
      </c>
    </row>
    <row r="52" spans="1:15" s="27" customFormat="1" x14ac:dyDescent="0.2">
      <c r="A52" s="24">
        <v>51</v>
      </c>
      <c r="B52" s="24">
        <v>11</v>
      </c>
      <c r="C52" s="24">
        <v>42</v>
      </c>
      <c r="D52" s="24"/>
      <c r="E52" s="25">
        <f>LOOKUP(use_fish!B52,base_fish!A:A,base_fish!C:C)+_xlfn.IFNA(INDEX(activity!F:F,MATCH(use_fish!C52,activity!A:A,0)),0)</f>
        <v>45</v>
      </c>
      <c r="F52" s="25">
        <f t="shared" ref="F52:F65" si="13">1/E52</f>
        <v>2.2222222222222223E-2</v>
      </c>
      <c r="G52" s="25" t="s">
        <v>22</v>
      </c>
      <c r="H52" s="26" t="str">
        <f>INDEX(base_fish!E:E,MATCH(use_fish!B52,base_fish!A:A,0))&amp;_xlfn.IFNA("+"&amp;INDEX(activity!G:G,MATCH(use_fish!C52,activity!A:A,0)),"")</f>
        <v>小海龟+炸弹</v>
      </c>
      <c r="I52" s="25">
        <f>LOOKUP(use_fish!B52,base_fish!A:A,base_fish!F:F)+_xlfn.IFNA(INDEX(activity!F:F,MATCH(use_fish!C52,activity!A:A,0)),0)</f>
        <v>45</v>
      </c>
      <c r="J52" s="27">
        <v>1</v>
      </c>
      <c r="K52" s="27">
        <f>LOOKUP(use_fish!B52,base_fish!A:A,base_fish!G:G)</f>
        <v>0</v>
      </c>
      <c r="L52" s="27">
        <f t="shared" ref="L52:L65" si="14">I52</f>
        <v>45</v>
      </c>
      <c r="M52" s="27">
        <v>1</v>
      </c>
      <c r="N52" s="27">
        <f t="shared" ref="N52:N57" si="15">IF(OR(C52=4,C52=5),1,0)</f>
        <v>0</v>
      </c>
      <c r="O52" s="27">
        <v>1</v>
      </c>
    </row>
    <row r="53" spans="1:15" s="39" customFormat="1" x14ac:dyDescent="0.2">
      <c r="A53" s="36">
        <v>52</v>
      </c>
      <c r="B53" s="36">
        <v>12</v>
      </c>
      <c r="C53" s="36">
        <v>42</v>
      </c>
      <c r="D53" s="36"/>
      <c r="E53" s="37">
        <f>LOOKUP(use_fish!B53,base_fish!A:A,base_fish!C:C)+_xlfn.IFNA(INDEX(activity!F:F,MATCH(use_fish!C53,activity!A:A,0)),0)</f>
        <v>48</v>
      </c>
      <c r="F53" s="37">
        <f t="shared" si="13"/>
        <v>2.0833333333333332E-2</v>
      </c>
      <c r="G53" s="37" t="s">
        <v>22</v>
      </c>
      <c r="H53" s="38" t="str">
        <f>INDEX(base_fish!E:E,MATCH(use_fish!B53,base_fish!A:A,0))&amp;_xlfn.IFNA("+"&amp;INDEX(activity!G:G,MATCH(use_fish!C53,activity!A:A,0)),"")</f>
        <v>狮子鱼+炸弹</v>
      </c>
      <c r="I53" s="37">
        <f>LOOKUP(use_fish!B53,base_fish!A:A,base_fish!F:F)+_xlfn.IFNA(INDEX(activity!F:F,MATCH(use_fish!C53,activity!A:A,0)),0)</f>
        <v>48</v>
      </c>
      <c r="J53" s="39">
        <v>1</v>
      </c>
      <c r="K53" s="39">
        <f>LOOKUP(use_fish!B53,base_fish!A:A,base_fish!G:G)</f>
        <v>0</v>
      </c>
      <c r="L53" s="39">
        <f t="shared" si="14"/>
        <v>48</v>
      </c>
      <c r="M53" s="39">
        <v>1</v>
      </c>
      <c r="N53" s="39">
        <f t="shared" si="15"/>
        <v>0</v>
      </c>
      <c r="O53" s="39">
        <v>1</v>
      </c>
    </row>
    <row r="54" spans="1:15" s="39" customFormat="1" x14ac:dyDescent="0.2">
      <c r="A54" s="36">
        <v>53</v>
      </c>
      <c r="B54" s="36">
        <v>13</v>
      </c>
      <c r="C54" s="36">
        <v>42</v>
      </c>
      <c r="D54" s="36"/>
      <c r="E54" s="37">
        <f>LOOKUP(use_fish!B54,base_fish!A:A,base_fish!C:C)+_xlfn.IFNA(INDEX(activity!F:F,MATCH(use_fish!C54,activity!A:A,0)),0)</f>
        <v>50</v>
      </c>
      <c r="F54" s="37">
        <f t="shared" si="13"/>
        <v>0.02</v>
      </c>
      <c r="G54" s="37" t="s">
        <v>22</v>
      </c>
      <c r="H54" s="38" t="str">
        <f>INDEX(base_fish!E:E,MATCH(use_fish!B54,base_fish!A:A,0))&amp;_xlfn.IFNA("+"&amp;INDEX(activity!G:G,MATCH(use_fish!C54,activity!A:A,0)),"")</f>
        <v>蝴蝶鱼+炸弹</v>
      </c>
      <c r="I54" s="37">
        <f>LOOKUP(use_fish!B54,base_fish!A:A,base_fish!F:F)+_xlfn.IFNA(INDEX(activity!F:F,MATCH(use_fish!C54,activity!A:A,0)),0)</f>
        <v>50</v>
      </c>
      <c r="J54" s="39">
        <v>1</v>
      </c>
      <c r="K54" s="39">
        <f>LOOKUP(use_fish!B54,base_fish!A:A,base_fish!G:G)</f>
        <v>0</v>
      </c>
      <c r="L54" s="39">
        <f t="shared" si="14"/>
        <v>50</v>
      </c>
      <c r="M54" s="39">
        <v>1</v>
      </c>
      <c r="N54" s="39">
        <f t="shared" si="15"/>
        <v>0</v>
      </c>
      <c r="O54" s="39">
        <v>1</v>
      </c>
    </row>
    <row r="55" spans="1:15" s="39" customFormat="1" x14ac:dyDescent="0.2">
      <c r="A55" s="36">
        <v>54</v>
      </c>
      <c r="B55" s="36">
        <v>14</v>
      </c>
      <c r="C55" s="36">
        <v>42</v>
      </c>
      <c r="D55" s="36"/>
      <c r="E55" s="37">
        <f>LOOKUP(use_fish!B55,base_fish!A:A,base_fish!C:C)+_xlfn.IFNA(INDEX(activity!F:F,MATCH(use_fish!C55,activity!A:A,0)),0)</f>
        <v>55</v>
      </c>
      <c r="F55" s="37">
        <f t="shared" si="13"/>
        <v>1.8181818181818181E-2</v>
      </c>
      <c r="G55" s="37" t="s">
        <v>22</v>
      </c>
      <c r="H55" s="38" t="str">
        <f>INDEX(base_fish!E:E,MATCH(use_fish!B55,base_fish!A:A,0))&amp;_xlfn.IFNA("+"&amp;INDEX(activity!G:G,MATCH(use_fish!C55,activity!A:A,0)),"")</f>
        <v>巨大小丑鱼+炸弹</v>
      </c>
      <c r="I55" s="37">
        <f>LOOKUP(use_fish!B55,base_fish!A:A,base_fish!F:F)+_xlfn.IFNA(INDEX(activity!F:F,MATCH(use_fish!C55,activity!A:A,0)),0)</f>
        <v>55</v>
      </c>
      <c r="J55" s="39">
        <v>1</v>
      </c>
      <c r="K55" s="39">
        <f>LOOKUP(use_fish!B55,base_fish!A:A,base_fish!G:G)</f>
        <v>0</v>
      </c>
      <c r="L55" s="39">
        <f t="shared" si="14"/>
        <v>55</v>
      </c>
      <c r="M55" s="39">
        <v>1</v>
      </c>
      <c r="N55" s="39">
        <f t="shared" si="15"/>
        <v>0</v>
      </c>
      <c r="O55" s="39">
        <v>1</v>
      </c>
    </row>
    <row r="56" spans="1:15" s="39" customFormat="1" x14ac:dyDescent="0.2">
      <c r="A56" s="36">
        <v>55</v>
      </c>
      <c r="B56" s="36">
        <v>15</v>
      </c>
      <c r="C56" s="36">
        <v>42</v>
      </c>
      <c r="D56" s="36"/>
      <c r="E56" s="37">
        <f>LOOKUP(use_fish!B56,base_fish!A:A,base_fish!C:C)+_xlfn.IFNA(INDEX(activity!F:F,MATCH(use_fish!C56,activity!A:A,0)),0)</f>
        <v>60</v>
      </c>
      <c r="F56" s="37">
        <f t="shared" si="13"/>
        <v>1.6666666666666666E-2</v>
      </c>
      <c r="G56" s="37" t="s">
        <v>22</v>
      </c>
      <c r="H56" s="38" t="str">
        <f>INDEX(base_fish!E:E,MATCH(use_fish!B56,base_fish!A:A,0))&amp;_xlfn.IFNA("+"&amp;INDEX(activity!G:G,MATCH(use_fish!C56,activity!A:A,0)),"")</f>
        <v>巨大灯笼鱼+炸弹</v>
      </c>
      <c r="I56" s="37">
        <f>LOOKUP(use_fish!B56,base_fish!A:A,base_fish!F:F)+_xlfn.IFNA(INDEX(activity!F:F,MATCH(use_fish!C56,activity!A:A,0)),0)</f>
        <v>60</v>
      </c>
      <c r="J56" s="39">
        <v>1</v>
      </c>
      <c r="K56" s="39">
        <f>LOOKUP(use_fish!B56,base_fish!A:A,base_fish!G:G)</f>
        <v>0</v>
      </c>
      <c r="L56" s="39">
        <f t="shared" si="14"/>
        <v>60</v>
      </c>
      <c r="M56" s="39">
        <v>1</v>
      </c>
      <c r="N56" s="39">
        <f t="shared" si="15"/>
        <v>0</v>
      </c>
      <c r="O56" s="39">
        <v>1</v>
      </c>
    </row>
    <row r="57" spans="1:15" s="39" customFormat="1" x14ac:dyDescent="0.2">
      <c r="A57" s="36">
        <v>56</v>
      </c>
      <c r="B57" s="36">
        <v>16</v>
      </c>
      <c r="C57" s="36">
        <v>42</v>
      </c>
      <c r="D57" s="36"/>
      <c r="E57" s="37">
        <f>LOOKUP(use_fish!B57,base_fish!A:A,base_fish!C:C)+_xlfn.IFNA(INDEX(activity!F:F,MATCH(use_fish!C57,activity!A:A,0)),0)</f>
        <v>65</v>
      </c>
      <c r="F57" s="37">
        <f t="shared" si="13"/>
        <v>1.5384615384615385E-2</v>
      </c>
      <c r="G57" s="37" t="s">
        <v>22</v>
      </c>
      <c r="H57" s="38" t="str">
        <f>INDEX(base_fish!E:E,MATCH(use_fish!B57,base_fish!A:A,0))&amp;_xlfn.IFNA("+"&amp;INDEX(activity!G:G,MATCH(use_fish!C57,activity!A:A,0)),"")</f>
        <v>巨大燕鱼+炸弹</v>
      </c>
      <c r="I57" s="37">
        <f>LOOKUP(use_fish!B57,base_fish!A:A,base_fish!F:F)+_xlfn.IFNA(INDEX(activity!F:F,MATCH(use_fish!C57,activity!A:A,0)),0)</f>
        <v>65</v>
      </c>
      <c r="J57" s="39">
        <v>1</v>
      </c>
      <c r="K57" s="39">
        <f>LOOKUP(use_fish!B57,base_fish!A:A,base_fish!G:G)</f>
        <v>0</v>
      </c>
      <c r="L57" s="39">
        <f t="shared" si="14"/>
        <v>65</v>
      </c>
      <c r="M57" s="39">
        <v>1</v>
      </c>
      <c r="N57" s="39">
        <f t="shared" si="15"/>
        <v>0</v>
      </c>
      <c r="O57" s="39">
        <v>1</v>
      </c>
    </row>
    <row r="58" spans="1:15" s="39" customFormat="1" x14ac:dyDescent="0.2">
      <c r="A58" s="36">
        <v>57</v>
      </c>
      <c r="B58" s="36">
        <v>17</v>
      </c>
      <c r="C58" s="36">
        <v>42</v>
      </c>
      <c r="D58" s="36"/>
      <c r="E58" s="37">
        <f>LOOKUP(use_fish!B58,base_fish!A:A,base_fish!C:C)+_xlfn.IFNA(INDEX(activity!F:F,MATCH(use_fish!C58,activity!A:A,0)),0)</f>
        <v>70</v>
      </c>
      <c r="F58" s="37">
        <f t="shared" si="13"/>
        <v>1.4285714285714285E-2</v>
      </c>
      <c r="G58" s="37" t="s">
        <v>22</v>
      </c>
      <c r="H58" s="38" t="str">
        <f>INDEX(base_fish!E:E,MATCH(use_fish!B58,base_fish!A:A,0))&amp;_xlfn.IFNA("+"&amp;INDEX(activity!G:G,MATCH(use_fish!C58,activity!A:A,0)),"")</f>
        <v>魔鬼鱼+炸弹</v>
      </c>
      <c r="I58" s="37">
        <f>LOOKUP(use_fish!B58,base_fish!A:A,base_fish!F:F)+_xlfn.IFNA(INDEX(activity!F:F,MATCH(use_fish!C58,activity!A:A,0)),0)</f>
        <v>70</v>
      </c>
      <c r="J58" s="39">
        <v>1</v>
      </c>
      <c r="K58" s="39">
        <f>LOOKUP(use_fish!B58,base_fish!A:A,base_fish!G:G)</f>
        <v>0</v>
      </c>
      <c r="L58" s="39">
        <f t="shared" si="14"/>
        <v>70</v>
      </c>
      <c r="M58" s="39">
        <v>1</v>
      </c>
      <c r="N58" s="39">
        <v>0</v>
      </c>
      <c r="O58" s="39">
        <v>1</v>
      </c>
    </row>
    <row r="59" spans="1:15" s="39" customFormat="1" x14ac:dyDescent="0.2">
      <c r="A59" s="36">
        <v>58</v>
      </c>
      <c r="B59" s="36">
        <v>18</v>
      </c>
      <c r="C59" s="36">
        <v>42</v>
      </c>
      <c r="D59" s="36"/>
      <c r="E59" s="37">
        <f>LOOKUP(use_fish!B59,base_fish!A:A,base_fish!C:C)+_xlfn.IFNA(INDEX(activity!F:F,MATCH(use_fish!C59,activity!A:A,0)),0)</f>
        <v>90</v>
      </c>
      <c r="F59" s="37">
        <f t="shared" si="13"/>
        <v>1.1111111111111112E-2</v>
      </c>
      <c r="G59" s="37" t="s">
        <v>22</v>
      </c>
      <c r="H59" s="38" t="str">
        <f>INDEX(base_fish!E:E,MATCH(use_fish!B59,base_fish!A:A,0))&amp;_xlfn.IFNA("+"&amp;INDEX(activity!G:G,MATCH(use_fish!C59,activity!A:A,0)),"")</f>
        <v>虎鲸+炸弹</v>
      </c>
      <c r="I59" s="37">
        <f>LOOKUP(use_fish!B59,base_fish!A:A,base_fish!F:F)+_xlfn.IFNA(INDEX(activity!F:F,MATCH(use_fish!C59,activity!A:A,0)),0)</f>
        <v>90</v>
      </c>
      <c r="J59" s="39">
        <v>1</v>
      </c>
      <c r="K59" s="39">
        <f>LOOKUP(use_fish!B59,base_fish!A:A,base_fish!G:G)</f>
        <v>0</v>
      </c>
      <c r="L59" s="39">
        <f t="shared" si="14"/>
        <v>90</v>
      </c>
      <c r="M59" s="39">
        <v>1</v>
      </c>
      <c r="N59" s="39">
        <v>0</v>
      </c>
      <c r="O59" s="39">
        <v>1</v>
      </c>
    </row>
    <row r="60" spans="1:15" s="19" customFormat="1" x14ac:dyDescent="0.2">
      <c r="A60" s="16">
        <v>59</v>
      </c>
      <c r="B60" s="16">
        <v>20</v>
      </c>
      <c r="C60" s="16">
        <v>42</v>
      </c>
      <c r="D60" s="16" t="s">
        <v>248</v>
      </c>
      <c r="E60" s="17">
        <v>93</v>
      </c>
      <c r="F60" s="17">
        <f t="shared" si="13"/>
        <v>1.0752688172043012E-2</v>
      </c>
      <c r="G60" s="17" t="s">
        <v>22</v>
      </c>
      <c r="H60" s="18" t="str">
        <f>INDEX(base_fish!E:E,MATCH(use_fish!B60,base_fish!A:A,0))&amp;_xlfn.IFNA("+"&amp;INDEX(activity!G:G,MATCH(use_fish!C60,activity!A:A,0)),"")</f>
        <v>黄金灯笼鱼+炸弹</v>
      </c>
      <c r="I60" s="17">
        <f>LOOKUP(use_fish!B60,base_fish!A:A,base_fish!F:F)+_xlfn.IFNA(INDEX(activity!F:F,MATCH(use_fish!C60,activity!A:A,0)),0)</f>
        <v>90</v>
      </c>
      <c r="J60" s="19">
        <v>1</v>
      </c>
      <c r="K60" s="19">
        <f>LOOKUP(use_fish!B60,base_fish!A:A,base_fish!G:G)</f>
        <v>0</v>
      </c>
      <c r="L60" s="19">
        <f t="shared" si="14"/>
        <v>90</v>
      </c>
      <c r="M60" s="19">
        <v>1</v>
      </c>
      <c r="N60" s="19">
        <v>0</v>
      </c>
      <c r="O60" s="19">
        <v>2</v>
      </c>
    </row>
    <row r="61" spans="1:15" s="19" customFormat="1" x14ac:dyDescent="0.2">
      <c r="A61" s="16">
        <v>60</v>
      </c>
      <c r="B61" s="16">
        <v>22</v>
      </c>
      <c r="C61" s="16">
        <v>42</v>
      </c>
      <c r="D61" s="16" t="s">
        <v>277</v>
      </c>
      <c r="E61" s="17">
        <v>93</v>
      </c>
      <c r="F61" s="17">
        <f t="shared" si="13"/>
        <v>1.0752688172043012E-2</v>
      </c>
      <c r="G61" s="17" t="s">
        <v>22</v>
      </c>
      <c r="H61" s="18" t="str">
        <f>INDEX(base_fish!E:E,MATCH(use_fish!B61,base_fish!A:A,0))&amp;_xlfn.IFNA("+"&amp;INDEX(activity!G:G,MATCH(use_fish!C61,activity!A:A,0)),"")</f>
        <v>黄金狮子鱼+炸弹</v>
      </c>
      <c r="I61" s="17">
        <f>LOOKUP(use_fish!B61,base_fish!A:A,base_fish!F:F)+_xlfn.IFNA(INDEX(activity!F:F,MATCH(use_fish!C61,activity!A:A,0)),0)</f>
        <v>90</v>
      </c>
      <c r="J61" s="19">
        <v>1</v>
      </c>
      <c r="K61" s="19">
        <f>LOOKUP(use_fish!B61,base_fish!A:A,base_fish!G:G)</f>
        <v>0</v>
      </c>
      <c r="L61" s="19">
        <f t="shared" si="14"/>
        <v>90</v>
      </c>
      <c r="M61" s="19">
        <v>1</v>
      </c>
      <c r="N61" s="19">
        <v>0</v>
      </c>
      <c r="O61" s="19">
        <v>2</v>
      </c>
    </row>
    <row r="62" spans="1:15" s="19" customFormat="1" x14ac:dyDescent="0.2">
      <c r="A62" s="16">
        <v>61</v>
      </c>
      <c r="B62" s="16">
        <v>23</v>
      </c>
      <c r="C62" s="16">
        <v>42</v>
      </c>
      <c r="D62" s="16" t="s">
        <v>278</v>
      </c>
      <c r="E62" s="17">
        <v>135</v>
      </c>
      <c r="F62" s="17">
        <f t="shared" si="13"/>
        <v>7.4074074074074077E-3</v>
      </c>
      <c r="G62" s="17" t="s">
        <v>22</v>
      </c>
      <c r="H62" s="18" t="str">
        <f>INDEX(base_fish!E:E,MATCH(use_fish!B62,base_fish!A:A,0))&amp;_xlfn.IFNA("+"&amp;INDEX(activity!G:G,MATCH(use_fish!C62,activity!A:A,0)),"")</f>
        <v>黄金海龟+炸弹</v>
      </c>
      <c r="I62" s="17">
        <f>LOOKUP(use_fish!B62,base_fish!A:A,base_fish!F:F)+_xlfn.IFNA(INDEX(activity!F:F,MATCH(use_fish!C62,activity!A:A,0)),0)</f>
        <v>90</v>
      </c>
      <c r="J62" s="19">
        <v>1</v>
      </c>
      <c r="K62" s="19">
        <f>LOOKUP(use_fish!B62,base_fish!A:A,base_fish!G:G)</f>
        <v>0</v>
      </c>
      <c r="L62" s="19">
        <f t="shared" si="14"/>
        <v>90</v>
      </c>
      <c r="M62" s="19">
        <v>1</v>
      </c>
      <c r="N62" s="19">
        <v>0</v>
      </c>
      <c r="O62" s="19">
        <v>2</v>
      </c>
    </row>
    <row r="63" spans="1:15" s="19" customFormat="1" x14ac:dyDescent="0.2">
      <c r="A63" s="16">
        <v>62</v>
      </c>
      <c r="B63" s="16">
        <v>25</v>
      </c>
      <c r="C63" s="16">
        <v>42</v>
      </c>
      <c r="D63" s="16" t="s">
        <v>248</v>
      </c>
      <c r="E63" s="17">
        <v>114</v>
      </c>
      <c r="F63" s="17">
        <f t="shared" si="13"/>
        <v>8.771929824561403E-3</v>
      </c>
      <c r="G63" s="17" t="s">
        <v>22</v>
      </c>
      <c r="H63" s="18" t="str">
        <f>INDEX(base_fish!E:E,MATCH(use_fish!B63,base_fish!A:A,0))&amp;_xlfn.IFNA("+"&amp;INDEX(activity!G:G,MATCH(use_fish!C63,activity!A:A,0)),"")</f>
        <v>金蟾+炸弹</v>
      </c>
      <c r="I63" s="17">
        <f>LOOKUP(use_fish!B63,base_fish!A:A,base_fish!F:F)+_xlfn.IFNA(INDEX(activity!F:F,MATCH(use_fish!C63,activity!A:A,0)),0)</f>
        <v>110</v>
      </c>
      <c r="J63" s="19">
        <v>1</v>
      </c>
      <c r="K63" s="19">
        <f>LOOKUP(use_fish!B63,base_fish!A:A,base_fish!G:G)</f>
        <v>0</v>
      </c>
      <c r="L63" s="19">
        <f t="shared" si="14"/>
        <v>110</v>
      </c>
      <c r="M63" s="19">
        <v>1</v>
      </c>
      <c r="N63" s="19">
        <v>0</v>
      </c>
      <c r="O63" s="19">
        <v>2</v>
      </c>
    </row>
    <row r="64" spans="1:15" s="19" customFormat="1" x14ac:dyDescent="0.2">
      <c r="A64" s="16">
        <v>63</v>
      </c>
      <c r="B64" s="16">
        <v>26</v>
      </c>
      <c r="C64" s="16">
        <v>42</v>
      </c>
      <c r="D64" s="16" t="s">
        <v>248</v>
      </c>
      <c r="E64" s="17">
        <v>135</v>
      </c>
      <c r="F64" s="17">
        <f t="shared" si="13"/>
        <v>7.4074074074074077E-3</v>
      </c>
      <c r="G64" s="17" t="s">
        <v>22</v>
      </c>
      <c r="H64" s="18" t="str">
        <f>INDEX(base_fish!E:E,MATCH(use_fish!B64,base_fish!A:A,0))&amp;_xlfn.IFNA("+"&amp;INDEX(activity!G:G,MATCH(use_fish!C64,activity!A:A,0)),"")</f>
        <v>大金鲨+炸弹</v>
      </c>
      <c r="I64" s="17">
        <f>LOOKUP(use_fish!B64,base_fish!A:A,base_fish!F:F)+_xlfn.IFNA(INDEX(activity!F:F,MATCH(use_fish!C64,activity!A:A,0)),0)</f>
        <v>130</v>
      </c>
      <c r="J64" s="19">
        <v>1</v>
      </c>
      <c r="K64" s="19">
        <f>LOOKUP(use_fish!B64,base_fish!A:A,base_fish!G:G)</f>
        <v>0</v>
      </c>
      <c r="L64" s="19">
        <f t="shared" si="14"/>
        <v>130</v>
      </c>
      <c r="M64" s="19">
        <v>1</v>
      </c>
      <c r="N64" s="19">
        <v>0</v>
      </c>
      <c r="O64" s="19">
        <v>2</v>
      </c>
    </row>
    <row r="65" spans="1:15" s="19" customFormat="1" x14ac:dyDescent="0.2">
      <c r="A65" s="16">
        <v>64</v>
      </c>
      <c r="B65" s="16">
        <v>27</v>
      </c>
      <c r="C65" s="16">
        <v>42</v>
      </c>
      <c r="D65" s="16" t="s">
        <v>277</v>
      </c>
      <c r="E65" s="17">
        <v>135</v>
      </c>
      <c r="F65" s="17">
        <f t="shared" si="13"/>
        <v>7.4074074074074077E-3</v>
      </c>
      <c r="G65" s="17" t="s">
        <v>22</v>
      </c>
      <c r="H65" s="18" t="str">
        <f>INDEX(base_fish!E:E,MATCH(use_fish!B65,base_fish!A:A,0))&amp;_xlfn.IFNA("+"&amp;INDEX(activity!G:G,MATCH(use_fish!C65,activity!A:A,0)),"")</f>
        <v>黄金锤头鲨+炸弹</v>
      </c>
      <c r="I65" s="17">
        <f>LOOKUP(use_fish!B65,base_fish!A:A,base_fish!F:F)+_xlfn.IFNA(INDEX(activity!F:F,MATCH(use_fish!C65,activity!A:A,0)),0)</f>
        <v>130</v>
      </c>
      <c r="J65" s="19">
        <v>1</v>
      </c>
      <c r="K65" s="19">
        <f>LOOKUP(use_fish!B65,base_fish!A:A,base_fish!G:G)</f>
        <v>0</v>
      </c>
      <c r="L65" s="19">
        <f t="shared" si="14"/>
        <v>130</v>
      </c>
      <c r="M65" s="19">
        <v>1</v>
      </c>
      <c r="N65" s="19">
        <v>0</v>
      </c>
      <c r="O65" s="19">
        <v>2</v>
      </c>
    </row>
    <row r="66" spans="1:15" s="27" customFormat="1" x14ac:dyDescent="0.2">
      <c r="A66" s="24">
        <v>65</v>
      </c>
      <c r="B66" s="24">
        <v>11</v>
      </c>
      <c r="C66" s="24">
        <v>43</v>
      </c>
      <c r="D66" s="24"/>
      <c r="E66" s="25">
        <f>LOOKUP(use_fish!B66,base_fish!A:A,base_fish!C:C)+_xlfn.IFNA(INDEX(activity!F:F,MATCH(use_fish!C66,activity!A:A,0)),0)</f>
        <v>65</v>
      </c>
      <c r="F66" s="25">
        <f t="shared" ref="F66:F127" si="16">1/E66</f>
        <v>1.5384615384615385E-2</v>
      </c>
      <c r="G66" s="25" t="s">
        <v>22</v>
      </c>
      <c r="H66" s="26" t="str">
        <f>INDEX(base_fish!E:E,MATCH(use_fish!B66,base_fish!A:A,0))&amp;_xlfn.IFNA("+"&amp;INDEX(activity!G:G,MATCH(use_fish!C66,activity!A:A,0)),"")</f>
        <v>小海龟+闪电</v>
      </c>
      <c r="I66" s="25">
        <f>LOOKUP(use_fish!B66,base_fish!A:A,base_fish!F:F)+_xlfn.IFNA(INDEX(activity!F:F,MATCH(use_fish!C66,activity!A:A,0)),0)</f>
        <v>65</v>
      </c>
      <c r="J66" s="27">
        <v>1</v>
      </c>
      <c r="K66" s="27">
        <f>LOOKUP(use_fish!B66,base_fish!A:A,base_fish!G:G)</f>
        <v>0</v>
      </c>
      <c r="L66" s="27">
        <f t="shared" ref="L66:L127" si="17">I66</f>
        <v>65</v>
      </c>
      <c r="M66" s="27">
        <v>1</v>
      </c>
      <c r="N66" s="27">
        <f t="shared" ref="N66:N71" si="18">IF(OR(C66=4,C66=5),1,0)</f>
        <v>0</v>
      </c>
      <c r="O66" s="27">
        <v>1</v>
      </c>
    </row>
    <row r="67" spans="1:15" s="39" customFormat="1" x14ac:dyDescent="0.2">
      <c r="A67" s="36">
        <v>66</v>
      </c>
      <c r="B67" s="36">
        <v>12</v>
      </c>
      <c r="C67" s="36">
        <v>43</v>
      </c>
      <c r="D67" s="36"/>
      <c r="E67" s="37">
        <f>LOOKUP(use_fish!B67,base_fish!A:A,base_fish!C:C)+_xlfn.IFNA(INDEX(activity!F:F,MATCH(use_fish!C67,activity!A:A,0)),0)</f>
        <v>68</v>
      </c>
      <c r="F67" s="37">
        <f t="shared" si="16"/>
        <v>1.4705882352941176E-2</v>
      </c>
      <c r="G67" s="37" t="s">
        <v>22</v>
      </c>
      <c r="H67" s="38" t="str">
        <f>INDEX(base_fish!E:E,MATCH(use_fish!B67,base_fish!A:A,0))&amp;_xlfn.IFNA("+"&amp;INDEX(activity!G:G,MATCH(use_fish!C67,activity!A:A,0)),"")</f>
        <v>狮子鱼+闪电</v>
      </c>
      <c r="I67" s="37">
        <f>LOOKUP(use_fish!B67,base_fish!A:A,base_fish!F:F)+_xlfn.IFNA(INDEX(activity!F:F,MATCH(use_fish!C67,activity!A:A,0)),0)</f>
        <v>68</v>
      </c>
      <c r="J67" s="39">
        <v>1</v>
      </c>
      <c r="K67" s="39">
        <f>LOOKUP(use_fish!B67,base_fish!A:A,base_fish!G:G)</f>
        <v>0</v>
      </c>
      <c r="L67" s="39">
        <f t="shared" si="17"/>
        <v>68</v>
      </c>
      <c r="M67" s="39">
        <v>1</v>
      </c>
      <c r="N67" s="39">
        <f t="shared" si="18"/>
        <v>0</v>
      </c>
      <c r="O67" s="39">
        <v>1</v>
      </c>
    </row>
    <row r="68" spans="1:15" s="39" customFormat="1" x14ac:dyDescent="0.2">
      <c r="A68" s="36">
        <v>67</v>
      </c>
      <c r="B68" s="36">
        <v>13</v>
      </c>
      <c r="C68" s="36">
        <v>43</v>
      </c>
      <c r="D68" s="36"/>
      <c r="E68" s="37">
        <f>LOOKUP(use_fish!B68,base_fish!A:A,base_fish!C:C)+_xlfn.IFNA(INDEX(activity!F:F,MATCH(use_fish!C68,activity!A:A,0)),0)</f>
        <v>70</v>
      </c>
      <c r="F68" s="37">
        <f t="shared" si="16"/>
        <v>1.4285714285714285E-2</v>
      </c>
      <c r="G68" s="37" t="s">
        <v>22</v>
      </c>
      <c r="H68" s="38" t="str">
        <f>INDEX(base_fish!E:E,MATCH(use_fish!B68,base_fish!A:A,0))&amp;_xlfn.IFNA("+"&amp;INDEX(activity!G:G,MATCH(use_fish!C68,activity!A:A,0)),"")</f>
        <v>蝴蝶鱼+闪电</v>
      </c>
      <c r="I68" s="37">
        <f>LOOKUP(use_fish!B68,base_fish!A:A,base_fish!F:F)+_xlfn.IFNA(INDEX(activity!F:F,MATCH(use_fish!C68,activity!A:A,0)),0)</f>
        <v>70</v>
      </c>
      <c r="J68" s="39">
        <v>1</v>
      </c>
      <c r="K68" s="39">
        <f>LOOKUP(use_fish!B68,base_fish!A:A,base_fish!G:G)</f>
        <v>0</v>
      </c>
      <c r="L68" s="39">
        <f t="shared" si="17"/>
        <v>70</v>
      </c>
      <c r="M68" s="39">
        <v>1</v>
      </c>
      <c r="N68" s="39">
        <f t="shared" si="18"/>
        <v>0</v>
      </c>
      <c r="O68" s="39">
        <v>1</v>
      </c>
    </row>
    <row r="69" spans="1:15" s="39" customFormat="1" x14ac:dyDescent="0.2">
      <c r="A69" s="36">
        <v>68</v>
      </c>
      <c r="B69" s="36">
        <v>14</v>
      </c>
      <c r="C69" s="36">
        <v>43</v>
      </c>
      <c r="D69" s="36"/>
      <c r="E69" s="37">
        <f>LOOKUP(use_fish!B69,base_fish!A:A,base_fish!C:C)+_xlfn.IFNA(INDEX(activity!F:F,MATCH(use_fish!C69,activity!A:A,0)),0)</f>
        <v>75</v>
      </c>
      <c r="F69" s="37">
        <f t="shared" si="16"/>
        <v>1.3333333333333334E-2</v>
      </c>
      <c r="G69" s="37" t="s">
        <v>22</v>
      </c>
      <c r="H69" s="38" t="str">
        <f>INDEX(base_fish!E:E,MATCH(use_fish!B69,base_fish!A:A,0))&amp;_xlfn.IFNA("+"&amp;INDEX(activity!G:G,MATCH(use_fish!C69,activity!A:A,0)),"")</f>
        <v>巨大小丑鱼+闪电</v>
      </c>
      <c r="I69" s="37">
        <f>LOOKUP(use_fish!B69,base_fish!A:A,base_fish!F:F)+_xlfn.IFNA(INDEX(activity!F:F,MATCH(use_fish!C69,activity!A:A,0)),0)</f>
        <v>75</v>
      </c>
      <c r="J69" s="39">
        <v>1</v>
      </c>
      <c r="K69" s="39">
        <f>LOOKUP(use_fish!B69,base_fish!A:A,base_fish!G:G)</f>
        <v>0</v>
      </c>
      <c r="L69" s="39">
        <f t="shared" si="17"/>
        <v>75</v>
      </c>
      <c r="M69" s="39">
        <v>1</v>
      </c>
      <c r="N69" s="39">
        <f t="shared" si="18"/>
        <v>0</v>
      </c>
      <c r="O69" s="39">
        <v>1</v>
      </c>
    </row>
    <row r="70" spans="1:15" s="39" customFormat="1" x14ac:dyDescent="0.2">
      <c r="A70" s="36">
        <v>69</v>
      </c>
      <c r="B70" s="36">
        <v>15</v>
      </c>
      <c r="C70" s="36">
        <v>43</v>
      </c>
      <c r="D70" s="36"/>
      <c r="E70" s="37">
        <f>LOOKUP(use_fish!B70,base_fish!A:A,base_fish!C:C)+_xlfn.IFNA(INDEX(activity!F:F,MATCH(use_fish!C70,activity!A:A,0)),0)</f>
        <v>80</v>
      </c>
      <c r="F70" s="37">
        <f t="shared" si="16"/>
        <v>1.2500000000000001E-2</v>
      </c>
      <c r="G70" s="37" t="s">
        <v>22</v>
      </c>
      <c r="H70" s="38" t="str">
        <f>INDEX(base_fish!E:E,MATCH(use_fish!B70,base_fish!A:A,0))&amp;_xlfn.IFNA("+"&amp;INDEX(activity!G:G,MATCH(use_fish!C70,activity!A:A,0)),"")</f>
        <v>巨大灯笼鱼+闪电</v>
      </c>
      <c r="I70" s="37">
        <f>LOOKUP(use_fish!B70,base_fish!A:A,base_fish!F:F)+_xlfn.IFNA(INDEX(activity!F:F,MATCH(use_fish!C70,activity!A:A,0)),0)</f>
        <v>80</v>
      </c>
      <c r="J70" s="39">
        <v>1</v>
      </c>
      <c r="K70" s="39">
        <f>LOOKUP(use_fish!B70,base_fish!A:A,base_fish!G:G)</f>
        <v>0</v>
      </c>
      <c r="L70" s="39">
        <f t="shared" si="17"/>
        <v>80</v>
      </c>
      <c r="M70" s="39">
        <v>1</v>
      </c>
      <c r="N70" s="39">
        <f t="shared" si="18"/>
        <v>0</v>
      </c>
      <c r="O70" s="39">
        <v>1</v>
      </c>
    </row>
    <row r="71" spans="1:15" s="39" customFormat="1" x14ac:dyDescent="0.2">
      <c r="A71" s="36">
        <v>70</v>
      </c>
      <c r="B71" s="36">
        <v>16</v>
      </c>
      <c r="C71" s="36">
        <v>43</v>
      </c>
      <c r="D71" s="36"/>
      <c r="E71" s="37">
        <f>LOOKUP(use_fish!B71,base_fish!A:A,base_fish!C:C)+_xlfn.IFNA(INDEX(activity!F:F,MATCH(use_fish!C71,activity!A:A,0)),0)</f>
        <v>85</v>
      </c>
      <c r="F71" s="37">
        <f t="shared" si="16"/>
        <v>1.1764705882352941E-2</v>
      </c>
      <c r="G71" s="37" t="s">
        <v>22</v>
      </c>
      <c r="H71" s="38" t="str">
        <f>INDEX(base_fish!E:E,MATCH(use_fish!B71,base_fish!A:A,0))&amp;_xlfn.IFNA("+"&amp;INDEX(activity!G:G,MATCH(use_fish!C71,activity!A:A,0)),"")</f>
        <v>巨大燕鱼+闪电</v>
      </c>
      <c r="I71" s="37">
        <f>LOOKUP(use_fish!B71,base_fish!A:A,base_fish!F:F)+_xlfn.IFNA(INDEX(activity!F:F,MATCH(use_fish!C71,activity!A:A,0)),0)</f>
        <v>85</v>
      </c>
      <c r="J71" s="39">
        <v>1</v>
      </c>
      <c r="K71" s="39">
        <f>LOOKUP(use_fish!B71,base_fish!A:A,base_fish!G:G)</f>
        <v>0</v>
      </c>
      <c r="L71" s="39">
        <f t="shared" si="17"/>
        <v>85</v>
      </c>
      <c r="M71" s="39">
        <v>1</v>
      </c>
      <c r="N71" s="39">
        <f t="shared" si="18"/>
        <v>0</v>
      </c>
      <c r="O71" s="39">
        <v>1</v>
      </c>
    </row>
    <row r="72" spans="1:15" s="39" customFormat="1" x14ac:dyDescent="0.2">
      <c r="A72" s="36">
        <v>71</v>
      </c>
      <c r="B72" s="36">
        <v>17</v>
      </c>
      <c r="C72" s="36">
        <v>43</v>
      </c>
      <c r="D72" s="36"/>
      <c r="E72" s="37">
        <f>LOOKUP(use_fish!B72,base_fish!A:A,base_fish!C:C)+_xlfn.IFNA(INDEX(activity!F:F,MATCH(use_fish!C72,activity!A:A,0)),0)</f>
        <v>90</v>
      </c>
      <c r="F72" s="37">
        <f t="shared" si="16"/>
        <v>1.1111111111111112E-2</v>
      </c>
      <c r="G72" s="37" t="s">
        <v>22</v>
      </c>
      <c r="H72" s="38" t="str">
        <f>INDEX(base_fish!E:E,MATCH(use_fish!B72,base_fish!A:A,0))&amp;_xlfn.IFNA("+"&amp;INDEX(activity!G:G,MATCH(use_fish!C72,activity!A:A,0)),"")</f>
        <v>魔鬼鱼+闪电</v>
      </c>
      <c r="I72" s="37">
        <f>LOOKUP(use_fish!B72,base_fish!A:A,base_fish!F:F)+_xlfn.IFNA(INDEX(activity!F:F,MATCH(use_fish!C72,activity!A:A,0)),0)</f>
        <v>90</v>
      </c>
      <c r="J72" s="39">
        <v>1</v>
      </c>
      <c r="K72" s="39">
        <f>LOOKUP(use_fish!B72,base_fish!A:A,base_fish!G:G)</f>
        <v>0</v>
      </c>
      <c r="L72" s="39">
        <f t="shared" si="17"/>
        <v>90</v>
      </c>
      <c r="M72" s="39">
        <v>1</v>
      </c>
      <c r="N72" s="39">
        <v>0</v>
      </c>
      <c r="O72" s="39">
        <v>1</v>
      </c>
    </row>
    <row r="73" spans="1:15" s="39" customFormat="1" x14ac:dyDescent="0.2">
      <c r="A73" s="36">
        <v>72</v>
      </c>
      <c r="B73" s="36">
        <v>18</v>
      </c>
      <c r="C73" s="36">
        <v>43</v>
      </c>
      <c r="D73" s="36"/>
      <c r="E73" s="37">
        <f>LOOKUP(use_fish!B73,base_fish!A:A,base_fish!C:C)+_xlfn.IFNA(INDEX(activity!F:F,MATCH(use_fish!C73,activity!A:A,0)),0)</f>
        <v>110</v>
      </c>
      <c r="F73" s="37">
        <f t="shared" si="16"/>
        <v>9.0909090909090905E-3</v>
      </c>
      <c r="G73" s="37" t="s">
        <v>22</v>
      </c>
      <c r="H73" s="38" t="str">
        <f>INDEX(base_fish!E:E,MATCH(use_fish!B73,base_fish!A:A,0))&amp;_xlfn.IFNA("+"&amp;INDEX(activity!G:G,MATCH(use_fish!C73,activity!A:A,0)),"")</f>
        <v>虎鲸+闪电</v>
      </c>
      <c r="I73" s="37">
        <f>LOOKUP(use_fish!B73,base_fish!A:A,base_fish!F:F)+_xlfn.IFNA(INDEX(activity!F:F,MATCH(use_fish!C73,activity!A:A,0)),0)</f>
        <v>110</v>
      </c>
      <c r="J73" s="39">
        <v>1</v>
      </c>
      <c r="K73" s="39">
        <f>LOOKUP(use_fish!B73,base_fish!A:A,base_fish!G:G)</f>
        <v>0</v>
      </c>
      <c r="L73" s="39">
        <f t="shared" si="17"/>
        <v>110</v>
      </c>
      <c r="M73" s="39">
        <v>1</v>
      </c>
      <c r="N73" s="39">
        <v>0</v>
      </c>
      <c r="O73" s="39">
        <v>1</v>
      </c>
    </row>
    <row r="74" spans="1:15" s="19" customFormat="1" x14ac:dyDescent="0.2">
      <c r="A74" s="16">
        <v>73</v>
      </c>
      <c r="B74" s="16">
        <v>20</v>
      </c>
      <c r="C74" s="16">
        <v>43</v>
      </c>
      <c r="D74" s="16" t="s">
        <v>248</v>
      </c>
      <c r="E74" s="17">
        <v>113</v>
      </c>
      <c r="F74" s="17">
        <f t="shared" si="16"/>
        <v>8.8495575221238937E-3</v>
      </c>
      <c r="G74" s="17" t="s">
        <v>22</v>
      </c>
      <c r="H74" s="18" t="str">
        <f>INDEX(base_fish!E:E,MATCH(use_fish!B74,base_fish!A:A,0))&amp;_xlfn.IFNA("+"&amp;INDEX(activity!G:G,MATCH(use_fish!C74,activity!A:A,0)),"")</f>
        <v>黄金灯笼鱼+闪电</v>
      </c>
      <c r="I74" s="17">
        <f>LOOKUP(use_fish!B74,base_fish!A:A,base_fish!F:F)+_xlfn.IFNA(INDEX(activity!F:F,MATCH(use_fish!C74,activity!A:A,0)),0)</f>
        <v>110</v>
      </c>
      <c r="J74" s="19">
        <v>1</v>
      </c>
      <c r="K74" s="19">
        <f>LOOKUP(use_fish!B74,base_fish!A:A,base_fish!G:G)</f>
        <v>0</v>
      </c>
      <c r="L74" s="19">
        <f t="shared" si="17"/>
        <v>110</v>
      </c>
      <c r="M74" s="19">
        <v>1</v>
      </c>
      <c r="N74" s="19">
        <v>0</v>
      </c>
      <c r="O74" s="19">
        <v>2</v>
      </c>
    </row>
    <row r="75" spans="1:15" s="19" customFormat="1" x14ac:dyDescent="0.2">
      <c r="A75" s="16">
        <v>74</v>
      </c>
      <c r="B75" s="16">
        <v>22</v>
      </c>
      <c r="C75" s="16">
        <v>43</v>
      </c>
      <c r="D75" s="16" t="s">
        <v>277</v>
      </c>
      <c r="E75" s="17">
        <v>113</v>
      </c>
      <c r="F75" s="17">
        <f t="shared" si="16"/>
        <v>8.8495575221238937E-3</v>
      </c>
      <c r="G75" s="17" t="s">
        <v>22</v>
      </c>
      <c r="H75" s="18" t="str">
        <f>INDEX(base_fish!E:E,MATCH(use_fish!B75,base_fish!A:A,0))&amp;_xlfn.IFNA("+"&amp;INDEX(activity!G:G,MATCH(use_fish!C75,activity!A:A,0)),"")</f>
        <v>黄金狮子鱼+闪电</v>
      </c>
      <c r="I75" s="17">
        <f>LOOKUP(use_fish!B75,base_fish!A:A,base_fish!F:F)+_xlfn.IFNA(INDEX(activity!F:F,MATCH(use_fish!C75,activity!A:A,0)),0)</f>
        <v>110</v>
      </c>
      <c r="J75" s="19">
        <v>1</v>
      </c>
      <c r="K75" s="19">
        <f>LOOKUP(use_fish!B75,base_fish!A:A,base_fish!G:G)</f>
        <v>0</v>
      </c>
      <c r="L75" s="19">
        <f t="shared" si="17"/>
        <v>110</v>
      </c>
      <c r="M75" s="19">
        <v>1</v>
      </c>
      <c r="N75" s="19">
        <v>0</v>
      </c>
      <c r="O75" s="19">
        <v>2</v>
      </c>
    </row>
    <row r="76" spans="1:15" s="19" customFormat="1" x14ac:dyDescent="0.2">
      <c r="A76" s="16">
        <v>75</v>
      </c>
      <c r="B76" s="16">
        <v>23</v>
      </c>
      <c r="C76" s="16">
        <v>43</v>
      </c>
      <c r="D76" s="16" t="s">
        <v>278</v>
      </c>
      <c r="E76" s="17">
        <v>155</v>
      </c>
      <c r="F76" s="17">
        <f t="shared" si="16"/>
        <v>6.4516129032258064E-3</v>
      </c>
      <c r="G76" s="17" t="s">
        <v>22</v>
      </c>
      <c r="H76" s="18" t="str">
        <f>INDEX(base_fish!E:E,MATCH(use_fish!B76,base_fish!A:A,0))&amp;_xlfn.IFNA("+"&amp;INDEX(activity!G:G,MATCH(use_fish!C76,activity!A:A,0)),"")</f>
        <v>黄金海龟+闪电</v>
      </c>
      <c r="I76" s="17">
        <f>LOOKUP(use_fish!B76,base_fish!A:A,base_fish!F:F)+_xlfn.IFNA(INDEX(activity!F:F,MATCH(use_fish!C76,activity!A:A,0)),0)</f>
        <v>110</v>
      </c>
      <c r="J76" s="19">
        <v>1</v>
      </c>
      <c r="K76" s="19">
        <f>LOOKUP(use_fish!B76,base_fish!A:A,base_fish!G:G)</f>
        <v>0</v>
      </c>
      <c r="L76" s="19">
        <f t="shared" si="17"/>
        <v>110</v>
      </c>
      <c r="M76" s="19">
        <v>1</v>
      </c>
      <c r="N76" s="19">
        <v>0</v>
      </c>
      <c r="O76" s="19">
        <v>2</v>
      </c>
    </row>
    <row r="77" spans="1:15" s="19" customFormat="1" x14ac:dyDescent="0.2">
      <c r="A77" s="16">
        <v>76</v>
      </c>
      <c r="B77" s="16">
        <v>25</v>
      </c>
      <c r="C77" s="16">
        <v>43</v>
      </c>
      <c r="D77" s="16" t="s">
        <v>248</v>
      </c>
      <c r="E77" s="17">
        <v>134</v>
      </c>
      <c r="F77" s="17">
        <f t="shared" si="16"/>
        <v>7.462686567164179E-3</v>
      </c>
      <c r="G77" s="17" t="s">
        <v>22</v>
      </c>
      <c r="H77" s="18" t="str">
        <f>INDEX(base_fish!E:E,MATCH(use_fish!B77,base_fish!A:A,0))&amp;_xlfn.IFNA("+"&amp;INDEX(activity!G:G,MATCH(use_fish!C77,activity!A:A,0)),"")</f>
        <v>金蟾+闪电</v>
      </c>
      <c r="I77" s="17">
        <f>LOOKUP(use_fish!B77,base_fish!A:A,base_fish!F:F)+_xlfn.IFNA(INDEX(activity!F:F,MATCH(use_fish!C77,activity!A:A,0)),0)</f>
        <v>130</v>
      </c>
      <c r="J77" s="19">
        <v>1</v>
      </c>
      <c r="K77" s="19">
        <f>LOOKUP(use_fish!B77,base_fish!A:A,base_fish!G:G)</f>
        <v>0</v>
      </c>
      <c r="L77" s="19">
        <f t="shared" si="17"/>
        <v>130</v>
      </c>
      <c r="M77" s="19">
        <v>1</v>
      </c>
      <c r="N77" s="19">
        <v>0</v>
      </c>
      <c r="O77" s="19">
        <v>2</v>
      </c>
    </row>
    <row r="78" spans="1:15" s="19" customFormat="1" x14ac:dyDescent="0.2">
      <c r="A78" s="16">
        <v>77</v>
      </c>
      <c r="B78" s="16">
        <v>26</v>
      </c>
      <c r="C78" s="16">
        <v>43</v>
      </c>
      <c r="D78" s="16" t="s">
        <v>248</v>
      </c>
      <c r="E78" s="17">
        <v>155</v>
      </c>
      <c r="F78" s="17">
        <f t="shared" si="16"/>
        <v>6.4516129032258064E-3</v>
      </c>
      <c r="G78" s="17" t="s">
        <v>22</v>
      </c>
      <c r="H78" s="18" t="str">
        <f>INDEX(base_fish!E:E,MATCH(use_fish!B78,base_fish!A:A,0))&amp;_xlfn.IFNA("+"&amp;INDEX(activity!G:G,MATCH(use_fish!C78,activity!A:A,0)),"")</f>
        <v>大金鲨+闪电</v>
      </c>
      <c r="I78" s="17">
        <f>LOOKUP(use_fish!B78,base_fish!A:A,base_fish!F:F)+_xlfn.IFNA(INDEX(activity!F:F,MATCH(use_fish!C78,activity!A:A,0)),0)</f>
        <v>150</v>
      </c>
      <c r="J78" s="19">
        <v>1</v>
      </c>
      <c r="K78" s="19">
        <f>LOOKUP(use_fish!B78,base_fish!A:A,base_fish!G:G)</f>
        <v>0</v>
      </c>
      <c r="L78" s="19">
        <f t="shared" si="17"/>
        <v>150</v>
      </c>
      <c r="M78" s="19">
        <v>1</v>
      </c>
      <c r="N78" s="19">
        <v>0</v>
      </c>
      <c r="O78" s="19">
        <v>2</v>
      </c>
    </row>
    <row r="79" spans="1:15" s="19" customFormat="1" x14ac:dyDescent="0.2">
      <c r="A79" s="16">
        <v>78</v>
      </c>
      <c r="B79" s="16">
        <v>27</v>
      </c>
      <c r="C79" s="16">
        <v>43</v>
      </c>
      <c r="D79" s="16" t="s">
        <v>277</v>
      </c>
      <c r="E79" s="17">
        <v>155</v>
      </c>
      <c r="F79" s="17">
        <f t="shared" si="16"/>
        <v>6.4516129032258064E-3</v>
      </c>
      <c r="G79" s="17" t="s">
        <v>22</v>
      </c>
      <c r="H79" s="18" t="str">
        <f>INDEX(base_fish!E:E,MATCH(use_fish!B79,base_fish!A:A,0))&amp;_xlfn.IFNA("+"&amp;INDEX(activity!G:G,MATCH(use_fish!C79,activity!A:A,0)),"")</f>
        <v>黄金锤头鲨+闪电</v>
      </c>
      <c r="I79" s="17">
        <f>LOOKUP(use_fish!B79,base_fish!A:A,base_fish!F:F)+_xlfn.IFNA(INDEX(activity!F:F,MATCH(use_fish!C79,activity!A:A,0)),0)</f>
        <v>150</v>
      </c>
      <c r="J79" s="19">
        <v>1</v>
      </c>
      <c r="K79" s="19">
        <f>LOOKUP(use_fish!B79,base_fish!A:A,base_fish!G:G)</f>
        <v>0</v>
      </c>
      <c r="L79" s="19">
        <f t="shared" si="17"/>
        <v>150</v>
      </c>
      <c r="M79" s="19">
        <v>1</v>
      </c>
      <c r="N79" s="19">
        <v>0</v>
      </c>
      <c r="O79" s="19">
        <v>2</v>
      </c>
    </row>
    <row r="80" spans="1:15" s="54" customFormat="1" x14ac:dyDescent="0.2">
      <c r="A80" s="51">
        <v>79</v>
      </c>
      <c r="B80" s="51">
        <v>51</v>
      </c>
      <c r="C80" s="51">
        <v>44</v>
      </c>
      <c r="D80" s="51"/>
      <c r="E80" s="52">
        <v>400</v>
      </c>
      <c r="F80" s="52">
        <f t="shared" si="16"/>
        <v>2.5000000000000001E-3</v>
      </c>
      <c r="G80" s="52" t="s">
        <v>339</v>
      </c>
      <c r="H80" s="53" t="str">
        <f>INDEX(base_fish!E:E,MATCH(use_fish!B80,base_fish!A:A,0))&amp;_xlfn.IFNA("+"&amp;INDEX(activity!G:G,MATCH(use_fish!C80,activity!A:A,0)),"")</f>
        <v>龙虾BOSS+临时活动</v>
      </c>
      <c r="I80" s="52">
        <f>LOOKUP(use_fish!B80,base_fish!A:A,base_fish!F:F)+_xlfn.IFNA(INDEX(activity!F:F,MATCH(use_fish!C80,activity!A:A,0)),0)</f>
        <v>400</v>
      </c>
      <c r="J80" s="54">
        <v>1</v>
      </c>
      <c r="K80" s="54">
        <v>0</v>
      </c>
      <c r="L80" s="54">
        <f t="shared" si="17"/>
        <v>400</v>
      </c>
      <c r="M80" s="54">
        <v>1</v>
      </c>
      <c r="N80" s="54">
        <v>1</v>
      </c>
      <c r="O80" s="54">
        <v>1</v>
      </c>
    </row>
    <row r="81" spans="1:15" x14ac:dyDescent="0.2">
      <c r="A81" s="36">
        <v>80</v>
      </c>
      <c r="B81" s="36">
        <v>18</v>
      </c>
      <c r="C81" s="36">
        <v>45</v>
      </c>
      <c r="D81" s="36"/>
      <c r="E81" s="37">
        <f>LOOKUP(use_fish!B81,base_fish!A:A,base_fish!C:C)+_xlfn.IFNA(INDEX(activity!F:F,MATCH(use_fish!C81,activity!A:A,0)),0)</f>
        <v>120</v>
      </c>
      <c r="F81" s="37">
        <f t="shared" si="16"/>
        <v>8.3333333333333332E-3</v>
      </c>
      <c r="G81" s="37" t="s">
        <v>339</v>
      </c>
      <c r="H81" s="38" t="str">
        <f>INDEX(base_fish!E:E,MATCH(use_fish!B81,base_fish!A:A,0))&amp;_xlfn.IFNA("+"&amp;INDEX(activity!G:G,MATCH(use_fish!C81,activity!A:A,0)),"")</f>
        <v>虎鲸+临时活动</v>
      </c>
      <c r="I81" s="37">
        <f>LOOKUP(use_fish!B81,base_fish!A:A,base_fish!F:F)+_xlfn.IFNA(INDEX(activity!F:F,MATCH(use_fish!C81,activity!A:A,0)),0)</f>
        <v>120</v>
      </c>
      <c r="J81" s="39">
        <v>1</v>
      </c>
      <c r="K81" s="39">
        <v>0</v>
      </c>
      <c r="L81" s="39">
        <f t="shared" si="17"/>
        <v>120</v>
      </c>
      <c r="M81" s="39">
        <v>1</v>
      </c>
      <c r="N81" s="39">
        <v>0</v>
      </c>
      <c r="O81" s="39">
        <v>1</v>
      </c>
    </row>
    <row r="82" spans="1:15" x14ac:dyDescent="0.2">
      <c r="A82" s="36">
        <v>81</v>
      </c>
      <c r="B82" s="36">
        <v>17</v>
      </c>
      <c r="C82" s="36">
        <v>46</v>
      </c>
      <c r="D82" s="36"/>
      <c r="E82" s="37">
        <f>LOOKUP(use_fish!B82,base_fish!A:A,base_fish!C:C)+_xlfn.IFNA(INDEX(activity!F:F,MATCH(use_fish!C82,activity!A:A,0)),0)</f>
        <v>80</v>
      </c>
      <c r="F82" s="37">
        <f t="shared" si="16"/>
        <v>1.2500000000000001E-2</v>
      </c>
      <c r="G82" s="37" t="s">
        <v>341</v>
      </c>
      <c r="H82" s="38" t="str">
        <f>INDEX(base_fish!E:E,MATCH(use_fish!B82,base_fish!A:A,0))&amp;_xlfn.IFNA("+"&amp;INDEX(activity!G:G,MATCH(use_fish!C82,activity!A:A,0)),"")</f>
        <v>魔鬼鱼+临时活动</v>
      </c>
      <c r="I82" s="37">
        <f>LOOKUP(use_fish!B82,base_fish!A:A,base_fish!F:F)+_xlfn.IFNA(INDEX(activity!F:F,MATCH(use_fish!C82,activity!A:A,0)),0)</f>
        <v>80</v>
      </c>
      <c r="J82" s="39">
        <v>1</v>
      </c>
      <c r="K82" s="39">
        <v>0</v>
      </c>
      <c r="L82" s="39">
        <f t="shared" si="17"/>
        <v>80</v>
      </c>
      <c r="M82" s="39">
        <v>1</v>
      </c>
      <c r="N82" s="39">
        <v>0</v>
      </c>
      <c r="O82" s="39">
        <v>1</v>
      </c>
    </row>
    <row r="83" spans="1:15" x14ac:dyDescent="0.2">
      <c r="A83" s="36">
        <v>82</v>
      </c>
      <c r="B83" s="36">
        <v>15</v>
      </c>
      <c r="C83" s="36">
        <v>47</v>
      </c>
      <c r="D83" s="36"/>
      <c r="E83" s="37">
        <f>LOOKUP(use_fish!B83,base_fish!A:A,base_fish!C:C)+_xlfn.IFNA(INDEX(activity!F:F,MATCH(use_fish!C83,activity!A:A,0)),0)</f>
        <v>60</v>
      </c>
      <c r="F83" s="37">
        <f t="shared" si="16"/>
        <v>1.6666666666666666E-2</v>
      </c>
      <c r="G83" s="37" t="s">
        <v>339</v>
      </c>
      <c r="H83" s="38" t="str">
        <f>INDEX(base_fish!E:E,MATCH(use_fish!B83,base_fish!A:A,0))&amp;_xlfn.IFNA("+"&amp;INDEX(activity!G:G,MATCH(use_fish!C83,activity!A:A,0)),"")</f>
        <v>巨大灯笼鱼+临时活动</v>
      </c>
      <c r="I83" s="37">
        <f>LOOKUP(use_fish!B83,base_fish!A:A,base_fish!F:F)+_xlfn.IFNA(INDEX(activity!F:F,MATCH(use_fish!C83,activity!A:A,0)),0)</f>
        <v>60</v>
      </c>
      <c r="J83" s="39">
        <v>1</v>
      </c>
      <c r="K83" s="39">
        <v>0</v>
      </c>
      <c r="L83" s="39">
        <f t="shared" si="17"/>
        <v>60</v>
      </c>
      <c r="M83" s="39">
        <v>1</v>
      </c>
      <c r="N83" s="39">
        <v>0</v>
      </c>
      <c r="O83" s="39">
        <v>1</v>
      </c>
    </row>
    <row r="84" spans="1:15" x14ac:dyDescent="0.2">
      <c r="A84" s="36">
        <v>83</v>
      </c>
      <c r="B84" s="36">
        <v>13</v>
      </c>
      <c r="C84" s="36">
        <v>48</v>
      </c>
      <c r="D84" s="36"/>
      <c r="E84" s="37">
        <f>LOOKUP(use_fish!B84,base_fish!A:A,base_fish!C:C)+_xlfn.IFNA(INDEX(activity!F:F,MATCH(use_fish!C84,activity!A:A,0)),0)</f>
        <v>40</v>
      </c>
      <c r="F84" s="37">
        <f t="shared" si="16"/>
        <v>2.5000000000000001E-2</v>
      </c>
      <c r="G84" s="37" t="s">
        <v>339</v>
      </c>
      <c r="H84" s="38" t="str">
        <f>INDEX(base_fish!E:E,MATCH(use_fish!B84,base_fish!A:A,0))&amp;_xlfn.IFNA("+"&amp;INDEX(activity!G:G,MATCH(use_fish!C84,activity!A:A,0)),"")</f>
        <v>蝴蝶鱼+临时活动</v>
      </c>
      <c r="I84" s="37">
        <f>LOOKUP(use_fish!B84,base_fish!A:A,base_fish!F:F)+_xlfn.IFNA(INDEX(activity!F:F,MATCH(use_fish!C84,activity!A:A,0)),0)</f>
        <v>40</v>
      </c>
      <c r="J84" s="39">
        <v>1</v>
      </c>
      <c r="K84" s="39">
        <v>0</v>
      </c>
      <c r="L84" s="39">
        <f t="shared" si="17"/>
        <v>40</v>
      </c>
      <c r="M84" s="39">
        <v>1</v>
      </c>
      <c r="N84" s="39">
        <v>0</v>
      </c>
      <c r="O84" s="39">
        <v>1</v>
      </c>
    </row>
    <row r="85" spans="1:15" x14ac:dyDescent="0.2">
      <c r="A85" s="36">
        <v>84</v>
      </c>
      <c r="B85" s="36">
        <v>52</v>
      </c>
      <c r="C85" s="36">
        <v>49</v>
      </c>
      <c r="D85" s="36"/>
      <c r="E85" s="36">
        <v>75</v>
      </c>
      <c r="F85" s="37">
        <f t="shared" si="16"/>
        <v>1.3333333333333334E-2</v>
      </c>
      <c r="G85" s="37" t="s">
        <v>341</v>
      </c>
      <c r="H85" s="38" t="str">
        <f>INDEX(base_fish!E:E,MATCH(use_fish!B85,base_fish!A:A,0))&amp;_xlfn.IFNA("+"&amp;INDEX(activity!G:G,MATCH(use_fish!C85,activity!A:A,0)),"")</f>
        <v>接吻鱼+临时活动</v>
      </c>
      <c r="I85" s="37">
        <f>LOOKUP(use_fish!B85,base_fish!A:A,base_fish!F:F)+_xlfn.IFNA(INDEX(activity!F:F,MATCH(use_fish!C85,activity!A:A,0)),0)</f>
        <v>75</v>
      </c>
      <c r="J85" s="39">
        <v>1</v>
      </c>
      <c r="K85" s="39">
        <v>0</v>
      </c>
      <c r="L85" s="39">
        <f t="shared" si="17"/>
        <v>75</v>
      </c>
      <c r="M85" s="39">
        <v>1</v>
      </c>
      <c r="N85" s="39">
        <v>1</v>
      </c>
      <c r="O85" s="39">
        <v>1</v>
      </c>
    </row>
    <row r="86" spans="1:15" x14ac:dyDescent="0.2">
      <c r="A86" s="36">
        <v>85</v>
      </c>
      <c r="B86" s="36">
        <v>52</v>
      </c>
      <c r="C86" s="36">
        <v>50</v>
      </c>
      <c r="D86" s="36"/>
      <c r="E86" s="36">
        <v>150</v>
      </c>
      <c r="F86" s="37">
        <f t="shared" si="16"/>
        <v>6.6666666666666671E-3</v>
      </c>
      <c r="G86" s="37" t="s">
        <v>339</v>
      </c>
      <c r="H86" s="38" t="str">
        <f>INDEX(base_fish!E:E,MATCH(use_fish!B86,base_fish!A:A,0))&amp;_xlfn.IFNA("+"&amp;INDEX(activity!G:G,MATCH(use_fish!C86,activity!A:A,0)),"")</f>
        <v>接吻鱼+临时活动</v>
      </c>
      <c r="I86" s="37">
        <f>LOOKUP(use_fish!B86,base_fish!A:A,base_fish!F:F)+_xlfn.IFNA(INDEX(activity!F:F,MATCH(use_fish!C86,activity!A:A,0)),0)</f>
        <v>150</v>
      </c>
      <c r="J86" s="39">
        <v>1</v>
      </c>
      <c r="K86" s="39">
        <v>0</v>
      </c>
      <c r="L86" s="39">
        <f t="shared" si="17"/>
        <v>150</v>
      </c>
      <c r="M86" s="39">
        <v>1</v>
      </c>
      <c r="N86" s="39">
        <v>1</v>
      </c>
      <c r="O86" s="39">
        <v>1</v>
      </c>
    </row>
    <row r="87" spans="1:15" x14ac:dyDescent="0.2">
      <c r="A87" s="36">
        <v>86</v>
      </c>
      <c r="B87" s="36">
        <v>52</v>
      </c>
      <c r="C87" s="36">
        <v>51</v>
      </c>
      <c r="D87" s="36"/>
      <c r="E87" s="36">
        <v>250</v>
      </c>
      <c r="F87" s="37">
        <f t="shared" si="16"/>
        <v>4.0000000000000001E-3</v>
      </c>
      <c r="G87" s="37" t="s">
        <v>339</v>
      </c>
      <c r="H87" s="38" t="str">
        <f>INDEX(base_fish!E:E,MATCH(use_fish!B87,base_fish!A:A,0))&amp;_xlfn.IFNA("+"&amp;INDEX(activity!G:G,MATCH(use_fish!C87,activity!A:A,0)),"")</f>
        <v>接吻鱼+临时活动</v>
      </c>
      <c r="I87" s="37">
        <f>LOOKUP(use_fish!B87,base_fish!A:A,base_fish!F:F)+_xlfn.IFNA(INDEX(activity!F:F,MATCH(use_fish!C87,activity!A:A,0)),0)</f>
        <v>250</v>
      </c>
      <c r="J87" s="39">
        <v>1</v>
      </c>
      <c r="K87" s="39">
        <v>0</v>
      </c>
      <c r="L87" s="39">
        <f t="shared" si="17"/>
        <v>250</v>
      </c>
      <c r="M87" s="39">
        <v>1</v>
      </c>
      <c r="N87" s="39">
        <v>1</v>
      </c>
      <c r="O87" s="39">
        <v>1</v>
      </c>
    </row>
    <row r="88" spans="1:15" x14ac:dyDescent="0.2">
      <c r="A88" s="36">
        <v>87</v>
      </c>
      <c r="B88" s="37">
        <v>53</v>
      </c>
      <c r="C88" s="36">
        <v>52</v>
      </c>
      <c r="D88" s="36"/>
      <c r="E88" s="37">
        <f>LOOKUP(use_fish!B88,base_fish!A:A,base_fish!C:C)+_xlfn.IFNA(INDEX(activity!F:F,MATCH(use_fish!C88,activity!A:A,0)),0)</f>
        <v>60</v>
      </c>
      <c r="F88" s="37">
        <f t="shared" si="16"/>
        <v>1.6666666666666666E-2</v>
      </c>
      <c r="G88" s="37" t="s">
        <v>341</v>
      </c>
      <c r="H88" s="38" t="str">
        <f>INDEX(base_fish!E:E,MATCH(use_fish!B88,base_fish!A:A,0))&amp;_xlfn.IFNA("+"&amp;INDEX(activity!G:G,MATCH(use_fish!C88,activity!A:A,0)),"")</f>
        <v>蝴蝶鱼+临时活动</v>
      </c>
      <c r="I88" s="37">
        <f>LOOKUP(use_fish!B88,base_fish!A:A,base_fish!F:F)+_xlfn.IFNA(INDEX(activity!F:F,MATCH(use_fish!C88,activity!A:A,0)),0)</f>
        <v>60</v>
      </c>
      <c r="J88" s="39">
        <v>1</v>
      </c>
      <c r="K88" s="39">
        <v>0</v>
      </c>
      <c r="L88" s="39">
        <f t="shared" si="17"/>
        <v>60</v>
      </c>
      <c r="M88" s="39">
        <v>1</v>
      </c>
      <c r="N88" s="39">
        <v>0</v>
      </c>
      <c r="O88" s="39">
        <v>1</v>
      </c>
    </row>
    <row r="89" spans="1:15" x14ac:dyDescent="0.2">
      <c r="A89" s="36">
        <v>88</v>
      </c>
      <c r="B89" s="37">
        <v>54</v>
      </c>
      <c r="C89" s="36">
        <v>53</v>
      </c>
      <c r="D89" s="36"/>
      <c r="E89" s="37">
        <f>LOOKUP(use_fish!B89,base_fish!A:A,base_fish!C:C)+_xlfn.IFNA(INDEX(activity!F:F,MATCH(use_fish!C89,activity!A:A,0)),0)</f>
        <v>40</v>
      </c>
      <c r="F89" s="37">
        <f t="shared" si="16"/>
        <v>2.5000000000000001E-2</v>
      </c>
      <c r="G89" s="37" t="s">
        <v>339</v>
      </c>
      <c r="H89" s="38" t="str">
        <f>INDEX(base_fish!E:E,MATCH(use_fish!B89,base_fish!A:A,0))&amp;_xlfn.IFNA("+"&amp;INDEX(activity!G:G,MATCH(use_fish!C89,activity!A:A,0)),"")</f>
        <v>巨大灯笼鱼+临时活动</v>
      </c>
      <c r="I89" s="37">
        <f>LOOKUP(use_fish!B89,base_fish!A:A,base_fish!F:F)+_xlfn.IFNA(INDEX(activity!F:F,MATCH(use_fish!C89,activity!A:A,0)),0)</f>
        <v>40</v>
      </c>
      <c r="J89" s="39">
        <v>1</v>
      </c>
      <c r="K89" s="39">
        <v>0</v>
      </c>
      <c r="L89" s="39">
        <f t="shared" si="17"/>
        <v>40</v>
      </c>
      <c r="M89" s="39">
        <v>1</v>
      </c>
      <c r="N89" s="39">
        <v>0</v>
      </c>
      <c r="O89" s="39">
        <v>1</v>
      </c>
    </row>
    <row r="90" spans="1:15" x14ac:dyDescent="0.2">
      <c r="A90" s="36">
        <v>89</v>
      </c>
      <c r="B90" s="37">
        <v>55</v>
      </c>
      <c r="C90" s="36">
        <v>54</v>
      </c>
      <c r="D90" s="36"/>
      <c r="E90" s="37">
        <f>LOOKUP(use_fish!B90,base_fish!A:A,base_fish!C:C)+_xlfn.IFNA(INDEX(activity!F:F,MATCH(use_fish!C90,activity!A:A,0)),0)</f>
        <v>30</v>
      </c>
      <c r="F90" s="37">
        <f t="shared" si="16"/>
        <v>3.3333333333333333E-2</v>
      </c>
      <c r="G90" s="37" t="s">
        <v>339</v>
      </c>
      <c r="H90" s="38" t="str">
        <f>INDEX(base_fish!E:E,MATCH(use_fish!B90,base_fish!A:A,0))&amp;_xlfn.IFNA("+"&amp;INDEX(activity!G:G,MATCH(use_fish!C90,activity!A:A,0)),"")</f>
        <v>魔鬼鱼+临时活动</v>
      </c>
      <c r="I90" s="37">
        <f>LOOKUP(use_fish!B90,base_fish!A:A,base_fish!F:F)+_xlfn.IFNA(INDEX(activity!F:F,MATCH(use_fish!C90,activity!A:A,0)),0)</f>
        <v>30</v>
      </c>
      <c r="J90" s="39">
        <v>1</v>
      </c>
      <c r="K90" s="39">
        <v>0</v>
      </c>
      <c r="L90" s="39">
        <f t="shared" si="17"/>
        <v>30</v>
      </c>
      <c r="M90" s="39">
        <v>1</v>
      </c>
      <c r="N90" s="39">
        <v>0</v>
      </c>
      <c r="O90" s="39">
        <v>1</v>
      </c>
    </row>
    <row r="91" spans="1:15" x14ac:dyDescent="0.2">
      <c r="A91" s="36">
        <v>90</v>
      </c>
      <c r="B91" s="37">
        <v>56</v>
      </c>
      <c r="C91" s="36">
        <v>55</v>
      </c>
      <c r="D91" s="36"/>
      <c r="E91" s="37">
        <f>LOOKUP(use_fish!B91,base_fish!A:A,base_fish!C:C)+_xlfn.IFNA(INDEX(activity!F:F,MATCH(use_fish!C91,activity!A:A,0)),0)</f>
        <v>20</v>
      </c>
      <c r="F91" s="37">
        <f t="shared" si="16"/>
        <v>0.05</v>
      </c>
      <c r="G91" s="37" t="s">
        <v>341</v>
      </c>
      <c r="H91" s="38" t="str">
        <f>INDEX(base_fish!E:E,MATCH(use_fish!B91,base_fish!A:A,0))&amp;_xlfn.IFNA("+"&amp;INDEX(activity!G:G,MATCH(use_fish!C91,activity!A:A,0)),"")</f>
        <v>虎鲸+临时活动</v>
      </c>
      <c r="I91" s="37">
        <f>LOOKUP(use_fish!B91,base_fish!A:A,base_fish!F:F)+_xlfn.IFNA(INDEX(activity!F:F,MATCH(use_fish!C91,activity!A:A,0)),0)</f>
        <v>20</v>
      </c>
      <c r="J91" s="39">
        <v>1</v>
      </c>
      <c r="K91" s="39">
        <v>0</v>
      </c>
      <c r="L91" s="39">
        <f t="shared" si="17"/>
        <v>20</v>
      </c>
      <c r="M91" s="39">
        <v>1</v>
      </c>
      <c r="N91" s="39">
        <v>0</v>
      </c>
      <c r="O91" s="39">
        <v>1</v>
      </c>
    </row>
    <row r="92" spans="1:15" x14ac:dyDescent="0.2">
      <c r="A92" s="56">
        <v>91</v>
      </c>
      <c r="B92" s="57">
        <v>57</v>
      </c>
      <c r="C92" s="56">
        <v>56</v>
      </c>
      <c r="D92" s="56"/>
      <c r="E92" s="57">
        <f>LOOKUP(use_fish!B92,base_fish!A:A,base_fish!C:C)+_xlfn.IFNA(INDEX(activity!F:F,MATCH(use_fish!C92,activity!A:A,0)),0)</f>
        <v>75</v>
      </c>
      <c r="F92" s="57">
        <f t="shared" si="16"/>
        <v>1.3333333333333334E-2</v>
      </c>
      <c r="G92" s="57" t="s">
        <v>341</v>
      </c>
      <c r="H92" s="58" t="str">
        <f>INDEX(base_fish!E:E,MATCH(use_fish!B92,base_fish!A:A,0))&amp;_xlfn.IFNA("+"&amp;INDEX(activity!G:G,MATCH(use_fish!C92,activity!A:A,0)),"")</f>
        <v>星星鱼+临时活动</v>
      </c>
      <c r="I92" s="57">
        <f>LOOKUP(use_fish!B92,base_fish!A:A,base_fish!F:F)+_xlfn.IFNA(INDEX(activity!F:F,MATCH(use_fish!C92,activity!A:A,0)),0)</f>
        <v>75</v>
      </c>
      <c r="J92" s="59">
        <v>1</v>
      </c>
      <c r="K92" s="59">
        <v>0</v>
      </c>
      <c r="L92" s="59">
        <f t="shared" si="17"/>
        <v>75</v>
      </c>
      <c r="M92" s="59">
        <v>1</v>
      </c>
      <c r="N92" s="59">
        <v>0</v>
      </c>
      <c r="O92" s="59">
        <v>1</v>
      </c>
    </row>
    <row r="93" spans="1:15" x14ac:dyDescent="0.2">
      <c r="A93" s="56">
        <v>92</v>
      </c>
      <c r="B93" s="57">
        <v>57</v>
      </c>
      <c r="C93" s="56">
        <v>57</v>
      </c>
      <c r="D93" s="56"/>
      <c r="E93" s="57">
        <f>LOOKUP(use_fish!B93,base_fish!A:A,base_fish!C:C)+_xlfn.IFNA(INDEX(activity!F:F,MATCH(use_fish!C93,activity!A:A,0)),0)</f>
        <v>150</v>
      </c>
      <c r="F93" s="57">
        <f t="shared" si="16"/>
        <v>6.6666666666666671E-3</v>
      </c>
      <c r="G93" s="57" t="s">
        <v>341</v>
      </c>
      <c r="H93" s="58" t="str">
        <f>INDEX(base_fish!E:E,MATCH(use_fish!B93,base_fish!A:A,0))&amp;_xlfn.IFNA("+"&amp;INDEX(activity!G:G,MATCH(use_fish!C93,activity!A:A,0)),"")</f>
        <v>星星鱼+临时活动</v>
      </c>
      <c r="I93" s="57">
        <f>LOOKUP(use_fish!B93,base_fish!A:A,base_fish!F:F)+_xlfn.IFNA(INDEX(activity!F:F,MATCH(use_fish!C93,activity!A:A,0)),0)</f>
        <v>150</v>
      </c>
      <c r="J93" s="59">
        <v>1</v>
      </c>
      <c r="K93" s="59">
        <v>0</v>
      </c>
      <c r="L93" s="59">
        <f t="shared" si="17"/>
        <v>150</v>
      </c>
      <c r="M93" s="59">
        <v>1</v>
      </c>
      <c r="N93" s="59">
        <v>0</v>
      </c>
      <c r="O93" s="59">
        <v>1</v>
      </c>
    </row>
    <row r="94" spans="1:15" x14ac:dyDescent="0.2">
      <c r="A94" s="56">
        <v>93</v>
      </c>
      <c r="B94" s="57">
        <v>57</v>
      </c>
      <c r="C94" s="56">
        <v>58</v>
      </c>
      <c r="D94" s="56"/>
      <c r="E94" s="57">
        <f>LOOKUP(use_fish!B94,base_fish!A:A,base_fish!C:C)+_xlfn.IFNA(INDEX(activity!F:F,MATCH(use_fish!C94,activity!A:A,0)),0)</f>
        <v>250</v>
      </c>
      <c r="F94" s="57">
        <f t="shared" si="16"/>
        <v>4.0000000000000001E-3</v>
      </c>
      <c r="G94" s="57" t="s">
        <v>341</v>
      </c>
      <c r="H94" s="58" t="str">
        <f>INDEX(base_fish!E:E,MATCH(use_fish!B94,base_fish!A:A,0))&amp;_xlfn.IFNA("+"&amp;INDEX(activity!G:G,MATCH(use_fish!C94,activity!A:A,0)),"")</f>
        <v>星星鱼+临时活动</v>
      </c>
      <c r="I94" s="57">
        <f>LOOKUP(use_fish!B94,base_fish!A:A,base_fish!F:F)+_xlfn.IFNA(INDEX(activity!F:F,MATCH(use_fish!C94,activity!A:A,0)),0)</f>
        <v>250</v>
      </c>
      <c r="J94" s="59">
        <v>1</v>
      </c>
      <c r="K94" s="59">
        <v>0</v>
      </c>
      <c r="L94" s="59">
        <f t="shared" si="17"/>
        <v>250</v>
      </c>
      <c r="M94" s="59">
        <v>1</v>
      </c>
      <c r="N94" s="59">
        <v>0</v>
      </c>
      <c r="O94" s="59">
        <v>1</v>
      </c>
    </row>
    <row r="95" spans="1:15" x14ac:dyDescent="0.2">
      <c r="A95" s="56">
        <v>94</v>
      </c>
      <c r="B95" s="57">
        <v>11</v>
      </c>
      <c r="C95" s="56">
        <v>59</v>
      </c>
      <c r="D95" s="56"/>
      <c r="E95" s="57">
        <f>LOOKUP(use_fish!B95,base_fish!A:A,base_fish!C:C)+_xlfn.IFNA(INDEX(activity!F:F,MATCH(use_fish!C95,activity!A:A,0)),0)</f>
        <v>25</v>
      </c>
      <c r="F95" s="57">
        <f t="shared" si="16"/>
        <v>0.04</v>
      </c>
      <c r="G95" s="57" t="s">
        <v>341</v>
      </c>
      <c r="H95" s="58" t="str">
        <f>INDEX(base_fish!E:E,MATCH(use_fish!B95,base_fish!A:A,0))&amp;_xlfn.IFNA("+"&amp;INDEX(activity!G:G,MATCH(use_fish!C95,activity!A:A,0)),"")</f>
        <v>小海龟+临时活动</v>
      </c>
      <c r="I95" s="57">
        <f>LOOKUP(use_fish!B95,base_fish!A:A,base_fish!F:F)+_xlfn.IFNA(INDEX(activity!F:F,MATCH(use_fish!C95,activity!A:A,0)),0)</f>
        <v>25</v>
      </c>
      <c r="J95" s="59">
        <v>1</v>
      </c>
      <c r="K95" s="59">
        <v>0</v>
      </c>
      <c r="L95" s="59">
        <f t="shared" si="17"/>
        <v>25</v>
      </c>
      <c r="M95" s="59">
        <v>1</v>
      </c>
      <c r="N95" s="59">
        <v>0</v>
      </c>
      <c r="O95" s="59">
        <v>1</v>
      </c>
    </row>
    <row r="96" spans="1:15" x14ac:dyDescent="0.2">
      <c r="A96" s="56">
        <v>95</v>
      </c>
      <c r="B96" s="57">
        <v>12</v>
      </c>
      <c r="C96" s="56">
        <v>59</v>
      </c>
      <c r="D96" s="56"/>
      <c r="E96" s="57">
        <f>LOOKUP(use_fish!B96,base_fish!A:A,base_fish!C:C)+_xlfn.IFNA(INDEX(activity!F:F,MATCH(use_fish!C96,activity!A:A,0)),0)</f>
        <v>28</v>
      </c>
      <c r="F96" s="57">
        <f t="shared" si="16"/>
        <v>3.5714285714285712E-2</v>
      </c>
      <c r="G96" s="57" t="s">
        <v>341</v>
      </c>
      <c r="H96" s="58" t="str">
        <f>INDEX(base_fish!E:E,MATCH(use_fish!B96,base_fish!A:A,0))&amp;_xlfn.IFNA("+"&amp;INDEX(activity!G:G,MATCH(use_fish!C96,activity!A:A,0)),"")</f>
        <v>狮子鱼+临时活动</v>
      </c>
      <c r="I96" s="57">
        <f>LOOKUP(use_fish!B96,base_fish!A:A,base_fish!F:F)+_xlfn.IFNA(INDEX(activity!F:F,MATCH(use_fish!C96,activity!A:A,0)),0)</f>
        <v>28</v>
      </c>
      <c r="J96" s="59">
        <v>1</v>
      </c>
      <c r="K96" s="59">
        <v>0</v>
      </c>
      <c r="L96" s="59">
        <f t="shared" si="17"/>
        <v>28</v>
      </c>
      <c r="M96" s="59">
        <v>1</v>
      </c>
      <c r="N96" s="59">
        <v>0</v>
      </c>
      <c r="O96" s="59">
        <v>1</v>
      </c>
    </row>
    <row r="97" spans="1:15" x14ac:dyDescent="0.2">
      <c r="A97" s="56">
        <v>96</v>
      </c>
      <c r="B97" s="57">
        <v>13</v>
      </c>
      <c r="C97" s="56">
        <v>59</v>
      </c>
      <c r="D97" s="56"/>
      <c r="E97" s="57">
        <f>LOOKUP(use_fish!B97,base_fish!A:A,base_fish!C:C)+_xlfn.IFNA(INDEX(activity!F:F,MATCH(use_fish!C97,activity!A:A,0)),0)</f>
        <v>30</v>
      </c>
      <c r="F97" s="57">
        <f t="shared" si="16"/>
        <v>3.3333333333333333E-2</v>
      </c>
      <c r="G97" s="57" t="s">
        <v>341</v>
      </c>
      <c r="H97" s="58" t="str">
        <f>INDEX(base_fish!E:E,MATCH(use_fish!B97,base_fish!A:A,0))&amp;_xlfn.IFNA("+"&amp;INDEX(activity!G:G,MATCH(use_fish!C97,activity!A:A,0)),"")</f>
        <v>蝴蝶鱼+临时活动</v>
      </c>
      <c r="I97" s="57">
        <f>LOOKUP(use_fish!B97,base_fish!A:A,base_fish!F:F)+_xlfn.IFNA(INDEX(activity!F:F,MATCH(use_fish!C97,activity!A:A,0)),0)</f>
        <v>30</v>
      </c>
      <c r="J97" s="59">
        <v>1</v>
      </c>
      <c r="K97" s="59">
        <v>0</v>
      </c>
      <c r="L97" s="59">
        <f t="shared" si="17"/>
        <v>30</v>
      </c>
      <c r="M97" s="59">
        <v>1</v>
      </c>
      <c r="N97" s="59">
        <v>0</v>
      </c>
      <c r="O97" s="59">
        <v>1</v>
      </c>
    </row>
    <row r="98" spans="1:15" x14ac:dyDescent="0.2">
      <c r="A98" s="56">
        <v>97</v>
      </c>
      <c r="B98" s="57">
        <v>14</v>
      </c>
      <c r="C98" s="56">
        <v>59</v>
      </c>
      <c r="D98" s="56"/>
      <c r="E98" s="57">
        <f>LOOKUP(use_fish!B98,base_fish!A:A,base_fish!C:C)+_xlfn.IFNA(INDEX(activity!F:F,MATCH(use_fish!C98,activity!A:A,0)),0)</f>
        <v>35</v>
      </c>
      <c r="F98" s="57">
        <f t="shared" si="16"/>
        <v>2.8571428571428571E-2</v>
      </c>
      <c r="G98" s="57" t="s">
        <v>341</v>
      </c>
      <c r="H98" s="58" t="str">
        <f>INDEX(base_fish!E:E,MATCH(use_fish!B98,base_fish!A:A,0))&amp;_xlfn.IFNA("+"&amp;INDEX(activity!G:G,MATCH(use_fish!C98,activity!A:A,0)),"")</f>
        <v>巨大小丑鱼+临时活动</v>
      </c>
      <c r="I98" s="57">
        <f>LOOKUP(use_fish!B98,base_fish!A:A,base_fish!F:F)+_xlfn.IFNA(INDEX(activity!F:F,MATCH(use_fish!C98,activity!A:A,0)),0)</f>
        <v>35</v>
      </c>
      <c r="J98" s="59">
        <v>1</v>
      </c>
      <c r="K98" s="59">
        <v>0</v>
      </c>
      <c r="L98" s="59">
        <f t="shared" si="17"/>
        <v>35</v>
      </c>
      <c r="M98" s="59">
        <v>1</v>
      </c>
      <c r="N98" s="59">
        <v>0</v>
      </c>
      <c r="O98" s="59">
        <v>1</v>
      </c>
    </row>
    <row r="99" spans="1:15" x14ac:dyDescent="0.2">
      <c r="A99" s="56">
        <v>98</v>
      </c>
      <c r="B99" s="57">
        <v>15</v>
      </c>
      <c r="C99" s="56">
        <v>59</v>
      </c>
      <c r="D99" s="56"/>
      <c r="E99" s="57">
        <f>LOOKUP(use_fish!B99,base_fish!A:A,base_fish!C:C)+_xlfn.IFNA(INDEX(activity!F:F,MATCH(use_fish!C99,activity!A:A,0)),0)</f>
        <v>40</v>
      </c>
      <c r="F99" s="57">
        <f t="shared" si="16"/>
        <v>2.5000000000000001E-2</v>
      </c>
      <c r="G99" s="57" t="s">
        <v>341</v>
      </c>
      <c r="H99" s="58" t="str">
        <f>INDEX(base_fish!E:E,MATCH(use_fish!B99,base_fish!A:A,0))&amp;_xlfn.IFNA("+"&amp;INDEX(activity!G:G,MATCH(use_fish!C99,activity!A:A,0)),"")</f>
        <v>巨大灯笼鱼+临时活动</v>
      </c>
      <c r="I99" s="57">
        <f>LOOKUP(use_fish!B99,base_fish!A:A,base_fish!F:F)+_xlfn.IFNA(INDEX(activity!F:F,MATCH(use_fish!C99,activity!A:A,0)),0)</f>
        <v>40</v>
      </c>
      <c r="J99" s="59">
        <v>1</v>
      </c>
      <c r="K99" s="59">
        <v>0</v>
      </c>
      <c r="L99" s="59">
        <f t="shared" si="17"/>
        <v>40</v>
      </c>
      <c r="M99" s="59">
        <v>1</v>
      </c>
      <c r="N99" s="59">
        <v>0</v>
      </c>
      <c r="O99" s="59">
        <v>1</v>
      </c>
    </row>
    <row r="100" spans="1:15" x14ac:dyDescent="0.2">
      <c r="A100" s="56">
        <v>99</v>
      </c>
      <c r="B100" s="57">
        <v>16</v>
      </c>
      <c r="C100" s="56">
        <v>59</v>
      </c>
      <c r="D100" s="56"/>
      <c r="E100" s="57">
        <f>LOOKUP(use_fish!B100,base_fish!A:A,base_fish!C:C)+_xlfn.IFNA(INDEX(activity!F:F,MATCH(use_fish!C100,activity!A:A,0)),0)</f>
        <v>45</v>
      </c>
      <c r="F100" s="57">
        <f t="shared" si="16"/>
        <v>2.2222222222222223E-2</v>
      </c>
      <c r="G100" s="57" t="s">
        <v>341</v>
      </c>
      <c r="H100" s="58" t="str">
        <f>INDEX(base_fish!E:E,MATCH(use_fish!B100,base_fish!A:A,0))&amp;_xlfn.IFNA("+"&amp;INDEX(activity!G:G,MATCH(use_fish!C100,activity!A:A,0)),"")</f>
        <v>巨大燕鱼+临时活动</v>
      </c>
      <c r="I100" s="57">
        <f>LOOKUP(use_fish!B100,base_fish!A:A,base_fish!F:F)+_xlfn.IFNA(INDEX(activity!F:F,MATCH(use_fish!C100,activity!A:A,0)),0)</f>
        <v>45</v>
      </c>
      <c r="J100" s="59">
        <v>1</v>
      </c>
      <c r="K100" s="59">
        <v>0</v>
      </c>
      <c r="L100" s="59">
        <f t="shared" si="17"/>
        <v>45</v>
      </c>
      <c r="M100" s="59">
        <v>1</v>
      </c>
      <c r="N100" s="59">
        <v>0</v>
      </c>
      <c r="O100" s="59">
        <v>1</v>
      </c>
    </row>
    <row r="101" spans="1:15" x14ac:dyDescent="0.2">
      <c r="A101" s="56">
        <v>100</v>
      </c>
      <c r="B101" s="57">
        <v>17</v>
      </c>
      <c r="C101" s="56">
        <v>59</v>
      </c>
      <c r="D101" s="56"/>
      <c r="E101" s="57">
        <f>LOOKUP(use_fish!B101,base_fish!A:A,base_fish!C:C)+_xlfn.IFNA(INDEX(activity!F:F,MATCH(use_fish!C101,activity!A:A,0)),0)</f>
        <v>50</v>
      </c>
      <c r="F101" s="57">
        <f t="shared" si="16"/>
        <v>0.02</v>
      </c>
      <c r="G101" s="57" t="s">
        <v>341</v>
      </c>
      <c r="H101" s="58" t="str">
        <f>INDEX(base_fish!E:E,MATCH(use_fish!B101,base_fish!A:A,0))&amp;_xlfn.IFNA("+"&amp;INDEX(activity!G:G,MATCH(use_fish!C101,activity!A:A,0)),"")</f>
        <v>魔鬼鱼+临时活动</v>
      </c>
      <c r="I101" s="57">
        <f>LOOKUP(use_fish!B101,base_fish!A:A,base_fish!F:F)+_xlfn.IFNA(INDEX(activity!F:F,MATCH(use_fish!C101,activity!A:A,0)),0)</f>
        <v>50</v>
      </c>
      <c r="J101" s="59">
        <v>1</v>
      </c>
      <c r="K101" s="59">
        <v>0</v>
      </c>
      <c r="L101" s="59">
        <f t="shared" si="17"/>
        <v>50</v>
      </c>
      <c r="M101" s="59">
        <v>1</v>
      </c>
      <c r="N101" s="59">
        <v>0</v>
      </c>
      <c r="O101" s="59">
        <v>1</v>
      </c>
    </row>
    <row r="102" spans="1:15" s="62" customFormat="1" x14ac:dyDescent="0.2">
      <c r="A102" s="63">
        <v>101</v>
      </c>
      <c r="B102" s="61">
        <v>13</v>
      </c>
      <c r="C102" s="63">
        <v>68</v>
      </c>
      <c r="D102" s="63"/>
      <c r="E102" s="61">
        <f>LOOKUP(use_fish!B102,base_fish!A:A,base_fish!C:C)+_xlfn.IFNA(INDEX(activity!F:F,MATCH(use_fish!C102,activity!A:A,0)),0)</f>
        <v>30</v>
      </c>
      <c r="F102" s="61">
        <f t="shared" si="16"/>
        <v>3.3333333333333333E-2</v>
      </c>
      <c r="G102" s="61" t="s">
        <v>339</v>
      </c>
      <c r="H102" s="64" t="str">
        <f>INDEX(base_fish!E:E,MATCH(use_fish!B102,base_fish!A:A,0))&amp;_xlfn.IFNA("+"&amp;INDEX(activity!G:G,MATCH(use_fish!C102,activity!A:A,0)),"")</f>
        <v>蝴蝶鱼+临时活动</v>
      </c>
      <c r="I102" s="61">
        <f>LOOKUP(use_fish!B102,base_fish!A:A,base_fish!F:F)+_xlfn.IFNA(INDEX(activity!F:F,MATCH(use_fish!C102,activity!A:A,0)),0)</f>
        <v>30</v>
      </c>
      <c r="J102" s="62">
        <v>1</v>
      </c>
      <c r="K102" s="62">
        <v>0</v>
      </c>
      <c r="L102" s="62">
        <f t="shared" si="17"/>
        <v>30</v>
      </c>
      <c r="M102" s="62">
        <v>1</v>
      </c>
      <c r="N102" s="62">
        <v>0</v>
      </c>
      <c r="O102" s="62">
        <v>1</v>
      </c>
    </row>
    <row r="103" spans="1:15" s="62" customFormat="1" x14ac:dyDescent="0.2">
      <c r="A103" s="63">
        <v>102</v>
      </c>
      <c r="B103" s="61">
        <v>14</v>
      </c>
      <c r="C103" s="63">
        <v>68</v>
      </c>
      <c r="D103" s="63"/>
      <c r="E103" s="61">
        <f>LOOKUP(use_fish!B103,base_fish!A:A,base_fish!C:C)+_xlfn.IFNA(INDEX(activity!F:F,MATCH(use_fish!C103,activity!A:A,0)),0)</f>
        <v>35</v>
      </c>
      <c r="F103" s="61">
        <f t="shared" si="16"/>
        <v>2.8571428571428571E-2</v>
      </c>
      <c r="G103" s="61" t="s">
        <v>339</v>
      </c>
      <c r="H103" s="64" t="str">
        <f>INDEX(base_fish!E:E,MATCH(use_fish!B103,base_fish!A:A,0))&amp;_xlfn.IFNA("+"&amp;INDEX(activity!G:G,MATCH(use_fish!C103,activity!A:A,0)),"")</f>
        <v>巨大小丑鱼+临时活动</v>
      </c>
      <c r="I103" s="61">
        <f>LOOKUP(use_fish!B103,base_fish!A:A,base_fish!F:F)+_xlfn.IFNA(INDEX(activity!F:F,MATCH(use_fish!C103,activity!A:A,0)),0)</f>
        <v>35</v>
      </c>
      <c r="J103" s="62">
        <v>1</v>
      </c>
      <c r="K103" s="62">
        <v>0</v>
      </c>
      <c r="L103" s="62">
        <f t="shared" si="17"/>
        <v>35</v>
      </c>
      <c r="M103" s="62">
        <v>1</v>
      </c>
      <c r="N103" s="62">
        <v>0</v>
      </c>
      <c r="O103" s="62">
        <v>1</v>
      </c>
    </row>
    <row r="104" spans="1:15" s="62" customFormat="1" x14ac:dyDescent="0.2">
      <c r="A104" s="63">
        <v>103</v>
      </c>
      <c r="B104" s="61">
        <v>15</v>
      </c>
      <c r="C104" s="63">
        <v>68</v>
      </c>
      <c r="D104" s="63"/>
      <c r="E104" s="61">
        <f>LOOKUP(use_fish!B104,base_fish!A:A,base_fish!C:C)+_xlfn.IFNA(INDEX(activity!F:F,MATCH(use_fish!C104,activity!A:A,0)),0)</f>
        <v>40</v>
      </c>
      <c r="F104" s="61">
        <f t="shared" si="16"/>
        <v>2.5000000000000001E-2</v>
      </c>
      <c r="G104" s="61" t="s">
        <v>339</v>
      </c>
      <c r="H104" s="64" t="str">
        <f>INDEX(base_fish!E:E,MATCH(use_fish!B104,base_fish!A:A,0))&amp;_xlfn.IFNA("+"&amp;INDEX(activity!G:G,MATCH(use_fish!C104,activity!A:A,0)),"")</f>
        <v>巨大灯笼鱼+临时活动</v>
      </c>
      <c r="I104" s="61">
        <f>LOOKUP(use_fish!B104,base_fish!A:A,base_fish!F:F)+_xlfn.IFNA(INDEX(activity!F:F,MATCH(use_fish!C104,activity!A:A,0)),0)</f>
        <v>40</v>
      </c>
      <c r="J104" s="62">
        <v>1</v>
      </c>
      <c r="K104" s="62">
        <v>0</v>
      </c>
      <c r="L104" s="62">
        <f t="shared" si="17"/>
        <v>40</v>
      </c>
      <c r="M104" s="62">
        <v>1</v>
      </c>
      <c r="N104" s="62">
        <v>0</v>
      </c>
      <c r="O104" s="62">
        <v>1</v>
      </c>
    </row>
    <row r="105" spans="1:15" s="62" customFormat="1" x14ac:dyDescent="0.2">
      <c r="A105" s="63">
        <v>104</v>
      </c>
      <c r="B105" s="61">
        <v>16</v>
      </c>
      <c r="C105" s="63">
        <v>68</v>
      </c>
      <c r="D105" s="63"/>
      <c r="E105" s="61">
        <f>LOOKUP(use_fish!B105,base_fish!A:A,base_fish!C:C)+_xlfn.IFNA(INDEX(activity!F:F,MATCH(use_fish!C105,activity!A:A,0)),0)</f>
        <v>45</v>
      </c>
      <c r="F105" s="61">
        <f t="shared" si="16"/>
        <v>2.2222222222222223E-2</v>
      </c>
      <c r="G105" s="61" t="s">
        <v>339</v>
      </c>
      <c r="H105" s="64" t="str">
        <f>INDEX(base_fish!E:E,MATCH(use_fish!B105,base_fish!A:A,0))&amp;_xlfn.IFNA("+"&amp;INDEX(activity!G:G,MATCH(use_fish!C105,activity!A:A,0)),"")</f>
        <v>巨大燕鱼+临时活动</v>
      </c>
      <c r="I105" s="61">
        <f>LOOKUP(use_fish!B105,base_fish!A:A,base_fish!F:F)+_xlfn.IFNA(INDEX(activity!F:F,MATCH(use_fish!C105,activity!A:A,0)),0)</f>
        <v>45</v>
      </c>
      <c r="J105" s="62">
        <v>1</v>
      </c>
      <c r="K105" s="62">
        <v>0</v>
      </c>
      <c r="L105" s="62">
        <f t="shared" si="17"/>
        <v>45</v>
      </c>
      <c r="M105" s="62">
        <v>1</v>
      </c>
      <c r="N105" s="62">
        <v>0</v>
      </c>
      <c r="O105" s="62">
        <v>1</v>
      </c>
    </row>
    <row r="106" spans="1:15" s="62" customFormat="1" x14ac:dyDescent="0.2">
      <c r="A106" s="63">
        <v>105</v>
      </c>
      <c r="B106" s="61">
        <v>17</v>
      </c>
      <c r="C106" s="63">
        <v>68</v>
      </c>
      <c r="D106" s="63"/>
      <c r="E106" s="61">
        <f>LOOKUP(use_fish!B106,base_fish!A:A,base_fish!C:C)+_xlfn.IFNA(INDEX(activity!F:F,MATCH(use_fish!C106,activity!A:A,0)),0)</f>
        <v>50</v>
      </c>
      <c r="F106" s="61">
        <f t="shared" si="16"/>
        <v>0.02</v>
      </c>
      <c r="G106" s="61" t="s">
        <v>339</v>
      </c>
      <c r="H106" s="64" t="str">
        <f>INDEX(base_fish!E:E,MATCH(use_fish!B106,base_fish!A:A,0))&amp;_xlfn.IFNA("+"&amp;INDEX(activity!G:G,MATCH(use_fish!C106,activity!A:A,0)),"")</f>
        <v>魔鬼鱼+临时活动</v>
      </c>
      <c r="I106" s="61">
        <f>LOOKUP(use_fish!B106,base_fish!A:A,base_fish!F:F)+_xlfn.IFNA(INDEX(activity!F:F,MATCH(use_fish!C106,activity!A:A,0)),0)</f>
        <v>50</v>
      </c>
      <c r="J106" s="62">
        <v>1</v>
      </c>
      <c r="K106" s="62">
        <v>0</v>
      </c>
      <c r="L106" s="62">
        <f t="shared" si="17"/>
        <v>50</v>
      </c>
      <c r="M106" s="62">
        <v>1</v>
      </c>
      <c r="N106" s="62">
        <v>0</v>
      </c>
      <c r="O106" s="62">
        <v>1</v>
      </c>
    </row>
    <row r="107" spans="1:15" s="62" customFormat="1" x14ac:dyDescent="0.2">
      <c r="A107" s="63">
        <v>106</v>
      </c>
      <c r="B107" s="61">
        <v>18</v>
      </c>
      <c r="C107" s="63">
        <v>68</v>
      </c>
      <c r="D107" s="63"/>
      <c r="E107" s="61">
        <f>LOOKUP(use_fish!B107,base_fish!A:A,base_fish!C:C)+_xlfn.IFNA(INDEX(activity!F:F,MATCH(use_fish!C107,activity!A:A,0)),0)</f>
        <v>70</v>
      </c>
      <c r="F107" s="61">
        <f t="shared" si="16"/>
        <v>1.4285714285714285E-2</v>
      </c>
      <c r="G107" s="61" t="s">
        <v>339</v>
      </c>
      <c r="H107" s="64" t="str">
        <f>INDEX(base_fish!E:E,MATCH(use_fish!B107,base_fish!A:A,0))&amp;_xlfn.IFNA("+"&amp;INDEX(activity!G:G,MATCH(use_fish!C107,activity!A:A,0)),"")</f>
        <v>虎鲸+临时活动</v>
      </c>
      <c r="I107" s="61">
        <f>LOOKUP(use_fish!B107,base_fish!A:A,base_fish!F:F)+_xlfn.IFNA(INDEX(activity!F:F,MATCH(use_fish!C107,activity!A:A,0)),0)</f>
        <v>70</v>
      </c>
      <c r="J107" s="62">
        <v>1</v>
      </c>
      <c r="K107" s="62">
        <v>0</v>
      </c>
      <c r="L107" s="62">
        <f t="shared" si="17"/>
        <v>70</v>
      </c>
      <c r="M107" s="62">
        <v>1</v>
      </c>
      <c r="N107" s="62">
        <v>0</v>
      </c>
      <c r="O107" s="62">
        <v>1</v>
      </c>
    </row>
    <row r="108" spans="1:15" s="62" customFormat="1" x14ac:dyDescent="0.2">
      <c r="A108" s="63">
        <v>107</v>
      </c>
      <c r="B108" s="63">
        <v>58</v>
      </c>
      <c r="C108" s="63">
        <v>65</v>
      </c>
      <c r="D108" s="63"/>
      <c r="E108" s="61">
        <f>LOOKUP(use_fish!B108,base_fish!A:A,base_fish!C:C)+_xlfn.IFNA(INDEX(activity!F:F,MATCH(use_fish!C108,activity!A:A,0)),0)</f>
        <v>75</v>
      </c>
      <c r="F108" s="61">
        <f t="shared" si="16"/>
        <v>1.3333333333333334E-2</v>
      </c>
      <c r="G108" s="61" t="s">
        <v>339</v>
      </c>
      <c r="H108" s="64" t="str">
        <f>INDEX(base_fish!E:E,MATCH(use_fish!B108,base_fish!A:A,0))&amp;_xlfn.IFNA("+"&amp;INDEX(activity!G:G,MATCH(use_fish!C108,activity!A:A,0)),"")</f>
        <v>火鸡鱼+临时活动</v>
      </c>
      <c r="I108" s="61">
        <f>LOOKUP(use_fish!B108,base_fish!A:A,base_fish!F:F)+_xlfn.IFNA(INDEX(activity!F:F,MATCH(use_fish!C108,activity!A:A,0)),0)</f>
        <v>75</v>
      </c>
      <c r="J108" s="62">
        <v>1</v>
      </c>
      <c r="K108" s="62">
        <v>0</v>
      </c>
      <c r="L108" s="62">
        <f t="shared" si="17"/>
        <v>75</v>
      </c>
      <c r="M108" s="62">
        <v>1</v>
      </c>
      <c r="N108" s="62">
        <v>0</v>
      </c>
      <c r="O108" s="62">
        <v>1</v>
      </c>
    </row>
    <row r="109" spans="1:15" s="62" customFormat="1" x14ac:dyDescent="0.2">
      <c r="A109" s="63">
        <v>108</v>
      </c>
      <c r="B109" s="63">
        <v>58</v>
      </c>
      <c r="C109" s="63">
        <v>66</v>
      </c>
      <c r="D109" s="63"/>
      <c r="E109" s="61">
        <f>LOOKUP(use_fish!B109,base_fish!A:A,base_fish!C:C)+_xlfn.IFNA(INDEX(activity!F:F,MATCH(use_fish!C109,activity!A:A,0)),0)</f>
        <v>150</v>
      </c>
      <c r="F109" s="61">
        <f t="shared" si="16"/>
        <v>6.6666666666666671E-3</v>
      </c>
      <c r="G109" s="61" t="s">
        <v>339</v>
      </c>
      <c r="H109" s="64" t="str">
        <f>INDEX(base_fish!E:E,MATCH(use_fish!B109,base_fish!A:A,0))&amp;_xlfn.IFNA("+"&amp;INDEX(activity!G:G,MATCH(use_fish!C109,activity!A:A,0)),"")</f>
        <v>火鸡鱼+临时活动</v>
      </c>
      <c r="I109" s="61">
        <f>LOOKUP(use_fish!B109,base_fish!A:A,base_fish!F:F)+_xlfn.IFNA(INDEX(activity!F:F,MATCH(use_fish!C109,activity!A:A,0)),0)</f>
        <v>150</v>
      </c>
      <c r="J109" s="62">
        <v>1</v>
      </c>
      <c r="K109" s="62">
        <v>0</v>
      </c>
      <c r="L109" s="62">
        <f t="shared" si="17"/>
        <v>150</v>
      </c>
      <c r="M109" s="62">
        <v>1</v>
      </c>
      <c r="N109" s="62">
        <v>0</v>
      </c>
      <c r="O109" s="62">
        <v>1</v>
      </c>
    </row>
    <row r="110" spans="1:15" s="62" customFormat="1" x14ac:dyDescent="0.2">
      <c r="A110" s="63">
        <v>109</v>
      </c>
      <c r="B110" s="63">
        <v>58</v>
      </c>
      <c r="C110" s="63">
        <v>67</v>
      </c>
      <c r="D110" s="63"/>
      <c r="E110" s="61">
        <f>LOOKUP(use_fish!B110,base_fish!A:A,base_fish!C:C)+_xlfn.IFNA(INDEX(activity!F:F,MATCH(use_fish!C110,activity!A:A,0)),0)</f>
        <v>250</v>
      </c>
      <c r="F110" s="61">
        <f t="shared" si="16"/>
        <v>4.0000000000000001E-3</v>
      </c>
      <c r="G110" s="61" t="s">
        <v>339</v>
      </c>
      <c r="H110" s="64" t="str">
        <f>INDEX(base_fish!E:E,MATCH(use_fish!B110,base_fish!A:A,0))&amp;_xlfn.IFNA("+"&amp;INDEX(activity!G:G,MATCH(use_fish!C110,activity!A:A,0)),"")</f>
        <v>火鸡鱼+临时活动</v>
      </c>
      <c r="I110" s="61">
        <f>LOOKUP(use_fish!B110,base_fish!A:A,base_fish!F:F)+_xlfn.IFNA(INDEX(activity!F:F,MATCH(use_fish!C110,activity!A:A,0)),0)</f>
        <v>250</v>
      </c>
      <c r="J110" s="62">
        <v>1</v>
      </c>
      <c r="K110" s="62">
        <v>0</v>
      </c>
      <c r="L110" s="62">
        <f t="shared" si="17"/>
        <v>250</v>
      </c>
      <c r="M110" s="62">
        <v>1</v>
      </c>
      <c r="N110" s="62">
        <v>0</v>
      </c>
      <c r="O110" s="62">
        <v>1</v>
      </c>
    </row>
    <row r="111" spans="1:15" s="65" customFormat="1" x14ac:dyDescent="0.2">
      <c r="A111" s="66">
        <v>110</v>
      </c>
      <c r="B111" s="66">
        <v>59</v>
      </c>
      <c r="C111" s="66">
        <v>69</v>
      </c>
      <c r="D111" s="66"/>
      <c r="E111" s="57">
        <f>LOOKUP(use_fish!B111,base_fish!A:A,base_fish!C:C)+_xlfn.IFNA(INDEX(activity!F:F,MATCH(use_fish!C111,activity!A:A,0)),0)</f>
        <v>75</v>
      </c>
      <c r="F111" s="67">
        <f t="shared" si="16"/>
        <v>1.3333333333333334E-2</v>
      </c>
      <c r="G111" s="67" t="s">
        <v>339</v>
      </c>
      <c r="H111" s="68" t="str">
        <f>INDEX(base_fish!E:E,MATCH(use_fish!B111,base_fish!A:A,0))&amp;_xlfn.IFNA("+"&amp;INDEX(activity!G:G,MATCH(use_fish!C111,activity!A:A,0)),"")</f>
        <v>话费鱼+话费鱼</v>
      </c>
      <c r="I111" s="67">
        <f>LOOKUP(use_fish!B111,base_fish!A:A,base_fish!F:F)+_xlfn.IFNA(INDEX(activity!F:F,MATCH(use_fish!C111,activity!A:A,0)),0)</f>
        <v>75</v>
      </c>
      <c r="J111" s="65">
        <v>1</v>
      </c>
      <c r="K111" s="65">
        <v>0</v>
      </c>
      <c r="L111" s="65">
        <f t="shared" si="17"/>
        <v>75</v>
      </c>
      <c r="M111" s="65">
        <v>1</v>
      </c>
      <c r="N111" s="65">
        <v>1</v>
      </c>
      <c r="O111" s="65">
        <v>1</v>
      </c>
    </row>
    <row r="112" spans="1:15" s="65" customFormat="1" x14ac:dyDescent="0.2">
      <c r="A112" s="66">
        <v>111</v>
      </c>
      <c r="B112" s="66">
        <v>59</v>
      </c>
      <c r="C112" s="66">
        <v>0</v>
      </c>
      <c r="D112" s="79" t="s">
        <v>460</v>
      </c>
      <c r="E112" s="57">
        <v>0</v>
      </c>
      <c r="F112" s="67">
        <v>0</v>
      </c>
      <c r="G112" s="67" t="s">
        <v>339</v>
      </c>
      <c r="H112" s="68" t="str">
        <f>INDEX(base_fish!E:E,MATCH(use_fish!B112,base_fish!A:A,0))&amp;_xlfn.IFNA("+"&amp;INDEX(activity!G:G,MATCH(use_fish!C112,activity!A:A,0)),"")</f>
        <v>话费鱼</v>
      </c>
      <c r="I112" s="67">
        <f>LOOKUP(use_fish!B112,base_fish!A:A,base_fish!F:F)+_xlfn.IFNA(INDEX(activity!F:F,MATCH(use_fish!C112,activity!A:A,0)),0)</f>
        <v>0</v>
      </c>
      <c r="J112" s="65">
        <v>1</v>
      </c>
      <c r="K112" s="65">
        <v>0</v>
      </c>
      <c r="L112" s="65">
        <f t="shared" si="17"/>
        <v>0</v>
      </c>
      <c r="M112" s="65">
        <v>1</v>
      </c>
      <c r="N112" s="65">
        <v>1</v>
      </c>
      <c r="O112" s="65">
        <v>1</v>
      </c>
    </row>
    <row r="113" spans="1:15" s="74" customFormat="1" x14ac:dyDescent="0.2">
      <c r="A113" s="71">
        <v>112</v>
      </c>
      <c r="B113" s="72">
        <v>13</v>
      </c>
      <c r="C113" s="71">
        <v>73</v>
      </c>
      <c r="D113" s="71"/>
      <c r="E113" s="72">
        <f>LOOKUP(use_fish!B113,base_fish!A:A,base_fish!C:C)+_xlfn.IFNA(INDEX(activity!F:F,MATCH(use_fish!C113,activity!A:A,0)),0)</f>
        <v>30</v>
      </c>
      <c r="F113" s="72">
        <f t="shared" si="16"/>
        <v>3.3333333333333333E-2</v>
      </c>
      <c r="G113" s="72" t="s">
        <v>339</v>
      </c>
      <c r="H113" s="73" t="str">
        <f>INDEX(base_fish!E:E,MATCH(use_fish!B113,base_fish!A:A,0))&amp;_xlfn.IFNA("+"&amp;INDEX(activity!G:G,MATCH(use_fish!C113,activity!A:A,0)),"")</f>
        <v>蝴蝶鱼+临时活动</v>
      </c>
      <c r="I113" s="72">
        <f>LOOKUP(use_fish!B113,base_fish!A:A,base_fish!F:F)+_xlfn.IFNA(INDEX(activity!F:F,MATCH(use_fish!C113,activity!A:A,0)),0)</f>
        <v>30</v>
      </c>
      <c r="J113" s="74">
        <v>1</v>
      </c>
      <c r="K113" s="74">
        <v>0</v>
      </c>
      <c r="L113" s="74">
        <f t="shared" si="17"/>
        <v>30</v>
      </c>
      <c r="M113" s="74">
        <v>1</v>
      </c>
      <c r="N113" s="74">
        <v>0</v>
      </c>
      <c r="O113" s="74">
        <v>1</v>
      </c>
    </row>
    <row r="114" spans="1:15" s="74" customFormat="1" x14ac:dyDescent="0.2">
      <c r="A114" s="71">
        <v>113</v>
      </c>
      <c r="B114" s="72">
        <v>14</v>
      </c>
      <c r="C114" s="71">
        <v>73</v>
      </c>
      <c r="D114" s="71"/>
      <c r="E114" s="72">
        <f>LOOKUP(use_fish!B114,base_fish!A:A,base_fish!C:C)+_xlfn.IFNA(INDEX(activity!F:F,MATCH(use_fish!C114,activity!A:A,0)),0)</f>
        <v>35</v>
      </c>
      <c r="F114" s="72">
        <f t="shared" si="16"/>
        <v>2.8571428571428571E-2</v>
      </c>
      <c r="G114" s="72" t="s">
        <v>339</v>
      </c>
      <c r="H114" s="73" t="str">
        <f>INDEX(base_fish!E:E,MATCH(use_fish!B114,base_fish!A:A,0))&amp;_xlfn.IFNA("+"&amp;INDEX(activity!G:G,MATCH(use_fish!C114,activity!A:A,0)),"")</f>
        <v>巨大小丑鱼+临时活动</v>
      </c>
      <c r="I114" s="72">
        <f>LOOKUP(use_fish!B114,base_fish!A:A,base_fish!F:F)+_xlfn.IFNA(INDEX(activity!F:F,MATCH(use_fish!C114,activity!A:A,0)),0)</f>
        <v>35</v>
      </c>
      <c r="J114" s="74">
        <v>1</v>
      </c>
      <c r="K114" s="74">
        <v>0</v>
      </c>
      <c r="L114" s="74">
        <f t="shared" si="17"/>
        <v>35</v>
      </c>
      <c r="M114" s="74">
        <v>1</v>
      </c>
      <c r="N114" s="74">
        <v>0</v>
      </c>
      <c r="O114" s="74">
        <v>1</v>
      </c>
    </row>
    <row r="115" spans="1:15" s="74" customFormat="1" x14ac:dyDescent="0.2">
      <c r="A115" s="71">
        <v>114</v>
      </c>
      <c r="B115" s="72">
        <v>15</v>
      </c>
      <c r="C115" s="71">
        <v>73</v>
      </c>
      <c r="D115" s="71"/>
      <c r="E115" s="72">
        <f>LOOKUP(use_fish!B115,base_fish!A:A,base_fish!C:C)+_xlfn.IFNA(INDEX(activity!F:F,MATCH(use_fish!C115,activity!A:A,0)),0)</f>
        <v>40</v>
      </c>
      <c r="F115" s="72">
        <f t="shared" si="16"/>
        <v>2.5000000000000001E-2</v>
      </c>
      <c r="G115" s="72" t="s">
        <v>339</v>
      </c>
      <c r="H115" s="73" t="str">
        <f>INDEX(base_fish!E:E,MATCH(use_fish!B115,base_fish!A:A,0))&amp;_xlfn.IFNA("+"&amp;INDEX(activity!G:G,MATCH(use_fish!C115,activity!A:A,0)),"")</f>
        <v>巨大灯笼鱼+临时活动</v>
      </c>
      <c r="I115" s="72">
        <f>LOOKUP(use_fish!B115,base_fish!A:A,base_fish!F:F)+_xlfn.IFNA(INDEX(activity!F:F,MATCH(use_fish!C115,activity!A:A,0)),0)</f>
        <v>40</v>
      </c>
      <c r="J115" s="74">
        <v>1</v>
      </c>
      <c r="K115" s="74">
        <v>0</v>
      </c>
      <c r="L115" s="74">
        <f t="shared" si="17"/>
        <v>40</v>
      </c>
      <c r="M115" s="74">
        <v>1</v>
      </c>
      <c r="N115" s="74">
        <v>0</v>
      </c>
      <c r="O115" s="74">
        <v>1</v>
      </c>
    </row>
    <row r="116" spans="1:15" s="74" customFormat="1" x14ac:dyDescent="0.2">
      <c r="A116" s="71">
        <v>115</v>
      </c>
      <c r="B116" s="72">
        <v>16</v>
      </c>
      <c r="C116" s="71">
        <v>73</v>
      </c>
      <c r="D116" s="71"/>
      <c r="E116" s="72">
        <f>LOOKUP(use_fish!B116,base_fish!A:A,base_fish!C:C)+_xlfn.IFNA(INDEX(activity!F:F,MATCH(use_fish!C116,activity!A:A,0)),0)</f>
        <v>45</v>
      </c>
      <c r="F116" s="72">
        <f t="shared" si="16"/>
        <v>2.2222222222222223E-2</v>
      </c>
      <c r="G116" s="72" t="s">
        <v>339</v>
      </c>
      <c r="H116" s="73" t="str">
        <f>INDEX(base_fish!E:E,MATCH(use_fish!B116,base_fish!A:A,0))&amp;_xlfn.IFNA("+"&amp;INDEX(activity!G:G,MATCH(use_fish!C116,activity!A:A,0)),"")</f>
        <v>巨大燕鱼+临时活动</v>
      </c>
      <c r="I116" s="72">
        <f>LOOKUP(use_fish!B116,base_fish!A:A,base_fish!F:F)+_xlfn.IFNA(INDEX(activity!F:F,MATCH(use_fish!C116,activity!A:A,0)),0)</f>
        <v>45</v>
      </c>
      <c r="J116" s="74">
        <v>1</v>
      </c>
      <c r="K116" s="74">
        <v>0</v>
      </c>
      <c r="L116" s="74">
        <f t="shared" si="17"/>
        <v>45</v>
      </c>
      <c r="M116" s="74">
        <v>1</v>
      </c>
      <c r="N116" s="74">
        <v>0</v>
      </c>
      <c r="O116" s="74">
        <v>1</v>
      </c>
    </row>
    <row r="117" spans="1:15" s="74" customFormat="1" x14ac:dyDescent="0.2">
      <c r="A117" s="71">
        <v>116</v>
      </c>
      <c r="B117" s="72">
        <v>17</v>
      </c>
      <c r="C117" s="71">
        <v>73</v>
      </c>
      <c r="D117" s="71"/>
      <c r="E117" s="72">
        <f>LOOKUP(use_fish!B117,base_fish!A:A,base_fish!C:C)+_xlfn.IFNA(INDEX(activity!F:F,MATCH(use_fish!C117,activity!A:A,0)),0)</f>
        <v>50</v>
      </c>
      <c r="F117" s="72">
        <f t="shared" si="16"/>
        <v>0.02</v>
      </c>
      <c r="G117" s="72" t="s">
        <v>339</v>
      </c>
      <c r="H117" s="73" t="str">
        <f>INDEX(base_fish!E:E,MATCH(use_fish!B117,base_fish!A:A,0))&amp;_xlfn.IFNA("+"&amp;INDEX(activity!G:G,MATCH(use_fish!C117,activity!A:A,0)),"")</f>
        <v>魔鬼鱼+临时活动</v>
      </c>
      <c r="I117" s="72">
        <f>LOOKUP(use_fish!B117,base_fish!A:A,base_fish!F:F)+_xlfn.IFNA(INDEX(activity!F:F,MATCH(use_fish!C117,activity!A:A,0)),0)</f>
        <v>50</v>
      </c>
      <c r="J117" s="74">
        <v>1</v>
      </c>
      <c r="K117" s="74">
        <v>0</v>
      </c>
      <c r="L117" s="74">
        <f t="shared" si="17"/>
        <v>50</v>
      </c>
      <c r="M117" s="74">
        <v>1</v>
      </c>
      <c r="N117" s="74">
        <v>0</v>
      </c>
      <c r="O117" s="74">
        <v>1</v>
      </c>
    </row>
    <row r="118" spans="1:15" s="74" customFormat="1" x14ac:dyDescent="0.2">
      <c r="A118" s="71">
        <v>117</v>
      </c>
      <c r="B118" s="72">
        <v>18</v>
      </c>
      <c r="C118" s="71">
        <v>73</v>
      </c>
      <c r="D118" s="71"/>
      <c r="E118" s="72">
        <f>LOOKUP(use_fish!B118,base_fish!A:A,base_fish!C:C)+_xlfn.IFNA(INDEX(activity!F:F,MATCH(use_fish!C118,activity!A:A,0)),0)</f>
        <v>70</v>
      </c>
      <c r="F118" s="72">
        <f t="shared" si="16"/>
        <v>1.4285714285714285E-2</v>
      </c>
      <c r="G118" s="72" t="s">
        <v>339</v>
      </c>
      <c r="H118" s="73" t="str">
        <f>INDEX(base_fish!E:E,MATCH(use_fish!B118,base_fish!A:A,0))&amp;_xlfn.IFNA("+"&amp;INDEX(activity!G:G,MATCH(use_fish!C118,activity!A:A,0)),"")</f>
        <v>虎鲸+临时活动</v>
      </c>
      <c r="I118" s="72">
        <f>LOOKUP(use_fish!B118,base_fish!A:A,base_fish!F:F)+_xlfn.IFNA(INDEX(activity!F:F,MATCH(use_fish!C118,activity!A:A,0)),0)</f>
        <v>70</v>
      </c>
      <c r="J118" s="74">
        <v>1</v>
      </c>
      <c r="K118" s="74">
        <v>0</v>
      </c>
      <c r="L118" s="74">
        <f t="shared" si="17"/>
        <v>70</v>
      </c>
      <c r="M118" s="74">
        <v>1</v>
      </c>
      <c r="N118" s="74">
        <v>0</v>
      </c>
      <c r="O118" s="74">
        <v>1</v>
      </c>
    </row>
    <row r="119" spans="1:15" s="74" customFormat="1" x14ac:dyDescent="0.2">
      <c r="A119" s="71">
        <v>118</v>
      </c>
      <c r="B119" s="71">
        <v>60</v>
      </c>
      <c r="C119" s="71">
        <v>70</v>
      </c>
      <c r="D119" s="71"/>
      <c r="E119" s="72">
        <f>LOOKUP(use_fish!B119,base_fish!A:A,base_fish!C:C)+_xlfn.IFNA(INDEX(activity!F:F,MATCH(use_fish!C119,activity!A:A,0)),0)</f>
        <v>75</v>
      </c>
      <c r="F119" s="72">
        <f t="shared" si="16"/>
        <v>1.3333333333333334E-2</v>
      </c>
      <c r="G119" s="72" t="s">
        <v>339</v>
      </c>
      <c r="H119" s="73" t="str">
        <f>INDEX(base_fish!E:E,MATCH(use_fish!B119,base_fish!A:A,0))&amp;_xlfn.IFNA("+"&amp;INDEX(activity!G:G,MATCH(use_fish!C119,activity!A:A,0)),"")</f>
        <v>礼盒boss+临时活动</v>
      </c>
      <c r="I119" s="72">
        <f>LOOKUP(use_fish!B119,base_fish!A:A,base_fish!F:F)+_xlfn.IFNA(INDEX(activity!F:F,MATCH(use_fish!C119,activity!A:A,0)),0)</f>
        <v>75</v>
      </c>
      <c r="J119" s="74">
        <v>1</v>
      </c>
      <c r="K119" s="74">
        <v>0</v>
      </c>
      <c r="L119" s="74">
        <f t="shared" si="17"/>
        <v>75</v>
      </c>
      <c r="M119" s="74">
        <v>1</v>
      </c>
      <c r="N119" s="74">
        <v>0</v>
      </c>
      <c r="O119" s="74">
        <v>1</v>
      </c>
    </row>
    <row r="120" spans="1:15" s="74" customFormat="1" x14ac:dyDescent="0.2">
      <c r="A120" s="71">
        <v>119</v>
      </c>
      <c r="B120" s="71">
        <v>60</v>
      </c>
      <c r="C120" s="71">
        <v>71</v>
      </c>
      <c r="D120" s="71"/>
      <c r="E120" s="72">
        <f>LOOKUP(use_fish!B120,base_fish!A:A,base_fish!C:C)+_xlfn.IFNA(INDEX(activity!F:F,MATCH(use_fish!C120,activity!A:A,0)),0)</f>
        <v>150</v>
      </c>
      <c r="F120" s="72">
        <f t="shared" si="16"/>
        <v>6.6666666666666671E-3</v>
      </c>
      <c r="G120" s="72" t="s">
        <v>339</v>
      </c>
      <c r="H120" s="73" t="str">
        <f>INDEX(base_fish!E:E,MATCH(use_fish!B120,base_fish!A:A,0))&amp;_xlfn.IFNA("+"&amp;INDEX(activity!G:G,MATCH(use_fish!C120,activity!A:A,0)),"")</f>
        <v>礼盒boss+临时活动</v>
      </c>
      <c r="I120" s="72">
        <f>LOOKUP(use_fish!B120,base_fish!A:A,base_fish!F:F)+_xlfn.IFNA(INDEX(activity!F:F,MATCH(use_fish!C120,activity!A:A,0)),0)</f>
        <v>150</v>
      </c>
      <c r="J120" s="74">
        <v>1</v>
      </c>
      <c r="K120" s="74">
        <v>0</v>
      </c>
      <c r="L120" s="74">
        <f t="shared" si="17"/>
        <v>150</v>
      </c>
      <c r="M120" s="74">
        <v>1</v>
      </c>
      <c r="N120" s="74">
        <v>0</v>
      </c>
      <c r="O120" s="74">
        <v>1</v>
      </c>
    </row>
    <row r="121" spans="1:15" s="74" customFormat="1" x14ac:dyDescent="0.2">
      <c r="A121" s="71">
        <v>120</v>
      </c>
      <c r="B121" s="71">
        <v>60</v>
      </c>
      <c r="C121" s="71">
        <v>72</v>
      </c>
      <c r="D121" s="71"/>
      <c r="E121" s="72">
        <f>LOOKUP(use_fish!B121,base_fish!A:A,base_fish!C:C)+_xlfn.IFNA(INDEX(activity!F:F,MATCH(use_fish!C121,activity!A:A,0)),0)</f>
        <v>250</v>
      </c>
      <c r="F121" s="72">
        <f t="shared" si="16"/>
        <v>4.0000000000000001E-3</v>
      </c>
      <c r="G121" s="72" t="s">
        <v>339</v>
      </c>
      <c r="H121" s="73" t="str">
        <f>INDEX(base_fish!E:E,MATCH(use_fish!B121,base_fish!A:A,0))&amp;_xlfn.IFNA("+"&amp;INDEX(activity!G:G,MATCH(use_fish!C121,activity!A:A,0)),"")</f>
        <v>礼盒boss+临时活动</v>
      </c>
      <c r="I121" s="72">
        <f>LOOKUP(use_fish!B121,base_fish!A:A,base_fish!F:F)+_xlfn.IFNA(INDEX(activity!F:F,MATCH(use_fish!C121,activity!A:A,0)),0)</f>
        <v>250</v>
      </c>
      <c r="J121" s="74">
        <v>1</v>
      </c>
      <c r="K121" s="74">
        <v>0</v>
      </c>
      <c r="L121" s="74">
        <f t="shared" si="17"/>
        <v>250</v>
      </c>
      <c r="M121" s="74">
        <v>1</v>
      </c>
      <c r="N121" s="74">
        <v>0</v>
      </c>
      <c r="O121" s="74">
        <v>1</v>
      </c>
    </row>
    <row r="122" spans="1:15" s="19" customFormat="1" x14ac:dyDescent="0.2">
      <c r="A122" s="16">
        <v>121</v>
      </c>
      <c r="B122" s="16">
        <v>20</v>
      </c>
      <c r="C122" s="16">
        <v>26</v>
      </c>
      <c r="D122" s="16" t="s">
        <v>248</v>
      </c>
      <c r="E122" s="17">
        <v>65</v>
      </c>
      <c r="F122" s="17">
        <f t="shared" si="16"/>
        <v>1.5384615384615385E-2</v>
      </c>
      <c r="G122" s="17" t="s">
        <v>22</v>
      </c>
      <c r="H122" s="18" t="str">
        <f>INDEX(base_fish!E:E,MATCH(use_fish!B122,base_fish!A:A,0))&amp;_xlfn.IFNA("+"&amp;INDEX(activity!G:G,MATCH(use_fish!C122,activity!A:A,0)),"")</f>
        <v>黄金灯笼鱼+彩贝-场次1</v>
      </c>
      <c r="I122" s="17">
        <v>60</v>
      </c>
      <c r="J122" s="19">
        <v>1</v>
      </c>
      <c r="K122" s="19">
        <f>LOOKUP(use_fish!B122,base_fish!A:A,base_fish!G:G)</f>
        <v>0</v>
      </c>
      <c r="L122" s="19">
        <f t="shared" si="17"/>
        <v>60</v>
      </c>
      <c r="M122" s="19">
        <v>1</v>
      </c>
      <c r="N122" s="19">
        <v>0</v>
      </c>
      <c r="O122" s="19">
        <v>2</v>
      </c>
    </row>
    <row r="123" spans="1:15" s="19" customFormat="1" x14ac:dyDescent="0.2">
      <c r="A123" s="16">
        <v>122</v>
      </c>
      <c r="B123" s="16">
        <v>22</v>
      </c>
      <c r="C123" s="16">
        <v>26</v>
      </c>
      <c r="D123" s="16" t="s">
        <v>277</v>
      </c>
      <c r="E123" s="17">
        <v>65</v>
      </c>
      <c r="F123" s="17">
        <f t="shared" si="16"/>
        <v>1.5384615384615385E-2</v>
      </c>
      <c r="G123" s="17" t="s">
        <v>22</v>
      </c>
      <c r="H123" s="18" t="str">
        <f>INDEX(base_fish!E:E,MATCH(use_fish!B123,base_fish!A:A,0))&amp;_xlfn.IFNA("+"&amp;INDEX(activity!G:G,MATCH(use_fish!C123,activity!A:A,0)),"")</f>
        <v>黄金狮子鱼+彩贝-场次1</v>
      </c>
      <c r="I123" s="17">
        <v>60</v>
      </c>
      <c r="J123" s="19">
        <v>1</v>
      </c>
      <c r="K123" s="19">
        <f>LOOKUP(use_fish!B123,base_fish!A:A,base_fish!G:G)</f>
        <v>0</v>
      </c>
      <c r="L123" s="19">
        <f t="shared" si="17"/>
        <v>60</v>
      </c>
      <c r="M123" s="19">
        <v>1</v>
      </c>
      <c r="N123" s="19">
        <v>0</v>
      </c>
      <c r="O123" s="19">
        <v>2</v>
      </c>
    </row>
    <row r="124" spans="1:15" s="19" customFormat="1" x14ac:dyDescent="0.2">
      <c r="A124" s="16">
        <v>123</v>
      </c>
      <c r="B124" s="16">
        <v>23</v>
      </c>
      <c r="C124" s="16">
        <v>26</v>
      </c>
      <c r="D124" s="16" t="s">
        <v>278</v>
      </c>
      <c r="E124" s="17">
        <v>65</v>
      </c>
      <c r="F124" s="17">
        <f t="shared" si="16"/>
        <v>1.5384615384615385E-2</v>
      </c>
      <c r="G124" s="17" t="s">
        <v>22</v>
      </c>
      <c r="H124" s="18" t="str">
        <f>INDEX(base_fish!E:E,MATCH(use_fish!B124,base_fish!A:A,0))&amp;_xlfn.IFNA("+"&amp;INDEX(activity!G:G,MATCH(use_fish!C124,activity!A:A,0)),"")</f>
        <v>黄金海龟+彩贝-场次1</v>
      </c>
      <c r="I124" s="17">
        <v>60</v>
      </c>
      <c r="J124" s="19">
        <v>1</v>
      </c>
      <c r="K124" s="19">
        <f>LOOKUP(use_fish!B124,base_fish!A:A,base_fish!G:G)</f>
        <v>0</v>
      </c>
      <c r="L124" s="19">
        <f t="shared" si="17"/>
        <v>60</v>
      </c>
      <c r="M124" s="19">
        <v>1</v>
      </c>
      <c r="N124" s="19">
        <v>0</v>
      </c>
      <c r="O124" s="19">
        <v>2</v>
      </c>
    </row>
    <row r="125" spans="1:15" s="19" customFormat="1" x14ac:dyDescent="0.2">
      <c r="A125" s="16">
        <v>124</v>
      </c>
      <c r="B125" s="16">
        <v>25</v>
      </c>
      <c r="C125" s="16">
        <v>26</v>
      </c>
      <c r="D125" s="16" t="s">
        <v>248</v>
      </c>
      <c r="E125" s="17">
        <v>86</v>
      </c>
      <c r="F125" s="17">
        <f t="shared" si="16"/>
        <v>1.1627906976744186E-2</v>
      </c>
      <c r="G125" s="17" t="s">
        <v>22</v>
      </c>
      <c r="H125" s="18" t="str">
        <f>INDEX(base_fish!E:E,MATCH(use_fish!B125,base_fish!A:A,0))&amp;_xlfn.IFNA("+"&amp;INDEX(activity!G:G,MATCH(use_fish!C125,activity!A:A,0)),"")</f>
        <v>金蟾+彩贝-场次1</v>
      </c>
      <c r="I125" s="17">
        <v>80</v>
      </c>
      <c r="J125" s="19">
        <v>1</v>
      </c>
      <c r="K125" s="19">
        <f>LOOKUP(use_fish!B125,base_fish!A:A,base_fish!G:G)</f>
        <v>0</v>
      </c>
      <c r="L125" s="19">
        <f t="shared" si="17"/>
        <v>80</v>
      </c>
      <c r="M125" s="19">
        <v>1</v>
      </c>
      <c r="N125" s="19">
        <v>0</v>
      </c>
      <c r="O125" s="19">
        <v>2</v>
      </c>
    </row>
    <row r="126" spans="1:15" s="19" customFormat="1" x14ac:dyDescent="0.2">
      <c r="A126" s="16">
        <v>125</v>
      </c>
      <c r="B126" s="16">
        <v>26</v>
      </c>
      <c r="C126" s="16">
        <v>26</v>
      </c>
      <c r="D126" s="16" t="s">
        <v>248</v>
      </c>
      <c r="E126" s="17">
        <v>107</v>
      </c>
      <c r="F126" s="17">
        <f t="shared" si="16"/>
        <v>9.3457943925233638E-3</v>
      </c>
      <c r="G126" s="17" t="s">
        <v>22</v>
      </c>
      <c r="H126" s="18" t="str">
        <f>INDEX(base_fish!E:E,MATCH(use_fish!B126,base_fish!A:A,0))&amp;_xlfn.IFNA("+"&amp;INDEX(activity!G:G,MATCH(use_fish!C126,activity!A:A,0)),"")</f>
        <v>大金鲨+彩贝-场次1</v>
      </c>
      <c r="I126" s="17">
        <v>100</v>
      </c>
      <c r="J126" s="19">
        <v>1</v>
      </c>
      <c r="K126" s="19">
        <f>LOOKUP(use_fish!B126,base_fish!A:A,base_fish!G:G)</f>
        <v>0</v>
      </c>
      <c r="L126" s="19">
        <f t="shared" si="17"/>
        <v>100</v>
      </c>
      <c r="M126" s="19">
        <v>1</v>
      </c>
      <c r="N126" s="19">
        <v>0</v>
      </c>
      <c r="O126" s="19">
        <v>2</v>
      </c>
    </row>
    <row r="127" spans="1:15" s="19" customFormat="1" x14ac:dyDescent="0.2">
      <c r="A127" s="16">
        <v>126</v>
      </c>
      <c r="B127" s="16">
        <v>27</v>
      </c>
      <c r="C127" s="16">
        <v>26</v>
      </c>
      <c r="D127" s="16" t="s">
        <v>277</v>
      </c>
      <c r="E127" s="17">
        <v>107</v>
      </c>
      <c r="F127" s="17">
        <f t="shared" si="16"/>
        <v>9.3457943925233638E-3</v>
      </c>
      <c r="G127" s="17" t="s">
        <v>22</v>
      </c>
      <c r="H127" s="18" t="str">
        <f>INDEX(base_fish!E:E,MATCH(use_fish!B127,base_fish!A:A,0))&amp;_xlfn.IFNA("+"&amp;INDEX(activity!G:G,MATCH(use_fish!C127,activity!A:A,0)),"")</f>
        <v>黄金锤头鲨+彩贝-场次1</v>
      </c>
      <c r="I127" s="17">
        <v>100</v>
      </c>
      <c r="J127" s="19">
        <v>1</v>
      </c>
      <c r="K127" s="19">
        <f>LOOKUP(use_fish!B127,base_fish!A:A,base_fish!G:G)</f>
        <v>0</v>
      </c>
      <c r="L127" s="19">
        <f t="shared" si="17"/>
        <v>100</v>
      </c>
      <c r="M127" s="19">
        <v>1</v>
      </c>
      <c r="N127" s="19">
        <v>0</v>
      </c>
      <c r="O127" s="19">
        <v>2</v>
      </c>
    </row>
    <row r="128" spans="1:15" s="78" customFormat="1" x14ac:dyDescent="0.2">
      <c r="A128" s="16">
        <v>127</v>
      </c>
      <c r="B128" s="75">
        <v>20</v>
      </c>
      <c r="C128" s="75">
        <v>27</v>
      </c>
      <c r="D128" s="75" t="s">
        <v>248</v>
      </c>
      <c r="E128" s="76">
        <v>69</v>
      </c>
      <c r="F128" s="76">
        <f t="shared" ref="F128:F133" si="19">1/E128</f>
        <v>1.4492753623188406E-2</v>
      </c>
      <c r="G128" s="76" t="s">
        <v>22</v>
      </c>
      <c r="H128" s="77" t="str">
        <f>INDEX(base_fish!E:E,MATCH(use_fish!B128,base_fish!A:A,0))&amp;_xlfn.IFNA("+"&amp;INDEX(activity!G:G,MATCH(use_fish!C128,activity!A:A,0)),"")</f>
        <v>黄金灯笼鱼+彩贝-场次2</v>
      </c>
      <c r="I128" s="76">
        <v>60</v>
      </c>
      <c r="J128" s="78">
        <v>1</v>
      </c>
      <c r="K128" s="78">
        <f>LOOKUP(use_fish!B128,base_fish!A:A,base_fish!G:G)</f>
        <v>0</v>
      </c>
      <c r="L128" s="78">
        <f t="shared" ref="L128:L133" si="20">I128</f>
        <v>60</v>
      </c>
      <c r="M128" s="78">
        <v>1</v>
      </c>
      <c r="N128" s="78">
        <v>0</v>
      </c>
      <c r="O128" s="78">
        <v>2</v>
      </c>
    </row>
    <row r="129" spans="1:15" s="78" customFormat="1" x14ac:dyDescent="0.2">
      <c r="A129" s="16">
        <v>128</v>
      </c>
      <c r="B129" s="75">
        <v>22</v>
      </c>
      <c r="C129" s="75">
        <v>27</v>
      </c>
      <c r="D129" s="75" t="s">
        <v>277</v>
      </c>
      <c r="E129" s="76">
        <v>69</v>
      </c>
      <c r="F129" s="76">
        <f t="shared" si="19"/>
        <v>1.4492753623188406E-2</v>
      </c>
      <c r="G129" s="76" t="s">
        <v>22</v>
      </c>
      <c r="H129" s="77" t="str">
        <f>INDEX(base_fish!E:E,MATCH(use_fish!B129,base_fish!A:A,0))&amp;_xlfn.IFNA("+"&amp;INDEX(activity!G:G,MATCH(use_fish!C129,activity!A:A,0)),"")</f>
        <v>黄金狮子鱼+彩贝-场次2</v>
      </c>
      <c r="I129" s="76">
        <v>60</v>
      </c>
      <c r="J129" s="78">
        <v>1</v>
      </c>
      <c r="K129" s="78">
        <f>LOOKUP(use_fish!B129,base_fish!A:A,base_fish!G:G)</f>
        <v>0</v>
      </c>
      <c r="L129" s="78">
        <f t="shared" si="20"/>
        <v>60</v>
      </c>
      <c r="M129" s="78">
        <v>1</v>
      </c>
      <c r="N129" s="78">
        <v>0</v>
      </c>
      <c r="O129" s="78">
        <v>2</v>
      </c>
    </row>
    <row r="130" spans="1:15" s="78" customFormat="1" x14ac:dyDescent="0.2">
      <c r="A130" s="16">
        <v>129</v>
      </c>
      <c r="B130" s="75">
        <v>23</v>
      </c>
      <c r="C130" s="75">
        <v>27</v>
      </c>
      <c r="D130" s="75" t="s">
        <v>278</v>
      </c>
      <c r="E130" s="76">
        <v>69</v>
      </c>
      <c r="F130" s="76">
        <f t="shared" si="19"/>
        <v>1.4492753623188406E-2</v>
      </c>
      <c r="G130" s="76" t="s">
        <v>22</v>
      </c>
      <c r="H130" s="77" t="str">
        <f>INDEX(base_fish!E:E,MATCH(use_fish!B130,base_fish!A:A,0))&amp;_xlfn.IFNA("+"&amp;INDEX(activity!G:G,MATCH(use_fish!C130,activity!A:A,0)),"")</f>
        <v>黄金海龟+彩贝-场次2</v>
      </c>
      <c r="I130" s="76">
        <v>60</v>
      </c>
      <c r="J130" s="78">
        <v>1</v>
      </c>
      <c r="K130" s="78">
        <f>LOOKUP(use_fish!B130,base_fish!A:A,base_fish!G:G)</f>
        <v>0</v>
      </c>
      <c r="L130" s="78">
        <f t="shared" si="20"/>
        <v>60</v>
      </c>
      <c r="M130" s="78">
        <v>1</v>
      </c>
      <c r="N130" s="78">
        <v>0</v>
      </c>
      <c r="O130" s="78">
        <v>2</v>
      </c>
    </row>
    <row r="131" spans="1:15" s="78" customFormat="1" x14ac:dyDescent="0.2">
      <c r="A131" s="16">
        <v>130</v>
      </c>
      <c r="B131" s="75">
        <v>25</v>
      </c>
      <c r="C131" s="75">
        <v>27</v>
      </c>
      <c r="D131" s="75" t="s">
        <v>248</v>
      </c>
      <c r="E131" s="76">
        <v>90</v>
      </c>
      <c r="F131" s="76">
        <f t="shared" si="19"/>
        <v>1.1111111111111112E-2</v>
      </c>
      <c r="G131" s="76" t="s">
        <v>22</v>
      </c>
      <c r="H131" s="77" t="str">
        <f>INDEX(base_fish!E:E,MATCH(use_fish!B131,base_fish!A:A,0))&amp;_xlfn.IFNA("+"&amp;INDEX(activity!G:G,MATCH(use_fish!C131,activity!A:A,0)),"")</f>
        <v>金蟾+彩贝-场次2</v>
      </c>
      <c r="I131" s="76">
        <v>80</v>
      </c>
      <c r="J131" s="78">
        <v>1</v>
      </c>
      <c r="K131" s="78">
        <f>LOOKUP(use_fish!B131,base_fish!A:A,base_fish!G:G)</f>
        <v>0</v>
      </c>
      <c r="L131" s="78">
        <f t="shared" si="20"/>
        <v>80</v>
      </c>
      <c r="M131" s="78">
        <v>1</v>
      </c>
      <c r="N131" s="78">
        <v>0</v>
      </c>
      <c r="O131" s="78">
        <v>2</v>
      </c>
    </row>
    <row r="132" spans="1:15" s="78" customFormat="1" x14ac:dyDescent="0.2">
      <c r="A132" s="16">
        <v>131</v>
      </c>
      <c r="B132" s="75">
        <v>26</v>
      </c>
      <c r="C132" s="75">
        <v>27</v>
      </c>
      <c r="D132" s="75" t="s">
        <v>248</v>
      </c>
      <c r="E132" s="76">
        <v>111</v>
      </c>
      <c r="F132" s="76">
        <f t="shared" si="19"/>
        <v>9.0090090090090089E-3</v>
      </c>
      <c r="G132" s="76" t="s">
        <v>22</v>
      </c>
      <c r="H132" s="77" t="str">
        <f>INDEX(base_fish!E:E,MATCH(use_fish!B132,base_fish!A:A,0))&amp;_xlfn.IFNA("+"&amp;INDEX(activity!G:G,MATCH(use_fish!C132,activity!A:A,0)),"")</f>
        <v>大金鲨+彩贝-场次2</v>
      </c>
      <c r="I132" s="76">
        <v>100</v>
      </c>
      <c r="J132" s="78">
        <v>1</v>
      </c>
      <c r="K132" s="78">
        <f>LOOKUP(use_fish!B132,base_fish!A:A,base_fish!G:G)</f>
        <v>0</v>
      </c>
      <c r="L132" s="78">
        <f t="shared" si="20"/>
        <v>100</v>
      </c>
      <c r="M132" s="78">
        <v>1</v>
      </c>
      <c r="N132" s="78">
        <v>0</v>
      </c>
      <c r="O132" s="78">
        <v>2</v>
      </c>
    </row>
    <row r="133" spans="1:15" s="78" customFormat="1" x14ac:dyDescent="0.2">
      <c r="A133" s="16">
        <v>132</v>
      </c>
      <c r="B133" s="75">
        <v>27</v>
      </c>
      <c r="C133" s="75">
        <v>27</v>
      </c>
      <c r="D133" s="75" t="s">
        <v>277</v>
      </c>
      <c r="E133" s="76">
        <v>111</v>
      </c>
      <c r="F133" s="76">
        <f t="shared" si="19"/>
        <v>9.0090090090090089E-3</v>
      </c>
      <c r="G133" s="76" t="s">
        <v>22</v>
      </c>
      <c r="H133" s="77" t="str">
        <f>INDEX(base_fish!E:E,MATCH(use_fish!B133,base_fish!A:A,0))&amp;_xlfn.IFNA("+"&amp;INDEX(activity!G:G,MATCH(use_fish!C133,activity!A:A,0)),"")</f>
        <v>黄金锤头鲨+彩贝-场次2</v>
      </c>
      <c r="I133" s="76">
        <v>100</v>
      </c>
      <c r="J133" s="78">
        <v>1</v>
      </c>
      <c r="K133" s="78">
        <f>LOOKUP(use_fish!B133,base_fish!A:A,base_fish!G:G)</f>
        <v>0</v>
      </c>
      <c r="L133" s="78">
        <f t="shared" si="20"/>
        <v>100</v>
      </c>
      <c r="M133" s="78">
        <v>1</v>
      </c>
      <c r="N133" s="78">
        <v>0</v>
      </c>
      <c r="O133" s="78">
        <v>2</v>
      </c>
    </row>
    <row r="134" spans="1:15" s="19" customFormat="1" x14ac:dyDescent="0.2">
      <c r="A134" s="16">
        <v>133</v>
      </c>
      <c r="B134" s="16">
        <v>20</v>
      </c>
      <c r="C134" s="16">
        <v>40</v>
      </c>
      <c r="D134" s="16" t="s">
        <v>248</v>
      </c>
      <c r="E134" s="17">
        <v>65</v>
      </c>
      <c r="F134" s="17">
        <f t="shared" ref="F134:F139" si="21">1/E134</f>
        <v>1.5384615384615385E-2</v>
      </c>
      <c r="G134" s="17" t="s">
        <v>22</v>
      </c>
      <c r="H134" s="18" t="str">
        <f>INDEX(base_fish!E:E,MATCH(use_fish!B134,base_fish!A:A,0))&amp;_xlfn.IFNA("+"&amp;INDEX(activity!G:G,MATCH(use_fish!C134,activity!A:A,0)),"")</f>
        <v>黄金灯笼鱼+彩贝-场次3</v>
      </c>
      <c r="I134" s="17">
        <v>60</v>
      </c>
      <c r="J134" s="19">
        <v>1</v>
      </c>
      <c r="K134" s="19">
        <f>LOOKUP(use_fish!B134,base_fish!A:A,base_fish!G:G)</f>
        <v>0</v>
      </c>
      <c r="L134" s="19">
        <f t="shared" ref="L134:L139" si="22">I134</f>
        <v>60</v>
      </c>
      <c r="M134" s="19">
        <v>1</v>
      </c>
      <c r="N134" s="19">
        <v>0</v>
      </c>
      <c r="O134" s="19">
        <v>2</v>
      </c>
    </row>
    <row r="135" spans="1:15" s="19" customFormat="1" x14ac:dyDescent="0.2">
      <c r="A135" s="16">
        <v>134</v>
      </c>
      <c r="B135" s="16">
        <v>22</v>
      </c>
      <c r="C135" s="16">
        <v>40</v>
      </c>
      <c r="D135" s="16" t="s">
        <v>277</v>
      </c>
      <c r="E135" s="17">
        <v>65</v>
      </c>
      <c r="F135" s="17">
        <f t="shared" si="21"/>
        <v>1.5384615384615385E-2</v>
      </c>
      <c r="G135" s="17" t="s">
        <v>22</v>
      </c>
      <c r="H135" s="18" t="str">
        <f>INDEX(base_fish!E:E,MATCH(use_fish!B135,base_fish!A:A,0))&amp;_xlfn.IFNA("+"&amp;INDEX(activity!G:G,MATCH(use_fish!C135,activity!A:A,0)),"")</f>
        <v>黄金狮子鱼+彩贝-场次3</v>
      </c>
      <c r="I135" s="17">
        <v>60</v>
      </c>
      <c r="J135" s="19">
        <v>1</v>
      </c>
      <c r="K135" s="19">
        <f>LOOKUP(use_fish!B135,base_fish!A:A,base_fish!G:G)</f>
        <v>0</v>
      </c>
      <c r="L135" s="19">
        <f t="shared" si="22"/>
        <v>60</v>
      </c>
      <c r="M135" s="19">
        <v>1</v>
      </c>
      <c r="N135" s="19">
        <v>0</v>
      </c>
      <c r="O135" s="19">
        <v>2</v>
      </c>
    </row>
    <row r="136" spans="1:15" s="19" customFormat="1" x14ac:dyDescent="0.2">
      <c r="A136" s="16">
        <v>135</v>
      </c>
      <c r="B136" s="16">
        <v>23</v>
      </c>
      <c r="C136" s="16">
        <v>40</v>
      </c>
      <c r="D136" s="16" t="s">
        <v>278</v>
      </c>
      <c r="E136" s="17">
        <v>65</v>
      </c>
      <c r="F136" s="17">
        <f t="shared" si="21"/>
        <v>1.5384615384615385E-2</v>
      </c>
      <c r="G136" s="17" t="s">
        <v>22</v>
      </c>
      <c r="H136" s="18" t="str">
        <f>INDEX(base_fish!E:E,MATCH(use_fish!B136,base_fish!A:A,0))&amp;_xlfn.IFNA("+"&amp;INDEX(activity!G:G,MATCH(use_fish!C136,activity!A:A,0)),"")</f>
        <v>黄金海龟+彩贝-场次3</v>
      </c>
      <c r="I136" s="17">
        <v>60</v>
      </c>
      <c r="J136" s="19">
        <v>1</v>
      </c>
      <c r="K136" s="19">
        <f>LOOKUP(use_fish!B136,base_fish!A:A,base_fish!G:G)</f>
        <v>0</v>
      </c>
      <c r="L136" s="19">
        <f t="shared" si="22"/>
        <v>60</v>
      </c>
      <c r="M136" s="19">
        <v>1</v>
      </c>
      <c r="N136" s="19">
        <v>0</v>
      </c>
      <c r="O136" s="19">
        <v>2</v>
      </c>
    </row>
    <row r="137" spans="1:15" s="19" customFormat="1" x14ac:dyDescent="0.2">
      <c r="A137" s="16">
        <v>136</v>
      </c>
      <c r="B137" s="16">
        <v>25</v>
      </c>
      <c r="C137" s="16">
        <v>40</v>
      </c>
      <c r="D137" s="16" t="s">
        <v>248</v>
      </c>
      <c r="E137" s="17">
        <v>86</v>
      </c>
      <c r="F137" s="17">
        <f t="shared" si="21"/>
        <v>1.1627906976744186E-2</v>
      </c>
      <c r="G137" s="17" t="s">
        <v>22</v>
      </c>
      <c r="H137" s="18" t="str">
        <f>INDEX(base_fish!E:E,MATCH(use_fish!B137,base_fish!A:A,0))&amp;_xlfn.IFNA("+"&amp;INDEX(activity!G:G,MATCH(use_fish!C137,activity!A:A,0)),"")</f>
        <v>金蟾+彩贝-场次3</v>
      </c>
      <c r="I137" s="17">
        <v>80</v>
      </c>
      <c r="J137" s="19">
        <v>1</v>
      </c>
      <c r="K137" s="19">
        <f>LOOKUP(use_fish!B137,base_fish!A:A,base_fish!G:G)</f>
        <v>0</v>
      </c>
      <c r="L137" s="19">
        <f t="shared" si="22"/>
        <v>80</v>
      </c>
      <c r="M137" s="19">
        <v>1</v>
      </c>
      <c r="N137" s="19">
        <v>0</v>
      </c>
      <c r="O137" s="19">
        <v>2</v>
      </c>
    </row>
    <row r="138" spans="1:15" s="19" customFormat="1" x14ac:dyDescent="0.2">
      <c r="A138" s="16">
        <v>137</v>
      </c>
      <c r="B138" s="16">
        <v>26</v>
      </c>
      <c r="C138" s="16">
        <v>40</v>
      </c>
      <c r="D138" s="16" t="s">
        <v>248</v>
      </c>
      <c r="E138" s="17">
        <v>107</v>
      </c>
      <c r="F138" s="17">
        <f t="shared" si="21"/>
        <v>9.3457943925233638E-3</v>
      </c>
      <c r="G138" s="17" t="s">
        <v>22</v>
      </c>
      <c r="H138" s="18" t="str">
        <f>INDEX(base_fish!E:E,MATCH(use_fish!B138,base_fish!A:A,0))&amp;_xlfn.IFNA("+"&amp;INDEX(activity!G:G,MATCH(use_fish!C138,activity!A:A,0)),"")</f>
        <v>大金鲨+彩贝-场次3</v>
      </c>
      <c r="I138" s="17">
        <v>100</v>
      </c>
      <c r="J138" s="19">
        <v>1</v>
      </c>
      <c r="K138" s="19">
        <f>LOOKUP(use_fish!B138,base_fish!A:A,base_fish!G:G)</f>
        <v>0</v>
      </c>
      <c r="L138" s="19">
        <f t="shared" si="22"/>
        <v>100</v>
      </c>
      <c r="M138" s="19">
        <v>1</v>
      </c>
      <c r="N138" s="19">
        <v>0</v>
      </c>
      <c r="O138" s="19">
        <v>2</v>
      </c>
    </row>
    <row r="139" spans="1:15" s="19" customFormat="1" x14ac:dyDescent="0.2">
      <c r="A139" s="16">
        <v>138</v>
      </c>
      <c r="B139" s="16">
        <v>27</v>
      </c>
      <c r="C139" s="16">
        <v>40</v>
      </c>
      <c r="D139" s="16" t="s">
        <v>277</v>
      </c>
      <c r="E139" s="17">
        <v>107</v>
      </c>
      <c r="F139" s="17">
        <f t="shared" si="21"/>
        <v>9.3457943925233638E-3</v>
      </c>
      <c r="G139" s="17" t="s">
        <v>22</v>
      </c>
      <c r="H139" s="18" t="str">
        <f>INDEX(base_fish!E:E,MATCH(use_fish!B139,base_fish!A:A,0))&amp;_xlfn.IFNA("+"&amp;INDEX(activity!G:G,MATCH(use_fish!C139,activity!A:A,0)),"")</f>
        <v>黄金锤头鲨+彩贝-场次3</v>
      </c>
      <c r="I139" s="17">
        <v>100</v>
      </c>
      <c r="J139" s="19">
        <v>1</v>
      </c>
      <c r="K139" s="19">
        <f>LOOKUP(use_fish!B139,base_fish!A:A,base_fish!G:G)</f>
        <v>0</v>
      </c>
      <c r="L139" s="19">
        <f t="shared" si="22"/>
        <v>100</v>
      </c>
      <c r="M139" s="19">
        <v>1</v>
      </c>
      <c r="N139" s="19">
        <v>0</v>
      </c>
      <c r="O139" s="19">
        <v>2</v>
      </c>
    </row>
    <row r="140" spans="1:15" s="78" customFormat="1" x14ac:dyDescent="0.2">
      <c r="A140" s="16">
        <v>139</v>
      </c>
      <c r="B140" s="75">
        <v>20</v>
      </c>
      <c r="C140" s="75">
        <v>41</v>
      </c>
      <c r="D140" s="75" t="s">
        <v>248</v>
      </c>
      <c r="E140" s="76">
        <v>65</v>
      </c>
      <c r="F140" s="76">
        <f t="shared" ref="F140:F154" si="23">1/E140</f>
        <v>1.5384615384615385E-2</v>
      </c>
      <c r="G140" s="76" t="s">
        <v>22</v>
      </c>
      <c r="H140" s="77" t="str">
        <f>INDEX(base_fish!E:E,MATCH(use_fish!B140,base_fish!A:A,0))&amp;_xlfn.IFNA("+"&amp;INDEX(activity!G:G,MATCH(use_fish!C140,activity!A:A,0)),"")</f>
        <v>黄金灯笼鱼+彩贝-场次4</v>
      </c>
      <c r="I140" s="76">
        <v>60</v>
      </c>
      <c r="J140" s="78">
        <v>1</v>
      </c>
      <c r="K140" s="78">
        <f>LOOKUP(use_fish!B140,base_fish!A:A,base_fish!G:G)</f>
        <v>0</v>
      </c>
      <c r="L140" s="78">
        <f t="shared" ref="L140:L154" si="24">I140</f>
        <v>60</v>
      </c>
      <c r="M140" s="78">
        <v>1</v>
      </c>
      <c r="N140" s="78">
        <v>0</v>
      </c>
      <c r="O140" s="78">
        <v>2</v>
      </c>
    </row>
    <row r="141" spans="1:15" s="78" customFormat="1" x14ac:dyDescent="0.2">
      <c r="A141" s="16">
        <v>140</v>
      </c>
      <c r="B141" s="75">
        <v>22</v>
      </c>
      <c r="C141" s="75">
        <v>41</v>
      </c>
      <c r="D141" s="75" t="s">
        <v>277</v>
      </c>
      <c r="E141" s="76">
        <v>65</v>
      </c>
      <c r="F141" s="76">
        <f t="shared" si="23"/>
        <v>1.5384615384615385E-2</v>
      </c>
      <c r="G141" s="76" t="s">
        <v>22</v>
      </c>
      <c r="H141" s="77" t="str">
        <f>INDEX(base_fish!E:E,MATCH(use_fish!B141,base_fish!A:A,0))&amp;_xlfn.IFNA("+"&amp;INDEX(activity!G:G,MATCH(use_fish!C141,activity!A:A,0)),"")</f>
        <v>黄金狮子鱼+彩贝-场次4</v>
      </c>
      <c r="I141" s="76">
        <v>60</v>
      </c>
      <c r="J141" s="78">
        <v>1</v>
      </c>
      <c r="K141" s="78">
        <f>LOOKUP(use_fish!B141,base_fish!A:A,base_fish!G:G)</f>
        <v>0</v>
      </c>
      <c r="L141" s="78">
        <f t="shared" si="24"/>
        <v>60</v>
      </c>
      <c r="M141" s="78">
        <v>1</v>
      </c>
      <c r="N141" s="78">
        <v>0</v>
      </c>
      <c r="O141" s="78">
        <v>2</v>
      </c>
    </row>
    <row r="142" spans="1:15" s="78" customFormat="1" x14ac:dyDescent="0.2">
      <c r="A142" s="16">
        <v>141</v>
      </c>
      <c r="B142" s="75">
        <v>23</v>
      </c>
      <c r="C142" s="75">
        <v>41</v>
      </c>
      <c r="D142" s="75" t="s">
        <v>278</v>
      </c>
      <c r="E142" s="76">
        <v>65</v>
      </c>
      <c r="F142" s="76">
        <f t="shared" si="23"/>
        <v>1.5384615384615385E-2</v>
      </c>
      <c r="G142" s="76" t="s">
        <v>22</v>
      </c>
      <c r="H142" s="77" t="str">
        <f>INDEX(base_fish!E:E,MATCH(use_fish!B142,base_fish!A:A,0))&amp;_xlfn.IFNA("+"&amp;INDEX(activity!G:G,MATCH(use_fish!C142,activity!A:A,0)),"")</f>
        <v>黄金海龟+彩贝-场次4</v>
      </c>
      <c r="I142" s="76">
        <v>60</v>
      </c>
      <c r="J142" s="78">
        <v>1</v>
      </c>
      <c r="K142" s="78">
        <f>LOOKUP(use_fish!B142,base_fish!A:A,base_fish!G:G)</f>
        <v>0</v>
      </c>
      <c r="L142" s="78">
        <f t="shared" si="24"/>
        <v>60</v>
      </c>
      <c r="M142" s="78">
        <v>1</v>
      </c>
      <c r="N142" s="78">
        <v>0</v>
      </c>
      <c r="O142" s="78">
        <v>2</v>
      </c>
    </row>
    <row r="143" spans="1:15" s="78" customFormat="1" x14ac:dyDescent="0.2">
      <c r="A143" s="16">
        <v>142</v>
      </c>
      <c r="B143" s="75">
        <v>25</v>
      </c>
      <c r="C143" s="75">
        <v>41</v>
      </c>
      <c r="D143" s="75" t="s">
        <v>248</v>
      </c>
      <c r="E143" s="76">
        <v>86</v>
      </c>
      <c r="F143" s="76">
        <f t="shared" si="23"/>
        <v>1.1627906976744186E-2</v>
      </c>
      <c r="G143" s="76" t="s">
        <v>22</v>
      </c>
      <c r="H143" s="77" t="str">
        <f>INDEX(base_fish!E:E,MATCH(use_fish!B143,base_fish!A:A,0))&amp;_xlfn.IFNA("+"&amp;INDEX(activity!G:G,MATCH(use_fish!C143,activity!A:A,0)),"")</f>
        <v>金蟾+彩贝-场次4</v>
      </c>
      <c r="I143" s="76">
        <v>80</v>
      </c>
      <c r="J143" s="78">
        <v>1</v>
      </c>
      <c r="K143" s="78">
        <f>LOOKUP(use_fish!B143,base_fish!A:A,base_fish!G:G)</f>
        <v>0</v>
      </c>
      <c r="L143" s="78">
        <f t="shared" si="24"/>
        <v>80</v>
      </c>
      <c r="M143" s="78">
        <v>1</v>
      </c>
      <c r="N143" s="78">
        <v>0</v>
      </c>
      <c r="O143" s="78">
        <v>2</v>
      </c>
    </row>
    <row r="144" spans="1:15" s="78" customFormat="1" x14ac:dyDescent="0.2">
      <c r="A144" s="16">
        <v>143</v>
      </c>
      <c r="B144" s="75">
        <v>26</v>
      </c>
      <c r="C144" s="75">
        <v>41</v>
      </c>
      <c r="D144" s="75" t="s">
        <v>248</v>
      </c>
      <c r="E144" s="76">
        <v>107</v>
      </c>
      <c r="F144" s="76">
        <f t="shared" si="23"/>
        <v>9.3457943925233638E-3</v>
      </c>
      <c r="G144" s="76" t="s">
        <v>22</v>
      </c>
      <c r="H144" s="77" t="str">
        <f>INDEX(base_fish!E:E,MATCH(use_fish!B144,base_fish!A:A,0))&amp;_xlfn.IFNA("+"&amp;INDEX(activity!G:G,MATCH(use_fish!C144,activity!A:A,0)),"")</f>
        <v>大金鲨+彩贝-场次4</v>
      </c>
      <c r="I144" s="76">
        <v>100</v>
      </c>
      <c r="J144" s="78">
        <v>1</v>
      </c>
      <c r="K144" s="78">
        <f>LOOKUP(use_fish!B144,base_fish!A:A,base_fish!G:G)</f>
        <v>0</v>
      </c>
      <c r="L144" s="78">
        <f t="shared" si="24"/>
        <v>100</v>
      </c>
      <c r="M144" s="78">
        <v>1</v>
      </c>
      <c r="N144" s="78">
        <v>0</v>
      </c>
      <c r="O144" s="78">
        <v>2</v>
      </c>
    </row>
    <row r="145" spans="1:15" s="78" customFormat="1" x14ac:dyDescent="0.2">
      <c r="A145" s="16">
        <v>144</v>
      </c>
      <c r="B145" s="75">
        <v>27</v>
      </c>
      <c r="C145" s="75">
        <v>41</v>
      </c>
      <c r="D145" s="75" t="s">
        <v>277</v>
      </c>
      <c r="E145" s="76">
        <v>107</v>
      </c>
      <c r="F145" s="76">
        <f t="shared" si="23"/>
        <v>9.3457943925233638E-3</v>
      </c>
      <c r="G145" s="76" t="s">
        <v>22</v>
      </c>
      <c r="H145" s="77" t="str">
        <f>INDEX(base_fish!E:E,MATCH(use_fish!B145,base_fish!A:A,0))&amp;_xlfn.IFNA("+"&amp;INDEX(activity!G:G,MATCH(use_fish!C145,activity!A:A,0)),"")</f>
        <v>黄金锤头鲨+彩贝-场次4</v>
      </c>
      <c r="I145" s="76">
        <v>100</v>
      </c>
      <c r="J145" s="78">
        <v>1</v>
      </c>
      <c r="K145" s="78">
        <f>LOOKUP(use_fish!B145,base_fish!A:A,base_fish!G:G)</f>
        <v>0</v>
      </c>
      <c r="L145" s="78">
        <f t="shared" si="24"/>
        <v>100</v>
      </c>
      <c r="M145" s="78">
        <v>1</v>
      </c>
      <c r="N145" s="78">
        <v>0</v>
      </c>
      <c r="O145" s="78">
        <v>2</v>
      </c>
    </row>
    <row r="146" spans="1:15" x14ac:dyDescent="0.2">
      <c r="A146" s="28">
        <v>145</v>
      </c>
      <c r="B146" s="30">
        <v>13</v>
      </c>
      <c r="C146" s="28">
        <v>77</v>
      </c>
      <c r="D146" s="28"/>
      <c r="E146" s="72">
        <f>LOOKUP(use_fish!B146,base_fish!A:A,base_fish!C:C)+_xlfn.IFNA(INDEX(activity!F:F,MATCH(use_fish!C146,activity!A:A,0)),0)</f>
        <v>30</v>
      </c>
      <c r="F146" s="30">
        <f t="shared" si="23"/>
        <v>3.3333333333333333E-2</v>
      </c>
      <c r="G146" s="30" t="s">
        <v>22</v>
      </c>
      <c r="H146" s="31" t="str">
        <f>INDEX(base_fish!E:E,MATCH(use_fish!B146,base_fish!A:A,0))&amp;_xlfn.IFNA("+"&amp;INDEX(activity!G:G,MATCH(use_fish!C146,activity!A:A,0)),"")</f>
        <v>蝴蝶鱼+临时活动</v>
      </c>
      <c r="I146" s="30">
        <f>LOOKUP(use_fish!B146,base_fish!A:A,base_fish!F:F)+_xlfn.IFNA(INDEX(activity!F:F,MATCH(use_fish!C146,activity!A:A,0)),0)</f>
        <v>30</v>
      </c>
      <c r="J146" s="29">
        <v>1</v>
      </c>
      <c r="K146" s="29">
        <f>LOOKUP(use_fish!B146,base_fish!A:A,base_fish!G:G)</f>
        <v>0</v>
      </c>
      <c r="L146" s="29">
        <f t="shared" si="24"/>
        <v>30</v>
      </c>
      <c r="M146" s="29">
        <v>1</v>
      </c>
      <c r="N146" s="29">
        <v>0</v>
      </c>
      <c r="O146" s="29">
        <v>1</v>
      </c>
    </row>
    <row r="147" spans="1:15" x14ac:dyDescent="0.2">
      <c r="A147" s="28">
        <v>146</v>
      </c>
      <c r="B147" s="30">
        <v>14</v>
      </c>
      <c r="C147" s="28">
        <v>77</v>
      </c>
      <c r="D147" s="28"/>
      <c r="E147" s="72">
        <f>LOOKUP(use_fish!B147,base_fish!A:A,base_fish!C:C)+_xlfn.IFNA(INDEX(activity!F:F,MATCH(use_fish!C147,activity!A:A,0)),0)</f>
        <v>35</v>
      </c>
      <c r="F147" s="30">
        <f t="shared" si="23"/>
        <v>2.8571428571428571E-2</v>
      </c>
      <c r="G147" s="30" t="s">
        <v>22</v>
      </c>
      <c r="H147" s="31" t="str">
        <f>INDEX(base_fish!E:E,MATCH(use_fish!B147,base_fish!A:A,0))&amp;_xlfn.IFNA("+"&amp;INDEX(activity!G:G,MATCH(use_fish!C147,activity!A:A,0)),"")</f>
        <v>巨大小丑鱼+临时活动</v>
      </c>
      <c r="I147" s="30">
        <f>LOOKUP(use_fish!B147,base_fish!A:A,base_fish!F:F)+_xlfn.IFNA(INDEX(activity!F:F,MATCH(use_fish!C147,activity!A:A,0)),0)</f>
        <v>35</v>
      </c>
      <c r="J147" s="29">
        <v>1</v>
      </c>
      <c r="K147" s="29">
        <f>LOOKUP(use_fish!B147,base_fish!A:A,base_fish!G:G)</f>
        <v>0</v>
      </c>
      <c r="L147" s="29">
        <f t="shared" si="24"/>
        <v>35</v>
      </c>
      <c r="M147" s="29">
        <v>1</v>
      </c>
      <c r="N147" s="29">
        <v>0</v>
      </c>
      <c r="O147" s="29">
        <v>1</v>
      </c>
    </row>
    <row r="148" spans="1:15" x14ac:dyDescent="0.2">
      <c r="A148" s="28">
        <v>147</v>
      </c>
      <c r="B148" s="30">
        <v>15</v>
      </c>
      <c r="C148" s="28">
        <v>77</v>
      </c>
      <c r="D148" s="28"/>
      <c r="E148" s="72">
        <f>LOOKUP(use_fish!B148,base_fish!A:A,base_fish!C:C)+_xlfn.IFNA(INDEX(activity!F:F,MATCH(use_fish!C148,activity!A:A,0)),0)</f>
        <v>40</v>
      </c>
      <c r="F148" s="30">
        <f t="shared" si="23"/>
        <v>2.5000000000000001E-2</v>
      </c>
      <c r="G148" s="30" t="s">
        <v>22</v>
      </c>
      <c r="H148" s="31" t="str">
        <f>INDEX(base_fish!E:E,MATCH(use_fish!B148,base_fish!A:A,0))&amp;_xlfn.IFNA("+"&amp;INDEX(activity!G:G,MATCH(use_fish!C148,activity!A:A,0)),"")</f>
        <v>巨大灯笼鱼+临时活动</v>
      </c>
      <c r="I148" s="30">
        <f>LOOKUP(use_fish!B148,base_fish!A:A,base_fish!F:F)+_xlfn.IFNA(INDEX(activity!F:F,MATCH(use_fish!C148,activity!A:A,0)),0)</f>
        <v>40</v>
      </c>
      <c r="J148" s="29">
        <v>1</v>
      </c>
      <c r="K148" s="29">
        <f>LOOKUP(use_fish!B148,base_fish!A:A,base_fish!G:G)</f>
        <v>0</v>
      </c>
      <c r="L148" s="29">
        <f t="shared" si="24"/>
        <v>40</v>
      </c>
      <c r="M148" s="29">
        <v>1</v>
      </c>
      <c r="N148" s="29">
        <v>0</v>
      </c>
      <c r="O148" s="29">
        <v>1</v>
      </c>
    </row>
    <row r="149" spans="1:15" x14ac:dyDescent="0.2">
      <c r="A149" s="28">
        <v>148</v>
      </c>
      <c r="B149" s="30">
        <v>16</v>
      </c>
      <c r="C149" s="28">
        <v>77</v>
      </c>
      <c r="D149" s="28"/>
      <c r="E149" s="72">
        <f>LOOKUP(use_fish!B149,base_fish!A:A,base_fish!C:C)+_xlfn.IFNA(INDEX(activity!F:F,MATCH(use_fish!C149,activity!A:A,0)),0)</f>
        <v>45</v>
      </c>
      <c r="F149" s="30">
        <f t="shared" si="23"/>
        <v>2.2222222222222223E-2</v>
      </c>
      <c r="G149" s="30" t="s">
        <v>22</v>
      </c>
      <c r="H149" s="31" t="str">
        <f>INDEX(base_fish!E:E,MATCH(use_fish!B149,base_fish!A:A,0))&amp;_xlfn.IFNA("+"&amp;INDEX(activity!G:G,MATCH(use_fish!C149,activity!A:A,0)),"")</f>
        <v>巨大燕鱼+临时活动</v>
      </c>
      <c r="I149" s="30">
        <f>LOOKUP(use_fish!B149,base_fish!A:A,base_fish!F:F)+_xlfn.IFNA(INDEX(activity!F:F,MATCH(use_fish!C149,activity!A:A,0)),0)</f>
        <v>45</v>
      </c>
      <c r="J149" s="29">
        <v>1</v>
      </c>
      <c r="K149" s="29">
        <f>LOOKUP(use_fish!B149,base_fish!A:A,base_fish!G:G)</f>
        <v>0</v>
      </c>
      <c r="L149" s="29">
        <f t="shared" si="24"/>
        <v>45</v>
      </c>
      <c r="M149" s="29">
        <v>1</v>
      </c>
      <c r="N149" s="29">
        <v>0</v>
      </c>
      <c r="O149" s="29">
        <v>1</v>
      </c>
    </row>
    <row r="150" spans="1:15" x14ac:dyDescent="0.2">
      <c r="A150" s="28">
        <v>149</v>
      </c>
      <c r="B150" s="30">
        <v>17</v>
      </c>
      <c r="C150" s="28">
        <v>77</v>
      </c>
      <c r="D150" s="28"/>
      <c r="E150" s="72">
        <f>LOOKUP(use_fish!B150,base_fish!A:A,base_fish!C:C)+_xlfn.IFNA(INDEX(activity!F:F,MATCH(use_fish!C150,activity!A:A,0)),0)</f>
        <v>50</v>
      </c>
      <c r="F150" s="30">
        <f t="shared" si="23"/>
        <v>0.02</v>
      </c>
      <c r="G150" s="30" t="s">
        <v>22</v>
      </c>
      <c r="H150" s="31" t="str">
        <f>INDEX(base_fish!E:E,MATCH(use_fish!B150,base_fish!A:A,0))&amp;_xlfn.IFNA("+"&amp;INDEX(activity!G:G,MATCH(use_fish!C150,activity!A:A,0)),"")</f>
        <v>魔鬼鱼+临时活动</v>
      </c>
      <c r="I150" s="30">
        <f>LOOKUP(use_fish!B150,base_fish!A:A,base_fish!F:F)+_xlfn.IFNA(INDEX(activity!F:F,MATCH(use_fish!C150,activity!A:A,0)),0)</f>
        <v>50</v>
      </c>
      <c r="J150" s="29">
        <v>1</v>
      </c>
      <c r="K150" s="29">
        <f>LOOKUP(use_fish!B150,base_fish!A:A,base_fish!G:G)</f>
        <v>0</v>
      </c>
      <c r="L150" s="29">
        <f t="shared" si="24"/>
        <v>50</v>
      </c>
      <c r="M150" s="29">
        <v>1</v>
      </c>
      <c r="N150" s="29">
        <v>0</v>
      </c>
      <c r="O150" s="29">
        <v>1</v>
      </c>
    </row>
    <row r="151" spans="1:15" x14ac:dyDescent="0.2">
      <c r="A151" s="28">
        <v>150</v>
      </c>
      <c r="B151" s="30">
        <v>18</v>
      </c>
      <c r="C151" s="28">
        <v>77</v>
      </c>
      <c r="D151" s="28"/>
      <c r="E151" s="72">
        <f>LOOKUP(use_fish!B151,base_fish!A:A,base_fish!C:C)+_xlfn.IFNA(INDEX(activity!F:F,MATCH(use_fish!C151,activity!A:A,0)),0)</f>
        <v>70</v>
      </c>
      <c r="F151" s="30">
        <f t="shared" si="23"/>
        <v>1.4285714285714285E-2</v>
      </c>
      <c r="G151" s="30" t="s">
        <v>22</v>
      </c>
      <c r="H151" s="31" t="str">
        <f>INDEX(base_fish!E:E,MATCH(use_fish!B151,base_fish!A:A,0))&amp;_xlfn.IFNA("+"&amp;INDEX(activity!G:G,MATCH(use_fish!C151,activity!A:A,0)),"")</f>
        <v>虎鲸+临时活动</v>
      </c>
      <c r="I151" s="30">
        <f>LOOKUP(use_fish!B151,base_fish!A:A,base_fish!F:F)+_xlfn.IFNA(INDEX(activity!F:F,MATCH(use_fish!C151,activity!A:A,0)),0)</f>
        <v>70</v>
      </c>
      <c r="J151" s="29">
        <v>1</v>
      </c>
      <c r="K151" s="29">
        <f>LOOKUP(use_fish!B151,base_fish!A:A,base_fish!G:G)</f>
        <v>0</v>
      </c>
      <c r="L151" s="29">
        <f t="shared" si="24"/>
        <v>70</v>
      </c>
      <c r="M151" s="29">
        <v>1</v>
      </c>
      <c r="N151" s="29">
        <v>0</v>
      </c>
      <c r="O151" s="29">
        <v>1</v>
      </c>
    </row>
    <row r="152" spans="1:15" x14ac:dyDescent="0.2">
      <c r="A152" s="28">
        <v>151</v>
      </c>
      <c r="B152" s="28">
        <v>61</v>
      </c>
      <c r="C152" s="28">
        <v>74</v>
      </c>
      <c r="D152" s="28"/>
      <c r="E152" s="72">
        <f>LOOKUP(use_fish!B152,base_fish!A:A,base_fish!C:C)+_xlfn.IFNA(INDEX(activity!F:F,MATCH(use_fish!C152,activity!A:A,0)),0)</f>
        <v>250</v>
      </c>
      <c r="F152" s="30">
        <f t="shared" si="23"/>
        <v>4.0000000000000001E-3</v>
      </c>
      <c r="G152" s="30" t="s">
        <v>22</v>
      </c>
      <c r="H152" s="31" t="str">
        <f>INDEX(base_fish!E:E,MATCH(use_fish!B152,base_fish!A:A,0))&amp;_xlfn.IFNA("+"&amp;INDEX(activity!G:G,MATCH(use_fish!C152,activity!A:A,0)),"")</f>
        <v>活动boss+临时活动</v>
      </c>
      <c r="I152" s="30">
        <f>LOOKUP(use_fish!B152,base_fish!A:A,base_fish!F:F)+_xlfn.IFNA(INDEX(activity!F:F,MATCH(use_fish!C152,activity!A:A,0)),0)</f>
        <v>250</v>
      </c>
      <c r="J152" s="29">
        <v>1</v>
      </c>
      <c r="K152" s="29">
        <f>LOOKUP(use_fish!B152,base_fish!A:A,base_fish!G:G)</f>
        <v>0</v>
      </c>
      <c r="L152" s="29">
        <f t="shared" si="24"/>
        <v>250</v>
      </c>
      <c r="M152" s="29">
        <v>1</v>
      </c>
      <c r="N152" s="29">
        <v>1</v>
      </c>
      <c r="O152" s="29">
        <v>1</v>
      </c>
    </row>
    <row r="153" spans="1:15" x14ac:dyDescent="0.2">
      <c r="A153" s="28">
        <v>152</v>
      </c>
      <c r="B153" s="28">
        <v>61</v>
      </c>
      <c r="C153" s="28">
        <v>75</v>
      </c>
      <c r="D153" s="28"/>
      <c r="E153" s="72">
        <f>LOOKUP(use_fish!B153,base_fish!A:A,base_fish!C:C)+_xlfn.IFNA(INDEX(activity!F:F,MATCH(use_fish!C153,activity!A:A,0)),0)</f>
        <v>350</v>
      </c>
      <c r="F153" s="30">
        <f t="shared" si="23"/>
        <v>2.8571428571428571E-3</v>
      </c>
      <c r="G153" s="30" t="s">
        <v>22</v>
      </c>
      <c r="H153" s="31" t="str">
        <f>INDEX(base_fish!E:E,MATCH(use_fish!B153,base_fish!A:A,0))&amp;_xlfn.IFNA("+"&amp;INDEX(activity!G:G,MATCH(use_fish!C153,activity!A:A,0)),"")</f>
        <v>活动boss+临时活动</v>
      </c>
      <c r="I153" s="30">
        <f>LOOKUP(use_fish!B153,base_fish!A:A,base_fish!F:F)+_xlfn.IFNA(INDEX(activity!F:F,MATCH(use_fish!C153,activity!A:A,0)),0)</f>
        <v>350</v>
      </c>
      <c r="J153" s="29">
        <v>1</v>
      </c>
      <c r="K153" s="29">
        <f>LOOKUP(use_fish!B153,base_fish!A:A,base_fish!G:G)</f>
        <v>0</v>
      </c>
      <c r="L153" s="29">
        <f t="shared" si="24"/>
        <v>350</v>
      </c>
      <c r="M153" s="29">
        <v>1</v>
      </c>
      <c r="N153" s="29">
        <v>1</v>
      </c>
      <c r="O153" s="29">
        <v>1</v>
      </c>
    </row>
    <row r="154" spans="1:15" x14ac:dyDescent="0.2">
      <c r="A154" s="28">
        <v>153</v>
      </c>
      <c r="B154" s="28">
        <v>61</v>
      </c>
      <c r="C154" s="28">
        <v>76</v>
      </c>
      <c r="D154" s="28"/>
      <c r="E154" s="72">
        <f>LOOKUP(use_fish!B154,base_fish!A:A,base_fish!C:C)+_xlfn.IFNA(INDEX(activity!F:F,MATCH(use_fish!C154,activity!A:A,0)),0)</f>
        <v>450</v>
      </c>
      <c r="F154" s="30">
        <f t="shared" si="23"/>
        <v>2.2222222222222222E-3</v>
      </c>
      <c r="G154" s="30" t="s">
        <v>22</v>
      </c>
      <c r="H154" s="31" t="str">
        <f>INDEX(base_fish!E:E,MATCH(use_fish!B154,base_fish!A:A,0))&amp;_xlfn.IFNA("+"&amp;INDEX(activity!G:G,MATCH(use_fish!C154,activity!A:A,0)),"")</f>
        <v>活动boss+临时活动</v>
      </c>
      <c r="I154" s="30">
        <f>LOOKUP(use_fish!B154,base_fish!A:A,base_fish!F:F)+_xlfn.IFNA(INDEX(activity!F:F,MATCH(use_fish!C154,activity!A:A,0)),0)</f>
        <v>450</v>
      </c>
      <c r="J154" s="29">
        <v>1</v>
      </c>
      <c r="K154" s="29">
        <f>LOOKUP(use_fish!B154,base_fish!A:A,base_fish!G:G)</f>
        <v>0</v>
      </c>
      <c r="L154" s="29">
        <f t="shared" si="24"/>
        <v>450</v>
      </c>
      <c r="M154" s="29">
        <v>1</v>
      </c>
      <c r="N154" s="29">
        <v>1</v>
      </c>
      <c r="O154" s="29">
        <v>1</v>
      </c>
    </row>
    <row r="155" spans="1:15" x14ac:dyDescent="0.2">
      <c r="A155" s="63">
        <v>154</v>
      </c>
      <c r="B155" s="61">
        <v>13</v>
      </c>
      <c r="C155" s="63">
        <v>81</v>
      </c>
      <c r="D155" s="63"/>
      <c r="E155" s="61">
        <f>LOOKUP(use_fish!B155,base_fish!A:A,base_fish!C:C)+_xlfn.IFNA(INDEX(activity!F:F,MATCH(use_fish!C155,activity!A:A,0)),0)</f>
        <v>30</v>
      </c>
      <c r="F155" s="61">
        <f t="shared" ref="F155:F163" si="25">1/E155</f>
        <v>3.3333333333333333E-2</v>
      </c>
      <c r="G155" s="61" t="s">
        <v>22</v>
      </c>
      <c r="H155" s="64" t="str">
        <f>INDEX(base_fish!E:E,MATCH(use_fish!B155,base_fish!A:A,0))&amp;_xlfn.IFNA("+"&amp;INDEX(activity!G:G,MATCH(use_fish!C155,activity!A:A,0)),"")</f>
        <v>蝴蝶鱼+临时活动</v>
      </c>
      <c r="I155" s="61">
        <f>LOOKUP(use_fish!B155,base_fish!A:A,base_fish!F:F)+_xlfn.IFNA(INDEX(activity!F:F,MATCH(use_fish!C155,activity!A:A,0)),0)</f>
        <v>30</v>
      </c>
      <c r="J155" s="62">
        <v>1</v>
      </c>
      <c r="K155" s="62">
        <f>LOOKUP(use_fish!B155,base_fish!A:A,base_fish!G:G)</f>
        <v>0</v>
      </c>
      <c r="L155" s="62">
        <f t="shared" ref="L155:L163" si="26">I155</f>
        <v>30</v>
      </c>
      <c r="M155" s="62">
        <v>1</v>
      </c>
      <c r="N155" s="62">
        <v>0</v>
      </c>
      <c r="O155" s="62">
        <v>1</v>
      </c>
    </row>
    <row r="156" spans="1:15" x14ac:dyDescent="0.2">
      <c r="A156" s="63">
        <v>155</v>
      </c>
      <c r="B156" s="61">
        <v>14</v>
      </c>
      <c r="C156" s="63">
        <v>81</v>
      </c>
      <c r="D156" s="63"/>
      <c r="E156" s="61">
        <f>LOOKUP(use_fish!B156,base_fish!A:A,base_fish!C:C)+_xlfn.IFNA(INDEX(activity!F:F,MATCH(use_fish!C156,activity!A:A,0)),0)</f>
        <v>35</v>
      </c>
      <c r="F156" s="61">
        <f t="shared" si="25"/>
        <v>2.8571428571428571E-2</v>
      </c>
      <c r="G156" s="61" t="s">
        <v>22</v>
      </c>
      <c r="H156" s="64" t="str">
        <f>INDEX(base_fish!E:E,MATCH(use_fish!B156,base_fish!A:A,0))&amp;_xlfn.IFNA("+"&amp;INDEX(activity!G:G,MATCH(use_fish!C156,activity!A:A,0)),"")</f>
        <v>巨大小丑鱼+临时活动</v>
      </c>
      <c r="I156" s="61">
        <f>LOOKUP(use_fish!B156,base_fish!A:A,base_fish!F:F)+_xlfn.IFNA(INDEX(activity!F:F,MATCH(use_fish!C156,activity!A:A,0)),0)</f>
        <v>35</v>
      </c>
      <c r="J156" s="62">
        <v>1</v>
      </c>
      <c r="K156" s="62">
        <f>LOOKUP(use_fish!B156,base_fish!A:A,base_fish!G:G)</f>
        <v>0</v>
      </c>
      <c r="L156" s="62">
        <f t="shared" si="26"/>
        <v>35</v>
      </c>
      <c r="M156" s="62">
        <v>1</v>
      </c>
      <c r="N156" s="62">
        <v>0</v>
      </c>
      <c r="O156" s="62">
        <v>1</v>
      </c>
    </row>
    <row r="157" spans="1:15" x14ac:dyDescent="0.2">
      <c r="A157" s="63">
        <v>156</v>
      </c>
      <c r="B157" s="61">
        <v>15</v>
      </c>
      <c r="C157" s="63">
        <v>81</v>
      </c>
      <c r="D157" s="63"/>
      <c r="E157" s="61">
        <f>LOOKUP(use_fish!B157,base_fish!A:A,base_fish!C:C)+_xlfn.IFNA(INDEX(activity!F:F,MATCH(use_fish!C157,activity!A:A,0)),0)</f>
        <v>40</v>
      </c>
      <c r="F157" s="61">
        <f t="shared" si="25"/>
        <v>2.5000000000000001E-2</v>
      </c>
      <c r="G157" s="61" t="s">
        <v>22</v>
      </c>
      <c r="H157" s="64" t="str">
        <f>INDEX(base_fish!E:E,MATCH(use_fish!B157,base_fish!A:A,0))&amp;_xlfn.IFNA("+"&amp;INDEX(activity!G:G,MATCH(use_fish!C157,activity!A:A,0)),"")</f>
        <v>巨大灯笼鱼+临时活动</v>
      </c>
      <c r="I157" s="61">
        <f>LOOKUP(use_fish!B157,base_fish!A:A,base_fish!F:F)+_xlfn.IFNA(INDEX(activity!F:F,MATCH(use_fish!C157,activity!A:A,0)),0)</f>
        <v>40</v>
      </c>
      <c r="J157" s="62">
        <v>1</v>
      </c>
      <c r="K157" s="62">
        <f>LOOKUP(use_fish!B157,base_fish!A:A,base_fish!G:G)</f>
        <v>0</v>
      </c>
      <c r="L157" s="62">
        <f t="shared" si="26"/>
        <v>40</v>
      </c>
      <c r="M157" s="62">
        <v>1</v>
      </c>
      <c r="N157" s="62">
        <v>0</v>
      </c>
      <c r="O157" s="62">
        <v>1</v>
      </c>
    </row>
    <row r="158" spans="1:15" x14ac:dyDescent="0.2">
      <c r="A158" s="63">
        <v>157</v>
      </c>
      <c r="B158" s="61">
        <v>16</v>
      </c>
      <c r="C158" s="63">
        <v>81</v>
      </c>
      <c r="D158" s="63"/>
      <c r="E158" s="61">
        <f>LOOKUP(use_fish!B158,base_fish!A:A,base_fish!C:C)+_xlfn.IFNA(INDEX(activity!F:F,MATCH(use_fish!C158,activity!A:A,0)),0)</f>
        <v>45</v>
      </c>
      <c r="F158" s="61">
        <f t="shared" si="25"/>
        <v>2.2222222222222223E-2</v>
      </c>
      <c r="G158" s="61" t="s">
        <v>22</v>
      </c>
      <c r="H158" s="64" t="str">
        <f>INDEX(base_fish!E:E,MATCH(use_fish!B158,base_fish!A:A,0))&amp;_xlfn.IFNA("+"&amp;INDEX(activity!G:G,MATCH(use_fish!C158,activity!A:A,0)),"")</f>
        <v>巨大燕鱼+临时活动</v>
      </c>
      <c r="I158" s="61">
        <f>LOOKUP(use_fish!B158,base_fish!A:A,base_fish!F:F)+_xlfn.IFNA(INDEX(activity!F:F,MATCH(use_fish!C158,activity!A:A,0)),0)</f>
        <v>45</v>
      </c>
      <c r="J158" s="62">
        <v>1</v>
      </c>
      <c r="K158" s="62">
        <f>LOOKUP(use_fish!B158,base_fish!A:A,base_fish!G:G)</f>
        <v>0</v>
      </c>
      <c r="L158" s="62">
        <f t="shared" si="26"/>
        <v>45</v>
      </c>
      <c r="M158" s="62">
        <v>1</v>
      </c>
      <c r="N158" s="62">
        <v>0</v>
      </c>
      <c r="O158" s="62">
        <v>1</v>
      </c>
    </row>
    <row r="159" spans="1:15" x14ac:dyDescent="0.2">
      <c r="A159" s="63">
        <v>158</v>
      </c>
      <c r="B159" s="61">
        <v>17</v>
      </c>
      <c r="C159" s="63">
        <v>81</v>
      </c>
      <c r="D159" s="63"/>
      <c r="E159" s="61">
        <f>LOOKUP(use_fish!B159,base_fish!A:A,base_fish!C:C)+_xlfn.IFNA(INDEX(activity!F:F,MATCH(use_fish!C159,activity!A:A,0)),0)</f>
        <v>50</v>
      </c>
      <c r="F159" s="61">
        <f t="shared" si="25"/>
        <v>0.02</v>
      </c>
      <c r="G159" s="61" t="s">
        <v>22</v>
      </c>
      <c r="H159" s="64" t="str">
        <f>INDEX(base_fish!E:E,MATCH(use_fish!B159,base_fish!A:A,0))&amp;_xlfn.IFNA("+"&amp;INDEX(activity!G:G,MATCH(use_fish!C159,activity!A:A,0)),"")</f>
        <v>魔鬼鱼+临时活动</v>
      </c>
      <c r="I159" s="61">
        <f>LOOKUP(use_fish!B159,base_fish!A:A,base_fish!F:F)+_xlfn.IFNA(INDEX(activity!F:F,MATCH(use_fish!C159,activity!A:A,0)),0)</f>
        <v>50</v>
      </c>
      <c r="J159" s="62">
        <v>1</v>
      </c>
      <c r="K159" s="62">
        <f>LOOKUP(use_fish!B159,base_fish!A:A,base_fish!G:G)</f>
        <v>0</v>
      </c>
      <c r="L159" s="62">
        <f t="shared" si="26"/>
        <v>50</v>
      </c>
      <c r="M159" s="62">
        <v>1</v>
      </c>
      <c r="N159" s="62">
        <v>0</v>
      </c>
      <c r="O159" s="62">
        <v>1</v>
      </c>
    </row>
    <row r="160" spans="1:15" x14ac:dyDescent="0.2">
      <c r="A160" s="63">
        <v>159</v>
      </c>
      <c r="B160" s="61">
        <v>18</v>
      </c>
      <c r="C160" s="63">
        <v>81</v>
      </c>
      <c r="D160" s="63"/>
      <c r="E160" s="61">
        <f>LOOKUP(use_fish!B160,base_fish!A:A,base_fish!C:C)+_xlfn.IFNA(INDEX(activity!F:F,MATCH(use_fish!C160,activity!A:A,0)),0)</f>
        <v>70</v>
      </c>
      <c r="F160" s="61">
        <f t="shared" si="25"/>
        <v>1.4285714285714285E-2</v>
      </c>
      <c r="G160" s="61" t="s">
        <v>22</v>
      </c>
      <c r="H160" s="64" t="str">
        <f>INDEX(base_fish!E:E,MATCH(use_fish!B160,base_fish!A:A,0))&amp;_xlfn.IFNA("+"&amp;INDEX(activity!G:G,MATCH(use_fish!C160,activity!A:A,0)),"")</f>
        <v>虎鲸+临时活动</v>
      </c>
      <c r="I160" s="61">
        <f>LOOKUP(use_fish!B160,base_fish!A:A,base_fish!F:F)+_xlfn.IFNA(INDEX(activity!F:F,MATCH(use_fish!C160,activity!A:A,0)),0)</f>
        <v>70</v>
      </c>
      <c r="J160" s="62">
        <v>1</v>
      </c>
      <c r="K160" s="62">
        <f>LOOKUP(use_fish!B160,base_fish!A:A,base_fish!G:G)</f>
        <v>0</v>
      </c>
      <c r="L160" s="62">
        <f t="shared" si="26"/>
        <v>70</v>
      </c>
      <c r="M160" s="62">
        <v>1</v>
      </c>
      <c r="N160" s="62">
        <v>0</v>
      </c>
      <c r="O160" s="62">
        <v>1</v>
      </c>
    </row>
    <row r="161" spans="1:15" x14ac:dyDescent="0.2">
      <c r="A161" s="63">
        <v>160</v>
      </c>
      <c r="B161" s="63">
        <v>61</v>
      </c>
      <c r="C161" s="63">
        <v>78</v>
      </c>
      <c r="D161" s="63"/>
      <c r="E161" s="61">
        <f>LOOKUP(use_fish!B161,base_fish!A:A,base_fish!C:C)+_xlfn.IFNA(INDEX(activity!F:F,MATCH(use_fish!C161,activity!A:A,0)),0)</f>
        <v>250</v>
      </c>
      <c r="F161" s="61">
        <f t="shared" si="25"/>
        <v>4.0000000000000001E-3</v>
      </c>
      <c r="G161" s="61" t="s">
        <v>22</v>
      </c>
      <c r="H161" s="64" t="str">
        <f>INDEX(base_fish!E:E,MATCH(use_fish!B161,base_fish!A:A,0))&amp;_xlfn.IFNA("+"&amp;INDEX(activity!G:G,MATCH(use_fish!C161,activity!A:A,0)),"")</f>
        <v>活动boss+临时活动</v>
      </c>
      <c r="I161" s="61">
        <f>LOOKUP(use_fish!B161,base_fish!A:A,base_fish!F:F)+_xlfn.IFNA(INDEX(activity!F:F,MATCH(use_fish!C161,activity!A:A,0)),0)</f>
        <v>250</v>
      </c>
      <c r="J161" s="62">
        <v>1</v>
      </c>
      <c r="K161" s="62">
        <f>LOOKUP(use_fish!B161,base_fish!A:A,base_fish!G:G)</f>
        <v>0</v>
      </c>
      <c r="L161" s="62">
        <f t="shared" si="26"/>
        <v>250</v>
      </c>
      <c r="M161" s="62">
        <v>1</v>
      </c>
      <c r="N161" s="62">
        <v>1</v>
      </c>
      <c r="O161" s="62">
        <v>1</v>
      </c>
    </row>
    <row r="162" spans="1:15" x14ac:dyDescent="0.2">
      <c r="A162" s="63">
        <v>161</v>
      </c>
      <c r="B162" s="63">
        <v>61</v>
      </c>
      <c r="C162" s="63">
        <v>79</v>
      </c>
      <c r="D162" s="63"/>
      <c r="E162" s="61">
        <f>LOOKUP(use_fish!B162,base_fish!A:A,base_fish!C:C)+_xlfn.IFNA(INDEX(activity!F:F,MATCH(use_fish!C162,activity!A:A,0)),0)</f>
        <v>350</v>
      </c>
      <c r="F162" s="61">
        <f t="shared" si="25"/>
        <v>2.8571428571428571E-3</v>
      </c>
      <c r="G162" s="61" t="s">
        <v>22</v>
      </c>
      <c r="H162" s="64" t="str">
        <f>INDEX(base_fish!E:E,MATCH(use_fish!B162,base_fish!A:A,0))&amp;_xlfn.IFNA("+"&amp;INDEX(activity!G:G,MATCH(use_fish!C162,activity!A:A,0)),"")</f>
        <v>活动boss+临时活动</v>
      </c>
      <c r="I162" s="61">
        <f>LOOKUP(use_fish!B162,base_fish!A:A,base_fish!F:F)+_xlfn.IFNA(INDEX(activity!F:F,MATCH(use_fish!C162,activity!A:A,0)),0)</f>
        <v>350</v>
      </c>
      <c r="J162" s="62">
        <v>1</v>
      </c>
      <c r="K162" s="62">
        <f>LOOKUP(use_fish!B162,base_fish!A:A,base_fish!G:G)</f>
        <v>0</v>
      </c>
      <c r="L162" s="62">
        <f t="shared" si="26"/>
        <v>350</v>
      </c>
      <c r="M162" s="62">
        <v>1</v>
      </c>
      <c r="N162" s="62">
        <v>1</v>
      </c>
      <c r="O162" s="62">
        <v>1</v>
      </c>
    </row>
    <row r="163" spans="1:15" x14ac:dyDescent="0.2">
      <c r="A163" s="63">
        <v>162</v>
      </c>
      <c r="B163" s="63">
        <v>61</v>
      </c>
      <c r="C163" s="63">
        <v>80</v>
      </c>
      <c r="D163" s="63"/>
      <c r="E163" s="61">
        <f>LOOKUP(use_fish!B163,base_fish!A:A,base_fish!C:C)+_xlfn.IFNA(INDEX(activity!F:F,MATCH(use_fish!C163,activity!A:A,0)),0)</f>
        <v>450</v>
      </c>
      <c r="F163" s="61">
        <f t="shared" si="25"/>
        <v>2.2222222222222222E-3</v>
      </c>
      <c r="G163" s="61" t="s">
        <v>22</v>
      </c>
      <c r="H163" s="64" t="str">
        <f>INDEX(base_fish!E:E,MATCH(use_fish!B163,base_fish!A:A,0))&amp;_xlfn.IFNA("+"&amp;INDEX(activity!G:G,MATCH(use_fish!C163,activity!A:A,0)),"")</f>
        <v>活动boss+临时活动</v>
      </c>
      <c r="I163" s="61">
        <f>LOOKUP(use_fish!B163,base_fish!A:A,base_fish!F:F)+_xlfn.IFNA(INDEX(activity!F:F,MATCH(use_fish!C163,activity!A:A,0)),0)</f>
        <v>450</v>
      </c>
      <c r="J163" s="62">
        <v>1</v>
      </c>
      <c r="K163" s="62">
        <f>LOOKUP(use_fish!B163,base_fish!A:A,base_fish!G:G)</f>
        <v>0</v>
      </c>
      <c r="L163" s="62">
        <f t="shared" si="26"/>
        <v>450</v>
      </c>
      <c r="M163" s="62">
        <v>1</v>
      </c>
      <c r="N163" s="62">
        <v>1</v>
      </c>
      <c r="O163" s="62">
        <v>1</v>
      </c>
    </row>
    <row r="164" spans="1:15" s="82" customFormat="1" x14ac:dyDescent="0.2">
      <c r="A164" s="84">
        <v>163</v>
      </c>
      <c r="B164" s="85">
        <v>13</v>
      </c>
      <c r="C164" s="84">
        <v>85</v>
      </c>
      <c r="D164" s="84"/>
      <c r="E164" s="85">
        <f>LOOKUP(use_fish!B164,base_fish!A:A,base_fish!C:C)+_xlfn.IFNA(INDEX(activity!F:F,MATCH(use_fish!C164,activity!A:A,0)),0)</f>
        <v>30</v>
      </c>
      <c r="F164" s="85">
        <f t="shared" ref="F164:F173" si="27">1/E164</f>
        <v>3.3333333333333333E-2</v>
      </c>
      <c r="G164" s="85" t="s">
        <v>22</v>
      </c>
      <c r="H164" s="86" t="str">
        <f>INDEX(base_fish!E:E,MATCH(use_fish!B164,base_fish!A:A,0))&amp;_xlfn.IFNA("+"&amp;INDEX(activity!G:G,MATCH(use_fish!C164,activity!A:A,0)),"")</f>
        <v>蝴蝶鱼+临时活动</v>
      </c>
      <c r="I164" s="85">
        <f>LOOKUP(use_fish!B164,base_fish!A:A,base_fish!F:F)+_xlfn.IFNA(INDEX(activity!F:F,MATCH(use_fish!C164,activity!A:A,0)),0)</f>
        <v>30</v>
      </c>
      <c r="J164" s="82">
        <v>1</v>
      </c>
      <c r="K164" s="82">
        <f>LOOKUP(use_fish!B164,base_fish!A:A,base_fish!G:G)</f>
        <v>0</v>
      </c>
      <c r="L164" s="82">
        <f t="shared" ref="L164:L174" si="28">I164</f>
        <v>30</v>
      </c>
      <c r="M164" s="82">
        <v>1</v>
      </c>
      <c r="N164" s="82">
        <v>0</v>
      </c>
      <c r="O164" s="82">
        <v>1</v>
      </c>
    </row>
    <row r="165" spans="1:15" s="82" customFormat="1" x14ac:dyDescent="0.2">
      <c r="A165" s="84">
        <v>164</v>
      </c>
      <c r="B165" s="85">
        <v>14</v>
      </c>
      <c r="C165" s="84">
        <v>85</v>
      </c>
      <c r="D165" s="84"/>
      <c r="E165" s="85">
        <f>LOOKUP(use_fish!B165,base_fish!A:A,base_fish!C:C)+_xlfn.IFNA(INDEX(activity!F:F,MATCH(use_fish!C165,activity!A:A,0)),0)</f>
        <v>35</v>
      </c>
      <c r="F165" s="85">
        <f t="shared" si="27"/>
        <v>2.8571428571428571E-2</v>
      </c>
      <c r="G165" s="85" t="s">
        <v>22</v>
      </c>
      <c r="H165" s="86" t="str">
        <f>INDEX(base_fish!E:E,MATCH(use_fish!B165,base_fish!A:A,0))&amp;_xlfn.IFNA("+"&amp;INDEX(activity!G:G,MATCH(use_fish!C165,activity!A:A,0)),"")</f>
        <v>巨大小丑鱼+临时活动</v>
      </c>
      <c r="I165" s="85">
        <f>LOOKUP(use_fish!B165,base_fish!A:A,base_fish!F:F)+_xlfn.IFNA(INDEX(activity!F:F,MATCH(use_fish!C165,activity!A:A,0)),0)</f>
        <v>35</v>
      </c>
      <c r="J165" s="82">
        <v>1</v>
      </c>
      <c r="K165" s="82">
        <f>LOOKUP(use_fish!B165,base_fish!A:A,base_fish!G:G)</f>
        <v>0</v>
      </c>
      <c r="L165" s="82">
        <f t="shared" si="28"/>
        <v>35</v>
      </c>
      <c r="M165" s="82">
        <v>1</v>
      </c>
      <c r="N165" s="82">
        <v>0</v>
      </c>
      <c r="O165" s="82">
        <v>1</v>
      </c>
    </row>
    <row r="166" spans="1:15" s="82" customFormat="1" x14ac:dyDescent="0.2">
      <c r="A166" s="84">
        <v>165</v>
      </c>
      <c r="B166" s="85">
        <v>15</v>
      </c>
      <c r="C166" s="84">
        <v>85</v>
      </c>
      <c r="D166" s="84"/>
      <c r="E166" s="85">
        <f>LOOKUP(use_fish!B166,base_fish!A:A,base_fish!C:C)+_xlfn.IFNA(INDEX(activity!F:F,MATCH(use_fish!C166,activity!A:A,0)),0)</f>
        <v>40</v>
      </c>
      <c r="F166" s="85">
        <f t="shared" si="27"/>
        <v>2.5000000000000001E-2</v>
      </c>
      <c r="G166" s="85" t="s">
        <v>22</v>
      </c>
      <c r="H166" s="86" t="str">
        <f>INDEX(base_fish!E:E,MATCH(use_fish!B166,base_fish!A:A,0))&amp;_xlfn.IFNA("+"&amp;INDEX(activity!G:G,MATCH(use_fish!C166,activity!A:A,0)),"")</f>
        <v>巨大灯笼鱼+临时活动</v>
      </c>
      <c r="I166" s="85">
        <f>LOOKUP(use_fish!B166,base_fish!A:A,base_fish!F:F)+_xlfn.IFNA(INDEX(activity!F:F,MATCH(use_fish!C166,activity!A:A,0)),0)</f>
        <v>40</v>
      </c>
      <c r="J166" s="82">
        <v>1</v>
      </c>
      <c r="K166" s="82">
        <f>LOOKUP(use_fish!B166,base_fish!A:A,base_fish!G:G)</f>
        <v>0</v>
      </c>
      <c r="L166" s="82">
        <f t="shared" si="28"/>
        <v>40</v>
      </c>
      <c r="M166" s="82">
        <v>1</v>
      </c>
      <c r="N166" s="82">
        <v>0</v>
      </c>
      <c r="O166" s="82">
        <v>1</v>
      </c>
    </row>
    <row r="167" spans="1:15" s="82" customFormat="1" x14ac:dyDescent="0.2">
      <c r="A167" s="84">
        <v>166</v>
      </c>
      <c r="B167" s="85">
        <v>16</v>
      </c>
      <c r="C167" s="84">
        <v>85</v>
      </c>
      <c r="D167" s="84"/>
      <c r="E167" s="85">
        <f>LOOKUP(use_fish!B167,base_fish!A:A,base_fish!C:C)+_xlfn.IFNA(INDEX(activity!F:F,MATCH(use_fish!C167,activity!A:A,0)),0)</f>
        <v>45</v>
      </c>
      <c r="F167" s="85">
        <f t="shared" si="27"/>
        <v>2.2222222222222223E-2</v>
      </c>
      <c r="G167" s="85" t="s">
        <v>22</v>
      </c>
      <c r="H167" s="86" t="str">
        <f>INDEX(base_fish!E:E,MATCH(use_fish!B167,base_fish!A:A,0))&amp;_xlfn.IFNA("+"&amp;INDEX(activity!G:G,MATCH(use_fish!C167,activity!A:A,0)),"")</f>
        <v>巨大燕鱼+临时活动</v>
      </c>
      <c r="I167" s="85">
        <f>LOOKUP(use_fish!B167,base_fish!A:A,base_fish!F:F)+_xlfn.IFNA(INDEX(activity!F:F,MATCH(use_fish!C167,activity!A:A,0)),0)</f>
        <v>45</v>
      </c>
      <c r="J167" s="82">
        <v>1</v>
      </c>
      <c r="K167" s="82">
        <f>LOOKUP(use_fish!B167,base_fish!A:A,base_fish!G:G)</f>
        <v>0</v>
      </c>
      <c r="L167" s="82">
        <f t="shared" si="28"/>
        <v>45</v>
      </c>
      <c r="M167" s="82">
        <v>1</v>
      </c>
      <c r="N167" s="82">
        <v>0</v>
      </c>
      <c r="O167" s="82">
        <v>1</v>
      </c>
    </row>
    <row r="168" spans="1:15" s="82" customFormat="1" x14ac:dyDescent="0.2">
      <c r="A168" s="84">
        <v>167</v>
      </c>
      <c r="B168" s="85">
        <v>17</v>
      </c>
      <c r="C168" s="84">
        <v>85</v>
      </c>
      <c r="D168" s="84"/>
      <c r="E168" s="85">
        <f>LOOKUP(use_fish!B168,base_fish!A:A,base_fish!C:C)+_xlfn.IFNA(INDEX(activity!F:F,MATCH(use_fish!C168,activity!A:A,0)),0)</f>
        <v>50</v>
      </c>
      <c r="F168" s="85">
        <f t="shared" si="27"/>
        <v>0.02</v>
      </c>
      <c r="G168" s="85" t="s">
        <v>22</v>
      </c>
      <c r="H168" s="86" t="str">
        <f>INDEX(base_fish!E:E,MATCH(use_fish!B168,base_fish!A:A,0))&amp;_xlfn.IFNA("+"&amp;INDEX(activity!G:G,MATCH(use_fish!C168,activity!A:A,0)),"")</f>
        <v>魔鬼鱼+临时活动</v>
      </c>
      <c r="I168" s="85">
        <f>LOOKUP(use_fish!B168,base_fish!A:A,base_fish!F:F)+_xlfn.IFNA(INDEX(activity!F:F,MATCH(use_fish!C168,activity!A:A,0)),0)</f>
        <v>50</v>
      </c>
      <c r="J168" s="82">
        <v>1</v>
      </c>
      <c r="K168" s="82">
        <f>LOOKUP(use_fish!B168,base_fish!A:A,base_fish!G:G)</f>
        <v>0</v>
      </c>
      <c r="L168" s="82">
        <f t="shared" si="28"/>
        <v>50</v>
      </c>
      <c r="M168" s="82">
        <v>1</v>
      </c>
      <c r="N168" s="82">
        <v>0</v>
      </c>
      <c r="O168" s="82">
        <v>1</v>
      </c>
    </row>
    <row r="169" spans="1:15" s="82" customFormat="1" x14ac:dyDescent="0.2">
      <c r="A169" s="84">
        <v>168</v>
      </c>
      <c r="B169" s="85">
        <v>18</v>
      </c>
      <c r="C169" s="84">
        <v>85</v>
      </c>
      <c r="D169" s="84"/>
      <c r="E169" s="85">
        <f>LOOKUP(use_fish!B169,base_fish!A:A,base_fish!C:C)+_xlfn.IFNA(INDEX(activity!F:F,MATCH(use_fish!C169,activity!A:A,0)),0)</f>
        <v>70</v>
      </c>
      <c r="F169" s="85">
        <f t="shared" si="27"/>
        <v>1.4285714285714285E-2</v>
      </c>
      <c r="G169" s="85" t="s">
        <v>22</v>
      </c>
      <c r="H169" s="86" t="str">
        <f>INDEX(base_fish!E:E,MATCH(use_fish!B169,base_fish!A:A,0))&amp;_xlfn.IFNA("+"&amp;INDEX(activity!G:G,MATCH(use_fish!C169,activity!A:A,0)),"")</f>
        <v>虎鲸+临时活动</v>
      </c>
      <c r="I169" s="85">
        <f>LOOKUP(use_fish!B169,base_fish!A:A,base_fish!F:F)+_xlfn.IFNA(INDEX(activity!F:F,MATCH(use_fish!C169,activity!A:A,0)),0)</f>
        <v>70</v>
      </c>
      <c r="J169" s="82">
        <v>1</v>
      </c>
      <c r="K169" s="82">
        <f>LOOKUP(use_fish!B169,base_fish!A:A,base_fish!G:G)</f>
        <v>0</v>
      </c>
      <c r="L169" s="82">
        <f t="shared" si="28"/>
        <v>70</v>
      </c>
      <c r="M169" s="82">
        <v>1</v>
      </c>
      <c r="N169" s="82">
        <v>0</v>
      </c>
      <c r="O169" s="82">
        <v>1</v>
      </c>
    </row>
    <row r="170" spans="1:15" s="82" customFormat="1" x14ac:dyDescent="0.2">
      <c r="A170" s="84">
        <v>169</v>
      </c>
      <c r="B170" s="84">
        <v>61</v>
      </c>
      <c r="C170" s="84">
        <v>82</v>
      </c>
      <c r="D170" s="84"/>
      <c r="E170" s="85">
        <f>LOOKUP(use_fish!B170,base_fish!A:A,base_fish!C:C)+_xlfn.IFNA(INDEX(activity!F:F,MATCH(use_fish!C170,activity!A:A,0)),0)</f>
        <v>250</v>
      </c>
      <c r="F170" s="85">
        <f t="shared" si="27"/>
        <v>4.0000000000000001E-3</v>
      </c>
      <c r="G170" s="85" t="s">
        <v>22</v>
      </c>
      <c r="H170" s="86" t="str">
        <f>INDEX(base_fish!E:E,MATCH(use_fish!B170,base_fish!A:A,0))&amp;_xlfn.IFNA("+"&amp;INDEX(activity!G:G,MATCH(use_fish!C170,activity!A:A,0)),"")</f>
        <v>活动boss+临时活动</v>
      </c>
      <c r="I170" s="85">
        <f>LOOKUP(use_fish!B170,base_fish!A:A,base_fish!F:F)+_xlfn.IFNA(INDEX(activity!F:F,MATCH(use_fish!C170,activity!A:A,0)),0)</f>
        <v>250</v>
      </c>
      <c r="J170" s="82">
        <v>1</v>
      </c>
      <c r="K170" s="82">
        <f>LOOKUP(use_fish!B170,base_fish!A:A,base_fish!G:G)</f>
        <v>0</v>
      </c>
      <c r="L170" s="82">
        <f t="shared" si="28"/>
        <v>250</v>
      </c>
      <c r="M170" s="82">
        <v>1</v>
      </c>
      <c r="N170" s="82">
        <v>1</v>
      </c>
      <c r="O170" s="82">
        <v>1</v>
      </c>
    </row>
    <row r="171" spans="1:15" s="82" customFormat="1" x14ac:dyDescent="0.2">
      <c r="A171" s="84">
        <v>170</v>
      </c>
      <c r="B171" s="84">
        <v>61</v>
      </c>
      <c r="C171" s="84">
        <v>83</v>
      </c>
      <c r="D171" s="84"/>
      <c r="E171" s="85">
        <f>LOOKUP(use_fish!B171,base_fish!A:A,base_fish!C:C)+_xlfn.IFNA(INDEX(activity!F:F,MATCH(use_fish!C171,activity!A:A,0)),0)</f>
        <v>350</v>
      </c>
      <c r="F171" s="85">
        <f t="shared" si="27"/>
        <v>2.8571428571428571E-3</v>
      </c>
      <c r="G171" s="85" t="s">
        <v>22</v>
      </c>
      <c r="H171" s="86" t="str">
        <f>INDEX(base_fish!E:E,MATCH(use_fish!B171,base_fish!A:A,0))&amp;_xlfn.IFNA("+"&amp;INDEX(activity!G:G,MATCH(use_fish!C171,activity!A:A,0)),"")</f>
        <v>活动boss+临时活动</v>
      </c>
      <c r="I171" s="85">
        <f>LOOKUP(use_fish!B171,base_fish!A:A,base_fish!F:F)+_xlfn.IFNA(INDEX(activity!F:F,MATCH(use_fish!C171,activity!A:A,0)),0)</f>
        <v>350</v>
      </c>
      <c r="J171" s="82">
        <v>1</v>
      </c>
      <c r="K171" s="82">
        <f>LOOKUP(use_fish!B171,base_fish!A:A,base_fish!G:G)</f>
        <v>0</v>
      </c>
      <c r="L171" s="82">
        <f t="shared" si="28"/>
        <v>350</v>
      </c>
      <c r="M171" s="82">
        <v>1</v>
      </c>
      <c r="N171" s="82">
        <v>1</v>
      </c>
      <c r="O171" s="82">
        <v>1</v>
      </c>
    </row>
    <row r="172" spans="1:15" s="82" customFormat="1" x14ac:dyDescent="0.2">
      <c r="A172" s="84">
        <v>171</v>
      </c>
      <c r="B172" s="84">
        <v>61</v>
      </c>
      <c r="C172" s="84">
        <v>84</v>
      </c>
      <c r="D172" s="84"/>
      <c r="E172" s="85">
        <f>LOOKUP(use_fish!B172,base_fish!A:A,base_fish!C:C)+_xlfn.IFNA(INDEX(activity!F:F,MATCH(use_fish!C172,activity!A:A,0)),0)</f>
        <v>450</v>
      </c>
      <c r="F172" s="85">
        <f t="shared" si="27"/>
        <v>2.2222222222222222E-3</v>
      </c>
      <c r="G172" s="85" t="s">
        <v>22</v>
      </c>
      <c r="H172" s="86" t="str">
        <f>INDEX(base_fish!E:E,MATCH(use_fish!B172,base_fish!A:A,0))&amp;_xlfn.IFNA("+"&amp;INDEX(activity!G:G,MATCH(use_fish!C172,activity!A:A,0)),"")</f>
        <v>活动boss+临时活动</v>
      </c>
      <c r="I172" s="85">
        <f>LOOKUP(use_fish!B172,base_fish!A:A,base_fish!F:F)+_xlfn.IFNA(INDEX(activity!F:F,MATCH(use_fish!C172,activity!A:A,0)),0)</f>
        <v>450</v>
      </c>
      <c r="J172" s="82">
        <v>1</v>
      </c>
      <c r="K172" s="82">
        <f>LOOKUP(use_fish!B172,base_fish!A:A,base_fish!G:G)</f>
        <v>0</v>
      </c>
      <c r="L172" s="82">
        <f t="shared" si="28"/>
        <v>450</v>
      </c>
      <c r="M172" s="82">
        <v>1</v>
      </c>
      <c r="N172" s="82">
        <v>1</v>
      </c>
      <c r="O172" s="82">
        <v>1</v>
      </c>
    </row>
    <row r="173" spans="1:15" s="65" customFormat="1" x14ac:dyDescent="0.2">
      <c r="A173" s="66">
        <v>172</v>
      </c>
      <c r="B173" s="66">
        <v>62</v>
      </c>
      <c r="C173" s="66">
        <v>86</v>
      </c>
      <c r="D173" s="66"/>
      <c r="E173" s="57">
        <f>LOOKUP(use_fish!B173,base_fish!A:A,base_fish!C:C)+_xlfn.IFNA(INDEX(activity!F:F,MATCH(use_fish!C173,activity!A:A,0)),0)</f>
        <v>200</v>
      </c>
      <c r="F173" s="67">
        <f t="shared" si="27"/>
        <v>5.0000000000000001E-3</v>
      </c>
      <c r="G173" s="67" t="s">
        <v>339</v>
      </c>
      <c r="H173" s="68" t="str">
        <f>INDEX(base_fish!E:E,MATCH(use_fish!B173,base_fish!A:A,0))&amp;_xlfn.IFNA("+"&amp;INDEX(activity!G:G,MATCH(use_fish!C173,activity!A:A,0)),"")</f>
        <v>红包鱼+红包</v>
      </c>
      <c r="I173" s="67">
        <f>LOOKUP(use_fish!B173,base_fish!A:A,base_fish!F:F)+_xlfn.IFNA(INDEX(activity!F:F,MATCH(use_fish!C173,activity!A:A,0)),0)</f>
        <v>200</v>
      </c>
      <c r="J173" s="65">
        <v>1</v>
      </c>
      <c r="K173" s="65">
        <v>0</v>
      </c>
      <c r="L173" s="65">
        <v>200</v>
      </c>
      <c r="M173" s="65">
        <v>1</v>
      </c>
      <c r="N173" s="65">
        <v>1</v>
      </c>
      <c r="O173" s="65">
        <v>1</v>
      </c>
    </row>
    <row r="174" spans="1:15" s="65" customFormat="1" x14ac:dyDescent="0.2">
      <c r="A174" s="66">
        <v>173</v>
      </c>
      <c r="B174" s="66">
        <v>62</v>
      </c>
      <c r="C174" s="66"/>
      <c r="D174" s="79" t="s">
        <v>493</v>
      </c>
      <c r="E174" s="57">
        <v>0</v>
      </c>
      <c r="F174" s="67">
        <v>0</v>
      </c>
      <c r="G174" s="67" t="s">
        <v>339</v>
      </c>
      <c r="H174" s="68" t="str">
        <f>INDEX(base_fish!E:E,MATCH(use_fish!B174,base_fish!A:A,0))&amp;_xlfn.IFNA("+"&amp;INDEX(activity!G:G,MATCH(use_fish!C174,activity!A:A,0)),"")</f>
        <v>红包鱼</v>
      </c>
      <c r="I174" s="67">
        <f>LOOKUP(use_fish!B174,base_fish!A:A,base_fish!F:F)+_xlfn.IFNA(INDEX(activity!F:F,MATCH(use_fish!C174,activity!A:A,0)),0)</f>
        <v>0</v>
      </c>
      <c r="J174" s="65">
        <v>1</v>
      </c>
      <c r="K174" s="65">
        <v>0</v>
      </c>
      <c r="L174" s="65">
        <f t="shared" si="28"/>
        <v>0</v>
      </c>
      <c r="M174" s="65">
        <v>1</v>
      </c>
      <c r="N174" s="65">
        <v>1</v>
      </c>
      <c r="O174" s="65">
        <v>1</v>
      </c>
    </row>
    <row r="175" spans="1:15" s="19" customFormat="1" x14ac:dyDescent="0.2">
      <c r="A175" s="16">
        <v>174</v>
      </c>
      <c r="B175" s="16">
        <v>63</v>
      </c>
      <c r="C175" s="16"/>
      <c r="D175" s="16" t="s">
        <v>508</v>
      </c>
      <c r="E175" s="17">
        <v>126</v>
      </c>
      <c r="F175" s="17">
        <f>1/E175</f>
        <v>7.9365079365079361E-3</v>
      </c>
      <c r="G175" s="17" t="s">
        <v>22</v>
      </c>
      <c r="H175" s="18" t="s">
        <v>507</v>
      </c>
      <c r="I175" s="17">
        <v>120</v>
      </c>
      <c r="J175" s="19">
        <v>1</v>
      </c>
      <c r="K175" s="19">
        <v>0</v>
      </c>
      <c r="L175" s="19">
        <v>120</v>
      </c>
      <c r="M175" s="19">
        <v>1</v>
      </c>
      <c r="N175" s="19">
        <v>0</v>
      </c>
      <c r="O175" s="19">
        <v>2</v>
      </c>
    </row>
    <row r="176" spans="1:15" s="19" customFormat="1" x14ac:dyDescent="0.2">
      <c r="A176" s="16">
        <v>175</v>
      </c>
      <c r="B176" s="16">
        <v>64</v>
      </c>
      <c r="C176" s="16"/>
      <c r="D176" s="16" t="s">
        <v>509</v>
      </c>
      <c r="E176" s="17">
        <v>126</v>
      </c>
      <c r="F176" s="17">
        <f t="shared" ref="F176:F180" si="29">1/E176</f>
        <v>7.9365079365079361E-3</v>
      </c>
      <c r="G176" s="17" t="s">
        <v>22</v>
      </c>
      <c r="H176" s="18" t="s">
        <v>197</v>
      </c>
      <c r="I176" s="17">
        <v>120</v>
      </c>
      <c r="J176" s="19">
        <v>1</v>
      </c>
      <c r="K176" s="19">
        <v>0</v>
      </c>
      <c r="L176" s="19">
        <v>120</v>
      </c>
      <c r="M176" s="19">
        <v>1</v>
      </c>
      <c r="N176" s="19">
        <v>0</v>
      </c>
      <c r="O176" s="19">
        <v>2</v>
      </c>
    </row>
    <row r="177" spans="1:15" s="19" customFormat="1" x14ac:dyDescent="0.2">
      <c r="A177" s="16">
        <v>176</v>
      </c>
      <c r="B177" s="16">
        <v>65</v>
      </c>
      <c r="C177" s="16"/>
      <c r="D177" s="16" t="s">
        <v>510</v>
      </c>
      <c r="E177" s="17">
        <v>126</v>
      </c>
      <c r="F177" s="17">
        <f t="shared" si="29"/>
        <v>7.9365079365079361E-3</v>
      </c>
      <c r="G177" s="17" t="s">
        <v>22</v>
      </c>
      <c r="H177" s="18" t="s">
        <v>198</v>
      </c>
      <c r="I177" s="17">
        <v>120</v>
      </c>
      <c r="J177" s="19">
        <v>1</v>
      </c>
      <c r="K177" s="19">
        <v>0</v>
      </c>
      <c r="L177" s="19">
        <v>120</v>
      </c>
      <c r="M177" s="19">
        <v>1</v>
      </c>
      <c r="N177" s="19">
        <v>0</v>
      </c>
      <c r="O177" s="19">
        <v>2</v>
      </c>
    </row>
    <row r="178" spans="1:15" s="19" customFormat="1" x14ac:dyDescent="0.2">
      <c r="A178" s="16">
        <v>177</v>
      </c>
      <c r="B178" s="16">
        <v>66</v>
      </c>
      <c r="C178" s="16"/>
      <c r="D178" s="16" t="s">
        <v>511</v>
      </c>
      <c r="E178" s="17">
        <v>168</v>
      </c>
      <c r="F178" s="17">
        <f t="shared" si="29"/>
        <v>5.9523809523809521E-3</v>
      </c>
      <c r="G178" s="17" t="s">
        <v>22</v>
      </c>
      <c r="H178" s="18" t="s">
        <v>111</v>
      </c>
      <c r="I178" s="17">
        <v>160</v>
      </c>
      <c r="J178" s="19">
        <v>1</v>
      </c>
      <c r="K178" s="19">
        <v>0</v>
      </c>
      <c r="L178" s="19">
        <v>160</v>
      </c>
      <c r="M178" s="19">
        <v>1</v>
      </c>
      <c r="N178" s="19">
        <v>0</v>
      </c>
      <c r="O178" s="19">
        <v>2</v>
      </c>
    </row>
    <row r="179" spans="1:15" s="19" customFormat="1" x14ac:dyDescent="0.2">
      <c r="A179" s="16">
        <v>178</v>
      </c>
      <c r="B179" s="16">
        <v>67</v>
      </c>
      <c r="C179" s="16"/>
      <c r="D179" s="16" t="s">
        <v>512</v>
      </c>
      <c r="E179" s="17">
        <v>210</v>
      </c>
      <c r="F179" s="17">
        <f t="shared" si="29"/>
        <v>4.7619047619047623E-3</v>
      </c>
      <c r="G179" s="17" t="s">
        <v>22</v>
      </c>
      <c r="H179" s="18" t="s">
        <v>110</v>
      </c>
      <c r="I179" s="17">
        <v>200</v>
      </c>
      <c r="J179" s="19">
        <v>1</v>
      </c>
      <c r="K179" s="19">
        <v>0</v>
      </c>
      <c r="L179" s="19">
        <v>200</v>
      </c>
      <c r="M179" s="19">
        <v>1</v>
      </c>
      <c r="N179" s="19">
        <v>0</v>
      </c>
      <c r="O179" s="19">
        <v>2</v>
      </c>
    </row>
    <row r="180" spans="1:15" s="19" customFormat="1" x14ac:dyDescent="0.2">
      <c r="A180" s="16">
        <v>179</v>
      </c>
      <c r="B180" s="16">
        <v>68</v>
      </c>
      <c r="C180" s="16"/>
      <c r="D180" s="16" t="s">
        <v>509</v>
      </c>
      <c r="E180" s="17">
        <v>210</v>
      </c>
      <c r="F180" s="17">
        <f t="shared" si="29"/>
        <v>4.7619047619047623E-3</v>
      </c>
      <c r="G180" s="17" t="s">
        <v>22</v>
      </c>
      <c r="H180" s="18" t="s">
        <v>200</v>
      </c>
      <c r="I180" s="17">
        <v>200</v>
      </c>
      <c r="J180" s="19">
        <v>1</v>
      </c>
      <c r="K180" s="19">
        <v>0</v>
      </c>
      <c r="L180" s="19">
        <v>200</v>
      </c>
      <c r="M180" s="19">
        <v>1</v>
      </c>
      <c r="N180" s="19">
        <v>0</v>
      </c>
      <c r="O180" s="19">
        <v>2</v>
      </c>
    </row>
    <row r="181" spans="1:15" s="19" customFormat="1" x14ac:dyDescent="0.2">
      <c r="A181" s="16">
        <v>180</v>
      </c>
      <c r="B181" s="16">
        <v>20</v>
      </c>
      <c r="C181" s="16">
        <v>87</v>
      </c>
      <c r="D181" s="16" t="s">
        <v>248</v>
      </c>
      <c r="E181" s="17">
        <v>73</v>
      </c>
      <c r="F181" s="17">
        <v>1.5873015873015872E-2</v>
      </c>
      <c r="G181" s="17" t="s">
        <v>22</v>
      </c>
      <c r="H181" s="68" t="str">
        <f>INDEX(base_fish!E:E,MATCH(use_fish!B181,base_fish!A:A,0))&amp;_xlfn.IFNA("+"&amp;INDEX(activity!G:G,MATCH(use_fish!C181,activity!A:A,0)),"")</f>
        <v>黄金灯笼鱼+金龙币</v>
      </c>
      <c r="I181" s="17">
        <v>60</v>
      </c>
      <c r="J181" s="19">
        <v>1</v>
      </c>
      <c r="K181" s="19">
        <v>0</v>
      </c>
      <c r="L181" s="19">
        <v>60</v>
      </c>
      <c r="M181" s="19">
        <v>1</v>
      </c>
      <c r="N181" s="19">
        <v>0</v>
      </c>
      <c r="O181" s="19">
        <v>2</v>
      </c>
    </row>
    <row r="182" spans="1:15" s="19" customFormat="1" x14ac:dyDescent="0.2">
      <c r="A182" s="16">
        <v>181</v>
      </c>
      <c r="B182" s="16">
        <v>22</v>
      </c>
      <c r="C182" s="16">
        <v>87</v>
      </c>
      <c r="D182" s="16" t="s">
        <v>277</v>
      </c>
      <c r="E182" s="17">
        <v>73</v>
      </c>
      <c r="F182" s="17">
        <v>1.5873015873015872E-2</v>
      </c>
      <c r="G182" s="17" t="s">
        <v>22</v>
      </c>
      <c r="H182" s="68" t="str">
        <f>INDEX(base_fish!E:E,MATCH(use_fish!B182,base_fish!A:A,0))&amp;_xlfn.IFNA("+"&amp;INDEX(activity!G:G,MATCH(use_fish!C182,activity!A:A,0)),"")</f>
        <v>黄金狮子鱼+金龙币</v>
      </c>
      <c r="I182" s="17">
        <v>60</v>
      </c>
      <c r="J182" s="19">
        <v>1</v>
      </c>
      <c r="K182" s="19">
        <v>0</v>
      </c>
      <c r="L182" s="19">
        <v>60</v>
      </c>
      <c r="M182" s="19">
        <v>1</v>
      </c>
      <c r="N182" s="19">
        <v>0</v>
      </c>
      <c r="O182" s="19">
        <v>2</v>
      </c>
    </row>
    <row r="183" spans="1:15" s="19" customFormat="1" x14ac:dyDescent="0.2">
      <c r="A183" s="16">
        <v>182</v>
      </c>
      <c r="B183" s="16">
        <v>23</v>
      </c>
      <c r="C183" s="16">
        <v>87</v>
      </c>
      <c r="D183" s="16" t="s">
        <v>278</v>
      </c>
      <c r="E183" s="17">
        <v>73</v>
      </c>
      <c r="F183" s="17">
        <v>1.5873015873015872E-2</v>
      </c>
      <c r="G183" s="17" t="s">
        <v>22</v>
      </c>
      <c r="H183" s="68" t="str">
        <f>INDEX(base_fish!E:E,MATCH(use_fish!B183,base_fish!A:A,0))&amp;_xlfn.IFNA("+"&amp;INDEX(activity!G:G,MATCH(use_fish!C183,activity!A:A,0)),"")</f>
        <v>黄金海龟+金龙币</v>
      </c>
      <c r="I183" s="17">
        <v>60</v>
      </c>
      <c r="J183" s="19">
        <v>1</v>
      </c>
      <c r="K183" s="19">
        <v>0</v>
      </c>
      <c r="L183" s="19">
        <v>60</v>
      </c>
      <c r="M183" s="19">
        <v>1</v>
      </c>
      <c r="N183" s="19">
        <v>0</v>
      </c>
      <c r="O183" s="19">
        <v>2</v>
      </c>
    </row>
    <row r="184" spans="1:15" s="19" customFormat="1" x14ac:dyDescent="0.2">
      <c r="A184" s="16">
        <v>183</v>
      </c>
      <c r="B184" s="16">
        <v>25</v>
      </c>
      <c r="C184" s="16">
        <v>87</v>
      </c>
      <c r="D184" s="16" t="s">
        <v>248</v>
      </c>
      <c r="E184" s="17">
        <v>74</v>
      </c>
      <c r="F184" s="17">
        <v>1.1904761904761904E-2</v>
      </c>
      <c r="G184" s="17" t="s">
        <v>22</v>
      </c>
      <c r="H184" s="68" t="str">
        <f>INDEX(base_fish!E:E,MATCH(use_fish!B184,base_fish!A:A,0))&amp;_xlfn.IFNA("+"&amp;INDEX(activity!G:G,MATCH(use_fish!C184,activity!A:A,0)),"")</f>
        <v>金蟾+金龙币</v>
      </c>
      <c r="I184" s="17">
        <v>80</v>
      </c>
      <c r="J184" s="19">
        <v>1</v>
      </c>
      <c r="K184" s="19">
        <v>0</v>
      </c>
      <c r="L184" s="19">
        <v>80</v>
      </c>
      <c r="M184" s="19">
        <v>1</v>
      </c>
      <c r="N184" s="19">
        <v>0</v>
      </c>
      <c r="O184" s="19">
        <v>2</v>
      </c>
    </row>
    <row r="185" spans="1:15" s="19" customFormat="1" x14ac:dyDescent="0.2">
      <c r="A185" s="16">
        <v>184</v>
      </c>
      <c r="B185" s="16">
        <v>26</v>
      </c>
      <c r="C185" s="16">
        <v>87</v>
      </c>
      <c r="D185" s="16" t="s">
        <v>248</v>
      </c>
      <c r="E185" s="17">
        <v>115</v>
      </c>
      <c r="F185" s="17">
        <v>9.5238095238095247E-3</v>
      </c>
      <c r="G185" s="17" t="s">
        <v>22</v>
      </c>
      <c r="H185" s="68" t="str">
        <f>INDEX(base_fish!E:E,MATCH(use_fish!B185,base_fish!A:A,0))&amp;_xlfn.IFNA("+"&amp;INDEX(activity!G:G,MATCH(use_fish!C185,activity!A:A,0)),"")</f>
        <v>大金鲨+金龙币</v>
      </c>
      <c r="I185" s="17">
        <v>100</v>
      </c>
      <c r="J185" s="19">
        <v>1</v>
      </c>
      <c r="K185" s="19">
        <v>0</v>
      </c>
      <c r="L185" s="19">
        <v>100</v>
      </c>
      <c r="M185" s="19">
        <v>1</v>
      </c>
      <c r="N185" s="19">
        <v>0</v>
      </c>
      <c r="O185" s="19">
        <v>2</v>
      </c>
    </row>
    <row r="186" spans="1:15" s="19" customFormat="1" x14ac:dyDescent="0.2">
      <c r="A186" s="16">
        <v>185</v>
      </c>
      <c r="B186" s="16">
        <v>27</v>
      </c>
      <c r="C186" s="16">
        <v>87</v>
      </c>
      <c r="D186" s="16" t="s">
        <v>279</v>
      </c>
      <c r="E186" s="17">
        <v>115</v>
      </c>
      <c r="F186" s="17">
        <v>9.5238095238095247E-3</v>
      </c>
      <c r="G186" s="17" t="s">
        <v>22</v>
      </c>
      <c r="H186" s="68" t="str">
        <f>INDEX(base_fish!E:E,MATCH(use_fish!B186,base_fish!A:A,0))&amp;_xlfn.IFNA("+"&amp;INDEX(activity!G:G,MATCH(use_fish!C186,activity!A:A,0)),"")</f>
        <v>黄金锤头鲨+金龙币</v>
      </c>
      <c r="I186" s="17">
        <v>100</v>
      </c>
      <c r="J186" s="19">
        <v>1</v>
      </c>
      <c r="K186" s="19">
        <v>0</v>
      </c>
      <c r="L186" s="19">
        <v>100</v>
      </c>
      <c r="M186" s="19">
        <v>1</v>
      </c>
      <c r="N186" s="19">
        <v>0</v>
      </c>
      <c r="O186" s="19">
        <v>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90"/>
  <sheetViews>
    <sheetView tabSelected="1" zoomScale="115" zoomScaleNormal="115" workbookViewId="0">
      <pane ySplit="1" topLeftCell="A65" activePane="bottomLeft" state="frozen"/>
      <selection pane="bottomLeft" activeCell="E88" sqref="E88"/>
    </sheetView>
  </sheetViews>
  <sheetFormatPr defaultColWidth="8.625" defaultRowHeight="14.25" x14ac:dyDescent="0.2"/>
  <cols>
    <col min="2" max="2" width="13" customWidth="1"/>
    <col min="3" max="3" width="60.875" bestFit="1" customWidth="1"/>
    <col min="4" max="5" width="16.125" style="3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94</v>
      </c>
      <c r="F1" s="1" t="s">
        <v>24</v>
      </c>
      <c r="G1" s="1" t="s">
        <v>27</v>
      </c>
      <c r="H1" s="1" t="s">
        <v>2</v>
      </c>
      <c r="I1" s="1" t="s">
        <v>2</v>
      </c>
      <c r="K1" s="1" t="s">
        <v>43</v>
      </c>
    </row>
    <row r="2" spans="1:11" x14ac:dyDescent="0.2">
      <c r="A2">
        <v>1</v>
      </c>
      <c r="B2">
        <v>1</v>
      </c>
      <c r="C2" t="s">
        <v>51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28</v>
      </c>
      <c r="K2" t="s">
        <v>55</v>
      </c>
    </row>
    <row r="3" spans="1:11" x14ac:dyDescent="0.2">
      <c r="A3">
        <v>2</v>
      </c>
      <c r="B3">
        <v>2</v>
      </c>
      <c r="C3" t="s">
        <v>53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29</v>
      </c>
      <c r="K3" s="5">
        <v>0.1</v>
      </c>
    </row>
    <row r="4" spans="1:11" x14ac:dyDescent="0.2">
      <c r="A4">
        <v>3</v>
      </c>
      <c r="B4">
        <v>3</v>
      </c>
      <c r="C4" t="s">
        <v>53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30</v>
      </c>
    </row>
    <row r="5" spans="1:11" x14ac:dyDescent="0.2">
      <c r="A5">
        <v>4</v>
      </c>
      <c r="B5">
        <v>4</v>
      </c>
      <c r="C5" t="s">
        <v>40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31</v>
      </c>
    </row>
    <row r="6" spans="1:11" x14ac:dyDescent="0.2">
      <c r="A6">
        <v>5</v>
      </c>
      <c r="B6">
        <v>5</v>
      </c>
      <c r="C6" t="s">
        <v>41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32</v>
      </c>
    </row>
    <row r="7" spans="1:11" x14ac:dyDescent="0.2">
      <c r="A7">
        <v>6</v>
      </c>
      <c r="B7">
        <v>4</v>
      </c>
      <c r="C7" t="s">
        <v>135</v>
      </c>
      <c r="D7" s="4">
        <v>1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33</v>
      </c>
    </row>
    <row r="8" spans="1:11" x14ac:dyDescent="0.2">
      <c r="A8">
        <v>7</v>
      </c>
      <c r="B8">
        <v>1</v>
      </c>
      <c r="C8" t="s">
        <v>39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34</v>
      </c>
    </row>
    <row r="9" spans="1:11" x14ac:dyDescent="0.2">
      <c r="A9">
        <v>8</v>
      </c>
      <c r="B9">
        <v>4</v>
      </c>
      <c r="C9" t="s">
        <v>270</v>
      </c>
      <c r="D9" s="4">
        <v>1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35</v>
      </c>
    </row>
    <row r="10" spans="1:11" x14ac:dyDescent="0.2">
      <c r="A10">
        <v>9</v>
      </c>
      <c r="B10">
        <v>5</v>
      </c>
      <c r="C10" t="s">
        <v>52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75</v>
      </c>
    </row>
    <row r="11" spans="1:11" x14ac:dyDescent="0.2">
      <c r="A11">
        <v>10</v>
      </c>
      <c r="B11">
        <v>5</v>
      </c>
      <c r="C11" t="s">
        <v>219</v>
      </c>
      <c r="D11" s="4">
        <v>1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247</v>
      </c>
    </row>
    <row r="12" spans="1:11" x14ac:dyDescent="0.2">
      <c r="A12">
        <v>11</v>
      </c>
      <c r="B12">
        <v>7</v>
      </c>
      <c r="C12" t="s">
        <v>26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82</v>
      </c>
    </row>
    <row r="13" spans="1:11" x14ac:dyDescent="0.2">
      <c r="A13">
        <v>12</v>
      </c>
      <c r="B13">
        <v>7</v>
      </c>
      <c r="C13" t="s">
        <v>36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97</v>
      </c>
    </row>
    <row r="14" spans="1:11" x14ac:dyDescent="0.2">
      <c r="A14">
        <v>13</v>
      </c>
      <c r="B14">
        <v>8</v>
      </c>
      <c r="C14" t="s">
        <v>25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98</v>
      </c>
    </row>
    <row r="15" spans="1:11" x14ac:dyDescent="0.2">
      <c r="A15">
        <v>14</v>
      </c>
      <c r="B15">
        <v>8</v>
      </c>
      <c r="C15" t="s">
        <v>36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102</v>
      </c>
    </row>
    <row r="16" spans="1:11" x14ac:dyDescent="0.2">
      <c r="A16">
        <v>15</v>
      </c>
      <c r="B16">
        <v>9</v>
      </c>
      <c r="C16" t="s">
        <v>54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161</v>
      </c>
    </row>
    <row r="17" spans="1:9" x14ac:dyDescent="0.2">
      <c r="A17">
        <v>16</v>
      </c>
      <c r="B17">
        <v>9</v>
      </c>
      <c r="C17" t="s">
        <v>54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162</v>
      </c>
    </row>
    <row r="18" spans="1:9" x14ac:dyDescent="0.2">
      <c r="A18">
        <v>17</v>
      </c>
      <c r="B18">
        <v>10</v>
      </c>
      <c r="C18" s="6" t="s">
        <v>245</v>
      </c>
      <c r="D18" s="4">
        <v>0</v>
      </c>
      <c r="E18" s="4">
        <v>0</v>
      </c>
      <c r="F18">
        <v>150</v>
      </c>
      <c r="G18" t="s">
        <v>246</v>
      </c>
      <c r="H18">
        <v>22</v>
      </c>
      <c r="I18" t="s">
        <v>164</v>
      </c>
    </row>
    <row r="19" spans="1:9" x14ac:dyDescent="0.2">
      <c r="A19">
        <v>18</v>
      </c>
      <c r="B19">
        <v>18</v>
      </c>
      <c r="C19" t="s">
        <v>103</v>
      </c>
      <c r="D19" s="4">
        <v>0</v>
      </c>
      <c r="E19" s="4">
        <v>0</v>
      </c>
      <c r="F19">
        <v>63</v>
      </c>
      <c r="G19" t="str">
        <f>LOOKUP(B19,H:H,I:I)</f>
        <v>穿透钢弹</v>
      </c>
      <c r="H19">
        <v>23</v>
      </c>
      <c r="I19" t="s">
        <v>258</v>
      </c>
    </row>
    <row r="20" spans="1:9" x14ac:dyDescent="0.2">
      <c r="A20">
        <v>19</v>
      </c>
      <c r="B20">
        <v>17</v>
      </c>
      <c r="C20" s="9" t="s">
        <v>259</v>
      </c>
      <c r="D20" s="4">
        <v>0</v>
      </c>
      <c r="E20" s="4">
        <v>0</v>
      </c>
      <c r="F20">
        <v>300</v>
      </c>
      <c r="G20" t="str">
        <f>LOOKUP(B20,H:H,I:I)</f>
        <v>钻头弹</v>
      </c>
      <c r="H20">
        <v>24</v>
      </c>
      <c r="I20" t="s">
        <v>295</v>
      </c>
    </row>
    <row r="21" spans="1:9" x14ac:dyDescent="0.2">
      <c r="A21">
        <v>20</v>
      </c>
      <c r="B21">
        <v>19</v>
      </c>
      <c r="C21" t="s">
        <v>36</v>
      </c>
      <c r="D21" s="4">
        <v>0</v>
      </c>
      <c r="E21" s="4">
        <v>1</v>
      </c>
      <c r="F21">
        <v>0</v>
      </c>
      <c r="G21" t="str">
        <f>LOOKUP(B21,H:H,I:I)</f>
        <v>神灯</v>
      </c>
      <c r="H21">
        <v>25</v>
      </c>
      <c r="I21" t="s">
        <v>168</v>
      </c>
    </row>
    <row r="22" spans="1:9" x14ac:dyDescent="0.2">
      <c r="A22">
        <v>21</v>
      </c>
      <c r="B22">
        <v>20</v>
      </c>
      <c r="C22" s="9" t="s">
        <v>165</v>
      </c>
      <c r="D22" s="4">
        <v>0</v>
      </c>
      <c r="E22" s="4">
        <v>0</v>
      </c>
      <c r="F22">
        <v>50</v>
      </c>
      <c r="G22" t="s">
        <v>178</v>
      </c>
      <c r="H22">
        <v>26</v>
      </c>
      <c r="I22" t="s">
        <v>174</v>
      </c>
    </row>
    <row r="23" spans="1:9" x14ac:dyDescent="0.2">
      <c r="A23">
        <v>22</v>
      </c>
      <c r="B23">
        <v>20</v>
      </c>
      <c r="C23" s="9" t="s">
        <v>104</v>
      </c>
      <c r="D23" s="4">
        <v>0</v>
      </c>
      <c r="E23" s="4">
        <v>0</v>
      </c>
      <c r="F23">
        <v>150</v>
      </c>
      <c r="G23" t="s">
        <v>179</v>
      </c>
      <c r="H23">
        <v>27</v>
      </c>
      <c r="I23" t="s">
        <v>293</v>
      </c>
    </row>
    <row r="24" spans="1:9" x14ac:dyDescent="0.2">
      <c r="A24">
        <v>23</v>
      </c>
      <c r="B24">
        <v>20</v>
      </c>
      <c r="C24" s="9" t="s">
        <v>105</v>
      </c>
      <c r="D24" s="4">
        <v>0</v>
      </c>
      <c r="E24" s="4">
        <v>0</v>
      </c>
      <c r="F24">
        <v>250</v>
      </c>
      <c r="G24" t="s">
        <v>180</v>
      </c>
      <c r="H24">
        <v>28</v>
      </c>
      <c r="I24" t="s">
        <v>294</v>
      </c>
    </row>
    <row r="25" spans="1:9" x14ac:dyDescent="0.2">
      <c r="A25">
        <v>24</v>
      </c>
      <c r="B25">
        <v>20</v>
      </c>
      <c r="C25" s="9" t="s">
        <v>106</v>
      </c>
      <c r="D25" s="4">
        <v>0</v>
      </c>
      <c r="E25" s="4">
        <v>0</v>
      </c>
      <c r="F25">
        <v>450</v>
      </c>
      <c r="G25" t="s">
        <v>181</v>
      </c>
      <c r="H25">
        <v>29</v>
      </c>
      <c r="I25" t="s">
        <v>173</v>
      </c>
    </row>
    <row r="26" spans="1:9" x14ac:dyDescent="0.2">
      <c r="A26">
        <v>25</v>
      </c>
      <c r="B26">
        <v>21</v>
      </c>
      <c r="C26" s="9" t="s">
        <v>297</v>
      </c>
      <c r="D26" s="4">
        <v>0</v>
      </c>
      <c r="E26" s="4">
        <v>1</v>
      </c>
      <c r="F26">
        <v>5</v>
      </c>
      <c r="G26" t="s">
        <v>298</v>
      </c>
      <c r="H26">
        <v>30</v>
      </c>
      <c r="I26" t="s">
        <v>241</v>
      </c>
    </row>
    <row r="27" spans="1:9" x14ac:dyDescent="0.2">
      <c r="A27">
        <v>26</v>
      </c>
      <c r="B27">
        <v>21</v>
      </c>
      <c r="C27" s="9" t="s">
        <v>300</v>
      </c>
      <c r="D27" s="4">
        <v>0</v>
      </c>
      <c r="E27" s="4">
        <v>1</v>
      </c>
      <c r="F27">
        <v>2</v>
      </c>
      <c r="G27" t="s">
        <v>299</v>
      </c>
      <c r="H27">
        <v>31</v>
      </c>
      <c r="I27" t="s">
        <v>251</v>
      </c>
    </row>
    <row r="28" spans="1:9" x14ac:dyDescent="0.2">
      <c r="A28">
        <v>27</v>
      </c>
      <c r="B28">
        <v>21</v>
      </c>
      <c r="C28" s="9" t="s">
        <v>302</v>
      </c>
      <c r="D28" s="4">
        <v>0</v>
      </c>
      <c r="E28" s="4">
        <v>1</v>
      </c>
      <c r="F28">
        <v>6</v>
      </c>
      <c r="G28" t="s">
        <v>301</v>
      </c>
      <c r="H28">
        <v>32</v>
      </c>
      <c r="I28" t="s">
        <v>252</v>
      </c>
    </row>
    <row r="29" spans="1:9" x14ac:dyDescent="0.2">
      <c r="A29">
        <v>28</v>
      </c>
      <c r="B29">
        <v>22</v>
      </c>
      <c r="C29" s="9" t="s">
        <v>167</v>
      </c>
      <c r="D29" s="4">
        <v>0</v>
      </c>
      <c r="E29" s="4">
        <v>0</v>
      </c>
      <c r="F29">
        <v>100</v>
      </c>
      <c r="G29" t="s">
        <v>166</v>
      </c>
      <c r="H29">
        <v>33</v>
      </c>
      <c r="I29" t="s">
        <v>253</v>
      </c>
    </row>
    <row r="30" spans="1:9" x14ac:dyDescent="0.2">
      <c r="A30">
        <v>29</v>
      </c>
      <c r="B30">
        <v>23</v>
      </c>
      <c r="C30" t="s">
        <v>177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261</v>
      </c>
    </row>
    <row r="31" spans="1:9" x14ac:dyDescent="0.2">
      <c r="A31">
        <v>30</v>
      </c>
      <c r="B31">
        <v>24</v>
      </c>
      <c r="C31" s="9" t="s">
        <v>284</v>
      </c>
      <c r="D31" s="4">
        <v>0</v>
      </c>
      <c r="E31" s="4">
        <v>0</v>
      </c>
      <c r="F31">
        <v>300</v>
      </c>
      <c r="G31" t="str">
        <f>LOOKUP(B31,H:H,I:I)</f>
        <v>连环转盘</v>
      </c>
      <c r="H31">
        <v>39</v>
      </c>
      <c r="I31" t="s">
        <v>263</v>
      </c>
    </row>
    <row r="32" spans="1:9" x14ac:dyDescent="0.2">
      <c r="A32">
        <v>31</v>
      </c>
      <c r="B32">
        <v>25</v>
      </c>
      <c r="C32" t="s">
        <v>242</v>
      </c>
      <c r="D32" s="4">
        <v>1</v>
      </c>
      <c r="E32" s="4">
        <v>0</v>
      </c>
      <c r="F32">
        <v>200</v>
      </c>
      <c r="G32" t="str">
        <f>LOOKUP(B32,H:H,I:I)</f>
        <v>电磁弹</v>
      </c>
      <c r="H32">
        <v>40</v>
      </c>
      <c r="I32" t="s">
        <v>381</v>
      </c>
    </row>
    <row r="33" spans="1:9" x14ac:dyDescent="0.2">
      <c r="A33">
        <v>32</v>
      </c>
      <c r="B33">
        <v>28</v>
      </c>
      <c r="C33" s="9" t="s">
        <v>296</v>
      </c>
      <c r="D33" s="4">
        <v>0</v>
      </c>
      <c r="E33" s="4">
        <v>0</v>
      </c>
      <c r="F33">
        <v>200</v>
      </c>
      <c r="G33" t="str">
        <f>LOOKUP(B33,H:H,I:I)</f>
        <v>金币转盘</v>
      </c>
      <c r="H33">
        <v>41</v>
      </c>
      <c r="I33" t="s">
        <v>382</v>
      </c>
    </row>
    <row r="34" spans="1:9" x14ac:dyDescent="0.2">
      <c r="A34">
        <v>33</v>
      </c>
      <c r="B34">
        <v>29</v>
      </c>
      <c r="C34" t="s">
        <v>265</v>
      </c>
      <c r="D34" s="4">
        <v>0</v>
      </c>
      <c r="E34" s="4">
        <v>0</v>
      </c>
      <c r="F34">
        <v>300</v>
      </c>
      <c r="G34" t="s">
        <v>173</v>
      </c>
      <c r="H34">
        <v>42</v>
      </c>
      <c r="I34" t="s">
        <v>389</v>
      </c>
    </row>
    <row r="35" spans="1:9" x14ac:dyDescent="0.2">
      <c r="A35">
        <v>34</v>
      </c>
      <c r="B35">
        <v>30</v>
      </c>
      <c r="C35" s="9" t="s">
        <v>290</v>
      </c>
      <c r="D35" s="4">
        <v>0</v>
      </c>
      <c r="E35" s="4">
        <v>0</v>
      </c>
      <c r="F35">
        <v>150</v>
      </c>
      <c r="G35" t="s">
        <v>243</v>
      </c>
      <c r="H35">
        <v>43</v>
      </c>
      <c r="I35" t="s">
        <v>385</v>
      </c>
    </row>
    <row r="36" spans="1:9" x14ac:dyDescent="0.2">
      <c r="A36">
        <v>35</v>
      </c>
      <c r="B36">
        <v>31</v>
      </c>
      <c r="C36" t="s">
        <v>288</v>
      </c>
      <c r="D36" s="4">
        <v>0</v>
      </c>
      <c r="E36" s="4">
        <v>0</v>
      </c>
      <c r="F36">
        <v>200</v>
      </c>
      <c r="G36" t="str">
        <f>LOOKUP(B36,H:H,I:I)</f>
        <v>连环炸弹</v>
      </c>
      <c r="H36">
        <v>44</v>
      </c>
      <c r="I36" t="s">
        <v>386</v>
      </c>
    </row>
    <row r="37" spans="1:9" x14ac:dyDescent="0.2">
      <c r="A37">
        <v>36</v>
      </c>
      <c r="B37">
        <v>32</v>
      </c>
      <c r="C37" s="9" t="s">
        <v>289</v>
      </c>
      <c r="D37" s="4">
        <v>0</v>
      </c>
      <c r="E37" s="4">
        <v>0</v>
      </c>
      <c r="F37">
        <v>300</v>
      </c>
      <c r="G37" t="s">
        <v>254</v>
      </c>
      <c r="H37">
        <v>45</v>
      </c>
      <c r="I37" t="s">
        <v>387</v>
      </c>
    </row>
    <row r="38" spans="1:9" x14ac:dyDescent="0.2">
      <c r="A38">
        <v>37</v>
      </c>
      <c r="B38">
        <v>33</v>
      </c>
      <c r="C38" t="s">
        <v>126</v>
      </c>
      <c r="D38" s="4">
        <v>0</v>
      </c>
      <c r="E38" s="4">
        <v>0</v>
      </c>
      <c r="F38">
        <v>200</v>
      </c>
      <c r="G38" t="s">
        <v>255</v>
      </c>
      <c r="H38">
        <v>46</v>
      </c>
      <c r="I38" t="s">
        <v>390</v>
      </c>
    </row>
    <row r="39" spans="1:9" x14ac:dyDescent="0.2">
      <c r="A39">
        <v>38</v>
      </c>
      <c r="B39">
        <v>38</v>
      </c>
      <c r="C39" t="s">
        <v>260</v>
      </c>
      <c r="D39" s="4">
        <v>0</v>
      </c>
      <c r="E39" s="4">
        <v>0</v>
      </c>
      <c r="F39">
        <v>250</v>
      </c>
      <c r="G39" t="s">
        <v>262</v>
      </c>
      <c r="H39">
        <v>47</v>
      </c>
      <c r="I39" t="s">
        <v>391</v>
      </c>
    </row>
    <row r="40" spans="1:9" x14ac:dyDescent="0.2">
      <c r="A40">
        <v>39</v>
      </c>
      <c r="B40">
        <v>39</v>
      </c>
      <c r="C40" t="s">
        <v>260</v>
      </c>
      <c r="D40" s="4">
        <v>0</v>
      </c>
      <c r="E40" s="4">
        <v>0</v>
      </c>
      <c r="F40">
        <v>250</v>
      </c>
      <c r="G40" t="s">
        <v>264</v>
      </c>
    </row>
    <row r="41" spans="1:9" x14ac:dyDescent="0.2">
      <c r="A41">
        <v>40</v>
      </c>
      <c r="B41">
        <v>21</v>
      </c>
      <c r="C41" s="9" t="s">
        <v>305</v>
      </c>
      <c r="D41" s="4">
        <v>0</v>
      </c>
      <c r="E41" s="4">
        <v>1</v>
      </c>
      <c r="F41">
        <v>2</v>
      </c>
      <c r="G41" t="s">
        <v>303</v>
      </c>
    </row>
    <row r="42" spans="1:9" x14ac:dyDescent="0.2">
      <c r="A42">
        <v>41</v>
      </c>
      <c r="B42">
        <v>21</v>
      </c>
      <c r="C42" s="9" t="s">
        <v>306</v>
      </c>
      <c r="D42" s="4">
        <v>0</v>
      </c>
      <c r="E42" s="4">
        <v>1</v>
      </c>
      <c r="F42">
        <v>2</v>
      </c>
      <c r="G42" t="s">
        <v>304</v>
      </c>
    </row>
    <row r="43" spans="1:9" x14ac:dyDescent="0.2">
      <c r="A43">
        <v>42</v>
      </c>
      <c r="B43">
        <v>4</v>
      </c>
      <c r="C43" s="50">
        <v>30</v>
      </c>
      <c r="D43" s="4">
        <v>0</v>
      </c>
      <c r="E43" s="4">
        <v>0</v>
      </c>
      <c r="F43">
        <v>30</v>
      </c>
      <c r="G43" t="s">
        <v>307</v>
      </c>
    </row>
    <row r="44" spans="1:9" x14ac:dyDescent="0.2">
      <c r="A44">
        <v>43</v>
      </c>
      <c r="B44">
        <v>5</v>
      </c>
      <c r="C44" s="50">
        <v>50</v>
      </c>
      <c r="D44" s="4">
        <v>0</v>
      </c>
      <c r="E44" s="4">
        <v>0</v>
      </c>
      <c r="F44">
        <v>50</v>
      </c>
      <c r="G44" t="s">
        <v>308</v>
      </c>
    </row>
    <row r="45" spans="1:9" s="55" customFormat="1" x14ac:dyDescent="0.2">
      <c r="A45" s="55">
        <v>44</v>
      </c>
      <c r="B45" s="55">
        <v>9</v>
      </c>
      <c r="C45" s="55" t="s">
        <v>346</v>
      </c>
      <c r="D45" s="4" t="s">
        <v>388</v>
      </c>
      <c r="E45" s="4">
        <v>1</v>
      </c>
      <c r="F45" s="55">
        <v>200</v>
      </c>
      <c r="G45" s="55" t="s">
        <v>88</v>
      </c>
    </row>
    <row r="46" spans="1:9" s="55" customFormat="1" x14ac:dyDescent="0.2">
      <c r="A46" s="55">
        <v>45</v>
      </c>
      <c r="B46" s="55">
        <v>9</v>
      </c>
      <c r="C46" s="55" t="s">
        <v>347</v>
      </c>
      <c r="D46" s="4">
        <v>1</v>
      </c>
      <c r="E46" s="4">
        <v>1</v>
      </c>
      <c r="F46" s="55">
        <v>60</v>
      </c>
      <c r="G46" s="55" t="s">
        <v>88</v>
      </c>
    </row>
    <row r="47" spans="1:9" s="55" customFormat="1" x14ac:dyDescent="0.2">
      <c r="A47" s="55">
        <v>46</v>
      </c>
      <c r="B47" s="55">
        <v>9</v>
      </c>
      <c r="C47" s="55" t="s">
        <v>348</v>
      </c>
      <c r="D47" s="4">
        <v>1</v>
      </c>
      <c r="E47" s="4">
        <v>1</v>
      </c>
      <c r="F47" s="55">
        <v>40</v>
      </c>
      <c r="G47" s="55" t="s">
        <v>88</v>
      </c>
    </row>
    <row r="48" spans="1:9" s="55" customFormat="1" x14ac:dyDescent="0.2">
      <c r="A48" s="55">
        <v>47</v>
      </c>
      <c r="B48" s="55">
        <v>9</v>
      </c>
      <c r="C48" s="55" t="s">
        <v>350</v>
      </c>
      <c r="D48" s="4">
        <v>1</v>
      </c>
      <c r="E48" s="4">
        <v>1</v>
      </c>
      <c r="F48" s="55">
        <v>30</v>
      </c>
      <c r="G48" s="55" t="s">
        <v>88</v>
      </c>
    </row>
    <row r="49" spans="1:7" s="55" customFormat="1" x14ac:dyDescent="0.2">
      <c r="A49" s="55">
        <v>48</v>
      </c>
      <c r="B49" s="55">
        <v>9</v>
      </c>
      <c r="C49" s="55" t="s">
        <v>349</v>
      </c>
      <c r="D49" s="4">
        <v>1</v>
      </c>
      <c r="E49" s="4">
        <v>1</v>
      </c>
      <c r="F49" s="55">
        <v>20</v>
      </c>
      <c r="G49" s="55" t="s">
        <v>88</v>
      </c>
    </row>
    <row r="50" spans="1:7" x14ac:dyDescent="0.2">
      <c r="A50" s="55">
        <v>49</v>
      </c>
      <c r="B50" s="55">
        <v>9</v>
      </c>
      <c r="C50" s="55" t="s">
        <v>352</v>
      </c>
      <c r="D50" s="4">
        <v>0</v>
      </c>
      <c r="E50" s="4">
        <v>1</v>
      </c>
      <c r="F50" s="55">
        <v>75</v>
      </c>
      <c r="G50" s="55" t="s">
        <v>88</v>
      </c>
    </row>
    <row r="51" spans="1:7" x14ac:dyDescent="0.2">
      <c r="A51" s="55">
        <v>50</v>
      </c>
      <c r="B51" s="55">
        <v>9</v>
      </c>
      <c r="C51" s="55" t="s">
        <v>353</v>
      </c>
      <c r="D51" s="4">
        <v>0</v>
      </c>
      <c r="E51" s="4">
        <v>1</v>
      </c>
      <c r="F51" s="55">
        <v>150</v>
      </c>
      <c r="G51" s="55" t="s">
        <v>88</v>
      </c>
    </row>
    <row r="52" spans="1:7" x14ac:dyDescent="0.2">
      <c r="A52" s="55">
        <v>51</v>
      </c>
      <c r="B52" s="55">
        <v>9</v>
      </c>
      <c r="C52" s="55" t="s">
        <v>354</v>
      </c>
      <c r="D52" s="4">
        <v>0</v>
      </c>
      <c r="E52" s="4">
        <v>1</v>
      </c>
      <c r="F52" s="55">
        <v>250</v>
      </c>
      <c r="G52" s="55" t="s">
        <v>88</v>
      </c>
    </row>
    <row r="53" spans="1:7" x14ac:dyDescent="0.2">
      <c r="A53" s="55">
        <v>52</v>
      </c>
      <c r="B53" s="55">
        <v>9</v>
      </c>
      <c r="C53" s="55" t="s">
        <v>347</v>
      </c>
      <c r="D53" s="4">
        <v>1</v>
      </c>
      <c r="E53" s="4">
        <v>1</v>
      </c>
      <c r="F53" s="55">
        <v>60</v>
      </c>
      <c r="G53" s="55" t="s">
        <v>88</v>
      </c>
    </row>
    <row r="54" spans="1:7" x14ac:dyDescent="0.2">
      <c r="A54" s="55">
        <v>53</v>
      </c>
      <c r="B54" s="55">
        <v>9</v>
      </c>
      <c r="C54" s="55" t="s">
        <v>348</v>
      </c>
      <c r="D54" s="4">
        <v>1</v>
      </c>
      <c r="E54" s="4">
        <v>1</v>
      </c>
      <c r="F54" s="55">
        <v>40</v>
      </c>
      <c r="G54" s="55" t="s">
        <v>88</v>
      </c>
    </row>
    <row r="55" spans="1:7" x14ac:dyDescent="0.2">
      <c r="A55" s="55">
        <v>54</v>
      </c>
      <c r="B55" s="55">
        <v>9</v>
      </c>
      <c r="C55" s="55" t="s">
        <v>350</v>
      </c>
      <c r="D55" s="4">
        <v>1</v>
      </c>
      <c r="E55" s="4">
        <v>1</v>
      </c>
      <c r="F55" s="55">
        <v>30</v>
      </c>
      <c r="G55" s="55" t="s">
        <v>88</v>
      </c>
    </row>
    <row r="56" spans="1:7" x14ac:dyDescent="0.2">
      <c r="A56" s="55">
        <v>55</v>
      </c>
      <c r="B56" s="55">
        <v>9</v>
      </c>
      <c r="C56" s="55" t="s">
        <v>349</v>
      </c>
      <c r="D56" s="4">
        <v>1</v>
      </c>
      <c r="E56" s="4">
        <v>1</v>
      </c>
      <c r="F56" s="55">
        <v>20</v>
      </c>
      <c r="G56" s="55" t="s">
        <v>88</v>
      </c>
    </row>
    <row r="57" spans="1:7" x14ac:dyDescent="0.2">
      <c r="A57" s="59">
        <v>56</v>
      </c>
      <c r="B57" s="59">
        <v>9</v>
      </c>
      <c r="C57" s="59" t="s">
        <v>367</v>
      </c>
      <c r="D57" s="60">
        <v>0</v>
      </c>
      <c r="E57" s="60">
        <v>1</v>
      </c>
      <c r="F57" s="59">
        <v>75</v>
      </c>
      <c r="G57" s="59" t="s">
        <v>88</v>
      </c>
    </row>
    <row r="58" spans="1:7" x14ac:dyDescent="0.2">
      <c r="A58" s="59">
        <v>57</v>
      </c>
      <c r="B58" s="59">
        <v>9</v>
      </c>
      <c r="C58" s="59" t="s">
        <v>368</v>
      </c>
      <c r="D58" s="60">
        <v>0</v>
      </c>
      <c r="E58" s="60">
        <v>1</v>
      </c>
      <c r="F58" s="59">
        <v>150</v>
      </c>
      <c r="G58" s="59" t="s">
        <v>88</v>
      </c>
    </row>
    <row r="59" spans="1:7" x14ac:dyDescent="0.2">
      <c r="A59" s="59">
        <v>58</v>
      </c>
      <c r="B59" s="59">
        <v>9</v>
      </c>
      <c r="C59" s="59" t="s">
        <v>369</v>
      </c>
      <c r="D59" s="60">
        <v>0</v>
      </c>
      <c r="E59" s="60">
        <v>1</v>
      </c>
      <c r="F59" s="59">
        <v>250</v>
      </c>
      <c r="G59" s="59" t="s">
        <v>88</v>
      </c>
    </row>
    <row r="60" spans="1:7" x14ac:dyDescent="0.2">
      <c r="A60" s="59">
        <v>59</v>
      </c>
      <c r="B60" s="59">
        <v>9</v>
      </c>
      <c r="C60" s="59" t="s">
        <v>380</v>
      </c>
      <c r="D60" s="60">
        <v>1</v>
      </c>
      <c r="E60" s="60">
        <v>1</v>
      </c>
      <c r="F60" s="59">
        <v>10</v>
      </c>
      <c r="G60" s="59" t="s">
        <v>88</v>
      </c>
    </row>
    <row r="61" spans="1:7" x14ac:dyDescent="0.2">
      <c r="A61">
        <v>60</v>
      </c>
      <c r="B61">
        <v>40</v>
      </c>
      <c r="C61" s="9" t="s">
        <v>393</v>
      </c>
      <c r="D61" s="4">
        <v>0</v>
      </c>
      <c r="E61" s="4">
        <v>1</v>
      </c>
      <c r="F61">
        <v>1000000</v>
      </c>
      <c r="G61" t="s">
        <v>395</v>
      </c>
    </row>
    <row r="62" spans="1:7" x14ac:dyDescent="0.2">
      <c r="A62">
        <v>61</v>
      </c>
      <c r="B62">
        <v>41</v>
      </c>
      <c r="C62" s="9" t="s">
        <v>394</v>
      </c>
      <c r="D62" s="4">
        <v>0</v>
      </c>
      <c r="E62" s="4">
        <v>1</v>
      </c>
      <c r="F62">
        <v>5000000</v>
      </c>
      <c r="G62" t="s">
        <v>396</v>
      </c>
    </row>
    <row r="63" spans="1:7" x14ac:dyDescent="0.2">
      <c r="A63">
        <v>62</v>
      </c>
      <c r="B63">
        <v>42</v>
      </c>
      <c r="C63" s="9" t="s">
        <v>392</v>
      </c>
      <c r="D63" s="4">
        <v>0</v>
      </c>
      <c r="E63" s="4">
        <v>1</v>
      </c>
      <c r="F63">
        <v>10000000</v>
      </c>
      <c r="G63" t="s">
        <v>397</v>
      </c>
    </row>
    <row r="64" spans="1:7" x14ac:dyDescent="0.2">
      <c r="A64">
        <v>63</v>
      </c>
      <c r="B64">
        <v>46</v>
      </c>
      <c r="C64" s="9" t="s">
        <v>383</v>
      </c>
      <c r="D64" s="4">
        <v>0</v>
      </c>
      <c r="E64" s="4">
        <v>1</v>
      </c>
      <c r="F64">
        <v>50000000</v>
      </c>
      <c r="G64" t="s">
        <v>398</v>
      </c>
    </row>
    <row r="65" spans="1:7" x14ac:dyDescent="0.2">
      <c r="A65">
        <v>64</v>
      </c>
      <c r="B65">
        <v>47</v>
      </c>
      <c r="C65" s="9" t="s">
        <v>384</v>
      </c>
      <c r="D65" s="4">
        <v>0</v>
      </c>
      <c r="E65" s="4">
        <v>1</v>
      </c>
      <c r="F65">
        <v>100000000</v>
      </c>
      <c r="G65" t="s">
        <v>399</v>
      </c>
    </row>
    <row r="66" spans="1:7" s="62" customFormat="1" x14ac:dyDescent="0.2">
      <c r="A66" s="62">
        <v>65</v>
      </c>
      <c r="B66" s="59">
        <v>9</v>
      </c>
      <c r="C66" s="59" t="s">
        <v>413</v>
      </c>
      <c r="D66" s="60">
        <v>0</v>
      </c>
      <c r="E66" s="60">
        <v>1</v>
      </c>
      <c r="F66" s="59">
        <v>75</v>
      </c>
      <c r="G66" s="59" t="s">
        <v>88</v>
      </c>
    </row>
    <row r="67" spans="1:7" x14ac:dyDescent="0.2">
      <c r="A67">
        <v>66</v>
      </c>
      <c r="B67" s="59">
        <v>9</v>
      </c>
      <c r="C67" s="59" t="s">
        <v>414</v>
      </c>
      <c r="D67" s="60">
        <v>0</v>
      </c>
      <c r="E67" s="60">
        <v>1</v>
      </c>
      <c r="F67" s="59">
        <v>150</v>
      </c>
      <c r="G67" s="59" t="s">
        <v>88</v>
      </c>
    </row>
    <row r="68" spans="1:7" x14ac:dyDescent="0.2">
      <c r="A68">
        <v>67</v>
      </c>
      <c r="B68" s="59">
        <v>9</v>
      </c>
      <c r="C68" s="59" t="s">
        <v>415</v>
      </c>
      <c r="D68" s="60">
        <v>0</v>
      </c>
      <c r="E68" s="60">
        <v>1</v>
      </c>
      <c r="F68" s="59">
        <v>250</v>
      </c>
      <c r="G68" s="59" t="s">
        <v>88</v>
      </c>
    </row>
    <row r="69" spans="1:7" x14ac:dyDescent="0.2">
      <c r="A69">
        <v>68</v>
      </c>
      <c r="B69" s="59">
        <v>9</v>
      </c>
      <c r="C69" s="59" t="s">
        <v>416</v>
      </c>
      <c r="D69" s="60">
        <v>1</v>
      </c>
      <c r="E69" s="60">
        <v>1</v>
      </c>
      <c r="F69" s="59">
        <v>10</v>
      </c>
      <c r="G69" s="59" t="s">
        <v>88</v>
      </c>
    </row>
    <row r="70" spans="1:7" s="65" customFormat="1" x14ac:dyDescent="0.2">
      <c r="A70">
        <v>69</v>
      </c>
      <c r="B70" s="65">
        <v>9</v>
      </c>
      <c r="C70" s="65" t="s">
        <v>421</v>
      </c>
      <c r="D70" s="66">
        <v>1</v>
      </c>
      <c r="E70" s="66">
        <v>1</v>
      </c>
      <c r="F70" s="65">
        <v>75</v>
      </c>
      <c r="G70" s="65" t="s">
        <v>418</v>
      </c>
    </row>
    <row r="71" spans="1:7" s="69" customFormat="1" x14ac:dyDescent="0.2">
      <c r="A71">
        <v>70</v>
      </c>
      <c r="B71" s="69">
        <v>9</v>
      </c>
      <c r="C71" s="69" t="s">
        <v>423</v>
      </c>
      <c r="D71" s="70">
        <v>0</v>
      </c>
      <c r="E71" s="70">
        <v>1</v>
      </c>
      <c r="F71" s="69">
        <v>75</v>
      </c>
      <c r="G71" s="69" t="s">
        <v>88</v>
      </c>
    </row>
    <row r="72" spans="1:7" s="69" customFormat="1" x14ac:dyDescent="0.2">
      <c r="A72">
        <v>71</v>
      </c>
      <c r="B72" s="69">
        <v>9</v>
      </c>
      <c r="C72" s="69" t="s">
        <v>424</v>
      </c>
      <c r="D72" s="70">
        <v>0</v>
      </c>
      <c r="E72" s="70">
        <v>1</v>
      </c>
      <c r="F72" s="69">
        <v>150</v>
      </c>
      <c r="G72" s="69" t="s">
        <v>88</v>
      </c>
    </row>
    <row r="73" spans="1:7" s="69" customFormat="1" x14ac:dyDescent="0.2">
      <c r="A73">
        <v>72</v>
      </c>
      <c r="B73" s="69">
        <v>9</v>
      </c>
      <c r="C73" s="69" t="s">
        <v>425</v>
      </c>
      <c r="D73" s="70">
        <v>0</v>
      </c>
      <c r="E73" s="70">
        <v>1</v>
      </c>
      <c r="F73" s="69">
        <v>250</v>
      </c>
      <c r="G73" s="69" t="s">
        <v>88</v>
      </c>
    </row>
    <row r="74" spans="1:7" s="69" customFormat="1" x14ac:dyDescent="0.2">
      <c r="A74">
        <v>73</v>
      </c>
      <c r="B74" s="69">
        <v>9</v>
      </c>
      <c r="C74" s="69" t="s">
        <v>426</v>
      </c>
      <c r="D74" s="70">
        <v>1</v>
      </c>
      <c r="E74" s="70">
        <v>1</v>
      </c>
      <c r="F74" s="69">
        <v>10</v>
      </c>
      <c r="G74" s="69" t="s">
        <v>88</v>
      </c>
    </row>
    <row r="75" spans="1:7" x14ac:dyDescent="0.2">
      <c r="A75">
        <v>74</v>
      </c>
      <c r="B75" s="29">
        <v>9</v>
      </c>
      <c r="C75" s="29" t="s">
        <v>503</v>
      </c>
      <c r="D75" s="80">
        <v>0</v>
      </c>
      <c r="E75" s="80">
        <v>1</v>
      </c>
      <c r="F75" s="29">
        <v>250</v>
      </c>
      <c r="G75" s="29" t="s">
        <v>88</v>
      </c>
    </row>
    <row r="76" spans="1:7" x14ac:dyDescent="0.2">
      <c r="A76">
        <v>75</v>
      </c>
      <c r="B76" s="29">
        <v>9</v>
      </c>
      <c r="C76" s="29" t="s">
        <v>504</v>
      </c>
      <c r="D76" s="80">
        <v>0</v>
      </c>
      <c r="E76" s="80">
        <v>1</v>
      </c>
      <c r="F76" s="29">
        <v>350</v>
      </c>
      <c r="G76" s="29" t="s">
        <v>88</v>
      </c>
    </row>
    <row r="77" spans="1:7" x14ac:dyDescent="0.2">
      <c r="A77">
        <v>76</v>
      </c>
      <c r="B77" s="29">
        <v>9</v>
      </c>
      <c r="C77" s="29" t="s">
        <v>505</v>
      </c>
      <c r="D77" s="80">
        <v>0</v>
      </c>
      <c r="E77" s="80">
        <v>1</v>
      </c>
      <c r="F77" s="29">
        <v>450</v>
      </c>
      <c r="G77" s="29" t="s">
        <v>88</v>
      </c>
    </row>
    <row r="78" spans="1:7" x14ac:dyDescent="0.2">
      <c r="A78">
        <v>77</v>
      </c>
      <c r="B78" s="29">
        <v>9</v>
      </c>
      <c r="C78" s="29" t="s">
        <v>506</v>
      </c>
      <c r="D78" s="80">
        <v>1</v>
      </c>
      <c r="E78" s="80">
        <v>1</v>
      </c>
      <c r="F78" s="29">
        <v>10</v>
      </c>
      <c r="G78" s="29" t="s">
        <v>88</v>
      </c>
    </row>
    <row r="79" spans="1:7" s="55" customFormat="1" x14ac:dyDescent="0.2">
      <c r="A79">
        <v>78</v>
      </c>
      <c r="B79" s="62">
        <v>9</v>
      </c>
      <c r="C79" s="62" t="s">
        <v>495</v>
      </c>
      <c r="D79" s="81">
        <v>0</v>
      </c>
      <c r="E79" s="81">
        <v>1</v>
      </c>
      <c r="F79" s="62">
        <v>250</v>
      </c>
      <c r="G79" s="62" t="s">
        <v>88</v>
      </c>
    </row>
    <row r="80" spans="1:7" s="55" customFormat="1" x14ac:dyDescent="0.2">
      <c r="A80">
        <v>79</v>
      </c>
      <c r="B80" s="62">
        <v>9</v>
      </c>
      <c r="C80" s="62" t="s">
        <v>496</v>
      </c>
      <c r="D80" s="81">
        <v>0</v>
      </c>
      <c r="E80" s="81">
        <v>1</v>
      </c>
      <c r="F80" s="62">
        <v>350</v>
      </c>
      <c r="G80" s="62" t="s">
        <v>88</v>
      </c>
    </row>
    <row r="81" spans="1:7" s="55" customFormat="1" x14ac:dyDescent="0.2">
      <c r="A81">
        <v>80</v>
      </c>
      <c r="B81" s="62">
        <v>9</v>
      </c>
      <c r="C81" s="62" t="s">
        <v>497</v>
      </c>
      <c r="D81" s="81">
        <v>0</v>
      </c>
      <c r="E81" s="81">
        <v>1</v>
      </c>
      <c r="F81" s="62">
        <v>450</v>
      </c>
      <c r="G81" s="62" t="s">
        <v>88</v>
      </c>
    </row>
    <row r="82" spans="1:7" s="55" customFormat="1" x14ac:dyDescent="0.2">
      <c r="A82">
        <v>81</v>
      </c>
      <c r="B82" s="62">
        <v>9</v>
      </c>
      <c r="C82" s="62" t="s">
        <v>498</v>
      </c>
      <c r="D82" s="81">
        <v>1</v>
      </c>
      <c r="E82" s="81">
        <v>1</v>
      </c>
      <c r="F82" s="62">
        <v>10</v>
      </c>
      <c r="G82" s="62" t="s">
        <v>88</v>
      </c>
    </row>
    <row r="83" spans="1:7" s="55" customFormat="1" x14ac:dyDescent="0.2">
      <c r="A83">
        <v>82</v>
      </c>
      <c r="B83" s="82">
        <v>9</v>
      </c>
      <c r="C83" s="82" t="s">
        <v>499</v>
      </c>
      <c r="D83" s="83">
        <v>0</v>
      </c>
      <c r="E83" s="83">
        <v>1</v>
      </c>
      <c r="F83" s="82">
        <v>250</v>
      </c>
      <c r="G83" s="82" t="s">
        <v>88</v>
      </c>
    </row>
    <row r="84" spans="1:7" s="55" customFormat="1" x14ac:dyDescent="0.2">
      <c r="A84">
        <v>83</v>
      </c>
      <c r="B84" s="82">
        <v>9</v>
      </c>
      <c r="C84" s="82" t="s">
        <v>500</v>
      </c>
      <c r="D84" s="83">
        <v>0</v>
      </c>
      <c r="E84" s="83">
        <v>1</v>
      </c>
      <c r="F84" s="82">
        <v>350</v>
      </c>
      <c r="G84" s="82" t="s">
        <v>88</v>
      </c>
    </row>
    <row r="85" spans="1:7" s="55" customFormat="1" x14ac:dyDescent="0.2">
      <c r="A85">
        <v>84</v>
      </c>
      <c r="B85" s="82">
        <v>9</v>
      </c>
      <c r="C85" s="82" t="s">
        <v>501</v>
      </c>
      <c r="D85" s="83">
        <v>0</v>
      </c>
      <c r="E85" s="83">
        <v>1</v>
      </c>
      <c r="F85" s="82">
        <v>450</v>
      </c>
      <c r="G85" s="82" t="s">
        <v>88</v>
      </c>
    </row>
    <row r="86" spans="1:7" s="55" customFormat="1" x14ac:dyDescent="0.2">
      <c r="A86">
        <v>85</v>
      </c>
      <c r="B86" s="82">
        <v>9</v>
      </c>
      <c r="C86" s="82" t="s">
        <v>502</v>
      </c>
      <c r="D86" s="83">
        <v>1</v>
      </c>
      <c r="E86" s="83">
        <v>1</v>
      </c>
      <c r="F86" s="82">
        <v>10</v>
      </c>
      <c r="G86" s="82" t="s">
        <v>88</v>
      </c>
    </row>
    <row r="87" spans="1:7" s="65" customFormat="1" x14ac:dyDescent="0.2">
      <c r="A87">
        <v>86</v>
      </c>
      <c r="B87" s="65">
        <v>9</v>
      </c>
      <c r="C87" s="65" t="s">
        <v>494</v>
      </c>
      <c r="D87" s="66">
        <v>1</v>
      </c>
      <c r="E87" s="66">
        <v>1</v>
      </c>
      <c r="F87" s="65">
        <v>200</v>
      </c>
      <c r="G87" s="65" t="s">
        <v>490</v>
      </c>
    </row>
    <row r="88" spans="1:7" s="55" customFormat="1" x14ac:dyDescent="0.2">
      <c r="A88" s="55">
        <v>87</v>
      </c>
      <c r="B88" s="82">
        <v>9</v>
      </c>
      <c r="C88" s="65" t="s">
        <v>520</v>
      </c>
      <c r="D88" s="4">
        <v>0</v>
      </c>
      <c r="E88" s="4">
        <v>1</v>
      </c>
      <c r="F88" s="82">
        <v>10</v>
      </c>
      <c r="G88" s="82" t="s">
        <v>519</v>
      </c>
    </row>
    <row r="89" spans="1:7" s="55" customFormat="1" x14ac:dyDescent="0.2">
      <c r="D89" s="4"/>
      <c r="E89" s="4"/>
    </row>
    <row r="90" spans="1:7" s="55" customFormat="1" x14ac:dyDescent="0.2">
      <c r="D90" s="4"/>
      <c r="E90" s="4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C37" sqref="C37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89</v>
      </c>
      <c r="C1" s="1" t="s">
        <v>90</v>
      </c>
      <c r="D1" s="1" t="s">
        <v>91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6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69"/>
  <sheetViews>
    <sheetView zoomScaleNormal="100" workbookViewId="0">
      <pane ySplit="1" topLeftCell="A50" activePane="bottomLeft" state="frozen"/>
      <selection pane="bottomLeft" activeCell="F63" sqref="F63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17</v>
      </c>
      <c r="B1" s="1" t="s">
        <v>15</v>
      </c>
      <c r="C1" s="1" t="s">
        <v>76</v>
      </c>
      <c r="D1" s="1" t="s">
        <v>0</v>
      </c>
      <c r="E1" s="1" t="s">
        <v>7</v>
      </c>
      <c r="F1" s="1" t="s">
        <v>84</v>
      </c>
      <c r="G1" s="8" t="s">
        <v>85</v>
      </c>
    </row>
    <row r="2" spans="1:7" s="13" customFormat="1" x14ac:dyDescent="0.2">
      <c r="A2" s="13">
        <v>1</v>
      </c>
      <c r="B2" s="13">
        <v>1</v>
      </c>
      <c r="C2" s="13">
        <v>2</v>
      </c>
      <c r="D2" s="13">
        <f>IF(C2,1/C2,0)</f>
        <v>0.5</v>
      </c>
      <c r="E2" s="14" t="s">
        <v>183</v>
      </c>
      <c r="F2" s="13">
        <f>C2</f>
        <v>2</v>
      </c>
      <c r="G2" s="13">
        <v>0</v>
      </c>
    </row>
    <row r="3" spans="1:7" s="13" customFormat="1" x14ac:dyDescent="0.2">
      <c r="A3" s="13">
        <v>2</v>
      </c>
      <c r="B3" s="13">
        <v>1</v>
      </c>
      <c r="C3" s="13">
        <v>2</v>
      </c>
      <c r="D3" s="13">
        <f t="shared" ref="D3:D35" si="0">IF(C3,1/C3,0)</f>
        <v>0.5</v>
      </c>
      <c r="E3" s="14" t="s">
        <v>184</v>
      </c>
      <c r="F3" s="13">
        <f t="shared" ref="F3:F37" si="1">C3</f>
        <v>2</v>
      </c>
      <c r="G3" s="13">
        <v>0</v>
      </c>
    </row>
    <row r="4" spans="1:7" s="13" customFormat="1" x14ac:dyDescent="0.2">
      <c r="A4" s="13">
        <v>3</v>
      </c>
      <c r="B4" s="13">
        <v>1</v>
      </c>
      <c r="C4" s="13">
        <v>3</v>
      </c>
      <c r="D4" s="13">
        <f t="shared" si="0"/>
        <v>0.33333333333333331</v>
      </c>
      <c r="E4" s="14" t="s">
        <v>8</v>
      </c>
      <c r="F4" s="13">
        <f t="shared" si="1"/>
        <v>3</v>
      </c>
      <c r="G4" s="13">
        <v>0</v>
      </c>
    </row>
    <row r="5" spans="1:7" s="13" customFormat="1" x14ac:dyDescent="0.2">
      <c r="A5" s="13">
        <v>4</v>
      </c>
      <c r="B5" s="13">
        <v>1</v>
      </c>
      <c r="C5" s="13">
        <v>4</v>
      </c>
      <c r="D5" s="13">
        <f t="shared" si="0"/>
        <v>0.25</v>
      </c>
      <c r="E5" s="14" t="s">
        <v>185</v>
      </c>
      <c r="F5" s="13">
        <f t="shared" si="1"/>
        <v>4</v>
      </c>
      <c r="G5" s="13">
        <v>0</v>
      </c>
    </row>
    <row r="6" spans="1:7" s="13" customFormat="1" x14ac:dyDescent="0.2">
      <c r="A6" s="13">
        <v>5</v>
      </c>
      <c r="B6" s="13">
        <v>1</v>
      </c>
      <c r="C6" s="13">
        <v>5</v>
      </c>
      <c r="D6" s="13">
        <f t="shared" si="0"/>
        <v>0.2</v>
      </c>
      <c r="E6" s="14" t="s">
        <v>186</v>
      </c>
      <c r="F6" s="13">
        <f t="shared" si="1"/>
        <v>5</v>
      </c>
      <c r="G6" s="13">
        <v>0</v>
      </c>
    </row>
    <row r="7" spans="1:7" s="13" customFormat="1" x14ac:dyDescent="0.2">
      <c r="A7" s="13">
        <v>6</v>
      </c>
      <c r="B7" s="13">
        <v>1</v>
      </c>
      <c r="C7" s="13">
        <v>6</v>
      </c>
      <c r="D7" s="13">
        <f t="shared" si="0"/>
        <v>0.16666666666666666</v>
      </c>
      <c r="E7" s="14" t="s">
        <v>108</v>
      </c>
      <c r="F7" s="13">
        <f t="shared" si="1"/>
        <v>6</v>
      </c>
      <c r="G7" s="13">
        <v>0</v>
      </c>
    </row>
    <row r="8" spans="1:7" s="13" customFormat="1" x14ac:dyDescent="0.2">
      <c r="A8" s="13">
        <v>7</v>
      </c>
      <c r="B8" s="13">
        <v>1</v>
      </c>
      <c r="C8" s="13">
        <v>7</v>
      </c>
      <c r="D8" s="13">
        <f t="shared" si="0"/>
        <v>0.14285714285714285</v>
      </c>
      <c r="E8" s="14" t="s">
        <v>187</v>
      </c>
      <c r="F8" s="13">
        <f t="shared" si="1"/>
        <v>7</v>
      </c>
      <c r="G8" s="13">
        <v>0</v>
      </c>
    </row>
    <row r="9" spans="1:7" s="13" customFormat="1" x14ac:dyDescent="0.2">
      <c r="A9" s="13">
        <v>8</v>
      </c>
      <c r="B9" s="13">
        <v>1</v>
      </c>
      <c r="C9" s="13">
        <v>8</v>
      </c>
      <c r="D9" s="13">
        <f t="shared" si="0"/>
        <v>0.125</v>
      </c>
      <c r="E9" s="14" t="s">
        <v>188</v>
      </c>
      <c r="F9" s="13">
        <f t="shared" si="1"/>
        <v>8</v>
      </c>
      <c r="G9" s="13">
        <v>0</v>
      </c>
    </row>
    <row r="10" spans="1:7" s="13" customFormat="1" x14ac:dyDescent="0.2">
      <c r="A10" s="13">
        <v>9</v>
      </c>
      <c r="B10" s="13">
        <v>1</v>
      </c>
      <c r="C10" s="13">
        <v>10</v>
      </c>
      <c r="D10" s="13">
        <f t="shared" si="0"/>
        <v>0.1</v>
      </c>
      <c r="E10" s="14" t="s">
        <v>189</v>
      </c>
      <c r="F10" s="13">
        <f t="shared" si="1"/>
        <v>10</v>
      </c>
      <c r="G10" s="13">
        <v>0</v>
      </c>
    </row>
    <row r="11" spans="1:7" s="13" customFormat="1" x14ac:dyDescent="0.2">
      <c r="A11" s="13">
        <v>10</v>
      </c>
      <c r="B11" s="13">
        <v>1</v>
      </c>
      <c r="C11" s="13">
        <v>12</v>
      </c>
      <c r="D11" s="13">
        <f t="shared" si="0"/>
        <v>8.3333333333333329E-2</v>
      </c>
      <c r="E11" s="14" t="s">
        <v>190</v>
      </c>
      <c r="F11" s="13">
        <f t="shared" si="1"/>
        <v>12</v>
      </c>
      <c r="G11" s="13">
        <v>0</v>
      </c>
    </row>
    <row r="12" spans="1:7" s="13" customFormat="1" x14ac:dyDescent="0.2">
      <c r="A12" s="13">
        <v>11</v>
      </c>
      <c r="B12" s="13">
        <v>1</v>
      </c>
      <c r="C12" s="13">
        <v>15</v>
      </c>
      <c r="D12" s="13">
        <f t="shared" si="0"/>
        <v>6.6666666666666666E-2</v>
      </c>
      <c r="E12" s="14" t="s">
        <v>191</v>
      </c>
      <c r="F12" s="13">
        <f t="shared" si="1"/>
        <v>15</v>
      </c>
      <c r="G12" s="13">
        <v>0</v>
      </c>
    </row>
    <row r="13" spans="1:7" s="13" customFormat="1" x14ac:dyDescent="0.2">
      <c r="A13" s="13">
        <v>12</v>
      </c>
      <c r="B13" s="13">
        <v>1</v>
      </c>
      <c r="C13" s="13">
        <v>18</v>
      </c>
      <c r="D13" s="13">
        <f t="shared" si="0"/>
        <v>5.5555555555555552E-2</v>
      </c>
      <c r="E13" s="14" t="s">
        <v>192</v>
      </c>
      <c r="F13" s="13">
        <f t="shared" si="1"/>
        <v>18</v>
      </c>
      <c r="G13" s="13">
        <v>0</v>
      </c>
    </row>
    <row r="14" spans="1:7" s="13" customFormat="1" x14ac:dyDescent="0.2">
      <c r="A14" s="13">
        <v>13</v>
      </c>
      <c r="B14" s="13">
        <v>1</v>
      </c>
      <c r="C14" s="13">
        <v>20</v>
      </c>
      <c r="D14" s="13">
        <f t="shared" si="0"/>
        <v>0.05</v>
      </c>
      <c r="E14" s="15" t="s">
        <v>107</v>
      </c>
      <c r="F14" s="13">
        <f t="shared" si="1"/>
        <v>20</v>
      </c>
      <c r="G14" s="13">
        <v>0</v>
      </c>
    </row>
    <row r="15" spans="1:7" s="13" customFormat="1" x14ac:dyDescent="0.2">
      <c r="A15" s="13">
        <v>14</v>
      </c>
      <c r="B15" s="13">
        <v>1</v>
      </c>
      <c r="C15" s="13">
        <v>25</v>
      </c>
      <c r="D15" s="13">
        <f t="shared" si="0"/>
        <v>0.04</v>
      </c>
      <c r="E15" s="14" t="s">
        <v>193</v>
      </c>
      <c r="F15" s="13">
        <f t="shared" si="1"/>
        <v>25</v>
      </c>
      <c r="G15" s="13">
        <v>0</v>
      </c>
    </row>
    <row r="16" spans="1:7" s="13" customFormat="1" x14ac:dyDescent="0.2">
      <c r="A16" s="13">
        <v>15</v>
      </c>
      <c r="B16" s="13">
        <v>1</v>
      </c>
      <c r="C16" s="13">
        <v>30</v>
      </c>
      <c r="D16" s="13">
        <f t="shared" si="0"/>
        <v>3.3333333333333333E-2</v>
      </c>
      <c r="E16" s="14" t="s">
        <v>194</v>
      </c>
      <c r="F16" s="13">
        <f t="shared" si="1"/>
        <v>30</v>
      </c>
      <c r="G16" s="13">
        <v>0</v>
      </c>
    </row>
    <row r="17" spans="1:8" s="13" customFormat="1" x14ac:dyDescent="0.2">
      <c r="A17" s="13">
        <v>16</v>
      </c>
      <c r="B17" s="13">
        <v>1</v>
      </c>
      <c r="C17" s="13">
        <v>35</v>
      </c>
      <c r="D17" s="13">
        <f t="shared" si="0"/>
        <v>2.8571428571428571E-2</v>
      </c>
      <c r="E17" s="14" t="s">
        <v>195</v>
      </c>
      <c r="F17" s="13">
        <f t="shared" si="1"/>
        <v>35</v>
      </c>
      <c r="G17" s="13">
        <v>0</v>
      </c>
      <c r="H17" s="13" t="s">
        <v>169</v>
      </c>
    </row>
    <row r="18" spans="1:8" s="13" customFormat="1" x14ac:dyDescent="0.2">
      <c r="A18" s="13">
        <v>17</v>
      </c>
      <c r="B18" s="13">
        <v>1</v>
      </c>
      <c r="C18" s="13">
        <v>40</v>
      </c>
      <c r="D18" s="13">
        <f t="shared" si="0"/>
        <v>2.5000000000000001E-2</v>
      </c>
      <c r="E18" s="14" t="s">
        <v>9</v>
      </c>
      <c r="F18" s="13">
        <f t="shared" si="1"/>
        <v>40</v>
      </c>
      <c r="G18" s="13">
        <v>0</v>
      </c>
    </row>
    <row r="19" spans="1:8" s="13" customFormat="1" x14ac:dyDescent="0.2">
      <c r="A19" s="13">
        <v>18</v>
      </c>
      <c r="B19" s="13">
        <v>1</v>
      </c>
      <c r="C19" s="13">
        <v>60</v>
      </c>
      <c r="D19" s="13">
        <f t="shared" si="0"/>
        <v>1.6666666666666666E-2</v>
      </c>
      <c r="E19" s="14" t="s">
        <v>50</v>
      </c>
      <c r="F19" s="13">
        <f t="shared" si="1"/>
        <v>60</v>
      </c>
      <c r="G19" s="13">
        <v>0</v>
      </c>
    </row>
    <row r="20" spans="1:8" s="13" customFormat="1" x14ac:dyDescent="0.2">
      <c r="A20" s="13">
        <v>19</v>
      </c>
      <c r="B20" s="13">
        <v>1</v>
      </c>
      <c r="C20" s="13">
        <v>0</v>
      </c>
      <c r="D20" s="13">
        <f t="shared" si="0"/>
        <v>0</v>
      </c>
      <c r="E20" s="12" t="s">
        <v>109</v>
      </c>
      <c r="F20" s="13">
        <f t="shared" si="1"/>
        <v>0</v>
      </c>
      <c r="G20" s="13">
        <v>0</v>
      </c>
    </row>
    <row r="21" spans="1:8" s="13" customFormat="1" x14ac:dyDescent="0.2">
      <c r="A21" s="13">
        <v>20</v>
      </c>
      <c r="B21" s="13">
        <v>1</v>
      </c>
      <c r="C21" s="13">
        <v>60</v>
      </c>
      <c r="D21" s="13">
        <f t="shared" si="0"/>
        <v>1.6666666666666666E-2</v>
      </c>
      <c r="E21" s="15" t="s">
        <v>214</v>
      </c>
      <c r="F21" s="13">
        <f t="shared" si="1"/>
        <v>60</v>
      </c>
      <c r="G21" s="13">
        <v>0</v>
      </c>
    </row>
    <row r="22" spans="1:8" s="13" customFormat="1" x14ac:dyDescent="0.2">
      <c r="A22" s="13">
        <v>21</v>
      </c>
      <c r="B22" s="13">
        <v>1</v>
      </c>
      <c r="C22" s="13">
        <v>0</v>
      </c>
      <c r="D22" s="13">
        <f t="shared" si="0"/>
        <v>0</v>
      </c>
      <c r="E22" s="14" t="s">
        <v>196</v>
      </c>
      <c r="F22" s="13">
        <f t="shared" si="1"/>
        <v>0</v>
      </c>
      <c r="G22" s="13">
        <v>0</v>
      </c>
    </row>
    <row r="23" spans="1:8" s="13" customFormat="1" x14ac:dyDescent="0.2">
      <c r="A23" s="13">
        <v>22</v>
      </c>
      <c r="B23" s="13">
        <v>1</v>
      </c>
      <c r="C23" s="13">
        <v>60</v>
      </c>
      <c r="D23" s="13">
        <f t="shared" si="0"/>
        <v>1.6666666666666666E-2</v>
      </c>
      <c r="E23" s="14" t="s">
        <v>197</v>
      </c>
      <c r="F23" s="13">
        <f t="shared" si="1"/>
        <v>60</v>
      </c>
      <c r="G23" s="13">
        <v>0</v>
      </c>
    </row>
    <row r="24" spans="1:8" s="13" customFormat="1" x14ac:dyDescent="0.2">
      <c r="A24" s="13">
        <v>23</v>
      </c>
      <c r="B24" s="13">
        <v>1</v>
      </c>
      <c r="C24" s="13">
        <v>60</v>
      </c>
      <c r="D24" s="13">
        <f t="shared" si="0"/>
        <v>1.6666666666666666E-2</v>
      </c>
      <c r="E24" s="14" t="s">
        <v>198</v>
      </c>
      <c r="F24" s="13">
        <f t="shared" si="1"/>
        <v>60</v>
      </c>
      <c r="G24" s="13">
        <v>0</v>
      </c>
    </row>
    <row r="25" spans="1:8" s="13" customFormat="1" x14ac:dyDescent="0.2">
      <c r="A25" s="13">
        <v>24</v>
      </c>
      <c r="B25" s="13">
        <v>1</v>
      </c>
      <c r="C25" s="13" t="s">
        <v>212</v>
      </c>
      <c r="D25" s="13" t="s">
        <v>213</v>
      </c>
      <c r="E25" s="14" t="s">
        <v>199</v>
      </c>
      <c r="F25" s="13" t="s">
        <v>212</v>
      </c>
      <c r="G25" s="13">
        <v>0</v>
      </c>
    </row>
    <row r="26" spans="1:8" s="13" customFormat="1" x14ac:dyDescent="0.2">
      <c r="A26" s="13">
        <v>25</v>
      </c>
      <c r="B26" s="13">
        <v>1</v>
      </c>
      <c r="C26" s="13">
        <v>80</v>
      </c>
      <c r="D26" s="13">
        <f t="shared" si="0"/>
        <v>1.2500000000000001E-2</v>
      </c>
      <c r="E26" s="14" t="s">
        <v>111</v>
      </c>
      <c r="F26" s="13">
        <f t="shared" si="1"/>
        <v>80</v>
      </c>
      <c r="G26" s="13">
        <v>0</v>
      </c>
    </row>
    <row r="27" spans="1:8" s="13" customFormat="1" x14ac:dyDescent="0.2">
      <c r="A27" s="13">
        <v>26</v>
      </c>
      <c r="B27" s="13">
        <v>1</v>
      </c>
      <c r="C27" s="13">
        <v>100</v>
      </c>
      <c r="D27" s="13">
        <f t="shared" si="0"/>
        <v>0.01</v>
      </c>
      <c r="E27" s="14" t="s">
        <v>110</v>
      </c>
      <c r="F27" s="13">
        <f t="shared" si="1"/>
        <v>100</v>
      </c>
      <c r="G27" s="13">
        <v>0</v>
      </c>
    </row>
    <row r="28" spans="1:8" s="13" customFormat="1" x14ac:dyDescent="0.2">
      <c r="A28" s="13">
        <v>27</v>
      </c>
      <c r="B28" s="13">
        <v>1</v>
      </c>
      <c r="C28" s="13">
        <v>100</v>
      </c>
      <c r="D28" s="13">
        <f t="shared" si="0"/>
        <v>0.01</v>
      </c>
      <c r="E28" s="14" t="s">
        <v>200</v>
      </c>
      <c r="F28" s="13">
        <f t="shared" si="1"/>
        <v>100</v>
      </c>
      <c r="G28" s="13">
        <v>0</v>
      </c>
    </row>
    <row r="29" spans="1:8" s="13" customFormat="1" x14ac:dyDescent="0.2">
      <c r="A29" s="13">
        <v>28</v>
      </c>
      <c r="B29" s="13">
        <v>1</v>
      </c>
      <c r="C29" s="13">
        <v>0</v>
      </c>
      <c r="D29" s="13">
        <f t="shared" si="0"/>
        <v>0</v>
      </c>
      <c r="E29" s="13" t="s">
        <v>114</v>
      </c>
      <c r="F29" s="13">
        <f t="shared" si="1"/>
        <v>0</v>
      </c>
      <c r="G29" s="13">
        <v>0</v>
      </c>
    </row>
    <row r="30" spans="1:8" s="13" customFormat="1" x14ac:dyDescent="0.2">
      <c r="A30" s="13">
        <v>29</v>
      </c>
      <c r="B30" s="13">
        <v>1</v>
      </c>
      <c r="C30" s="13">
        <v>0</v>
      </c>
      <c r="D30" s="13">
        <f t="shared" si="0"/>
        <v>0</v>
      </c>
      <c r="E30" s="12" t="s">
        <v>113</v>
      </c>
      <c r="F30" s="13">
        <f t="shared" si="1"/>
        <v>0</v>
      </c>
      <c r="G30" s="13">
        <v>0</v>
      </c>
    </row>
    <row r="31" spans="1:8" s="13" customFormat="1" x14ac:dyDescent="0.2">
      <c r="A31" s="13">
        <v>30</v>
      </c>
      <c r="B31" s="13">
        <v>1</v>
      </c>
      <c r="C31" s="13">
        <v>0</v>
      </c>
      <c r="D31" s="13">
        <f t="shared" si="0"/>
        <v>0</v>
      </c>
      <c r="E31" s="12" t="s">
        <v>115</v>
      </c>
      <c r="F31" s="13">
        <f t="shared" si="1"/>
        <v>0</v>
      </c>
      <c r="G31" s="13">
        <v>0</v>
      </c>
    </row>
    <row r="32" spans="1:8" s="13" customFormat="1" x14ac:dyDescent="0.2">
      <c r="A32" s="13">
        <v>31</v>
      </c>
      <c r="B32" s="13">
        <v>1</v>
      </c>
      <c r="C32" s="13">
        <v>0</v>
      </c>
      <c r="D32" s="13">
        <f t="shared" si="0"/>
        <v>0</v>
      </c>
      <c r="E32" s="12" t="s">
        <v>117</v>
      </c>
      <c r="F32" s="13">
        <f t="shared" si="1"/>
        <v>0</v>
      </c>
      <c r="G32" s="13">
        <v>0</v>
      </c>
    </row>
    <row r="33" spans="1:7" s="13" customFormat="1" x14ac:dyDescent="0.2">
      <c r="A33" s="13">
        <v>32</v>
      </c>
      <c r="B33" s="13">
        <v>1</v>
      </c>
      <c r="C33" s="13">
        <v>0</v>
      </c>
      <c r="D33" s="13">
        <f t="shared" si="0"/>
        <v>0</v>
      </c>
      <c r="E33" s="13" t="s">
        <v>220</v>
      </c>
      <c r="F33" s="13">
        <f t="shared" si="1"/>
        <v>0</v>
      </c>
      <c r="G33" s="13">
        <v>0</v>
      </c>
    </row>
    <row r="34" spans="1:7" s="13" customFormat="1" x14ac:dyDescent="0.2">
      <c r="A34" s="13">
        <v>33</v>
      </c>
      <c r="B34" s="13">
        <v>1</v>
      </c>
      <c r="C34" s="13">
        <v>0</v>
      </c>
      <c r="D34" s="13">
        <f t="shared" si="0"/>
        <v>0</v>
      </c>
      <c r="E34" s="13" t="s">
        <v>112</v>
      </c>
      <c r="F34" s="13">
        <f t="shared" si="1"/>
        <v>0</v>
      </c>
      <c r="G34" s="13">
        <v>0</v>
      </c>
    </row>
    <row r="35" spans="1:7" s="13" customFormat="1" x14ac:dyDescent="0.2">
      <c r="A35" s="13">
        <v>34</v>
      </c>
      <c r="B35" s="13">
        <v>1</v>
      </c>
      <c r="C35" s="13">
        <v>0</v>
      </c>
      <c r="D35" s="13">
        <f t="shared" si="0"/>
        <v>0</v>
      </c>
      <c r="E35" s="13" t="s">
        <v>201</v>
      </c>
      <c r="F35" s="13">
        <v>0</v>
      </c>
      <c r="G35" s="13">
        <v>0</v>
      </c>
    </row>
    <row r="36" spans="1:7" s="13" customFormat="1" x14ac:dyDescent="0.2">
      <c r="A36" s="13">
        <v>35</v>
      </c>
      <c r="B36" s="13">
        <v>1</v>
      </c>
      <c r="C36" s="13">
        <v>0</v>
      </c>
      <c r="D36" s="13">
        <f t="shared" ref="D36" si="2">IF(C36,1/C36,0)</f>
        <v>0</v>
      </c>
      <c r="E36" s="15" t="s">
        <v>202</v>
      </c>
      <c r="F36" s="13">
        <f t="shared" si="1"/>
        <v>0</v>
      </c>
      <c r="G36" s="13">
        <v>0</v>
      </c>
    </row>
    <row r="37" spans="1:7" s="13" customFormat="1" x14ac:dyDescent="0.2">
      <c r="A37" s="13">
        <v>36</v>
      </c>
      <c r="B37" s="13">
        <v>1</v>
      </c>
      <c r="C37" s="13">
        <v>0</v>
      </c>
      <c r="D37" s="13">
        <f t="shared" ref="D37:D57" si="3">IF(C37,1/C37,0)</f>
        <v>0</v>
      </c>
      <c r="E37" s="15" t="s">
        <v>203</v>
      </c>
      <c r="F37" s="13">
        <f t="shared" si="1"/>
        <v>0</v>
      </c>
      <c r="G37" s="13">
        <v>0</v>
      </c>
    </row>
    <row r="38" spans="1:7" s="13" customFormat="1" x14ac:dyDescent="0.2">
      <c r="A38" s="13">
        <v>37</v>
      </c>
      <c r="B38" s="13">
        <v>1</v>
      </c>
      <c r="C38" s="13">
        <v>0</v>
      </c>
      <c r="D38" s="13">
        <f t="shared" si="3"/>
        <v>0</v>
      </c>
      <c r="E38" s="13" t="s">
        <v>182</v>
      </c>
      <c r="F38" s="13">
        <f t="shared" ref="F38:F51" si="4">C38</f>
        <v>0</v>
      </c>
      <c r="G38" s="13">
        <v>0</v>
      </c>
    </row>
    <row r="39" spans="1:7" s="13" customFormat="1" x14ac:dyDescent="0.2">
      <c r="A39" s="13">
        <v>38</v>
      </c>
      <c r="B39" s="13">
        <v>1</v>
      </c>
      <c r="C39" s="13">
        <v>100</v>
      </c>
      <c r="D39" s="13">
        <f t="shared" si="3"/>
        <v>0.01</v>
      </c>
      <c r="E39" s="13" t="s">
        <v>116</v>
      </c>
      <c r="F39" s="13">
        <f t="shared" si="4"/>
        <v>100</v>
      </c>
      <c r="G39" s="13">
        <v>0</v>
      </c>
    </row>
    <row r="40" spans="1:7" s="13" customFormat="1" x14ac:dyDescent="0.2">
      <c r="A40" s="13">
        <v>39</v>
      </c>
      <c r="B40" s="13">
        <v>1</v>
      </c>
      <c r="C40" s="13">
        <v>100</v>
      </c>
      <c r="D40" s="13">
        <f t="shared" si="3"/>
        <v>0.01</v>
      </c>
      <c r="E40" s="13" t="s">
        <v>204</v>
      </c>
      <c r="F40" s="13">
        <f t="shared" si="4"/>
        <v>100</v>
      </c>
      <c r="G40" s="13">
        <v>0</v>
      </c>
    </row>
    <row r="41" spans="1:7" s="13" customFormat="1" x14ac:dyDescent="0.2">
      <c r="A41" s="13">
        <v>40</v>
      </c>
      <c r="B41" s="13">
        <v>1</v>
      </c>
      <c r="C41" s="13">
        <v>300</v>
      </c>
      <c r="D41" s="13">
        <f t="shared" si="3"/>
        <v>3.3333333333333335E-3</v>
      </c>
      <c r="E41" s="13" t="s">
        <v>239</v>
      </c>
      <c r="F41" s="13">
        <f t="shared" si="4"/>
        <v>300</v>
      </c>
      <c r="G41" s="13">
        <v>0</v>
      </c>
    </row>
    <row r="42" spans="1:7" s="13" customFormat="1" x14ac:dyDescent="0.2">
      <c r="A42" s="13">
        <v>41</v>
      </c>
      <c r="B42" s="13">
        <v>1</v>
      </c>
      <c r="C42" s="13">
        <v>200</v>
      </c>
      <c r="D42" s="13">
        <f t="shared" si="3"/>
        <v>5.0000000000000001E-3</v>
      </c>
      <c r="E42" s="13" t="s">
        <v>205</v>
      </c>
      <c r="F42" s="13">
        <f t="shared" si="4"/>
        <v>200</v>
      </c>
      <c r="G42" s="13">
        <v>0</v>
      </c>
    </row>
    <row r="43" spans="1:7" s="13" customFormat="1" x14ac:dyDescent="0.2">
      <c r="A43" s="13">
        <v>42</v>
      </c>
      <c r="B43" s="13">
        <v>1</v>
      </c>
      <c r="C43" s="13">
        <v>0</v>
      </c>
      <c r="D43" s="13">
        <f t="shared" si="3"/>
        <v>0</v>
      </c>
      <c r="E43" s="13" t="s">
        <v>206</v>
      </c>
      <c r="F43" s="13">
        <f t="shared" si="4"/>
        <v>0</v>
      </c>
      <c r="G43" s="13">
        <v>0</v>
      </c>
    </row>
    <row r="44" spans="1:7" s="13" customFormat="1" x14ac:dyDescent="0.2">
      <c r="A44" s="13">
        <v>43</v>
      </c>
      <c r="B44" s="13">
        <v>1</v>
      </c>
      <c r="C44" s="13">
        <v>200</v>
      </c>
      <c r="D44" s="13">
        <f t="shared" si="3"/>
        <v>5.0000000000000001E-3</v>
      </c>
      <c r="E44" s="13" t="s">
        <v>207</v>
      </c>
      <c r="F44" s="13">
        <f t="shared" si="4"/>
        <v>200</v>
      </c>
      <c r="G44" s="13">
        <v>0</v>
      </c>
    </row>
    <row r="45" spans="1:7" s="13" customFormat="1" x14ac:dyDescent="0.2">
      <c r="A45" s="13">
        <v>44</v>
      </c>
      <c r="B45" s="13">
        <v>1</v>
      </c>
      <c r="C45" s="13">
        <v>0</v>
      </c>
      <c r="D45" s="13">
        <f t="shared" si="3"/>
        <v>0</v>
      </c>
      <c r="E45" s="13" t="s">
        <v>208</v>
      </c>
      <c r="F45" s="13">
        <f t="shared" si="4"/>
        <v>0</v>
      </c>
      <c r="G45" s="13">
        <v>0</v>
      </c>
    </row>
    <row r="46" spans="1:7" s="13" customFormat="1" x14ac:dyDescent="0.2">
      <c r="A46" s="13">
        <v>45</v>
      </c>
      <c r="B46" s="13">
        <v>1</v>
      </c>
      <c r="C46" s="13">
        <v>0</v>
      </c>
      <c r="D46" s="13">
        <f t="shared" si="3"/>
        <v>0</v>
      </c>
      <c r="E46" s="13" t="s">
        <v>209</v>
      </c>
      <c r="F46" s="13">
        <f t="shared" si="4"/>
        <v>0</v>
      </c>
      <c r="G46" s="13">
        <v>0</v>
      </c>
    </row>
    <row r="47" spans="1:7" s="13" customFormat="1" x14ac:dyDescent="0.2">
      <c r="A47" s="13">
        <v>46</v>
      </c>
      <c r="B47" s="13">
        <v>1</v>
      </c>
      <c r="C47" s="13">
        <v>200</v>
      </c>
      <c r="D47" s="13">
        <f t="shared" si="3"/>
        <v>5.0000000000000001E-3</v>
      </c>
      <c r="E47" s="13" t="s">
        <v>111</v>
      </c>
      <c r="F47" s="13">
        <f t="shared" si="4"/>
        <v>200</v>
      </c>
      <c r="G47" s="13">
        <v>0</v>
      </c>
    </row>
    <row r="48" spans="1:7" s="13" customFormat="1" x14ac:dyDescent="0.2">
      <c r="A48" s="13">
        <v>47</v>
      </c>
      <c r="B48" s="13">
        <v>1</v>
      </c>
      <c r="C48" s="13">
        <v>150</v>
      </c>
      <c r="D48" s="13">
        <f t="shared" si="3"/>
        <v>6.6666666666666671E-3</v>
      </c>
      <c r="E48" s="13" t="s">
        <v>240</v>
      </c>
      <c r="F48" s="13">
        <f t="shared" si="4"/>
        <v>150</v>
      </c>
      <c r="G48" s="13">
        <v>0</v>
      </c>
    </row>
    <row r="49" spans="1:7" s="13" customFormat="1" x14ac:dyDescent="0.2">
      <c r="A49" s="13">
        <v>48</v>
      </c>
      <c r="B49" s="13">
        <v>1</v>
      </c>
      <c r="C49" s="13">
        <v>250</v>
      </c>
      <c r="D49" s="13">
        <f t="shared" si="3"/>
        <v>4.0000000000000001E-3</v>
      </c>
      <c r="E49" s="13" t="s">
        <v>210</v>
      </c>
      <c r="F49" s="13">
        <f t="shared" si="4"/>
        <v>250</v>
      </c>
      <c r="G49" s="13">
        <v>0</v>
      </c>
    </row>
    <row r="50" spans="1:7" s="13" customFormat="1" x14ac:dyDescent="0.2">
      <c r="A50" s="13">
        <v>49</v>
      </c>
      <c r="B50" s="13">
        <v>1</v>
      </c>
      <c r="C50" s="13">
        <v>200</v>
      </c>
      <c r="D50" s="13">
        <f t="shared" si="3"/>
        <v>5.0000000000000001E-3</v>
      </c>
      <c r="E50" s="13" t="s">
        <v>211</v>
      </c>
      <c r="F50" s="13">
        <f t="shared" si="4"/>
        <v>200</v>
      </c>
      <c r="G50" s="13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3"/>
        <v>0</v>
      </c>
      <c r="E51" s="2" t="s">
        <v>250</v>
      </c>
      <c r="F51" s="2">
        <f t="shared" si="4"/>
        <v>0</v>
      </c>
      <c r="G51" s="2">
        <v>0</v>
      </c>
    </row>
    <row r="52" spans="1:7" x14ac:dyDescent="0.2">
      <c r="A52" s="52">
        <v>51</v>
      </c>
      <c r="B52" s="52">
        <v>1</v>
      </c>
      <c r="C52" s="52">
        <v>200</v>
      </c>
      <c r="D52" s="52">
        <f t="shared" si="3"/>
        <v>5.0000000000000001E-3</v>
      </c>
      <c r="E52" s="52" t="s">
        <v>338</v>
      </c>
      <c r="F52" s="52">
        <v>200</v>
      </c>
      <c r="G52" s="52">
        <v>0</v>
      </c>
    </row>
    <row r="53" spans="1:7" x14ac:dyDescent="0.2">
      <c r="A53" s="2">
        <v>52</v>
      </c>
      <c r="B53" s="2">
        <v>1</v>
      </c>
      <c r="C53" s="2">
        <v>0</v>
      </c>
      <c r="D53" s="2">
        <f t="shared" si="3"/>
        <v>0</v>
      </c>
      <c r="E53" s="2" t="s">
        <v>351</v>
      </c>
      <c r="F53" s="2">
        <v>0</v>
      </c>
      <c r="G53" s="2">
        <v>0</v>
      </c>
    </row>
    <row r="54" spans="1:7" x14ac:dyDescent="0.2">
      <c r="A54" s="2">
        <v>53</v>
      </c>
      <c r="B54" s="2">
        <v>1</v>
      </c>
      <c r="C54" s="2">
        <v>0</v>
      </c>
      <c r="D54" s="2">
        <f t="shared" si="3"/>
        <v>0</v>
      </c>
      <c r="E54" s="15" t="s">
        <v>107</v>
      </c>
      <c r="F54" s="2">
        <v>0</v>
      </c>
      <c r="G54" s="2">
        <v>0</v>
      </c>
    </row>
    <row r="55" spans="1:7" x14ac:dyDescent="0.2">
      <c r="A55" s="2">
        <v>54</v>
      </c>
      <c r="B55" s="2">
        <v>1</v>
      </c>
      <c r="C55" s="2">
        <v>0</v>
      </c>
      <c r="D55" s="2">
        <f t="shared" si="3"/>
        <v>0</v>
      </c>
      <c r="E55" s="14" t="s">
        <v>194</v>
      </c>
      <c r="F55" s="2">
        <v>0</v>
      </c>
      <c r="G55" s="2">
        <v>0</v>
      </c>
    </row>
    <row r="56" spans="1:7" x14ac:dyDescent="0.2">
      <c r="A56" s="2">
        <v>55</v>
      </c>
      <c r="B56" s="2">
        <v>1</v>
      </c>
      <c r="C56" s="2">
        <v>0</v>
      </c>
      <c r="D56" s="2">
        <f t="shared" si="3"/>
        <v>0</v>
      </c>
      <c r="E56" s="14" t="s">
        <v>9</v>
      </c>
      <c r="F56" s="2">
        <v>0</v>
      </c>
      <c r="G56" s="2">
        <v>0</v>
      </c>
    </row>
    <row r="57" spans="1:7" x14ac:dyDescent="0.2">
      <c r="A57" s="2">
        <v>56</v>
      </c>
      <c r="B57" s="2">
        <v>1</v>
      </c>
      <c r="C57" s="2">
        <v>0</v>
      </c>
      <c r="D57" s="2">
        <f t="shared" si="3"/>
        <v>0</v>
      </c>
      <c r="E57" s="14" t="s">
        <v>50</v>
      </c>
      <c r="F57" s="2">
        <v>0</v>
      </c>
      <c r="G57" s="2">
        <v>0</v>
      </c>
    </row>
    <row r="58" spans="1:7" x14ac:dyDescent="0.2">
      <c r="A58" s="2">
        <v>57</v>
      </c>
      <c r="B58" s="2">
        <v>1</v>
      </c>
      <c r="C58" s="2">
        <v>0</v>
      </c>
      <c r="D58" s="2">
        <v>0</v>
      </c>
      <c r="E58" s="2" t="s">
        <v>366</v>
      </c>
      <c r="F58" s="2">
        <v>0</v>
      </c>
      <c r="G58" s="2">
        <v>0</v>
      </c>
    </row>
    <row r="59" spans="1:7" s="61" customFormat="1" x14ac:dyDescent="0.2">
      <c r="A59" s="61">
        <v>58</v>
      </c>
      <c r="B59" s="61">
        <v>1</v>
      </c>
      <c r="C59" s="61">
        <v>0</v>
      </c>
      <c r="D59" s="61">
        <v>0</v>
      </c>
      <c r="E59" s="61" t="s">
        <v>403</v>
      </c>
      <c r="F59" s="61">
        <v>0</v>
      </c>
      <c r="G59" s="61">
        <v>0</v>
      </c>
    </row>
    <row r="60" spans="1:7" x14ac:dyDescent="0.2">
      <c r="A60" s="2">
        <v>59</v>
      </c>
      <c r="B60" s="2">
        <v>1</v>
      </c>
      <c r="C60" s="2">
        <v>0</v>
      </c>
      <c r="D60" s="2">
        <v>0</v>
      </c>
      <c r="E60" s="2" t="s">
        <v>417</v>
      </c>
      <c r="F60" s="2">
        <v>0</v>
      </c>
      <c r="G60" s="2">
        <v>0</v>
      </c>
    </row>
    <row r="61" spans="1:7" s="72" customFormat="1" x14ac:dyDescent="0.2">
      <c r="A61" s="72">
        <v>60</v>
      </c>
      <c r="B61" s="72">
        <v>1</v>
      </c>
      <c r="C61" s="72">
        <v>0</v>
      </c>
      <c r="D61" s="72">
        <v>0</v>
      </c>
      <c r="E61" s="72" t="s">
        <v>422</v>
      </c>
      <c r="F61" s="72">
        <v>0</v>
      </c>
      <c r="G61" s="72">
        <v>0</v>
      </c>
    </row>
    <row r="62" spans="1:7" x14ac:dyDescent="0.2">
      <c r="A62" s="30">
        <v>61</v>
      </c>
      <c r="B62" s="30">
        <v>1</v>
      </c>
      <c r="C62" s="30">
        <v>0</v>
      </c>
      <c r="D62" s="30">
        <v>0</v>
      </c>
      <c r="E62" s="30" t="s">
        <v>470</v>
      </c>
      <c r="F62" s="30">
        <v>0</v>
      </c>
      <c r="G62" s="30">
        <v>0</v>
      </c>
    </row>
    <row r="63" spans="1:7" x14ac:dyDescent="0.2">
      <c r="A63" s="2">
        <v>62</v>
      </c>
      <c r="B63" s="2">
        <v>1</v>
      </c>
      <c r="C63" s="2">
        <v>0</v>
      </c>
      <c r="D63" s="2">
        <v>0</v>
      </c>
      <c r="E63" s="2" t="s">
        <v>489</v>
      </c>
      <c r="F63" s="2">
        <v>0</v>
      </c>
      <c r="G63" s="2">
        <v>0</v>
      </c>
    </row>
    <row r="64" spans="1:7" s="13" customFormat="1" x14ac:dyDescent="0.2">
      <c r="A64" s="2">
        <v>63</v>
      </c>
      <c r="B64" s="13">
        <v>1</v>
      </c>
      <c r="C64" s="13">
        <v>120</v>
      </c>
      <c r="D64" s="13">
        <f>1/C64</f>
        <v>8.3333333333333332E-3</v>
      </c>
      <c r="E64" s="15" t="s">
        <v>214</v>
      </c>
      <c r="F64" s="13">
        <f>C64</f>
        <v>120</v>
      </c>
      <c r="G64" s="13">
        <v>0</v>
      </c>
    </row>
    <row r="65" spans="1:7" s="13" customFormat="1" x14ac:dyDescent="0.2">
      <c r="A65" s="2">
        <v>64</v>
      </c>
      <c r="B65" s="13">
        <v>1</v>
      </c>
      <c r="C65" s="13">
        <v>120</v>
      </c>
      <c r="D65" s="13">
        <f t="shared" ref="D65:D69" si="5">1/C65</f>
        <v>8.3333333333333332E-3</v>
      </c>
      <c r="E65" s="14" t="s">
        <v>197</v>
      </c>
      <c r="F65" s="13">
        <f t="shared" ref="F65:F69" si="6">C65</f>
        <v>120</v>
      </c>
      <c r="G65" s="13">
        <v>0</v>
      </c>
    </row>
    <row r="66" spans="1:7" s="13" customFormat="1" x14ac:dyDescent="0.2">
      <c r="A66" s="2">
        <v>65</v>
      </c>
      <c r="B66" s="13">
        <v>1</v>
      </c>
      <c r="C66" s="13">
        <v>120</v>
      </c>
      <c r="D66" s="13">
        <f t="shared" si="5"/>
        <v>8.3333333333333332E-3</v>
      </c>
      <c r="E66" s="14" t="s">
        <v>198</v>
      </c>
      <c r="F66" s="13">
        <f t="shared" si="6"/>
        <v>120</v>
      </c>
      <c r="G66" s="13">
        <v>0</v>
      </c>
    </row>
    <row r="67" spans="1:7" s="13" customFormat="1" x14ac:dyDescent="0.2">
      <c r="A67" s="2">
        <v>66</v>
      </c>
      <c r="B67" s="13">
        <v>1</v>
      </c>
      <c r="C67" s="13">
        <v>160</v>
      </c>
      <c r="D67" s="13">
        <f t="shared" si="5"/>
        <v>6.2500000000000003E-3</v>
      </c>
      <c r="E67" s="14" t="s">
        <v>111</v>
      </c>
      <c r="F67" s="13">
        <f t="shared" si="6"/>
        <v>160</v>
      </c>
      <c r="G67" s="13">
        <v>0</v>
      </c>
    </row>
    <row r="68" spans="1:7" s="13" customFormat="1" x14ac:dyDescent="0.2">
      <c r="A68" s="2">
        <v>67</v>
      </c>
      <c r="B68" s="13">
        <v>1</v>
      </c>
      <c r="C68" s="13">
        <v>200</v>
      </c>
      <c r="D68" s="13">
        <f t="shared" si="5"/>
        <v>5.0000000000000001E-3</v>
      </c>
      <c r="E68" s="14" t="s">
        <v>110</v>
      </c>
      <c r="F68" s="13">
        <f t="shared" si="6"/>
        <v>200</v>
      </c>
      <c r="G68" s="13">
        <v>0</v>
      </c>
    </row>
    <row r="69" spans="1:7" s="13" customFormat="1" x14ac:dyDescent="0.2">
      <c r="A69" s="2">
        <v>68</v>
      </c>
      <c r="B69" s="13">
        <v>1</v>
      </c>
      <c r="C69" s="13">
        <v>200</v>
      </c>
      <c r="D69" s="13">
        <f t="shared" si="5"/>
        <v>5.0000000000000001E-3</v>
      </c>
      <c r="E69" s="14" t="s">
        <v>200</v>
      </c>
      <c r="F69" s="13">
        <f t="shared" si="6"/>
        <v>200</v>
      </c>
      <c r="G69" s="13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70" workbookViewId="0">
      <selection activeCell="E97" sqref="E97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42</v>
      </c>
      <c r="C1" s="1" t="s">
        <v>20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6"/>
  <sheetViews>
    <sheetView workbookViewId="0">
      <selection activeCell="B6" sqref="B6"/>
    </sheetView>
  </sheetViews>
  <sheetFormatPr defaultColWidth="8.875" defaultRowHeight="14.25" x14ac:dyDescent="0.2"/>
  <cols>
    <col min="2" max="2" width="9.875" bestFit="1" customWidth="1"/>
  </cols>
  <sheetData>
    <row r="1" spans="1:4 16384:16384" x14ac:dyDescent="0.2">
      <c r="A1" s="1" t="s">
        <v>19</v>
      </c>
      <c r="B1" s="1" t="s">
        <v>44</v>
      </c>
      <c r="C1" s="1" t="s">
        <v>45</v>
      </c>
      <c r="D1" s="1" t="s">
        <v>46</v>
      </c>
      <c r="XFD1" s="1"/>
    </row>
    <row r="2" spans="1:4 16384:16384" x14ac:dyDescent="0.2">
      <c r="A2">
        <v>1</v>
      </c>
      <c r="B2" t="s">
        <v>47</v>
      </c>
      <c r="C2">
        <v>10</v>
      </c>
      <c r="D2">
        <v>0</v>
      </c>
    </row>
    <row r="3" spans="1:4 16384:16384" x14ac:dyDescent="0.2">
      <c r="A3">
        <v>2</v>
      </c>
      <c r="B3" t="s">
        <v>48</v>
      </c>
      <c r="C3">
        <v>20</v>
      </c>
      <c r="D3">
        <v>0</v>
      </c>
    </row>
    <row r="4" spans="1:4 16384:16384" x14ac:dyDescent="0.2">
      <c r="A4">
        <v>3</v>
      </c>
      <c r="B4" t="s">
        <v>400</v>
      </c>
      <c r="C4">
        <v>15</v>
      </c>
      <c r="D4">
        <v>0</v>
      </c>
    </row>
    <row r="5" spans="1:4 16384:16384" x14ac:dyDescent="0.2">
      <c r="A5">
        <v>4</v>
      </c>
      <c r="B5" t="s">
        <v>401</v>
      </c>
      <c r="C5">
        <v>15</v>
      </c>
      <c r="D5">
        <v>0</v>
      </c>
    </row>
    <row r="6" spans="1:4 16384:16384" x14ac:dyDescent="0.2">
      <c r="A6">
        <v>5</v>
      </c>
      <c r="B6" t="s">
        <v>402</v>
      </c>
      <c r="C6">
        <v>15</v>
      </c>
      <c r="D6">
        <v>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57</v>
      </c>
      <c r="B1" s="1" t="s">
        <v>58</v>
      </c>
      <c r="C1" s="1" t="s">
        <v>43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59</v>
      </c>
      <c r="C2" s="2"/>
    </row>
    <row r="3" spans="1:10 16384:16384" x14ac:dyDescent="0.2">
      <c r="A3" s="2">
        <v>2</v>
      </c>
      <c r="B3" s="2" t="s">
        <v>79</v>
      </c>
      <c r="C3" s="2" t="s">
        <v>60</v>
      </c>
    </row>
    <row r="4" spans="1:10 16384:16384" x14ac:dyDescent="0.2">
      <c r="A4" s="2">
        <v>3</v>
      </c>
      <c r="B4" s="2" t="s">
        <v>80</v>
      </c>
      <c r="C4" s="2" t="s">
        <v>61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62</v>
      </c>
      <c r="B1" s="1" t="s">
        <v>63</v>
      </c>
      <c r="C1" s="1" t="s">
        <v>64</v>
      </c>
      <c r="D1" s="1" t="s">
        <v>65</v>
      </c>
      <c r="E1" s="1" t="s">
        <v>66</v>
      </c>
      <c r="F1" s="1" t="s">
        <v>67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68</v>
      </c>
      <c r="D2" s="2">
        <v>0</v>
      </c>
      <c r="E2" s="2"/>
      <c r="F2" t="s">
        <v>69</v>
      </c>
    </row>
    <row r="3" spans="1:10 16384:16384" ht="39" customHeight="1" x14ac:dyDescent="0.2">
      <c r="A3" s="2">
        <v>2</v>
      </c>
      <c r="B3" s="2">
        <v>1</v>
      </c>
      <c r="C3" s="2" t="s">
        <v>70</v>
      </c>
      <c r="D3" s="2">
        <v>1</v>
      </c>
      <c r="E3" s="2" t="s">
        <v>74</v>
      </c>
      <c r="F3" t="s">
        <v>96</v>
      </c>
    </row>
    <row r="4" spans="1:10 16384:16384" ht="63.75" customHeight="1" x14ac:dyDescent="0.2">
      <c r="A4" s="2">
        <v>3</v>
      </c>
      <c r="B4" s="2">
        <v>1</v>
      </c>
      <c r="C4" s="2" t="s">
        <v>71</v>
      </c>
      <c r="D4" s="2">
        <v>0</v>
      </c>
      <c r="E4" s="4" t="s">
        <v>73</v>
      </c>
      <c r="F4" t="s">
        <v>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"/>
  <sheetViews>
    <sheetView workbookViewId="0">
      <selection activeCell="C11" sqref="C11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95</v>
      </c>
      <c r="B1" s="1" t="s">
        <v>99</v>
      </c>
      <c r="C1" t="s">
        <v>100</v>
      </c>
    </row>
    <row r="2" spans="1:3" x14ac:dyDescent="0.2">
      <c r="A2">
        <v>1</v>
      </c>
      <c r="B2" t="s">
        <v>256</v>
      </c>
      <c r="C2" t="s">
        <v>101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group</vt:lpstr>
      <vt:lpstr>use_fish</vt:lpstr>
      <vt:lpstr>activity</vt:lpstr>
      <vt:lpstr>box_fish_activity</vt:lpstr>
      <vt:lpstr>base_fish</vt:lpstr>
      <vt:lpstr>path</vt:lpstr>
      <vt:lpstr>skill</vt:lpstr>
      <vt:lpstr>dead_mode</vt:lpstr>
      <vt:lpstr>box_fish_award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2021-04-19T02:39:24Z</dcterms:modified>
</cp:coreProperties>
</file>