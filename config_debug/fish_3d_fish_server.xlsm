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5" i="1" l="1"/>
  <c r="D66" i="1"/>
  <c r="D67" i="1"/>
  <c r="D68" i="1"/>
  <c r="D69" i="1"/>
  <c r="D64" i="1"/>
  <c r="F65" i="1"/>
  <c r="F66" i="1"/>
  <c r="F67" i="1"/>
  <c r="F68" i="1"/>
  <c r="F69" i="1"/>
  <c r="F64" i="1"/>
  <c r="H191" i="7" l="1"/>
  <c r="I191" i="7"/>
  <c r="J191" i="7"/>
  <c r="H192" i="7"/>
  <c r="I192" i="7"/>
  <c r="J192" i="7"/>
  <c r="H193" i="7"/>
  <c r="I193" i="7"/>
  <c r="J193" i="7"/>
  <c r="H194" i="7"/>
  <c r="I194" i="7"/>
  <c r="J194" i="7"/>
  <c r="H195" i="7"/>
  <c r="I195" i="7"/>
  <c r="J195" i="7"/>
  <c r="H196" i="7"/>
  <c r="I196" i="7"/>
  <c r="J196" i="7"/>
  <c r="F176" i="14"/>
  <c r="F177" i="14"/>
  <c r="F178" i="14"/>
  <c r="F179" i="14"/>
  <c r="F180" i="14"/>
  <c r="F175" i="14"/>
  <c r="I173" i="14" l="1"/>
  <c r="J190" i="7" l="1"/>
  <c r="H190" i="7"/>
  <c r="J189" i="7"/>
  <c r="I189" i="7"/>
  <c r="I174" i="14"/>
  <c r="L174" i="14" s="1"/>
  <c r="H174" i="14"/>
  <c r="H173" i="14"/>
  <c r="E173" i="14"/>
  <c r="F173" i="14" s="1"/>
  <c r="H189" i="7" l="1"/>
  <c r="I190" i="7"/>
  <c r="K172" i="14"/>
  <c r="J188" i="7" s="1"/>
  <c r="I172" i="14"/>
  <c r="L172" i="14" s="1"/>
  <c r="H172" i="14"/>
  <c r="E172" i="14"/>
  <c r="F172" i="14" s="1"/>
  <c r="K171" i="14"/>
  <c r="J187" i="7" s="1"/>
  <c r="I171" i="14"/>
  <c r="L171" i="14" s="1"/>
  <c r="H171" i="14"/>
  <c r="E171" i="14"/>
  <c r="F171" i="14" s="1"/>
  <c r="K170" i="14"/>
  <c r="J186" i="7" s="1"/>
  <c r="I170" i="14"/>
  <c r="L170" i="14" s="1"/>
  <c r="H170" i="14"/>
  <c r="E170" i="14"/>
  <c r="F170" i="14" s="1"/>
  <c r="K169" i="14"/>
  <c r="J185" i="7" s="1"/>
  <c r="I169" i="14"/>
  <c r="L169" i="14" s="1"/>
  <c r="H169" i="14"/>
  <c r="E169" i="14"/>
  <c r="F169" i="14" s="1"/>
  <c r="K168" i="14"/>
  <c r="J184" i="7" s="1"/>
  <c r="I168" i="14"/>
  <c r="L168" i="14" s="1"/>
  <c r="H168" i="14"/>
  <c r="E168" i="14"/>
  <c r="F168" i="14" s="1"/>
  <c r="K167" i="14"/>
  <c r="J183" i="7" s="1"/>
  <c r="I167" i="14"/>
  <c r="L167" i="14" s="1"/>
  <c r="H167" i="14"/>
  <c r="E167" i="14"/>
  <c r="F167" i="14" s="1"/>
  <c r="K166" i="14"/>
  <c r="J182" i="7" s="1"/>
  <c r="I166" i="14"/>
  <c r="L166" i="14" s="1"/>
  <c r="H166" i="14"/>
  <c r="E166" i="14"/>
  <c r="F166" i="14" s="1"/>
  <c r="K165" i="14"/>
  <c r="J181" i="7" s="1"/>
  <c r="I165" i="14"/>
  <c r="L165" i="14" s="1"/>
  <c r="H165" i="14"/>
  <c r="E165" i="14"/>
  <c r="F165" i="14" s="1"/>
  <c r="K164" i="14"/>
  <c r="J180" i="7" s="1"/>
  <c r="I164" i="14"/>
  <c r="L164" i="14" s="1"/>
  <c r="H164" i="14"/>
  <c r="E164" i="14"/>
  <c r="F164" i="14" s="1"/>
  <c r="I187" i="7" l="1"/>
  <c r="H186" i="7"/>
  <c r="H184" i="7"/>
  <c r="I185" i="7"/>
  <c r="I184" i="7"/>
  <c r="H187" i="7"/>
  <c r="H180" i="7"/>
  <c r="I183" i="7"/>
  <c r="H185" i="7"/>
  <c r="I188" i="7"/>
  <c r="I182" i="7"/>
  <c r="I181" i="7"/>
  <c r="H183" i="7"/>
  <c r="I186" i="7"/>
  <c r="I180" i="7"/>
  <c r="H188" i="7"/>
  <c r="H182" i="7"/>
  <c r="H181" i="7"/>
  <c r="K163" i="14"/>
  <c r="J179" i="7" s="1"/>
  <c r="I163" i="14"/>
  <c r="L163" i="14" s="1"/>
  <c r="H163" i="14"/>
  <c r="E163" i="14"/>
  <c r="F163" i="14" s="1"/>
  <c r="K162" i="14"/>
  <c r="J178" i="7" s="1"/>
  <c r="I162" i="14"/>
  <c r="L162" i="14" s="1"/>
  <c r="H162" i="14"/>
  <c r="E162" i="14"/>
  <c r="F162" i="14" s="1"/>
  <c r="K161" i="14"/>
  <c r="J177" i="7" s="1"/>
  <c r="I161" i="14"/>
  <c r="L161" i="14" s="1"/>
  <c r="H161" i="14"/>
  <c r="E161" i="14"/>
  <c r="F161" i="14" s="1"/>
  <c r="K160" i="14"/>
  <c r="J176" i="7" s="1"/>
  <c r="I160" i="14"/>
  <c r="L160" i="14" s="1"/>
  <c r="H160" i="14"/>
  <c r="E160" i="14"/>
  <c r="F160" i="14" s="1"/>
  <c r="K159" i="14"/>
  <c r="J175" i="7" s="1"/>
  <c r="I159" i="14"/>
  <c r="L159" i="14" s="1"/>
  <c r="H159" i="14"/>
  <c r="E159" i="14"/>
  <c r="F159" i="14" s="1"/>
  <c r="K158" i="14"/>
  <c r="J174" i="7" s="1"/>
  <c r="I158" i="14"/>
  <c r="L158" i="14" s="1"/>
  <c r="H158" i="14"/>
  <c r="E158" i="14"/>
  <c r="F158" i="14" s="1"/>
  <c r="K157" i="14"/>
  <c r="J173" i="7" s="1"/>
  <c r="I157" i="14"/>
  <c r="L157" i="14" s="1"/>
  <c r="H157" i="14"/>
  <c r="E157" i="14"/>
  <c r="F157" i="14" s="1"/>
  <c r="K156" i="14"/>
  <c r="J172" i="7" s="1"/>
  <c r="I156" i="14"/>
  <c r="L156" i="14" s="1"/>
  <c r="H156" i="14"/>
  <c r="E156" i="14"/>
  <c r="F156" i="14" s="1"/>
  <c r="K155" i="14"/>
  <c r="J171" i="7" s="1"/>
  <c r="I155" i="14"/>
  <c r="L155" i="14" s="1"/>
  <c r="H155" i="14"/>
  <c r="E155" i="14"/>
  <c r="F155" i="14" s="1"/>
  <c r="I179" i="7" l="1"/>
  <c r="I175" i="7"/>
  <c r="H177" i="7"/>
  <c r="H174" i="7"/>
  <c r="I171" i="7"/>
  <c r="H178" i="7"/>
  <c r="H173" i="7"/>
  <c r="I178" i="7"/>
  <c r="I174" i="7"/>
  <c r="H176" i="7"/>
  <c r="H172" i="7"/>
  <c r="I177" i="7"/>
  <c r="I173" i="7"/>
  <c r="H179" i="7"/>
  <c r="H175" i="7"/>
  <c r="H171" i="7"/>
  <c r="I176" i="7"/>
  <c r="I172" i="7"/>
  <c r="E154" i="14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K146" i="14"/>
  <c r="J162" i="7" s="1"/>
  <c r="K147" i="14"/>
  <c r="J163" i="7" s="1"/>
  <c r="K148" i="14"/>
  <c r="J164" i="7" s="1"/>
  <c r="K149" i="14"/>
  <c r="J165" i="7" s="1"/>
  <c r="K150" i="14"/>
  <c r="J166" i="7" s="1"/>
  <c r="K151" i="14"/>
  <c r="J167" i="7" s="1"/>
  <c r="K152" i="14"/>
  <c r="J168" i="7" s="1"/>
  <c r="K153" i="14"/>
  <c r="J169" i="7" s="1"/>
  <c r="K154" i="14"/>
  <c r="I152" i="14"/>
  <c r="I168" i="7" s="1"/>
  <c r="I153" i="14"/>
  <c r="I169" i="7" s="1"/>
  <c r="I154" i="14"/>
  <c r="H146" i="14"/>
  <c r="H147" i="14"/>
  <c r="H148" i="14"/>
  <c r="H149" i="14"/>
  <c r="H150" i="14"/>
  <c r="H151" i="14"/>
  <c r="H152" i="14"/>
  <c r="H153" i="14"/>
  <c r="H154" i="14"/>
  <c r="F153" i="14" l="1"/>
  <c r="H170" i="7"/>
  <c r="L154" i="14"/>
  <c r="J170" i="7"/>
  <c r="F154" i="14"/>
  <c r="F150" i="14"/>
  <c r="F146" i="14"/>
  <c r="H167" i="7"/>
  <c r="F149" i="14"/>
  <c r="I170" i="7"/>
  <c r="L153" i="14"/>
  <c r="H163" i="7"/>
  <c r="L152" i="14"/>
  <c r="H164" i="7"/>
  <c r="H168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F120" i="14"/>
  <c r="F115" i="14"/>
  <c r="F121" i="14"/>
  <c r="H137" i="7"/>
  <c r="F118" i="14"/>
  <c r="F114" i="14"/>
  <c r="L120" i="14"/>
  <c r="I136" i="7"/>
  <c r="F119" i="14"/>
  <c r="H135" i="7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F110" i="14"/>
  <c r="H125" i="7"/>
  <c r="H121" i="7"/>
  <c r="L108" i="14"/>
  <c r="H124" i="7"/>
  <c r="H120" i="7"/>
  <c r="H123" i="7"/>
  <c r="H119" i="7"/>
  <c r="L110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100" i="14"/>
  <c r="I116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0" i="14"/>
  <c r="L80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F67" i="14" s="1"/>
  <c r="N66" i="14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 s="1"/>
  <c r="G33" i="5"/>
  <c r="H33" i="14" s="1"/>
  <c r="F42" i="1"/>
  <c r="F39" i="1"/>
  <c r="H40" i="7"/>
  <c r="F26" i="1"/>
  <c r="I26" i="14" s="1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I46" i="14" s="1"/>
  <c r="I60" i="7" s="1"/>
  <c r="F47" i="1"/>
  <c r="F48" i="1"/>
  <c r="F49" i="1"/>
  <c r="I49" i="14" s="1"/>
  <c r="I63" i="7" s="1"/>
  <c r="F50" i="1"/>
  <c r="F28" i="1"/>
  <c r="F29" i="1"/>
  <c r="F30" i="1"/>
  <c r="F24" i="1"/>
  <c r="I24" i="14" s="1"/>
  <c r="L24" i="14" s="1"/>
  <c r="D24" i="1"/>
  <c r="F9" i="1"/>
  <c r="I9" i="14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I38" i="14" s="1"/>
  <c r="I52" i="7" s="1"/>
  <c r="D38" i="1"/>
  <c r="E8" i="14"/>
  <c r="H67" i="7" s="1"/>
  <c r="F32" i="1"/>
  <c r="I32" i="14" s="1"/>
  <c r="L32" i="14" s="1"/>
  <c r="F33" i="1"/>
  <c r="F34" i="1"/>
  <c r="F36" i="1"/>
  <c r="F37" i="1"/>
  <c r="I37" i="14" s="1"/>
  <c r="I51" i="7" s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I23" i="14" s="1"/>
  <c r="I37" i="7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I2" i="14" s="1"/>
  <c r="I6" i="7" s="1"/>
  <c r="F3" i="1"/>
  <c r="F4" i="1"/>
  <c r="I4" i="14"/>
  <c r="L4" i="14" s="1"/>
  <c r="F5" i="1"/>
  <c r="I5" i="14" s="1"/>
  <c r="L5" i="14" s="1"/>
  <c r="F6" i="1"/>
  <c r="F11" i="1"/>
  <c r="I11" i="14"/>
  <c r="L11" i="14" s="1"/>
  <c r="F12" i="1"/>
  <c r="I52" i="14" s="1"/>
  <c r="I68" i="7" s="1"/>
  <c r="F13" i="1"/>
  <c r="I67" i="14" s="1"/>
  <c r="I13" i="14"/>
  <c r="I27" i="7" s="1"/>
  <c r="F16" i="1"/>
  <c r="F15" i="1"/>
  <c r="I15" i="14"/>
  <c r="L15" i="14" s="1"/>
  <c r="I16" i="14"/>
  <c r="I30" i="7" s="1"/>
  <c r="F17" i="1"/>
  <c r="I71" i="14" s="1"/>
  <c r="L71" i="14" s="1"/>
  <c r="I17" i="14"/>
  <c r="I31" i="7" s="1"/>
  <c r="F18" i="1"/>
  <c r="F19" i="1"/>
  <c r="I81" i="14" s="1"/>
  <c r="L81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84" i="14" s="1"/>
  <c r="L84" i="14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8" i="14"/>
  <c r="I8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6" i="14"/>
  <c r="L36" i="14" s="1"/>
  <c r="I14" i="14"/>
  <c r="L14" i="14" s="1"/>
  <c r="F27" i="14"/>
  <c r="I50" i="14"/>
  <c r="I64" i="7" s="1"/>
  <c r="I44" i="14"/>
  <c r="L44" i="14" s="1"/>
  <c r="I48" i="14"/>
  <c r="I62" i="7" s="1"/>
  <c r="I42" i="14"/>
  <c r="L42" i="14" s="1"/>
  <c r="I34" i="14"/>
  <c r="L34" i="14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J67" i="7" l="1"/>
  <c r="J16" i="7"/>
  <c r="J5" i="7"/>
  <c r="L67" i="14"/>
  <c r="I83" i="7"/>
  <c r="I148" i="14"/>
  <c r="I115" i="14"/>
  <c r="I104" i="14"/>
  <c r="J19" i="7"/>
  <c r="I150" i="14"/>
  <c r="I117" i="14"/>
  <c r="I106" i="14"/>
  <c r="I58" i="14"/>
  <c r="L58" i="14" s="1"/>
  <c r="I59" i="14"/>
  <c r="I75" i="7" s="1"/>
  <c r="I60" i="14"/>
  <c r="I76" i="7" s="1"/>
  <c r="I61" i="14"/>
  <c r="I77" i="7" s="1"/>
  <c r="I62" i="14"/>
  <c r="L62" i="14" s="1"/>
  <c r="I63" i="14"/>
  <c r="I79" i="7" s="1"/>
  <c r="I66" i="14"/>
  <c r="I82" i="7" s="1"/>
  <c r="I70" i="14"/>
  <c r="L70" i="14" s="1"/>
  <c r="I73" i="14"/>
  <c r="I89" i="7" s="1"/>
  <c r="I75" i="14"/>
  <c r="L75" i="14" s="1"/>
  <c r="I76" i="14"/>
  <c r="L76" i="14" s="1"/>
  <c r="I77" i="14"/>
  <c r="I93" i="7" s="1"/>
  <c r="I99" i="14"/>
  <c r="I115" i="7" s="1"/>
  <c r="I18" i="14"/>
  <c r="L18" i="14" s="1"/>
  <c r="I147" i="14"/>
  <c r="I114" i="14"/>
  <c r="I103" i="14"/>
  <c r="I55" i="14"/>
  <c r="I71" i="7" s="1"/>
  <c r="I72" i="14"/>
  <c r="I95" i="14"/>
  <c r="I111" i="7" s="1"/>
  <c r="I98" i="14"/>
  <c r="I114" i="7" s="1"/>
  <c r="I151" i="14"/>
  <c r="I118" i="14"/>
  <c r="I107" i="14"/>
  <c r="I146" i="14"/>
  <c r="I113" i="14"/>
  <c r="I102" i="14"/>
  <c r="I19" i="14"/>
  <c r="L19" i="14" s="1"/>
  <c r="I149" i="14"/>
  <c r="I116" i="14"/>
  <c r="I105" i="14"/>
  <c r="I12" i="14"/>
  <c r="L12" i="14" s="1"/>
  <c r="I56" i="14"/>
  <c r="I68" i="14"/>
  <c r="I84" i="7" s="1"/>
  <c r="I83" i="14"/>
  <c r="I101" i="14"/>
  <c r="I117" i="7" s="1"/>
  <c r="I97" i="14"/>
  <c r="I113" i="7" s="1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I97" i="7"/>
  <c r="L55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I98" i="7"/>
  <c r="I87" i="7"/>
  <c r="H97" i="7"/>
  <c r="I54" i="7"/>
  <c r="L48" i="14"/>
  <c r="H65" i="7"/>
  <c r="L52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H74" i="7"/>
  <c r="L68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  <c r="L63" i="14" l="1"/>
  <c r="I19" i="7"/>
  <c r="I21" i="7"/>
  <c r="I32" i="7"/>
  <c r="L59" i="14"/>
  <c r="I26" i="7"/>
  <c r="L61" i="14"/>
  <c r="L66" i="14"/>
  <c r="I20" i="7"/>
  <c r="I72" i="7"/>
  <c r="L56" i="14"/>
  <c r="I165" i="7"/>
  <c r="L149" i="14"/>
  <c r="L113" i="14"/>
  <c r="I129" i="7"/>
  <c r="I134" i="7"/>
  <c r="L118" i="14"/>
  <c r="I130" i="7"/>
  <c r="L114" i="14"/>
  <c r="I164" i="7"/>
  <c r="L148" i="14"/>
  <c r="L95" i="14"/>
  <c r="L73" i="14"/>
  <c r="L146" i="14"/>
  <c r="I162" i="7"/>
  <c r="I167" i="7"/>
  <c r="L151" i="14"/>
  <c r="I88" i="7"/>
  <c r="L72" i="14"/>
  <c r="I163" i="7"/>
  <c r="L147" i="14"/>
  <c r="I122" i="7"/>
  <c r="L106" i="14"/>
  <c r="I99" i="7"/>
  <c r="L83" i="14"/>
  <c r="I121" i="7"/>
  <c r="L105" i="14"/>
  <c r="I133" i="7"/>
  <c r="L117" i="14"/>
  <c r="I120" i="7"/>
  <c r="L104" i="14"/>
  <c r="L97" i="14"/>
  <c r="I132" i="7"/>
  <c r="L116" i="14"/>
  <c r="I118" i="7"/>
  <c r="L102" i="14"/>
  <c r="I123" i="7"/>
  <c r="L107" i="14"/>
  <c r="I119" i="7"/>
  <c r="L103" i="14"/>
  <c r="L150" i="14"/>
  <c r="I166" i="7"/>
  <c r="L115" i="14"/>
  <c r="I131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<sst xmlns="http://schemas.openxmlformats.org/spreadsheetml/2006/main" count="823" uniqueCount="519">
  <si>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</si>
  <si>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</si>
  <si>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</si>
  <si>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</si>
  <si>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</si>
  <si>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</si>
  <si>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</si>
  <si>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</si>
  <si>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</si>
  <si>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</si>
  <si>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</si>
  <si>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</si>
  <si>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</si>
  <si>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</si>
  <si>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</si>
  <si>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</si>
  <si>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</si>
  <si>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</si>
  <si>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</si>
  <si>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</si>
  <si>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</si>
  <si>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</si>
  <si>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</si>
  <si>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</si>
  <si>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</si>
  <si>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</si>
  <si>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</si>
  <si>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</si>
  <si>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</si>
  <si>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</si>
  <si>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</si>
  <si>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</si>
  <si>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</si>
  <si>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</si>
  <si>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</si>
  <si>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</si>
  <si>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</si>
  <si>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</si>
  <si>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</si>
  <si>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</si>
  <si>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</si>
  <si>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</si>
  <si>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</si>
  <si>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</si>
  <si>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</si>
  <si>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</si>
  <si>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</si>
  <si>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</si>
  <si>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</si>
  <si>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</si>
  <si>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</si>
  <si>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</si>
  <si>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</si>
  <si>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</si>
  <si>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</si>
  <si>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</si>
  <si>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</si>
  <si>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</si>
  <si>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</si>
  <si>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</si>
  <si>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</si>
  <si>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</si>
  <si>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</si>
  <si>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</si>
  <si>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</si>
  <si>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</si>
  <si>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</si>
  <si>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</si>
  <si>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</si>
  <si>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</si>
  <si>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</si>
  <si>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</si>
  <si>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</si>
  <si>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</si>
  <si>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</si>
  <si>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</si>
  <si>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</si>
  <si>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</si>
  <si>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</si>
  <si>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</si>
  <si>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</si>
  <si>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</si>
  <si>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</si>
  <si>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</si>
  <si>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</si>
  <si>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</si>
  <si>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</si>
  <si>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</si>
  <si>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</si>
  <si>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</si>
  <si>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</si>
  <si>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</si>
  <si>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</si>
  <si>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</si>
  <si>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</si>
  <si>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</si>
  <si>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</si>
  <si>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</si>
  <si>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</si>
  <si>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</si>
  <si>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</si>
  <si>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</si>
  <si>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</si>
  <si>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</si>
  <si>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</si>
  <si>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</si>
  <si>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</si>
  <si>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</si>
  <si>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</si>
  <si>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</si>
  <si>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</si>
  <si>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</si>
  <si>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</si>
  <si>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</si>
  <si>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</si>
  <si>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</si>
  <si>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</si>
  <si>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</si>
  <si>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</si>
  <si>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</si>
  <si>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</si>
  <si>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</si>
  <si>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</si>
  <si>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</si>
  <si>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</si>
  <si>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</si>
  <si>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</si>
  <si>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</si>
  <si>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</si>
  <si>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</si>
  <si>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</si>
  <si>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</si>
  <si>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</si>
  <si>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</si>
  <si>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</si>
  <si>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</si>
  <si>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</si>
  <si>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</si>
  <si>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</si>
  <si>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</si>
  <si>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</si>
  <si>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</si>
  <si>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</si>
  <si>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</si>
  <si>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</si>
  <si>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</si>
  <si>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</si>
  <si>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</si>
  <si>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</si>
  <si>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</si>
  <si>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</si>
  <si>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</si>
  <si>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</si>
  <si>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</si>
  <si>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</si>
  <si>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</si>
  <si>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</si>
  <si>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</si>
  <si>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</si>
  <si>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</si>
  <si>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</si>
  <si>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</si>
  <si>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</si>
  <si>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</si>
  <si>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</si>
  <si>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</si>
  <si>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</si>
  <si>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</si>
  <si>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</si>
  <si>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</si>
  <si>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</si>
  <si>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</si>
  <si>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</si>
  <si>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</si>
  <si>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</si>
  <si>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</si>
  <si>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</si>
  <si>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</si>
  <si>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</si>
  <si>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</si>
  <si>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</si>
  <si>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</si>
  <si>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</si>
  <si>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</si>
  <si>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</si>
  <si>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</si>
  <si>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</si>
  <si>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</si>
  <si>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</si>
  <si>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</si>
  <si>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</si>
  <si>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</si>
  <si>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</si>
  <si>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</si>
  <si>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</si>
  <si>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</si>
  <si>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</si>
  <si>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</si>
  <si>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</si>
  <si>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</si>
  <si>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</si>
  <si>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</si>
  <si>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</si>
  <si>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</si>
  <si>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</si>
  <si>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</si>
  <si>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</si>
  <si>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</si>
  <si>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</si>
  <si>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</si>
  <si>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</si>
  <si>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</si>
  <si>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</si>
  <si>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</si>
  <si>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</si>
  <si>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</si>
  <si>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</si>
  <si>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</si>
  <si>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</si>
  <si>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</si>
  <si>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</si>
  <si>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</si>
  <si>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</si>
  <si>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</si>
  <si>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</si>
  <si>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</si>
  <si>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</si>
  <si>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</si>
  <si>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</si>
  <si>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</si>
  <si>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</si>
  <si>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</si>
  <si>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</si>
  <si>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</si>
  <si>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</si>
  <si>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</si>
  <si>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</si>
  <si>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</si>
  <si>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</si>
  <si>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</si>
  <si>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</si>
  <si>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</si>
  <si>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</si>
  <si>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</si>
  <si>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</si>
  <si>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</si>
  <si>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</si>
  <si>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</si>
  <si>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</si>
  <si>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</si>
  <si>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</si>
  <si>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</si>
  <si>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</si>
  <si>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</si>
  <si>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</si>
  <si>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</si>
  <si>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</si>
  <si>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</si>
  <si>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</si>
  <si>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</si>
  <si>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</si>
  <si>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</si>
  <si>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</si>
  <si>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</si>
  <si>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</si>
  <si>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</si>
  <si>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</si>
  <si>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</si>
  <si>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</si>
  <si>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</si>
  <si>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</si>
  <si>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</si>
  <si>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</si>
  <si>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</si>
  <si>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</si>
  <si>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</si>
  <si>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</si>
  <si>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</si>
  <si>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</si>
  <si>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</si>
  <si>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</si>
  <si>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</si>
  <si>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</si>
  <si>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</si>
  <si>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</si>
  <si>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</si>
  <si>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</si>
  <si>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</si>
  <si>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</si>
  <si>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</si>
  <si>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</si>
  <si>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</si>
  <si>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</si>
  <si>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</si>
  <si>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</si>
  <si>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</si>
  <si>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</si>
  <si>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</si>
  <si>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</si>
  <si>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</si>
  <si>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</si>
  <si>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</si>
  <si>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</si>
  <si>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</si>
  <si>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</si>
  <si>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</si>
  <si>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</si>
  <si>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</si>
  <si>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</si>
  <si>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</si>
  <si>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</si>
  <si>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</si>
  <si>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</si>
  <si>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</si>
  <si>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</si>
  <si>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</si>
  <si>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</si>
  <si>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</si>
  <si>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</si>
  <si>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</si>
  <si>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</si>
  <si>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</si>
  <si>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</si>
  <si>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</si>
  <si>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</si>
  <si>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</si>
  <si>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</si>
  <si>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</si>
  <si>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</si>
  <si>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</si>
  <si>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</si>
  <si>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</si>
  <si>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</si>
  <si>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</si>
  <si>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</si>
  <si>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</si>
  <si>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</si>
  <si>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</si>
  <si>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</si>
  <si>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</si>
  <si>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</si>
  <si>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</si>
  <si>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</si>
  <si>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</si>
  <si>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</si>
  <si>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</si>
  <si>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</si>
  <si>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</si>
  <si>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</si>
  <si>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</si>
  <si>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</si>
  <si>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</si>
  <si>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</si>
  <si>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</si>
  <si>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</si>
  <si>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</si>
  <si>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</si>
  <si>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</si>
  <si>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</si>
  <si>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</si>
  <si>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</si>
  <si>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</si>
  <si>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</si>
  <si>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</si>
  <si>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</si>
  <si>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</si>
  <si>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</si>
  <si>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</si>
  <si>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</si>
  <si>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</si>
  <si>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</si>
  <si>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</si>
  <si>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</si>
  <si>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</si>
  <si>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</si>
  <si>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</si>
  <si>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</si>
  <si>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</si>
  <si>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</si>
  <si>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</si>
  <si>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</si>
  <si>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</si>
  <si>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</si>
  <si>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</si>
  <si>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</si>
  <si>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</si>
  <si>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</si>
  <si>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</si>
  <si>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</si>
  <si>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</si>
  <si>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</si>
  <si>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</si>
  <si>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</si>
  <si>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</si>
  <si>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</si>
  <si>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</si>
  <si>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</si>
  <si>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</si>
  <si>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</si>
  <si>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</si>
  <si>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</si>
  <si>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</si>
  <si>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</si>
  <si>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</si>
  <si>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</si>
  <si>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</si>
  <si>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</si>
  <si>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</si>
  <si>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</si>
  <si>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</si>
  <si>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</si>
  <si>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</si>
  <si>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</si>
  <si>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</si>
  <si>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</si>
  <si>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</si>
  <si>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</si>
  <si>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</si>
  <si>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</si>
  <si>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</si>
  <si>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</si>
  <si>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</si>
  <si>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</si>
  <si>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</si>
  <si>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</si>
  <si>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</si>
  <si>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</si>
  <si>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</si>
  <si>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</si>
  <si>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</si>
  <si>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</si>
  <si>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</si>
  <si>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</si>
  <si>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</si>
  <si>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</si>
  <si>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</si>
  <si>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</si>
  <si>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</si>
  <si>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</si>
  <si>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</si>
  <si>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</si>
  <si>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</si>
  <si>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</si>
  <si>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</si>
  <si>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</si>
  <si>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</si>
  <si>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</si>
  <si>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</si>
  <si>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</si>
  <si>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</si>
  <si>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</si>
  <si>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</si>
  <si>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</si>
  <si>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</si>
  <si>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</si>
  <si>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</si>
  <si>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</si>
  <si>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</si>
  <si>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</si>
  <si>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</si>
  <si>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</si>
  <si>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</si>
  <si>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</si>
  <si>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</si>
  <si>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</si>
  <si>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</si>
  <si>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</si>
  <si>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</si>
  <si>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</si>
  <si>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</si>
  <si>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活动boss</t>
    <phoneticPr fontId="1" type="noConversion"/>
  </si>
  <si>
    <t>154,</t>
  </si>
  <si>
    <t>155,</t>
  </si>
  <si>
    <t>156,</t>
  </si>
  <si>
    <t>157,</t>
  </si>
  <si>
    <t>158,</t>
  </si>
  <si>
    <t>159,</t>
  </si>
  <si>
    <t>160,</t>
  </si>
  <si>
    <t>161,</t>
  </si>
  <si>
    <t>162,</t>
  </si>
  <si>
    <t>163,</t>
  </si>
  <si>
    <t>164,</t>
  </si>
  <si>
    <t>165,</t>
  </si>
  <si>
    <t>166,</t>
  </si>
  <si>
    <t>167,</t>
  </si>
  <si>
    <t>168,</t>
  </si>
  <si>
    <t>169,</t>
  </si>
  <si>
    <t>170,</t>
  </si>
  <si>
    <t>171,</t>
  </si>
  <si>
    <t>红包鱼</t>
    <phoneticPr fontId="1" type="noConversion"/>
  </si>
  <si>
    <t>红包</t>
    <phoneticPr fontId="1" type="noConversion"/>
  </si>
  <si>
    <t>172,</t>
    <phoneticPr fontId="1" type="noConversion"/>
  </si>
  <si>
    <t>173,</t>
    <phoneticPr fontId="1" type="noConversion"/>
  </si>
  <si>
    <t>100,300</t>
    <phoneticPr fontId="1" type="noConversion"/>
  </si>
  <si>
    <t>"shop_gold_sum",8,0.05,0.15</t>
    <phoneticPr fontId="1" type="noConversion"/>
  </si>
  <si>
    <t>1,0,0.2,0.3</t>
    <phoneticPr fontId="1" type="noConversion"/>
  </si>
  <si>
    <t>1,0,0.3,0.4</t>
    <phoneticPr fontId="1" type="noConversion"/>
  </si>
  <si>
    <t>1,0,0.4,0.5</t>
    <phoneticPr fontId="1" type="noConversion"/>
  </si>
  <si>
    <t>1,0,0.01,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</si>
  <si>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</si>
  <si>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</si>
  <si>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</si>
  <si>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</si>
  <si>
    <t>0,0,0.66,1</t>
    <phoneticPr fontId="1" type="noConversion"/>
  </si>
  <si>
    <t>0,0,1,1.33</t>
    <phoneticPr fontId="1" type="noConversion"/>
  </si>
  <si>
    <t>0,0,1.33,1.66</t>
    <phoneticPr fontId="1" type="noConversion"/>
  </si>
  <si>
    <t>0,0,0.03,</t>
    <phoneticPr fontId="1" type="noConversion"/>
  </si>
  <si>
    <t>黄金灯笼鱼</t>
  </si>
  <si>
    <t>0,40</t>
    <phoneticPr fontId="1" type="noConversion"/>
  </si>
  <si>
    <t>0,80</t>
    <phoneticPr fontId="1" type="noConversion"/>
  </si>
  <si>
    <t>0,120</t>
    <phoneticPr fontId="1" type="noConversion"/>
  </si>
  <si>
    <t>0,40</t>
    <phoneticPr fontId="1" type="noConversion"/>
  </si>
  <si>
    <t>0,80</t>
    <phoneticPr fontId="1" type="noConversion"/>
  </si>
  <si>
    <t>174,</t>
  </si>
  <si>
    <t>175,</t>
  </si>
  <si>
    <t>176,</t>
  </si>
  <si>
    <t>177,</t>
  </si>
  <si>
    <t>178,</t>
  </si>
  <si>
    <t>179,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</si>
</sst>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05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9" borderId="0" xfId="0" applyFill="1"/>
    <xf numFmtId="0" fontId="0" fillId="19" borderId="0" xfId="0" applyFill="1" applyBorder="1" applyAlignment="1">
      <alignment horizontal="center" vertic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3" fillId="2" borderId="1" xfId="1" applyNumberFormat="1" applyFont="1" applyFill="1" applyBorder="1" applyAlignment="1" applyProtection="1">
      <alignment horizontal="right" vertical="center" wrapText="1"/>
    </xf>
    <xf numFmtId="0" fontId="0" fillId="6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0" fillId="13" borderId="0" xfId="0" applyFill="1" applyAlignment="1">
      <alignment horizontal="right"/>
    </xf>
    <xf numFmtId="0" fontId="0" fillId="14" borderId="0" xfId="0" applyFill="1" applyAlignment="1">
      <alignment horizontal="right"/>
    </xf>
    <xf numFmtId="0" fontId="0" fillId="15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8" borderId="0" xfId="0" applyFill="1" applyAlignment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19" borderId="0" xfId="0" applyFill="1" applyAlignment="1">
      <alignment horizontal="righ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97"/>
  <sheetViews>
    <sheetView workbookViewId="0">
      <pane ySplit="1" topLeftCell="A173" activePane="bottomLeft" state="frozen"/>
      <selection pane="bottomLeft" activeCell="H191" sqref="H191:I196"/>
    </sheetView>
  </sheetViews>
  <sheetFormatPr defaultColWidth="8.625" defaultRowHeight="14.25" outlineLevelCol="1" x14ac:dyDescent="0.2"/>
  <cols>
    <col min="2" max="2" width="17.125" customWidth="1"/>
    <col min="3" max="3" width="17.875" style="103" bestFit="1" customWidth="1"/>
    <col min="7" max="7" width="20.625" bestFit="1" customWidth="1"/>
    <col min="8" max="8" width="10.625" customWidth="1"/>
    <col min="9" max="9" width="12" customWidth="1"/>
    <col min="10" max="10" width="19.625" customWidth="1"/>
    <col min="11" max="11" width="18.875" bestFit="1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88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89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89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89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89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89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89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89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89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89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89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89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9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9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9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9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9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9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91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91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91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91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92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92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92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92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91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91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91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91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91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91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91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91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92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92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92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92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92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92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92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92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93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93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93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93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93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93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93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93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93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93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94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94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94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94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94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94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94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94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95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95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95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95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89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89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89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94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94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94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94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94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94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94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94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94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94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94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94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94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94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94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94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94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94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94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94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94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94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94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94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94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94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94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94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96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94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94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94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94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94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94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94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94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94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94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94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97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97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97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97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97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97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97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97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97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97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98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98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98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98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98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98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98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98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98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99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99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100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100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100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100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100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100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100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100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100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101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101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101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101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101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101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92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92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92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92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92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92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101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101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101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101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101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101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92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92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92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92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92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92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94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94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94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94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94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94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94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250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250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94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350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350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94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450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450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  <row r="171" spans="1:17" s="55" customFormat="1" x14ac:dyDescent="0.2">
      <c r="A171" s="62">
        <v>170</v>
      </c>
      <c r="B171" s="62">
        <v>1</v>
      </c>
      <c r="C171" s="98" t="s">
        <v>471</v>
      </c>
      <c r="D171" s="62"/>
      <c r="E171" s="62"/>
      <c r="F171" s="62"/>
      <c r="G171" s="62"/>
      <c r="H171" s="62">
        <f>SUM(_xlfn.IFNA(LOOKUP(Q171,use_fish!A:A,use_fish!E:E),0),_xlfn.IFNA(LOOKUP(R171,use_fish!A:A,use_fish!E:E),0),_xlfn.IFNA(LOOKUP(S171,use_fish!A:A,use_fish!E:E),0),_xlfn.IFNA(LOOKUP(T171,use_fish!A:A,use_fish!E:E),0),_xlfn.IFNA(LOOKUP(U171,use_fish!A:A,use_fish!E:E),0),_xlfn.IFNA(LOOKUP(V171,use_fish!A:A,use_fish!E:E),0),_xlfn.IFNA(LOOKUP(W171,use_fish!A:A,use_fish!E:E),0),)</f>
        <v>30</v>
      </c>
      <c r="I171" s="62">
        <f>SUM(_xlfn.IFNA(LOOKUP(Q171,use_fish!A:A,use_fish!I:I),0),_xlfn.IFNA(LOOKUP(R171,use_fish!A:A,use_fish!I:I),0),_xlfn.IFNA(LOOKUP(S171,use_fish!A:A,use_fish!I:I),0),_xlfn.IFNA(LOOKUP(T171,use_fish!A:A,use_fish!I:I),0),_xlfn.IFNA(LOOKUP(U171,use_fish!A:A,use_fish!I:I),0),_xlfn.IFNA(LOOKUP(V171,use_fish!A:A,use_fish!I:I),0),_xlfn.IFNA(LOOKUP(W171,use_fish!A:A,use_fish!I:I),0),)</f>
        <v>30</v>
      </c>
      <c r="J171" s="61">
        <f>SUM(_xlfn.IFNA(LOOKUP(Q171,use_fish!A:A,use_fish!K:K),0),_xlfn.IFNA(LOOKUP(R171,use_fish!A:A,use_fish!K:K),0),_xlfn.IFNA(LOOKUP(S171,use_fish!A:A,use_fish!K:K),0),_xlfn.IFNA(LOOKUP(T171,use_fish!A:A,use_fish!K:K),0),_xlfn.IFNA(LOOKUP(U171,use_fish!A:A,use_fish!K:K),0),_xlfn.IFNA(LOOKUP(V171,use_fish!A:A,use_fish!K:K),0),_xlfn.IFNA(LOOKUP(W171,use_fish!A:A,use_fish!K:K),0),)</f>
        <v>0</v>
      </c>
      <c r="K171" s="62"/>
      <c r="L171" s="62"/>
      <c r="M171" s="62"/>
      <c r="N171" s="62"/>
      <c r="O171" s="62"/>
      <c r="P171" s="62"/>
      <c r="Q171" s="62">
        <v>154</v>
      </c>
    </row>
    <row r="172" spans="1:17" s="55" customFormat="1" x14ac:dyDescent="0.2">
      <c r="A172" s="62">
        <v>171</v>
      </c>
      <c r="B172" s="62">
        <v>1</v>
      </c>
      <c r="C172" s="98" t="s">
        <v>472</v>
      </c>
      <c r="D172" s="62"/>
      <c r="E172" s="62"/>
      <c r="F172" s="62"/>
      <c r="G172" s="62"/>
      <c r="H172" s="62">
        <f>SUM(_xlfn.IFNA(LOOKUP(Q172,use_fish!A:A,use_fish!E:E),0),_xlfn.IFNA(LOOKUP(R172,use_fish!A:A,use_fish!E:E),0),_xlfn.IFNA(LOOKUP(S172,use_fish!A:A,use_fish!E:E),0),_xlfn.IFNA(LOOKUP(T172,use_fish!A:A,use_fish!E:E),0),_xlfn.IFNA(LOOKUP(U172,use_fish!A:A,use_fish!E:E),0),_xlfn.IFNA(LOOKUP(V172,use_fish!A:A,use_fish!E:E),0),_xlfn.IFNA(LOOKUP(W172,use_fish!A:A,use_fish!E:E),0),)</f>
        <v>35</v>
      </c>
      <c r="I172" s="62">
        <f>SUM(_xlfn.IFNA(LOOKUP(Q172,use_fish!A:A,use_fish!I:I),0),_xlfn.IFNA(LOOKUP(R172,use_fish!A:A,use_fish!I:I),0),_xlfn.IFNA(LOOKUP(S172,use_fish!A:A,use_fish!I:I),0),_xlfn.IFNA(LOOKUP(T172,use_fish!A:A,use_fish!I:I),0),_xlfn.IFNA(LOOKUP(U172,use_fish!A:A,use_fish!I:I),0),_xlfn.IFNA(LOOKUP(V172,use_fish!A:A,use_fish!I:I),0),_xlfn.IFNA(LOOKUP(W172,use_fish!A:A,use_fish!I:I),0),)</f>
        <v>35</v>
      </c>
      <c r="J172" s="61">
        <f>SUM(_xlfn.IFNA(LOOKUP(Q172,use_fish!A:A,use_fish!K:K),0),_xlfn.IFNA(LOOKUP(R172,use_fish!A:A,use_fish!K:K),0),_xlfn.IFNA(LOOKUP(S172,use_fish!A:A,use_fish!K:K),0),_xlfn.IFNA(LOOKUP(T172,use_fish!A:A,use_fish!K:K),0),_xlfn.IFNA(LOOKUP(U172,use_fish!A:A,use_fish!K:K),0),_xlfn.IFNA(LOOKUP(V172,use_fish!A:A,use_fish!K:K),0),_xlfn.IFNA(LOOKUP(W172,use_fish!A:A,use_fish!K:K),0),)</f>
        <v>0</v>
      </c>
      <c r="K172" s="62"/>
      <c r="L172" s="62"/>
      <c r="M172" s="62"/>
      <c r="N172" s="62"/>
      <c r="O172" s="62"/>
      <c r="P172" s="62"/>
      <c r="Q172" s="62">
        <v>155</v>
      </c>
    </row>
    <row r="173" spans="1:17" s="55" customFormat="1" x14ac:dyDescent="0.2">
      <c r="A173" s="62">
        <v>172</v>
      </c>
      <c r="B173" s="62">
        <v>1</v>
      </c>
      <c r="C173" s="98" t="s">
        <v>473</v>
      </c>
      <c r="D173" s="62"/>
      <c r="E173" s="62"/>
      <c r="F173" s="62"/>
      <c r="G173" s="62"/>
      <c r="H173" s="62">
        <f>SUM(_xlfn.IFNA(LOOKUP(Q173,use_fish!A:A,use_fish!E:E),0),_xlfn.IFNA(LOOKUP(R173,use_fish!A:A,use_fish!E:E),0),_xlfn.IFNA(LOOKUP(S173,use_fish!A:A,use_fish!E:E),0),_xlfn.IFNA(LOOKUP(T173,use_fish!A:A,use_fish!E:E),0),_xlfn.IFNA(LOOKUP(U173,use_fish!A:A,use_fish!E:E),0),_xlfn.IFNA(LOOKUP(V173,use_fish!A:A,use_fish!E:E),0),_xlfn.IFNA(LOOKUP(W173,use_fish!A:A,use_fish!E:E),0),)</f>
        <v>40</v>
      </c>
      <c r="I173" s="62">
        <f>SUM(_xlfn.IFNA(LOOKUP(Q173,use_fish!A:A,use_fish!I:I),0),_xlfn.IFNA(LOOKUP(R173,use_fish!A:A,use_fish!I:I),0),_xlfn.IFNA(LOOKUP(S173,use_fish!A:A,use_fish!I:I),0),_xlfn.IFNA(LOOKUP(T173,use_fish!A:A,use_fish!I:I),0),_xlfn.IFNA(LOOKUP(U173,use_fish!A:A,use_fish!I:I),0),_xlfn.IFNA(LOOKUP(V173,use_fish!A:A,use_fish!I:I),0),_xlfn.IFNA(LOOKUP(W173,use_fish!A:A,use_fish!I:I),0),)</f>
        <v>40</v>
      </c>
      <c r="J173" s="61">
        <f>SUM(_xlfn.IFNA(LOOKUP(Q173,use_fish!A:A,use_fish!K:K),0),_xlfn.IFNA(LOOKUP(R173,use_fish!A:A,use_fish!K:K),0),_xlfn.IFNA(LOOKUP(S173,use_fish!A:A,use_fish!K:K),0),_xlfn.IFNA(LOOKUP(T173,use_fish!A:A,use_fish!K:K),0),_xlfn.IFNA(LOOKUP(U173,use_fish!A:A,use_fish!K:K),0),_xlfn.IFNA(LOOKUP(V173,use_fish!A:A,use_fish!K:K),0),_xlfn.IFNA(LOOKUP(W173,use_fish!A:A,use_fish!K:K),0),)</f>
        <v>0</v>
      </c>
      <c r="K173" s="62"/>
      <c r="L173" s="62"/>
      <c r="M173" s="62"/>
      <c r="N173" s="62"/>
      <c r="O173" s="62"/>
      <c r="P173" s="62"/>
      <c r="Q173" s="62">
        <v>156</v>
      </c>
    </row>
    <row r="174" spans="1:17" s="55" customFormat="1" x14ac:dyDescent="0.2">
      <c r="A174" s="62">
        <v>173</v>
      </c>
      <c r="B174" s="62">
        <v>1</v>
      </c>
      <c r="C174" s="98" t="s">
        <v>474</v>
      </c>
      <c r="D174" s="62"/>
      <c r="E174" s="62"/>
      <c r="F174" s="62"/>
      <c r="G174" s="62"/>
      <c r="H174" s="62">
        <f>SUM(_xlfn.IFNA(LOOKUP(Q174,use_fish!A:A,use_fish!E:E),0),_xlfn.IFNA(LOOKUP(R174,use_fish!A:A,use_fish!E:E),0),_xlfn.IFNA(LOOKUP(S174,use_fish!A:A,use_fish!E:E),0),_xlfn.IFNA(LOOKUP(T174,use_fish!A:A,use_fish!E:E),0),_xlfn.IFNA(LOOKUP(U174,use_fish!A:A,use_fish!E:E),0),_xlfn.IFNA(LOOKUP(V174,use_fish!A:A,use_fish!E:E),0),_xlfn.IFNA(LOOKUP(W174,use_fish!A:A,use_fish!E:E),0),)</f>
        <v>45</v>
      </c>
      <c r="I174" s="62">
        <f>SUM(_xlfn.IFNA(LOOKUP(Q174,use_fish!A:A,use_fish!I:I),0),_xlfn.IFNA(LOOKUP(R174,use_fish!A:A,use_fish!I:I),0),_xlfn.IFNA(LOOKUP(S174,use_fish!A:A,use_fish!I:I),0),_xlfn.IFNA(LOOKUP(T174,use_fish!A:A,use_fish!I:I),0),_xlfn.IFNA(LOOKUP(U174,use_fish!A:A,use_fish!I:I),0),_xlfn.IFNA(LOOKUP(V174,use_fish!A:A,use_fish!I:I),0),_xlfn.IFNA(LOOKUP(W174,use_fish!A:A,use_fish!I:I),0),)</f>
        <v>45</v>
      </c>
      <c r="J174" s="61">
        <f>SUM(_xlfn.IFNA(LOOKUP(Q174,use_fish!A:A,use_fish!K:K),0),_xlfn.IFNA(LOOKUP(R174,use_fish!A:A,use_fish!K:K),0),_xlfn.IFNA(LOOKUP(S174,use_fish!A:A,use_fish!K:K),0),_xlfn.IFNA(LOOKUP(T174,use_fish!A:A,use_fish!K:K),0),_xlfn.IFNA(LOOKUP(U174,use_fish!A:A,use_fish!K:K),0),_xlfn.IFNA(LOOKUP(V174,use_fish!A:A,use_fish!K:K),0),_xlfn.IFNA(LOOKUP(W174,use_fish!A:A,use_fish!K:K),0),)</f>
        <v>0</v>
      </c>
      <c r="K174" s="62"/>
      <c r="L174" s="62"/>
      <c r="M174" s="62"/>
      <c r="N174" s="62"/>
      <c r="O174" s="62"/>
      <c r="P174" s="62"/>
      <c r="Q174" s="62">
        <v>157</v>
      </c>
    </row>
    <row r="175" spans="1:17" s="55" customFormat="1" x14ac:dyDescent="0.2">
      <c r="A175" s="62">
        <v>174</v>
      </c>
      <c r="B175" s="62">
        <v>1</v>
      </c>
      <c r="C175" s="98" t="s">
        <v>475</v>
      </c>
      <c r="D175" s="62"/>
      <c r="E175" s="62"/>
      <c r="F175" s="62"/>
      <c r="G175" s="62"/>
      <c r="H175" s="62">
        <f>SUM(_xlfn.IFNA(LOOKUP(Q175,use_fish!A:A,use_fish!E:E),0),_xlfn.IFNA(LOOKUP(R175,use_fish!A:A,use_fish!E:E),0),_xlfn.IFNA(LOOKUP(S175,use_fish!A:A,use_fish!E:E),0),_xlfn.IFNA(LOOKUP(T175,use_fish!A:A,use_fish!E:E),0),_xlfn.IFNA(LOOKUP(U175,use_fish!A:A,use_fish!E:E),0),_xlfn.IFNA(LOOKUP(V175,use_fish!A:A,use_fish!E:E),0),_xlfn.IFNA(LOOKUP(W175,use_fish!A:A,use_fish!E:E),0),)</f>
        <v>50</v>
      </c>
      <c r="I175" s="62">
        <f>SUM(_xlfn.IFNA(LOOKUP(Q175,use_fish!A:A,use_fish!I:I),0),_xlfn.IFNA(LOOKUP(R175,use_fish!A:A,use_fish!I:I),0),_xlfn.IFNA(LOOKUP(S175,use_fish!A:A,use_fish!I:I),0),_xlfn.IFNA(LOOKUP(T175,use_fish!A:A,use_fish!I:I),0),_xlfn.IFNA(LOOKUP(U175,use_fish!A:A,use_fish!I:I),0),_xlfn.IFNA(LOOKUP(V175,use_fish!A:A,use_fish!I:I),0),_xlfn.IFNA(LOOKUP(W175,use_fish!A:A,use_fish!I:I),0),)</f>
        <v>50</v>
      </c>
      <c r="J175" s="61">
        <f>SUM(_xlfn.IFNA(LOOKUP(Q175,use_fish!A:A,use_fish!K:K),0),_xlfn.IFNA(LOOKUP(R175,use_fish!A:A,use_fish!K:K),0),_xlfn.IFNA(LOOKUP(S175,use_fish!A:A,use_fish!K:K),0),_xlfn.IFNA(LOOKUP(T175,use_fish!A:A,use_fish!K:K),0),_xlfn.IFNA(LOOKUP(U175,use_fish!A:A,use_fish!K:K),0),_xlfn.IFNA(LOOKUP(V175,use_fish!A:A,use_fish!K:K),0),_xlfn.IFNA(LOOKUP(W175,use_fish!A:A,use_fish!K:K),0),)</f>
        <v>0</v>
      </c>
      <c r="K175" s="62"/>
      <c r="L175" s="62"/>
      <c r="M175" s="62"/>
      <c r="N175" s="62"/>
      <c r="O175" s="62"/>
      <c r="P175" s="62"/>
      <c r="Q175" s="62">
        <v>158</v>
      </c>
    </row>
    <row r="176" spans="1:17" s="55" customFormat="1" x14ac:dyDescent="0.2">
      <c r="A176" s="62">
        <v>175</v>
      </c>
      <c r="B176" s="62">
        <v>1</v>
      </c>
      <c r="C176" s="98" t="s">
        <v>476</v>
      </c>
      <c r="D176" s="62"/>
      <c r="E176" s="62"/>
      <c r="F176" s="62"/>
      <c r="G176" s="62"/>
      <c r="H176" s="62">
        <f>SUM(_xlfn.IFNA(LOOKUP(Q176,use_fish!A:A,use_fish!E:E),0),_xlfn.IFNA(LOOKUP(R176,use_fish!A:A,use_fish!E:E),0),_xlfn.IFNA(LOOKUP(S176,use_fish!A:A,use_fish!E:E),0),_xlfn.IFNA(LOOKUP(T176,use_fish!A:A,use_fish!E:E),0),_xlfn.IFNA(LOOKUP(U176,use_fish!A:A,use_fish!E:E),0),_xlfn.IFNA(LOOKUP(V176,use_fish!A:A,use_fish!E:E),0),_xlfn.IFNA(LOOKUP(W176,use_fish!A:A,use_fish!E:E),0),)</f>
        <v>70</v>
      </c>
      <c r="I176" s="62">
        <f>SUM(_xlfn.IFNA(LOOKUP(Q176,use_fish!A:A,use_fish!I:I),0),_xlfn.IFNA(LOOKUP(R176,use_fish!A:A,use_fish!I:I),0),_xlfn.IFNA(LOOKUP(S176,use_fish!A:A,use_fish!I:I),0),_xlfn.IFNA(LOOKUP(T176,use_fish!A:A,use_fish!I:I),0),_xlfn.IFNA(LOOKUP(U176,use_fish!A:A,use_fish!I:I),0),_xlfn.IFNA(LOOKUP(V176,use_fish!A:A,use_fish!I:I),0),_xlfn.IFNA(LOOKUP(W176,use_fish!A:A,use_fish!I:I),0),)</f>
        <v>70</v>
      </c>
      <c r="J176" s="61">
        <f>SUM(_xlfn.IFNA(LOOKUP(Q176,use_fish!A:A,use_fish!K:K),0),_xlfn.IFNA(LOOKUP(R176,use_fish!A:A,use_fish!K:K),0),_xlfn.IFNA(LOOKUP(S176,use_fish!A:A,use_fish!K:K),0),_xlfn.IFNA(LOOKUP(T176,use_fish!A:A,use_fish!K:K),0),_xlfn.IFNA(LOOKUP(U176,use_fish!A:A,use_fish!K:K),0),_xlfn.IFNA(LOOKUP(V176,use_fish!A:A,use_fish!K:K),0),_xlfn.IFNA(LOOKUP(W176,use_fish!A:A,use_fish!K:K),0),)</f>
        <v>0</v>
      </c>
      <c r="K176" s="62"/>
      <c r="L176" s="62"/>
      <c r="M176" s="62"/>
      <c r="N176" s="62"/>
      <c r="O176" s="62"/>
      <c r="P176" s="62"/>
      <c r="Q176" s="62">
        <v>159</v>
      </c>
    </row>
    <row r="177" spans="1:17" s="55" customFormat="1" x14ac:dyDescent="0.2">
      <c r="A177" s="62">
        <v>176</v>
      </c>
      <c r="B177" s="62">
        <v>1</v>
      </c>
      <c r="C177" s="98" t="s">
        <v>477</v>
      </c>
      <c r="D177" s="62"/>
      <c r="E177" s="62"/>
      <c r="F177" s="62"/>
      <c r="G177" s="62"/>
      <c r="H177" s="62">
        <f>SUM(_xlfn.IFNA(LOOKUP(Q177,use_fish!A:A,use_fish!E:E),0),_xlfn.IFNA(LOOKUP(R177,use_fish!A:A,use_fish!E:E),0),_xlfn.IFNA(LOOKUP(S177,use_fish!A:A,use_fish!E:E),0),_xlfn.IFNA(LOOKUP(T177,use_fish!A:A,use_fish!E:E),0),_xlfn.IFNA(LOOKUP(U177,use_fish!A:A,use_fish!E:E),0),_xlfn.IFNA(LOOKUP(V177,use_fish!A:A,use_fish!E:E),0),_xlfn.IFNA(LOOKUP(W177,use_fish!A:A,use_fish!E:E),0),)</f>
        <v>250</v>
      </c>
      <c r="I177" s="62">
        <f>SUM(_xlfn.IFNA(LOOKUP(Q177,use_fish!A:A,use_fish!I:I),0),_xlfn.IFNA(LOOKUP(R177,use_fish!A:A,use_fish!I:I),0),_xlfn.IFNA(LOOKUP(S177,use_fish!A:A,use_fish!I:I),0),_xlfn.IFNA(LOOKUP(T177,use_fish!A:A,use_fish!I:I),0),_xlfn.IFNA(LOOKUP(U177,use_fish!A:A,use_fish!I:I),0),_xlfn.IFNA(LOOKUP(V177,use_fish!A:A,use_fish!I:I),0),_xlfn.IFNA(LOOKUP(W177,use_fish!A:A,use_fish!I:I),0),)</f>
        <v>250</v>
      </c>
      <c r="J177" s="61">
        <f>SUM(_xlfn.IFNA(LOOKUP(Q177,use_fish!A:A,use_fish!K:K),0),_xlfn.IFNA(LOOKUP(R177,use_fish!A:A,use_fish!K:K),0),_xlfn.IFNA(LOOKUP(S177,use_fish!A:A,use_fish!K:K),0),_xlfn.IFNA(LOOKUP(T177,use_fish!A:A,use_fish!K:K),0),_xlfn.IFNA(LOOKUP(U177,use_fish!A:A,use_fish!K:K),0),_xlfn.IFNA(LOOKUP(V177,use_fish!A:A,use_fish!K:K),0),_xlfn.IFNA(LOOKUP(W177,use_fish!A:A,use_fish!K:K),0),)</f>
        <v>0</v>
      </c>
      <c r="K177" s="62"/>
      <c r="L177" s="62"/>
      <c r="M177" s="62"/>
      <c r="N177" s="62"/>
      <c r="O177" s="62"/>
      <c r="P177" s="62"/>
      <c r="Q177" s="62">
        <v>160</v>
      </c>
    </row>
    <row r="178" spans="1:17" s="55" customFormat="1" x14ac:dyDescent="0.2">
      <c r="A178" s="62">
        <v>177</v>
      </c>
      <c r="B178" s="62">
        <v>1</v>
      </c>
      <c r="C178" s="98" t="s">
        <v>478</v>
      </c>
      <c r="D178" s="62"/>
      <c r="E178" s="62"/>
      <c r="F178" s="62"/>
      <c r="G178" s="62"/>
      <c r="H178" s="62">
        <f>SUM(_xlfn.IFNA(LOOKUP(Q178,use_fish!A:A,use_fish!E:E),0),_xlfn.IFNA(LOOKUP(R178,use_fish!A:A,use_fish!E:E),0),_xlfn.IFNA(LOOKUP(S178,use_fish!A:A,use_fish!E:E),0),_xlfn.IFNA(LOOKUP(T178,use_fish!A:A,use_fish!E:E),0),_xlfn.IFNA(LOOKUP(U178,use_fish!A:A,use_fish!E:E),0),_xlfn.IFNA(LOOKUP(V178,use_fish!A:A,use_fish!E:E),0),_xlfn.IFNA(LOOKUP(W178,use_fish!A:A,use_fish!E:E),0),)</f>
        <v>350</v>
      </c>
      <c r="I178" s="62">
        <f>SUM(_xlfn.IFNA(LOOKUP(Q178,use_fish!A:A,use_fish!I:I),0),_xlfn.IFNA(LOOKUP(R178,use_fish!A:A,use_fish!I:I),0),_xlfn.IFNA(LOOKUP(S178,use_fish!A:A,use_fish!I:I),0),_xlfn.IFNA(LOOKUP(T178,use_fish!A:A,use_fish!I:I),0),_xlfn.IFNA(LOOKUP(U178,use_fish!A:A,use_fish!I:I),0),_xlfn.IFNA(LOOKUP(V178,use_fish!A:A,use_fish!I:I),0),_xlfn.IFNA(LOOKUP(W178,use_fish!A:A,use_fish!I:I),0),)</f>
        <v>350</v>
      </c>
      <c r="J178" s="61">
        <f>SUM(_xlfn.IFNA(LOOKUP(Q178,use_fish!A:A,use_fish!K:K),0),_xlfn.IFNA(LOOKUP(R178,use_fish!A:A,use_fish!K:K),0),_xlfn.IFNA(LOOKUP(S178,use_fish!A:A,use_fish!K:K),0),_xlfn.IFNA(LOOKUP(T178,use_fish!A:A,use_fish!K:K),0),_xlfn.IFNA(LOOKUP(U178,use_fish!A:A,use_fish!K:K),0),_xlfn.IFNA(LOOKUP(V178,use_fish!A:A,use_fish!K:K),0),_xlfn.IFNA(LOOKUP(W178,use_fish!A:A,use_fish!K:K),0),)</f>
        <v>0</v>
      </c>
      <c r="K178" s="62"/>
      <c r="L178" s="62"/>
      <c r="M178" s="62"/>
      <c r="N178" s="62"/>
      <c r="O178" s="62"/>
      <c r="P178" s="62"/>
      <c r="Q178" s="62">
        <v>161</v>
      </c>
    </row>
    <row r="179" spans="1:17" s="55" customFormat="1" x14ac:dyDescent="0.2">
      <c r="A179" s="62">
        <v>178</v>
      </c>
      <c r="B179" s="62">
        <v>1</v>
      </c>
      <c r="C179" s="98" t="s">
        <v>479</v>
      </c>
      <c r="D179" s="62"/>
      <c r="E179" s="62"/>
      <c r="F179" s="62"/>
      <c r="G179" s="62"/>
      <c r="H179" s="62">
        <f>SUM(_xlfn.IFNA(LOOKUP(Q179,use_fish!A:A,use_fish!E:E),0),_xlfn.IFNA(LOOKUP(R179,use_fish!A:A,use_fish!E:E),0),_xlfn.IFNA(LOOKUP(S179,use_fish!A:A,use_fish!E:E),0),_xlfn.IFNA(LOOKUP(T179,use_fish!A:A,use_fish!E:E),0),_xlfn.IFNA(LOOKUP(U179,use_fish!A:A,use_fish!E:E),0),_xlfn.IFNA(LOOKUP(V179,use_fish!A:A,use_fish!E:E),0),_xlfn.IFNA(LOOKUP(W179,use_fish!A:A,use_fish!E:E),0),)</f>
        <v>450</v>
      </c>
      <c r="I179" s="62">
        <f>SUM(_xlfn.IFNA(LOOKUP(Q179,use_fish!A:A,use_fish!I:I),0),_xlfn.IFNA(LOOKUP(R179,use_fish!A:A,use_fish!I:I),0),_xlfn.IFNA(LOOKUP(S179,use_fish!A:A,use_fish!I:I),0),_xlfn.IFNA(LOOKUP(T179,use_fish!A:A,use_fish!I:I),0),_xlfn.IFNA(LOOKUP(U179,use_fish!A:A,use_fish!I:I),0),_xlfn.IFNA(LOOKUP(V179,use_fish!A:A,use_fish!I:I),0),_xlfn.IFNA(LOOKUP(W179,use_fish!A:A,use_fish!I:I),0),)</f>
        <v>450</v>
      </c>
      <c r="J179" s="61">
        <f>SUM(_xlfn.IFNA(LOOKUP(Q179,use_fish!A:A,use_fish!K:K),0),_xlfn.IFNA(LOOKUP(R179,use_fish!A:A,use_fish!K:K),0),_xlfn.IFNA(LOOKUP(S179,use_fish!A:A,use_fish!K:K),0),_xlfn.IFNA(LOOKUP(T179,use_fish!A:A,use_fish!K:K),0),_xlfn.IFNA(LOOKUP(U179,use_fish!A:A,use_fish!K:K),0),_xlfn.IFNA(LOOKUP(V179,use_fish!A:A,use_fish!K:K),0),_xlfn.IFNA(LOOKUP(W179,use_fish!A:A,use_fish!K:K),0),)</f>
        <v>0</v>
      </c>
      <c r="K179" s="62"/>
      <c r="L179" s="62"/>
      <c r="M179" s="62"/>
      <c r="N179" s="62"/>
      <c r="O179" s="62"/>
      <c r="P179" s="62"/>
      <c r="Q179" s="62">
        <v>162</v>
      </c>
    </row>
    <row r="180" spans="1:17" s="55" customFormat="1" x14ac:dyDescent="0.2">
      <c r="A180" s="83">
        <v>179</v>
      </c>
      <c r="B180" s="83">
        <v>1</v>
      </c>
      <c r="C180" s="104" t="s">
        <v>480</v>
      </c>
      <c r="D180" s="83"/>
      <c r="E180" s="83"/>
      <c r="F180" s="83"/>
      <c r="G180" s="83"/>
      <c r="H180" s="83">
        <f>SUM(_xlfn.IFNA(LOOKUP(Q180,use_fish!A:A,use_fish!E:E),0),_xlfn.IFNA(LOOKUP(R180,use_fish!A:A,use_fish!E:E),0),_xlfn.IFNA(LOOKUP(S180,use_fish!A:A,use_fish!E:E),0),_xlfn.IFNA(LOOKUP(T180,use_fish!A:A,use_fish!E:E),0),_xlfn.IFNA(LOOKUP(U180,use_fish!A:A,use_fish!E:E),0),_xlfn.IFNA(LOOKUP(V180,use_fish!A:A,use_fish!E:E),0),_xlfn.IFNA(LOOKUP(W180,use_fish!A:A,use_fish!E:E),0),)</f>
        <v>30</v>
      </c>
      <c r="I180" s="83">
        <f>SUM(_xlfn.IFNA(LOOKUP(Q180,use_fish!A:A,use_fish!I:I),0),_xlfn.IFNA(LOOKUP(R180,use_fish!A:A,use_fish!I:I),0),_xlfn.IFNA(LOOKUP(S180,use_fish!A:A,use_fish!I:I),0),_xlfn.IFNA(LOOKUP(T180,use_fish!A:A,use_fish!I:I),0),_xlfn.IFNA(LOOKUP(U180,use_fish!A:A,use_fish!I:I),0),_xlfn.IFNA(LOOKUP(V180,use_fish!A:A,use_fish!I:I),0),_xlfn.IFNA(LOOKUP(W180,use_fish!A:A,use_fish!I:I),0),)</f>
        <v>30</v>
      </c>
      <c r="J180" s="86">
        <f>SUM(_xlfn.IFNA(LOOKUP(Q180,use_fish!A:A,use_fish!K:K),0),_xlfn.IFNA(LOOKUP(R180,use_fish!A:A,use_fish!K:K),0),_xlfn.IFNA(LOOKUP(S180,use_fish!A:A,use_fish!K:K),0),_xlfn.IFNA(LOOKUP(T180,use_fish!A:A,use_fish!K:K),0),_xlfn.IFNA(LOOKUP(U180,use_fish!A:A,use_fish!K:K),0),_xlfn.IFNA(LOOKUP(V180,use_fish!A:A,use_fish!K:K),0),_xlfn.IFNA(LOOKUP(W180,use_fish!A:A,use_fish!K:K),0),)</f>
        <v>0</v>
      </c>
      <c r="K180" s="83"/>
      <c r="L180" s="83"/>
      <c r="M180" s="83"/>
      <c r="N180" s="83"/>
      <c r="O180" s="83"/>
      <c r="P180" s="83"/>
      <c r="Q180" s="83">
        <v>163</v>
      </c>
    </row>
    <row r="181" spans="1:17" s="55" customFormat="1" x14ac:dyDescent="0.2">
      <c r="A181" s="83">
        <v>180</v>
      </c>
      <c r="B181" s="83">
        <v>1</v>
      </c>
      <c r="C181" s="104" t="s">
        <v>481</v>
      </c>
      <c r="D181" s="83"/>
      <c r="E181" s="83"/>
      <c r="F181" s="83"/>
      <c r="G181" s="83"/>
      <c r="H181" s="83">
        <f>SUM(_xlfn.IFNA(LOOKUP(Q181,use_fish!A:A,use_fish!E:E),0),_xlfn.IFNA(LOOKUP(R181,use_fish!A:A,use_fish!E:E),0),_xlfn.IFNA(LOOKUP(S181,use_fish!A:A,use_fish!E:E),0),_xlfn.IFNA(LOOKUP(T181,use_fish!A:A,use_fish!E:E),0),_xlfn.IFNA(LOOKUP(U181,use_fish!A:A,use_fish!E:E),0),_xlfn.IFNA(LOOKUP(V181,use_fish!A:A,use_fish!E:E),0),_xlfn.IFNA(LOOKUP(W181,use_fish!A:A,use_fish!E:E),0),)</f>
        <v>35</v>
      </c>
      <c r="I181" s="83">
        <f>SUM(_xlfn.IFNA(LOOKUP(Q181,use_fish!A:A,use_fish!I:I),0),_xlfn.IFNA(LOOKUP(R181,use_fish!A:A,use_fish!I:I),0),_xlfn.IFNA(LOOKUP(S181,use_fish!A:A,use_fish!I:I),0),_xlfn.IFNA(LOOKUP(T181,use_fish!A:A,use_fish!I:I),0),_xlfn.IFNA(LOOKUP(U181,use_fish!A:A,use_fish!I:I),0),_xlfn.IFNA(LOOKUP(V181,use_fish!A:A,use_fish!I:I),0),_xlfn.IFNA(LOOKUP(W181,use_fish!A:A,use_fish!I:I),0),)</f>
        <v>35</v>
      </c>
      <c r="J181" s="86">
        <f>SUM(_xlfn.IFNA(LOOKUP(Q181,use_fish!A:A,use_fish!K:K),0),_xlfn.IFNA(LOOKUP(R181,use_fish!A:A,use_fish!K:K),0),_xlfn.IFNA(LOOKUP(S181,use_fish!A:A,use_fish!K:K),0),_xlfn.IFNA(LOOKUP(T181,use_fish!A:A,use_fish!K:K),0),_xlfn.IFNA(LOOKUP(U181,use_fish!A:A,use_fish!K:K),0),_xlfn.IFNA(LOOKUP(V181,use_fish!A:A,use_fish!K:K),0),_xlfn.IFNA(LOOKUP(W181,use_fish!A:A,use_fish!K:K),0),)</f>
        <v>0</v>
      </c>
      <c r="K181" s="83"/>
      <c r="L181" s="83"/>
      <c r="M181" s="83"/>
      <c r="N181" s="83"/>
      <c r="O181" s="83"/>
      <c r="P181" s="83"/>
      <c r="Q181" s="83">
        <v>164</v>
      </c>
    </row>
    <row r="182" spans="1:17" s="55" customFormat="1" x14ac:dyDescent="0.2">
      <c r="A182" s="83">
        <v>181</v>
      </c>
      <c r="B182" s="83">
        <v>1</v>
      </c>
      <c r="C182" s="104" t="s">
        <v>482</v>
      </c>
      <c r="D182" s="83"/>
      <c r="E182" s="83"/>
      <c r="F182" s="83"/>
      <c r="G182" s="83"/>
      <c r="H182" s="83">
        <f>SUM(_xlfn.IFNA(LOOKUP(Q182,use_fish!A:A,use_fish!E:E),0),_xlfn.IFNA(LOOKUP(R182,use_fish!A:A,use_fish!E:E),0),_xlfn.IFNA(LOOKUP(S182,use_fish!A:A,use_fish!E:E),0),_xlfn.IFNA(LOOKUP(T182,use_fish!A:A,use_fish!E:E),0),_xlfn.IFNA(LOOKUP(U182,use_fish!A:A,use_fish!E:E),0),_xlfn.IFNA(LOOKUP(V182,use_fish!A:A,use_fish!E:E),0),_xlfn.IFNA(LOOKUP(W182,use_fish!A:A,use_fish!E:E),0),)</f>
        <v>40</v>
      </c>
      <c r="I182" s="83">
        <f>SUM(_xlfn.IFNA(LOOKUP(Q182,use_fish!A:A,use_fish!I:I),0),_xlfn.IFNA(LOOKUP(R182,use_fish!A:A,use_fish!I:I),0),_xlfn.IFNA(LOOKUP(S182,use_fish!A:A,use_fish!I:I),0),_xlfn.IFNA(LOOKUP(T182,use_fish!A:A,use_fish!I:I),0),_xlfn.IFNA(LOOKUP(U182,use_fish!A:A,use_fish!I:I),0),_xlfn.IFNA(LOOKUP(V182,use_fish!A:A,use_fish!I:I),0),_xlfn.IFNA(LOOKUP(W182,use_fish!A:A,use_fish!I:I),0),)</f>
        <v>40</v>
      </c>
      <c r="J182" s="86">
        <f>SUM(_xlfn.IFNA(LOOKUP(Q182,use_fish!A:A,use_fish!K:K),0),_xlfn.IFNA(LOOKUP(R182,use_fish!A:A,use_fish!K:K),0),_xlfn.IFNA(LOOKUP(S182,use_fish!A:A,use_fish!K:K),0),_xlfn.IFNA(LOOKUP(T182,use_fish!A:A,use_fish!K:K),0),_xlfn.IFNA(LOOKUP(U182,use_fish!A:A,use_fish!K:K),0),_xlfn.IFNA(LOOKUP(V182,use_fish!A:A,use_fish!K:K),0),_xlfn.IFNA(LOOKUP(W182,use_fish!A:A,use_fish!K:K),0),)</f>
        <v>0</v>
      </c>
      <c r="K182" s="83"/>
      <c r="L182" s="83"/>
      <c r="M182" s="83"/>
      <c r="N182" s="83"/>
      <c r="O182" s="83"/>
      <c r="P182" s="83"/>
      <c r="Q182" s="83">
        <v>165</v>
      </c>
    </row>
    <row r="183" spans="1:17" s="55" customFormat="1" x14ac:dyDescent="0.2">
      <c r="A183" s="83">
        <v>182</v>
      </c>
      <c r="B183" s="83">
        <v>1</v>
      </c>
      <c r="C183" s="104" t="s">
        <v>483</v>
      </c>
      <c r="D183" s="83"/>
      <c r="E183" s="83"/>
      <c r="F183" s="83"/>
      <c r="G183" s="83"/>
      <c r="H183" s="83">
        <f>SUM(_xlfn.IFNA(LOOKUP(Q183,use_fish!A:A,use_fish!E:E),0),_xlfn.IFNA(LOOKUP(R183,use_fish!A:A,use_fish!E:E),0),_xlfn.IFNA(LOOKUP(S183,use_fish!A:A,use_fish!E:E),0),_xlfn.IFNA(LOOKUP(T183,use_fish!A:A,use_fish!E:E),0),_xlfn.IFNA(LOOKUP(U183,use_fish!A:A,use_fish!E:E),0),_xlfn.IFNA(LOOKUP(V183,use_fish!A:A,use_fish!E:E),0),_xlfn.IFNA(LOOKUP(W183,use_fish!A:A,use_fish!E:E),0),)</f>
        <v>45</v>
      </c>
      <c r="I183" s="83">
        <f>SUM(_xlfn.IFNA(LOOKUP(Q183,use_fish!A:A,use_fish!I:I),0),_xlfn.IFNA(LOOKUP(R183,use_fish!A:A,use_fish!I:I),0),_xlfn.IFNA(LOOKUP(S183,use_fish!A:A,use_fish!I:I),0),_xlfn.IFNA(LOOKUP(T183,use_fish!A:A,use_fish!I:I),0),_xlfn.IFNA(LOOKUP(U183,use_fish!A:A,use_fish!I:I),0),_xlfn.IFNA(LOOKUP(V183,use_fish!A:A,use_fish!I:I),0),_xlfn.IFNA(LOOKUP(W183,use_fish!A:A,use_fish!I:I),0),)</f>
        <v>45</v>
      </c>
      <c r="J183" s="86">
        <f>SUM(_xlfn.IFNA(LOOKUP(Q183,use_fish!A:A,use_fish!K:K),0),_xlfn.IFNA(LOOKUP(R183,use_fish!A:A,use_fish!K:K),0),_xlfn.IFNA(LOOKUP(S183,use_fish!A:A,use_fish!K:K),0),_xlfn.IFNA(LOOKUP(T183,use_fish!A:A,use_fish!K:K),0),_xlfn.IFNA(LOOKUP(U183,use_fish!A:A,use_fish!K:K),0),_xlfn.IFNA(LOOKUP(V183,use_fish!A:A,use_fish!K:K),0),_xlfn.IFNA(LOOKUP(W183,use_fish!A:A,use_fish!K:K),0),)</f>
        <v>0</v>
      </c>
      <c r="K183" s="83"/>
      <c r="L183" s="83"/>
      <c r="M183" s="83"/>
      <c r="N183" s="83"/>
      <c r="O183" s="83"/>
      <c r="P183" s="83"/>
      <c r="Q183" s="83">
        <v>166</v>
      </c>
    </row>
    <row r="184" spans="1:17" s="55" customFormat="1" x14ac:dyDescent="0.2">
      <c r="A184" s="83">
        <v>183</v>
      </c>
      <c r="B184" s="83">
        <v>1</v>
      </c>
      <c r="C184" s="104" t="s">
        <v>484</v>
      </c>
      <c r="D184" s="83"/>
      <c r="E184" s="83"/>
      <c r="F184" s="83"/>
      <c r="G184" s="83"/>
      <c r="H184" s="83">
        <f>SUM(_xlfn.IFNA(LOOKUP(Q184,use_fish!A:A,use_fish!E:E),0),_xlfn.IFNA(LOOKUP(R184,use_fish!A:A,use_fish!E:E),0),_xlfn.IFNA(LOOKUP(S184,use_fish!A:A,use_fish!E:E),0),_xlfn.IFNA(LOOKUP(T184,use_fish!A:A,use_fish!E:E),0),_xlfn.IFNA(LOOKUP(U184,use_fish!A:A,use_fish!E:E),0),_xlfn.IFNA(LOOKUP(V184,use_fish!A:A,use_fish!E:E),0),_xlfn.IFNA(LOOKUP(W184,use_fish!A:A,use_fish!E:E),0),)</f>
        <v>50</v>
      </c>
      <c r="I184" s="83">
        <f>SUM(_xlfn.IFNA(LOOKUP(Q184,use_fish!A:A,use_fish!I:I),0),_xlfn.IFNA(LOOKUP(R184,use_fish!A:A,use_fish!I:I),0),_xlfn.IFNA(LOOKUP(S184,use_fish!A:A,use_fish!I:I),0),_xlfn.IFNA(LOOKUP(T184,use_fish!A:A,use_fish!I:I),0),_xlfn.IFNA(LOOKUP(U184,use_fish!A:A,use_fish!I:I),0),_xlfn.IFNA(LOOKUP(V184,use_fish!A:A,use_fish!I:I),0),_xlfn.IFNA(LOOKUP(W184,use_fish!A:A,use_fish!I:I),0),)</f>
        <v>50</v>
      </c>
      <c r="J184" s="86">
        <f>SUM(_xlfn.IFNA(LOOKUP(Q184,use_fish!A:A,use_fish!K:K),0),_xlfn.IFNA(LOOKUP(R184,use_fish!A:A,use_fish!K:K),0),_xlfn.IFNA(LOOKUP(S184,use_fish!A:A,use_fish!K:K),0),_xlfn.IFNA(LOOKUP(T184,use_fish!A:A,use_fish!K:K),0),_xlfn.IFNA(LOOKUP(U184,use_fish!A:A,use_fish!K:K),0),_xlfn.IFNA(LOOKUP(V184,use_fish!A:A,use_fish!K:K),0),_xlfn.IFNA(LOOKUP(W184,use_fish!A:A,use_fish!K:K),0),)</f>
        <v>0</v>
      </c>
      <c r="K184" s="83"/>
      <c r="L184" s="83"/>
      <c r="M184" s="83"/>
      <c r="N184" s="83"/>
      <c r="O184" s="83"/>
      <c r="P184" s="83"/>
      <c r="Q184" s="83">
        <v>167</v>
      </c>
    </row>
    <row r="185" spans="1:17" s="55" customFormat="1" x14ac:dyDescent="0.2">
      <c r="A185" s="83">
        <v>184</v>
      </c>
      <c r="B185" s="83">
        <v>1</v>
      </c>
      <c r="C185" s="104" t="s">
        <v>485</v>
      </c>
      <c r="D185" s="83"/>
      <c r="E185" s="83"/>
      <c r="F185" s="83"/>
      <c r="G185" s="83"/>
      <c r="H185" s="83">
        <f>SUM(_xlfn.IFNA(LOOKUP(Q185,use_fish!A:A,use_fish!E:E),0),_xlfn.IFNA(LOOKUP(R185,use_fish!A:A,use_fish!E:E),0),_xlfn.IFNA(LOOKUP(S185,use_fish!A:A,use_fish!E:E),0),_xlfn.IFNA(LOOKUP(T185,use_fish!A:A,use_fish!E:E),0),_xlfn.IFNA(LOOKUP(U185,use_fish!A:A,use_fish!E:E),0),_xlfn.IFNA(LOOKUP(V185,use_fish!A:A,use_fish!E:E),0),_xlfn.IFNA(LOOKUP(W185,use_fish!A:A,use_fish!E:E),0),)</f>
        <v>70</v>
      </c>
      <c r="I185" s="83">
        <f>SUM(_xlfn.IFNA(LOOKUP(Q185,use_fish!A:A,use_fish!I:I),0),_xlfn.IFNA(LOOKUP(R185,use_fish!A:A,use_fish!I:I),0),_xlfn.IFNA(LOOKUP(S185,use_fish!A:A,use_fish!I:I),0),_xlfn.IFNA(LOOKUP(T185,use_fish!A:A,use_fish!I:I),0),_xlfn.IFNA(LOOKUP(U185,use_fish!A:A,use_fish!I:I),0),_xlfn.IFNA(LOOKUP(V185,use_fish!A:A,use_fish!I:I),0),_xlfn.IFNA(LOOKUP(W185,use_fish!A:A,use_fish!I:I),0),)</f>
        <v>70</v>
      </c>
      <c r="J185" s="86">
        <f>SUM(_xlfn.IFNA(LOOKUP(Q185,use_fish!A:A,use_fish!K:K),0),_xlfn.IFNA(LOOKUP(R185,use_fish!A:A,use_fish!K:K),0),_xlfn.IFNA(LOOKUP(S185,use_fish!A:A,use_fish!K:K),0),_xlfn.IFNA(LOOKUP(T185,use_fish!A:A,use_fish!K:K),0),_xlfn.IFNA(LOOKUP(U185,use_fish!A:A,use_fish!K:K),0),_xlfn.IFNA(LOOKUP(V185,use_fish!A:A,use_fish!K:K),0),_xlfn.IFNA(LOOKUP(W185,use_fish!A:A,use_fish!K:K),0),)</f>
        <v>0</v>
      </c>
      <c r="K185" s="83"/>
      <c r="L185" s="83"/>
      <c r="M185" s="83"/>
      <c r="N185" s="83"/>
      <c r="O185" s="83"/>
      <c r="P185" s="83"/>
      <c r="Q185" s="83">
        <v>168</v>
      </c>
    </row>
    <row r="186" spans="1:17" s="55" customFormat="1" x14ac:dyDescent="0.2">
      <c r="A186" s="83">
        <v>185</v>
      </c>
      <c r="B186" s="83">
        <v>1</v>
      </c>
      <c r="C186" s="104" t="s">
        <v>486</v>
      </c>
      <c r="D186" s="83"/>
      <c r="E186" s="83"/>
      <c r="F186" s="83"/>
      <c r="G186" s="83"/>
      <c r="H186" s="83">
        <f>SUM(_xlfn.IFNA(LOOKUP(Q186,use_fish!A:A,use_fish!E:E),0),_xlfn.IFNA(LOOKUP(R186,use_fish!A:A,use_fish!E:E),0),_xlfn.IFNA(LOOKUP(S186,use_fish!A:A,use_fish!E:E),0),_xlfn.IFNA(LOOKUP(T186,use_fish!A:A,use_fish!E:E),0),_xlfn.IFNA(LOOKUP(U186,use_fish!A:A,use_fish!E:E),0),_xlfn.IFNA(LOOKUP(V186,use_fish!A:A,use_fish!E:E),0),_xlfn.IFNA(LOOKUP(W186,use_fish!A:A,use_fish!E:E),0),)</f>
        <v>250</v>
      </c>
      <c r="I186" s="83">
        <f>SUM(_xlfn.IFNA(LOOKUP(Q186,use_fish!A:A,use_fish!I:I),0),_xlfn.IFNA(LOOKUP(R186,use_fish!A:A,use_fish!I:I),0),_xlfn.IFNA(LOOKUP(S186,use_fish!A:A,use_fish!I:I),0),_xlfn.IFNA(LOOKUP(T186,use_fish!A:A,use_fish!I:I),0),_xlfn.IFNA(LOOKUP(U186,use_fish!A:A,use_fish!I:I),0),_xlfn.IFNA(LOOKUP(V186,use_fish!A:A,use_fish!I:I),0),_xlfn.IFNA(LOOKUP(W186,use_fish!A:A,use_fish!I:I),0),)</f>
        <v>250</v>
      </c>
      <c r="J186" s="86">
        <f>SUM(_xlfn.IFNA(LOOKUP(Q186,use_fish!A:A,use_fish!K:K),0),_xlfn.IFNA(LOOKUP(R186,use_fish!A:A,use_fish!K:K),0),_xlfn.IFNA(LOOKUP(S186,use_fish!A:A,use_fish!K:K),0),_xlfn.IFNA(LOOKUP(T186,use_fish!A:A,use_fish!K:K),0),_xlfn.IFNA(LOOKUP(U186,use_fish!A:A,use_fish!K:K),0),_xlfn.IFNA(LOOKUP(V186,use_fish!A:A,use_fish!K:K),0),_xlfn.IFNA(LOOKUP(W186,use_fish!A:A,use_fish!K:K),0),)</f>
        <v>0</v>
      </c>
      <c r="K186" s="83"/>
      <c r="L186" s="83"/>
      <c r="M186" s="83"/>
      <c r="N186" s="83"/>
      <c r="O186" s="83"/>
      <c r="P186" s="83"/>
      <c r="Q186" s="83">
        <v>169</v>
      </c>
    </row>
    <row r="187" spans="1:17" s="55" customFormat="1" x14ac:dyDescent="0.2">
      <c r="A187" s="83">
        <v>186</v>
      </c>
      <c r="B187" s="83">
        <v>1</v>
      </c>
      <c r="C187" s="104" t="s">
        <v>487</v>
      </c>
      <c r="D187" s="83"/>
      <c r="E187" s="83"/>
      <c r="F187" s="83"/>
      <c r="G187" s="83"/>
      <c r="H187" s="83">
        <f>SUM(_xlfn.IFNA(LOOKUP(Q187,use_fish!A:A,use_fish!E:E),0),_xlfn.IFNA(LOOKUP(R187,use_fish!A:A,use_fish!E:E),0),_xlfn.IFNA(LOOKUP(S187,use_fish!A:A,use_fish!E:E),0),_xlfn.IFNA(LOOKUP(T187,use_fish!A:A,use_fish!E:E),0),_xlfn.IFNA(LOOKUP(U187,use_fish!A:A,use_fish!E:E),0),_xlfn.IFNA(LOOKUP(V187,use_fish!A:A,use_fish!E:E),0),_xlfn.IFNA(LOOKUP(W187,use_fish!A:A,use_fish!E:E),0),)</f>
        <v>350</v>
      </c>
      <c r="I187" s="83">
        <f>SUM(_xlfn.IFNA(LOOKUP(Q187,use_fish!A:A,use_fish!I:I),0),_xlfn.IFNA(LOOKUP(R187,use_fish!A:A,use_fish!I:I),0),_xlfn.IFNA(LOOKUP(S187,use_fish!A:A,use_fish!I:I),0),_xlfn.IFNA(LOOKUP(T187,use_fish!A:A,use_fish!I:I),0),_xlfn.IFNA(LOOKUP(U187,use_fish!A:A,use_fish!I:I),0),_xlfn.IFNA(LOOKUP(V187,use_fish!A:A,use_fish!I:I),0),_xlfn.IFNA(LOOKUP(W187,use_fish!A:A,use_fish!I:I),0),)</f>
        <v>350</v>
      </c>
      <c r="J187" s="86">
        <f>SUM(_xlfn.IFNA(LOOKUP(Q187,use_fish!A:A,use_fish!K:K),0),_xlfn.IFNA(LOOKUP(R187,use_fish!A:A,use_fish!K:K),0),_xlfn.IFNA(LOOKUP(S187,use_fish!A:A,use_fish!K:K),0),_xlfn.IFNA(LOOKUP(T187,use_fish!A:A,use_fish!K:K),0),_xlfn.IFNA(LOOKUP(U187,use_fish!A:A,use_fish!K:K),0),_xlfn.IFNA(LOOKUP(V187,use_fish!A:A,use_fish!K:K),0),_xlfn.IFNA(LOOKUP(W187,use_fish!A:A,use_fish!K:K),0),)</f>
        <v>0</v>
      </c>
      <c r="K187" s="83"/>
      <c r="L187" s="83"/>
      <c r="M187" s="83"/>
      <c r="N187" s="83"/>
      <c r="O187" s="83"/>
      <c r="P187" s="83"/>
      <c r="Q187" s="83">
        <v>170</v>
      </c>
    </row>
    <row r="188" spans="1:17" s="55" customFormat="1" x14ac:dyDescent="0.2">
      <c r="A188" s="83">
        <v>187</v>
      </c>
      <c r="B188" s="83">
        <v>1</v>
      </c>
      <c r="C188" s="104" t="s">
        <v>488</v>
      </c>
      <c r="D188" s="83"/>
      <c r="E188" s="83"/>
      <c r="F188" s="83"/>
      <c r="G188" s="83"/>
      <c r="H188" s="83">
        <f>SUM(_xlfn.IFNA(LOOKUP(Q188,use_fish!A:A,use_fish!E:E),0),_xlfn.IFNA(LOOKUP(R188,use_fish!A:A,use_fish!E:E),0),_xlfn.IFNA(LOOKUP(S188,use_fish!A:A,use_fish!E:E),0),_xlfn.IFNA(LOOKUP(T188,use_fish!A:A,use_fish!E:E),0),_xlfn.IFNA(LOOKUP(U188,use_fish!A:A,use_fish!E:E),0),_xlfn.IFNA(LOOKUP(V188,use_fish!A:A,use_fish!E:E),0),_xlfn.IFNA(LOOKUP(W188,use_fish!A:A,use_fish!E:E),0),)</f>
        <v>450</v>
      </c>
      <c r="I188" s="83">
        <f>SUM(_xlfn.IFNA(LOOKUP(Q188,use_fish!A:A,use_fish!I:I),0),_xlfn.IFNA(LOOKUP(R188,use_fish!A:A,use_fish!I:I),0),_xlfn.IFNA(LOOKUP(S188,use_fish!A:A,use_fish!I:I),0),_xlfn.IFNA(LOOKUP(T188,use_fish!A:A,use_fish!I:I),0),_xlfn.IFNA(LOOKUP(U188,use_fish!A:A,use_fish!I:I),0),_xlfn.IFNA(LOOKUP(V188,use_fish!A:A,use_fish!I:I),0),_xlfn.IFNA(LOOKUP(W188,use_fish!A:A,use_fish!I:I),0),)</f>
        <v>450</v>
      </c>
      <c r="J188" s="86">
        <f>SUM(_xlfn.IFNA(LOOKUP(Q188,use_fish!A:A,use_fish!K:K),0),_xlfn.IFNA(LOOKUP(R188,use_fish!A:A,use_fish!K:K),0),_xlfn.IFNA(LOOKUP(S188,use_fish!A:A,use_fish!K:K),0),_xlfn.IFNA(LOOKUP(T188,use_fish!A:A,use_fish!K:K),0),_xlfn.IFNA(LOOKUP(U188,use_fish!A:A,use_fish!K:K),0),_xlfn.IFNA(LOOKUP(V188,use_fish!A:A,use_fish!K:K),0),_xlfn.IFNA(LOOKUP(W188,use_fish!A:A,use_fish!K:K),0),)</f>
        <v>0</v>
      </c>
      <c r="K188" s="83"/>
      <c r="L188" s="83"/>
      <c r="M188" s="83"/>
      <c r="N188" s="83"/>
      <c r="O188" s="83"/>
      <c r="P188" s="83"/>
      <c r="Q188" s="83">
        <v>171</v>
      </c>
    </row>
    <row r="189" spans="1:17" s="55" customFormat="1" x14ac:dyDescent="0.2">
      <c r="A189" s="83">
        <v>188</v>
      </c>
      <c r="B189" s="83">
        <v>1</v>
      </c>
      <c r="C189" s="104" t="s">
        <v>491</v>
      </c>
      <c r="D189" s="83"/>
      <c r="E189" s="83"/>
      <c r="F189" s="83"/>
      <c r="G189" s="83"/>
      <c r="H189" s="83">
        <f>SUM(_xlfn.IFNA(LOOKUP(Q189,use_fish!A:A,use_fish!E:E),0),_xlfn.IFNA(LOOKUP(R189,use_fish!A:A,use_fish!E:E),0),_xlfn.IFNA(LOOKUP(S189,use_fish!A:A,use_fish!E:E),0),_xlfn.IFNA(LOOKUP(T189,use_fish!A:A,use_fish!E:E),0),_xlfn.IFNA(LOOKUP(U189,use_fish!A:A,use_fish!E:E),0),_xlfn.IFNA(LOOKUP(V189,use_fish!A:A,use_fish!E:E),0),_xlfn.IFNA(LOOKUP(W189,use_fish!A:A,use_fish!E:E),0),)</f>
        <v>200</v>
      </c>
      <c r="I189" s="83">
        <f>SUM(_xlfn.IFNA(LOOKUP(Q189,use_fish!A:A,use_fish!I:I),0),_xlfn.IFNA(LOOKUP(R189,use_fish!A:A,use_fish!I:I),0),_xlfn.IFNA(LOOKUP(S189,use_fish!A:A,use_fish!I:I),0),_xlfn.IFNA(LOOKUP(T189,use_fish!A:A,use_fish!I:I),0),_xlfn.IFNA(LOOKUP(U189,use_fish!A:A,use_fish!I:I),0),_xlfn.IFNA(LOOKUP(V189,use_fish!A:A,use_fish!I:I),0),_xlfn.IFNA(LOOKUP(W189,use_fish!A:A,use_fish!I:I),0),)</f>
        <v>200</v>
      </c>
      <c r="J189" s="86">
        <f>SUM(_xlfn.IFNA(LOOKUP(Q189,use_fish!A:A,use_fish!K:K),0),_xlfn.IFNA(LOOKUP(R189,use_fish!A:A,use_fish!K:K),0),_xlfn.IFNA(LOOKUP(S189,use_fish!A:A,use_fish!K:K),0),_xlfn.IFNA(LOOKUP(T189,use_fish!A:A,use_fish!K:K),0),_xlfn.IFNA(LOOKUP(U189,use_fish!A:A,use_fish!K:K),0),_xlfn.IFNA(LOOKUP(V189,use_fish!A:A,use_fish!K:K),0),_xlfn.IFNA(LOOKUP(W189,use_fish!A:A,use_fish!K:K),0),)</f>
        <v>0</v>
      </c>
      <c r="K189" s="83"/>
      <c r="L189" s="83"/>
      <c r="M189" s="83"/>
      <c r="N189" s="83"/>
      <c r="O189" s="83"/>
      <c r="P189" s="83"/>
      <c r="Q189" s="83">
        <v>172</v>
      </c>
    </row>
    <row r="190" spans="1:17" s="55" customFormat="1" x14ac:dyDescent="0.2">
      <c r="A190" s="83">
        <v>189</v>
      </c>
      <c r="B190" s="83">
        <v>1</v>
      </c>
      <c r="C190" s="104" t="s">
        <v>492</v>
      </c>
      <c r="D190" s="83"/>
      <c r="E190" s="83"/>
      <c r="F190" s="83"/>
      <c r="G190" s="83"/>
      <c r="H190" s="83">
        <f>SUM(_xlfn.IFNA(LOOKUP(Q190,use_fish!A:A,use_fish!E:E),0),_xlfn.IFNA(LOOKUP(R190,use_fish!A:A,use_fish!E:E),0),_xlfn.IFNA(LOOKUP(S190,use_fish!A:A,use_fish!E:E),0),_xlfn.IFNA(LOOKUP(T190,use_fish!A:A,use_fish!E:E),0),_xlfn.IFNA(LOOKUP(U190,use_fish!A:A,use_fish!E:E),0),_xlfn.IFNA(LOOKUP(V190,use_fish!A:A,use_fish!E:E),0),_xlfn.IFNA(LOOKUP(W190,use_fish!A:A,use_fish!E:E),0),)</f>
        <v>0</v>
      </c>
      <c r="I190" s="83">
        <f>SUM(_xlfn.IFNA(LOOKUP(Q190,use_fish!A:A,use_fish!I:I),0),_xlfn.IFNA(LOOKUP(R190,use_fish!A:A,use_fish!I:I),0),_xlfn.IFNA(LOOKUP(S190,use_fish!A:A,use_fish!I:I),0),_xlfn.IFNA(LOOKUP(T190,use_fish!A:A,use_fish!I:I),0),_xlfn.IFNA(LOOKUP(U190,use_fish!A:A,use_fish!I:I),0),_xlfn.IFNA(LOOKUP(V190,use_fish!A:A,use_fish!I:I),0),_xlfn.IFNA(LOOKUP(W190,use_fish!A:A,use_fish!I:I),0),)</f>
        <v>0</v>
      </c>
      <c r="J190" s="86">
        <f>SUM(_xlfn.IFNA(LOOKUP(Q190,use_fish!A:A,use_fish!K:K),0),_xlfn.IFNA(LOOKUP(R190,use_fish!A:A,use_fish!K:K),0),_xlfn.IFNA(LOOKUP(S190,use_fish!A:A,use_fish!K:K),0),_xlfn.IFNA(LOOKUP(T190,use_fish!A:A,use_fish!K:K),0),_xlfn.IFNA(LOOKUP(U190,use_fish!A:A,use_fish!K:K),0),_xlfn.IFNA(LOOKUP(V190,use_fish!A:A,use_fish!K:K),0),_xlfn.IFNA(LOOKUP(W190,use_fish!A:A,use_fish!K:K),0),)</f>
        <v>0</v>
      </c>
      <c r="K190" s="83"/>
      <c r="L190" s="83"/>
      <c r="M190" s="83"/>
      <c r="N190" s="83"/>
      <c r="O190" s="83"/>
      <c r="P190" s="83"/>
      <c r="Q190" s="83">
        <v>173</v>
      </c>
    </row>
    <row r="191" spans="1:17" s="62" customFormat="1" x14ac:dyDescent="0.2">
      <c r="A191" s="62">
        <v>190</v>
      </c>
      <c r="B191" s="62">
        <v>1</v>
      </c>
      <c r="C191" s="98" t="s">
        <v>513</v>
      </c>
      <c r="H191" s="62">
        <f>SUM(_xlfn.IFNA(LOOKUP(Q191,use_fish!A:A,use_fish!E:E),0),_xlfn.IFNA(LOOKUP(R191,use_fish!A:A,use_fish!E:E),0),_xlfn.IFNA(LOOKUP(S191,use_fish!A:A,use_fish!E:E),0),_xlfn.IFNA(LOOKUP(T191,use_fish!A:A,use_fish!E:E),0),_xlfn.IFNA(LOOKUP(U191,use_fish!A:A,use_fish!E:E),0),_xlfn.IFNA(LOOKUP(V191,use_fish!A:A,use_fish!E:E),0),_xlfn.IFNA(LOOKUP(W191,use_fish!A:A,use_fish!E:E),0),)</f>
        <v>126</v>
      </c>
      <c r="I191" s="62">
        <f>SUM(_xlfn.IFNA(LOOKUP(Q191,use_fish!A:A,use_fish!I:I),0),_xlfn.IFNA(LOOKUP(R191,use_fish!A:A,use_fish!I:I),0),_xlfn.IFNA(LOOKUP(S191,use_fish!A:A,use_fish!I:I),0),_xlfn.IFNA(LOOKUP(T191,use_fish!A:A,use_fish!I:I),0),_xlfn.IFNA(LOOKUP(U191,use_fish!A:A,use_fish!I:I),0),_xlfn.IFNA(LOOKUP(V191,use_fish!A:A,use_fish!I:I),0),_xlfn.IFNA(LOOKUP(W191,use_fish!A:A,use_fish!I:I),0),)</f>
        <v>120</v>
      </c>
      <c r="J191" s="61">
        <f>SUM(_xlfn.IFNA(LOOKUP(Q191,use_fish!A:A,use_fish!K:K),0),_xlfn.IFNA(LOOKUP(R191,use_fish!A:A,use_fish!K:K),0),_xlfn.IFNA(LOOKUP(S191,use_fish!A:A,use_fish!K:K),0),_xlfn.IFNA(LOOKUP(T191,use_fish!A:A,use_fish!K:K),0),_xlfn.IFNA(LOOKUP(U191,use_fish!A:A,use_fish!K:K),0),_xlfn.IFNA(LOOKUP(V191,use_fish!A:A,use_fish!K:K),0),_xlfn.IFNA(LOOKUP(W191,use_fish!A:A,use_fish!K:K),0),)</f>
        <v>0</v>
      </c>
      <c r="Q191" s="62">
        <v>174</v>
      </c>
    </row>
    <row r="192" spans="1:17" s="62" customFormat="1" x14ac:dyDescent="0.2">
      <c r="A192" s="62">
        <v>191</v>
      </c>
      <c r="B192" s="62">
        <v>1</v>
      </c>
      <c r="C192" s="98" t="s">
        <v>514</v>
      </c>
      <c r="H192" s="62">
        <f>SUM(_xlfn.IFNA(LOOKUP(Q192,use_fish!A:A,use_fish!E:E),0),_xlfn.IFNA(LOOKUP(R192,use_fish!A:A,use_fish!E:E),0),_xlfn.IFNA(LOOKUP(S192,use_fish!A:A,use_fish!E:E),0),_xlfn.IFNA(LOOKUP(T192,use_fish!A:A,use_fish!E:E),0),_xlfn.IFNA(LOOKUP(U192,use_fish!A:A,use_fish!E:E),0),_xlfn.IFNA(LOOKUP(V192,use_fish!A:A,use_fish!E:E),0),_xlfn.IFNA(LOOKUP(W192,use_fish!A:A,use_fish!E:E),0),)</f>
        <v>126</v>
      </c>
      <c r="I192" s="62">
        <f>SUM(_xlfn.IFNA(LOOKUP(Q192,use_fish!A:A,use_fish!I:I),0),_xlfn.IFNA(LOOKUP(R192,use_fish!A:A,use_fish!I:I),0),_xlfn.IFNA(LOOKUP(S192,use_fish!A:A,use_fish!I:I),0),_xlfn.IFNA(LOOKUP(T192,use_fish!A:A,use_fish!I:I),0),_xlfn.IFNA(LOOKUP(U192,use_fish!A:A,use_fish!I:I),0),_xlfn.IFNA(LOOKUP(V192,use_fish!A:A,use_fish!I:I),0),_xlfn.IFNA(LOOKUP(W192,use_fish!A:A,use_fish!I:I),0),)</f>
        <v>120</v>
      </c>
      <c r="J192" s="61">
        <f>SUM(_xlfn.IFNA(LOOKUP(Q192,use_fish!A:A,use_fish!K:K),0),_xlfn.IFNA(LOOKUP(R192,use_fish!A:A,use_fish!K:K),0),_xlfn.IFNA(LOOKUP(S192,use_fish!A:A,use_fish!K:K),0),_xlfn.IFNA(LOOKUP(T192,use_fish!A:A,use_fish!K:K),0),_xlfn.IFNA(LOOKUP(U192,use_fish!A:A,use_fish!K:K),0),_xlfn.IFNA(LOOKUP(V192,use_fish!A:A,use_fish!K:K),0),_xlfn.IFNA(LOOKUP(W192,use_fish!A:A,use_fish!K:K),0),)</f>
        <v>0</v>
      </c>
      <c r="Q192" s="62">
        <v>175</v>
      </c>
    </row>
    <row r="193" spans="1:17" s="62" customFormat="1" x14ac:dyDescent="0.2">
      <c r="A193" s="62">
        <v>192</v>
      </c>
      <c r="B193" s="62">
        <v>1</v>
      </c>
      <c r="C193" s="98" t="s">
        <v>515</v>
      </c>
      <c r="H193" s="62">
        <f>SUM(_xlfn.IFNA(LOOKUP(Q193,use_fish!A:A,use_fish!E:E),0),_xlfn.IFNA(LOOKUP(R193,use_fish!A:A,use_fish!E:E),0),_xlfn.IFNA(LOOKUP(S193,use_fish!A:A,use_fish!E:E),0),_xlfn.IFNA(LOOKUP(T193,use_fish!A:A,use_fish!E:E),0),_xlfn.IFNA(LOOKUP(U193,use_fish!A:A,use_fish!E:E),0),_xlfn.IFNA(LOOKUP(V193,use_fish!A:A,use_fish!E:E),0),_xlfn.IFNA(LOOKUP(W193,use_fish!A:A,use_fish!E:E),0),)</f>
        <v>126</v>
      </c>
      <c r="I193" s="62">
        <f>SUM(_xlfn.IFNA(LOOKUP(Q193,use_fish!A:A,use_fish!I:I),0),_xlfn.IFNA(LOOKUP(R193,use_fish!A:A,use_fish!I:I),0),_xlfn.IFNA(LOOKUP(S193,use_fish!A:A,use_fish!I:I),0),_xlfn.IFNA(LOOKUP(T193,use_fish!A:A,use_fish!I:I),0),_xlfn.IFNA(LOOKUP(U193,use_fish!A:A,use_fish!I:I),0),_xlfn.IFNA(LOOKUP(V193,use_fish!A:A,use_fish!I:I),0),_xlfn.IFNA(LOOKUP(W193,use_fish!A:A,use_fish!I:I),0),)</f>
        <v>120</v>
      </c>
      <c r="J193" s="61">
        <f>SUM(_xlfn.IFNA(LOOKUP(Q193,use_fish!A:A,use_fish!K:K),0),_xlfn.IFNA(LOOKUP(R193,use_fish!A:A,use_fish!K:K),0),_xlfn.IFNA(LOOKUP(S193,use_fish!A:A,use_fish!K:K),0),_xlfn.IFNA(LOOKUP(T193,use_fish!A:A,use_fish!K:K),0),_xlfn.IFNA(LOOKUP(U193,use_fish!A:A,use_fish!K:K),0),_xlfn.IFNA(LOOKUP(V193,use_fish!A:A,use_fish!K:K),0),_xlfn.IFNA(LOOKUP(W193,use_fish!A:A,use_fish!K:K),0),)</f>
        <v>0</v>
      </c>
      <c r="Q193" s="62">
        <v>176</v>
      </c>
    </row>
    <row r="194" spans="1:17" s="62" customFormat="1" x14ac:dyDescent="0.2">
      <c r="A194" s="62">
        <v>193</v>
      </c>
      <c r="B194" s="62">
        <v>1</v>
      </c>
      <c r="C194" s="98" t="s">
        <v>516</v>
      </c>
      <c r="H194" s="62">
        <f>SUM(_xlfn.IFNA(LOOKUP(Q194,use_fish!A:A,use_fish!E:E),0),_xlfn.IFNA(LOOKUP(R194,use_fish!A:A,use_fish!E:E),0),_xlfn.IFNA(LOOKUP(S194,use_fish!A:A,use_fish!E:E),0),_xlfn.IFNA(LOOKUP(T194,use_fish!A:A,use_fish!E:E),0),_xlfn.IFNA(LOOKUP(U194,use_fish!A:A,use_fish!E:E),0),_xlfn.IFNA(LOOKUP(V194,use_fish!A:A,use_fish!E:E),0),_xlfn.IFNA(LOOKUP(W194,use_fish!A:A,use_fish!E:E),0),)</f>
        <v>168</v>
      </c>
      <c r="I194" s="62">
        <f>SUM(_xlfn.IFNA(LOOKUP(Q194,use_fish!A:A,use_fish!I:I),0),_xlfn.IFNA(LOOKUP(R194,use_fish!A:A,use_fish!I:I),0),_xlfn.IFNA(LOOKUP(S194,use_fish!A:A,use_fish!I:I),0),_xlfn.IFNA(LOOKUP(T194,use_fish!A:A,use_fish!I:I),0),_xlfn.IFNA(LOOKUP(U194,use_fish!A:A,use_fish!I:I),0),_xlfn.IFNA(LOOKUP(V194,use_fish!A:A,use_fish!I:I),0),_xlfn.IFNA(LOOKUP(W194,use_fish!A:A,use_fish!I:I),0),)</f>
        <v>160</v>
      </c>
      <c r="J194" s="61">
        <f>SUM(_xlfn.IFNA(LOOKUP(Q194,use_fish!A:A,use_fish!K:K),0),_xlfn.IFNA(LOOKUP(R194,use_fish!A:A,use_fish!K:K),0),_xlfn.IFNA(LOOKUP(S194,use_fish!A:A,use_fish!K:K),0),_xlfn.IFNA(LOOKUP(T194,use_fish!A:A,use_fish!K:K),0),_xlfn.IFNA(LOOKUP(U194,use_fish!A:A,use_fish!K:K),0),_xlfn.IFNA(LOOKUP(V194,use_fish!A:A,use_fish!K:K),0),_xlfn.IFNA(LOOKUP(W194,use_fish!A:A,use_fish!K:K),0),)</f>
        <v>0</v>
      </c>
      <c r="Q194" s="62">
        <v>177</v>
      </c>
    </row>
    <row r="195" spans="1:17" s="62" customFormat="1" x14ac:dyDescent="0.2">
      <c r="A195" s="62">
        <v>194</v>
      </c>
      <c r="B195" s="62">
        <v>1</v>
      </c>
      <c r="C195" s="98" t="s">
        <v>517</v>
      </c>
      <c r="H195" s="62">
        <f>SUM(_xlfn.IFNA(LOOKUP(Q195,use_fish!A:A,use_fish!E:E),0),_xlfn.IFNA(LOOKUP(R195,use_fish!A:A,use_fish!E:E),0),_xlfn.IFNA(LOOKUP(S195,use_fish!A:A,use_fish!E:E),0),_xlfn.IFNA(LOOKUP(T195,use_fish!A:A,use_fish!E:E),0),_xlfn.IFNA(LOOKUP(U195,use_fish!A:A,use_fish!E:E),0),_xlfn.IFNA(LOOKUP(V195,use_fish!A:A,use_fish!E:E),0),_xlfn.IFNA(LOOKUP(W195,use_fish!A:A,use_fish!E:E),0),)</f>
        <v>210</v>
      </c>
      <c r="I195" s="62">
        <f>SUM(_xlfn.IFNA(LOOKUP(Q195,use_fish!A:A,use_fish!I:I),0),_xlfn.IFNA(LOOKUP(R195,use_fish!A:A,use_fish!I:I),0),_xlfn.IFNA(LOOKUP(S195,use_fish!A:A,use_fish!I:I),0),_xlfn.IFNA(LOOKUP(T195,use_fish!A:A,use_fish!I:I),0),_xlfn.IFNA(LOOKUP(U195,use_fish!A:A,use_fish!I:I),0),_xlfn.IFNA(LOOKUP(V195,use_fish!A:A,use_fish!I:I),0),_xlfn.IFNA(LOOKUP(W195,use_fish!A:A,use_fish!I:I),0),)</f>
        <v>200</v>
      </c>
      <c r="J195" s="61">
        <f>SUM(_xlfn.IFNA(LOOKUP(Q195,use_fish!A:A,use_fish!K:K),0),_xlfn.IFNA(LOOKUP(R195,use_fish!A:A,use_fish!K:K),0),_xlfn.IFNA(LOOKUP(S195,use_fish!A:A,use_fish!K:K),0),_xlfn.IFNA(LOOKUP(T195,use_fish!A:A,use_fish!K:K),0),_xlfn.IFNA(LOOKUP(U195,use_fish!A:A,use_fish!K:K),0),_xlfn.IFNA(LOOKUP(V195,use_fish!A:A,use_fish!K:K),0),_xlfn.IFNA(LOOKUP(W195,use_fish!A:A,use_fish!K:K),0),)</f>
        <v>0</v>
      </c>
      <c r="Q195" s="62">
        <v>178</v>
      </c>
    </row>
    <row r="196" spans="1:17" s="62" customFormat="1" x14ac:dyDescent="0.2">
      <c r="A196" s="62">
        <v>195</v>
      </c>
      <c r="B196" s="62">
        <v>1</v>
      </c>
      <c r="C196" s="98" t="s">
        <v>518</v>
      </c>
      <c r="H196" s="62">
        <f>SUM(_xlfn.IFNA(LOOKUP(Q196,use_fish!A:A,use_fish!E:E),0),_xlfn.IFNA(LOOKUP(R196,use_fish!A:A,use_fish!E:E),0),_xlfn.IFNA(LOOKUP(S196,use_fish!A:A,use_fish!E:E),0),_xlfn.IFNA(LOOKUP(T196,use_fish!A:A,use_fish!E:E),0),_xlfn.IFNA(LOOKUP(U196,use_fish!A:A,use_fish!E:E),0),_xlfn.IFNA(LOOKUP(V196,use_fish!A:A,use_fish!E:E),0),_xlfn.IFNA(LOOKUP(W196,use_fish!A:A,use_fish!E:E),0),)</f>
        <v>210</v>
      </c>
      <c r="I196" s="62">
        <f>SUM(_xlfn.IFNA(LOOKUP(Q196,use_fish!A:A,use_fish!I:I),0),_xlfn.IFNA(LOOKUP(R196,use_fish!A:A,use_fish!I:I),0),_xlfn.IFNA(LOOKUP(S196,use_fish!A:A,use_fish!I:I),0),_xlfn.IFNA(LOOKUP(T196,use_fish!A:A,use_fish!I:I),0),_xlfn.IFNA(LOOKUP(U196,use_fish!A:A,use_fish!I:I),0),_xlfn.IFNA(LOOKUP(V196,use_fish!A:A,use_fish!I:I),0),_xlfn.IFNA(LOOKUP(W196,use_fish!A:A,use_fish!I:I),0),)</f>
        <v>200</v>
      </c>
      <c r="J196" s="61">
        <f>SUM(_xlfn.IFNA(LOOKUP(Q196,use_fish!A:A,use_fish!K:K),0),_xlfn.IFNA(LOOKUP(R196,use_fish!A:A,use_fish!K:K),0),_xlfn.IFNA(LOOKUP(S196,use_fish!A:A,use_fish!K:K),0),_xlfn.IFNA(LOOKUP(T196,use_fish!A:A,use_fish!K:K),0),_xlfn.IFNA(LOOKUP(U196,use_fish!A:A,use_fish!K:K),0),_xlfn.IFNA(LOOKUP(V196,use_fish!A:A,use_fish!K:K),0),_xlfn.IFNA(LOOKUP(W196,use_fish!A:A,use_fish!K:K),0),)</f>
        <v>0</v>
      </c>
      <c r="Q196" s="62">
        <v>179</v>
      </c>
    </row>
    <row r="197" spans="1:17" s="55" customFormat="1" x14ac:dyDescent="0.2">
      <c r="C197" s="102"/>
      <c r="J197" s="13"/>
    </row>
  </sheetData>
  <autoFilter ref="I1:I46"/>
  <dataConsolidate/>
  <phoneticPr fontId="1" type="noConversion"/>
  <conditionalFormatting sqref="J12">
    <cfRule type="iconSet" priority="3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98:J1048576 K1 J2:J11 J13:J25 J27:J64">
    <cfRule type="iconSet" priority="18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98:I1048576 I13:I25 I1:I11 I27:I64">
    <cfRule type="iconSet" priority="19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88 I197">
    <cfRule type="iconSet" priority="19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88 J197">
    <cfRule type="iconSet" priority="19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88 H197">
    <cfRule type="iconSet" priority="20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89:I196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89:J196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89:H19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81"/>
  <sheetViews>
    <sheetView tabSelected="1" zoomScaleNormal="100" workbookViewId="0">
      <pane ySplit="1" topLeftCell="A158" activePane="bottomLeft" state="frozen"/>
      <selection pane="bottomLeft" activeCell="B175" sqref="B175:B180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61</v>
      </c>
      <c r="C152" s="28">
        <v>74</v>
      </c>
      <c r="D152" s="28"/>
      <c r="E152" s="72">
        <f>LOOKUP(use_fish!B152,base_fish!A:A,base_fish!C:C)+_xlfn.IFNA(INDEX(activity!F:F,MATCH(use_fish!C152,activity!A:A,0)),0)</f>
        <v>250</v>
      </c>
      <c r="F152" s="30">
        <f t="shared" si="23"/>
        <v>4.0000000000000001E-3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活动boss+临时活动</v>
      </c>
      <c r="I152" s="30">
        <f>LOOKUP(use_fish!B152,base_fish!A:A,base_fish!F:F)+_xlfn.IFNA(INDEX(activity!F:F,MATCH(use_fish!C152,activity!A:A,0)),0)</f>
        <v>250</v>
      </c>
      <c r="J152" s="29">
        <v>1</v>
      </c>
      <c r="K152" s="29">
        <f>LOOKUP(use_fish!B152,base_fish!A:A,base_fish!G:G)</f>
        <v>0</v>
      </c>
      <c r="L152" s="29">
        <f t="shared" si="24"/>
        <v>250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61</v>
      </c>
      <c r="C153" s="28">
        <v>75</v>
      </c>
      <c r="D153" s="28"/>
      <c r="E153" s="72">
        <f>LOOKUP(use_fish!B153,base_fish!A:A,base_fish!C:C)+_xlfn.IFNA(INDEX(activity!F:F,MATCH(use_fish!C153,activity!A:A,0)),0)</f>
        <v>350</v>
      </c>
      <c r="F153" s="30">
        <f t="shared" si="23"/>
        <v>2.8571428571428571E-3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活动boss+临时活动</v>
      </c>
      <c r="I153" s="30">
        <f>LOOKUP(use_fish!B153,base_fish!A:A,base_fish!F:F)+_xlfn.IFNA(INDEX(activity!F:F,MATCH(use_fish!C153,activity!A:A,0)),0)</f>
        <v>350</v>
      </c>
      <c r="J153" s="29">
        <v>1</v>
      </c>
      <c r="K153" s="29">
        <f>LOOKUP(use_fish!B153,base_fish!A:A,base_fish!G:G)</f>
        <v>0</v>
      </c>
      <c r="L153" s="29">
        <f t="shared" si="24"/>
        <v>350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61</v>
      </c>
      <c r="C154" s="28">
        <v>76</v>
      </c>
      <c r="D154" s="28"/>
      <c r="E154" s="72">
        <f>LOOKUP(use_fish!B154,base_fish!A:A,base_fish!C:C)+_xlfn.IFNA(INDEX(activity!F:F,MATCH(use_fish!C154,activity!A:A,0)),0)</f>
        <v>450</v>
      </c>
      <c r="F154" s="30">
        <f t="shared" si="23"/>
        <v>2.2222222222222222E-3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活动boss+临时活动</v>
      </c>
      <c r="I154" s="30">
        <f>LOOKUP(use_fish!B154,base_fish!A:A,base_fish!F:F)+_xlfn.IFNA(INDEX(activity!F:F,MATCH(use_fish!C154,activity!A:A,0)),0)</f>
        <v>450</v>
      </c>
      <c r="J154" s="29">
        <v>1</v>
      </c>
      <c r="K154" s="29">
        <f>LOOKUP(use_fish!B154,base_fish!A:A,base_fish!G:G)</f>
        <v>0</v>
      </c>
      <c r="L154" s="29">
        <f t="shared" si="24"/>
        <v>450</v>
      </c>
      <c r="M154" s="29">
        <v>1</v>
      </c>
      <c r="N154" s="29">
        <v>1</v>
      </c>
      <c r="O154" s="29">
        <v>1</v>
      </c>
    </row>
    <row r="155" spans="1:15" x14ac:dyDescent="0.2">
      <c r="A155" s="63">
        <v>154</v>
      </c>
      <c r="B155" s="61">
        <v>13</v>
      </c>
      <c r="C155" s="63">
        <v>81</v>
      </c>
      <c r="D155" s="63"/>
      <c r="E155" s="61">
        <f>LOOKUP(use_fish!B155,base_fish!A:A,base_fish!C:C)+_xlfn.IFNA(INDEX(activity!F:F,MATCH(use_fish!C155,activity!A:A,0)),0)</f>
        <v>30</v>
      </c>
      <c r="F155" s="61">
        <f t="shared" ref="F155:F163" si="25">1/E155</f>
        <v>3.3333333333333333E-2</v>
      </c>
      <c r="G155" s="61" t="s">
        <v>22</v>
      </c>
      <c r="H155" s="64" t="str">
        <f>INDEX(base_fish!E:E,MATCH(use_fish!B155,base_fish!A:A,0))&amp;_xlfn.IFNA("+"&amp;INDEX(activity!G:G,MATCH(use_fish!C155,activity!A:A,0)),"")</f>
        <v>蝴蝶鱼+临时活动</v>
      </c>
      <c r="I155" s="61">
        <f>LOOKUP(use_fish!B155,base_fish!A:A,base_fish!F:F)+_xlfn.IFNA(INDEX(activity!F:F,MATCH(use_fish!C155,activity!A:A,0)),0)</f>
        <v>30</v>
      </c>
      <c r="J155" s="62">
        <v>1</v>
      </c>
      <c r="K155" s="62">
        <f>LOOKUP(use_fish!B155,base_fish!A:A,base_fish!G:G)</f>
        <v>0</v>
      </c>
      <c r="L155" s="62">
        <f t="shared" ref="L155:L163" si="26">I155</f>
        <v>30</v>
      </c>
      <c r="M155" s="62">
        <v>1</v>
      </c>
      <c r="N155" s="62">
        <v>0</v>
      </c>
      <c r="O155" s="62">
        <v>1</v>
      </c>
    </row>
    <row r="156" spans="1:15" x14ac:dyDescent="0.2">
      <c r="A156" s="63">
        <v>155</v>
      </c>
      <c r="B156" s="61">
        <v>14</v>
      </c>
      <c r="C156" s="63">
        <v>81</v>
      </c>
      <c r="D156" s="63"/>
      <c r="E156" s="61">
        <f>LOOKUP(use_fish!B156,base_fish!A:A,base_fish!C:C)+_xlfn.IFNA(INDEX(activity!F:F,MATCH(use_fish!C156,activity!A:A,0)),0)</f>
        <v>35</v>
      </c>
      <c r="F156" s="61">
        <f t="shared" si="25"/>
        <v>2.8571428571428571E-2</v>
      </c>
      <c r="G156" s="61" t="s">
        <v>22</v>
      </c>
      <c r="H156" s="64" t="str">
        <f>INDEX(base_fish!E:E,MATCH(use_fish!B156,base_fish!A:A,0))&amp;_xlfn.IFNA("+"&amp;INDEX(activity!G:G,MATCH(use_fish!C156,activity!A:A,0)),"")</f>
        <v>巨大小丑鱼+临时活动</v>
      </c>
      <c r="I156" s="61">
        <f>LOOKUP(use_fish!B156,base_fish!A:A,base_fish!F:F)+_xlfn.IFNA(INDEX(activity!F:F,MATCH(use_fish!C156,activity!A:A,0)),0)</f>
        <v>35</v>
      </c>
      <c r="J156" s="62">
        <v>1</v>
      </c>
      <c r="K156" s="62">
        <f>LOOKUP(use_fish!B156,base_fish!A:A,base_fish!G:G)</f>
        <v>0</v>
      </c>
      <c r="L156" s="62">
        <f t="shared" si="26"/>
        <v>35</v>
      </c>
      <c r="M156" s="62">
        <v>1</v>
      </c>
      <c r="N156" s="62">
        <v>0</v>
      </c>
      <c r="O156" s="62">
        <v>1</v>
      </c>
    </row>
    <row r="157" spans="1:15" x14ac:dyDescent="0.2">
      <c r="A157" s="63">
        <v>156</v>
      </c>
      <c r="B157" s="61">
        <v>15</v>
      </c>
      <c r="C157" s="63">
        <v>81</v>
      </c>
      <c r="D157" s="63"/>
      <c r="E157" s="61">
        <f>LOOKUP(use_fish!B157,base_fish!A:A,base_fish!C:C)+_xlfn.IFNA(INDEX(activity!F:F,MATCH(use_fish!C157,activity!A:A,0)),0)</f>
        <v>40</v>
      </c>
      <c r="F157" s="61">
        <f t="shared" si="25"/>
        <v>2.5000000000000001E-2</v>
      </c>
      <c r="G157" s="61" t="s">
        <v>22</v>
      </c>
      <c r="H157" s="64" t="str">
        <f>INDEX(base_fish!E:E,MATCH(use_fish!B157,base_fish!A:A,0))&amp;_xlfn.IFNA("+"&amp;INDEX(activity!G:G,MATCH(use_fish!C157,activity!A:A,0)),"")</f>
        <v>巨大灯笼鱼+临时活动</v>
      </c>
      <c r="I157" s="61">
        <f>LOOKUP(use_fish!B157,base_fish!A:A,base_fish!F:F)+_xlfn.IFNA(INDEX(activity!F:F,MATCH(use_fish!C157,activity!A:A,0)),0)</f>
        <v>40</v>
      </c>
      <c r="J157" s="62">
        <v>1</v>
      </c>
      <c r="K157" s="62">
        <f>LOOKUP(use_fish!B157,base_fish!A:A,base_fish!G:G)</f>
        <v>0</v>
      </c>
      <c r="L157" s="62">
        <f t="shared" si="26"/>
        <v>40</v>
      </c>
      <c r="M157" s="62">
        <v>1</v>
      </c>
      <c r="N157" s="62">
        <v>0</v>
      </c>
      <c r="O157" s="62">
        <v>1</v>
      </c>
    </row>
    <row r="158" spans="1:15" x14ac:dyDescent="0.2">
      <c r="A158" s="63">
        <v>157</v>
      </c>
      <c r="B158" s="61">
        <v>16</v>
      </c>
      <c r="C158" s="63">
        <v>81</v>
      </c>
      <c r="D158" s="63"/>
      <c r="E158" s="61">
        <f>LOOKUP(use_fish!B158,base_fish!A:A,base_fish!C:C)+_xlfn.IFNA(INDEX(activity!F:F,MATCH(use_fish!C158,activity!A:A,0)),0)</f>
        <v>45</v>
      </c>
      <c r="F158" s="61">
        <f t="shared" si="25"/>
        <v>2.2222222222222223E-2</v>
      </c>
      <c r="G158" s="61" t="s">
        <v>22</v>
      </c>
      <c r="H158" s="64" t="str">
        <f>INDEX(base_fish!E:E,MATCH(use_fish!B158,base_fish!A:A,0))&amp;_xlfn.IFNA("+"&amp;INDEX(activity!G:G,MATCH(use_fish!C158,activity!A:A,0)),"")</f>
        <v>巨大燕鱼+临时活动</v>
      </c>
      <c r="I158" s="61">
        <f>LOOKUP(use_fish!B158,base_fish!A:A,base_fish!F:F)+_xlfn.IFNA(INDEX(activity!F:F,MATCH(use_fish!C158,activity!A:A,0)),0)</f>
        <v>45</v>
      </c>
      <c r="J158" s="62">
        <v>1</v>
      </c>
      <c r="K158" s="62">
        <f>LOOKUP(use_fish!B158,base_fish!A:A,base_fish!G:G)</f>
        <v>0</v>
      </c>
      <c r="L158" s="62">
        <f t="shared" si="26"/>
        <v>45</v>
      </c>
      <c r="M158" s="62">
        <v>1</v>
      </c>
      <c r="N158" s="62">
        <v>0</v>
      </c>
      <c r="O158" s="62">
        <v>1</v>
      </c>
    </row>
    <row r="159" spans="1:15" x14ac:dyDescent="0.2">
      <c r="A159" s="63">
        <v>158</v>
      </c>
      <c r="B159" s="61">
        <v>17</v>
      </c>
      <c r="C159" s="63">
        <v>81</v>
      </c>
      <c r="D159" s="63"/>
      <c r="E159" s="61">
        <f>LOOKUP(use_fish!B159,base_fish!A:A,base_fish!C:C)+_xlfn.IFNA(INDEX(activity!F:F,MATCH(use_fish!C159,activity!A:A,0)),0)</f>
        <v>50</v>
      </c>
      <c r="F159" s="61">
        <f t="shared" si="25"/>
        <v>0.02</v>
      </c>
      <c r="G159" s="61" t="s">
        <v>22</v>
      </c>
      <c r="H159" s="64" t="str">
        <f>INDEX(base_fish!E:E,MATCH(use_fish!B159,base_fish!A:A,0))&amp;_xlfn.IFNA("+"&amp;INDEX(activity!G:G,MATCH(use_fish!C159,activity!A:A,0)),"")</f>
        <v>魔鬼鱼+临时活动</v>
      </c>
      <c r="I159" s="61">
        <f>LOOKUP(use_fish!B159,base_fish!A:A,base_fish!F:F)+_xlfn.IFNA(INDEX(activity!F:F,MATCH(use_fish!C159,activity!A:A,0)),0)</f>
        <v>50</v>
      </c>
      <c r="J159" s="62">
        <v>1</v>
      </c>
      <c r="K159" s="62">
        <f>LOOKUP(use_fish!B159,base_fish!A:A,base_fish!G:G)</f>
        <v>0</v>
      </c>
      <c r="L159" s="62">
        <f t="shared" si="26"/>
        <v>50</v>
      </c>
      <c r="M159" s="62">
        <v>1</v>
      </c>
      <c r="N159" s="62">
        <v>0</v>
      </c>
      <c r="O159" s="62">
        <v>1</v>
      </c>
    </row>
    <row r="160" spans="1:15" x14ac:dyDescent="0.2">
      <c r="A160" s="63">
        <v>159</v>
      </c>
      <c r="B160" s="61">
        <v>18</v>
      </c>
      <c r="C160" s="63">
        <v>81</v>
      </c>
      <c r="D160" s="63"/>
      <c r="E160" s="61">
        <f>LOOKUP(use_fish!B160,base_fish!A:A,base_fish!C:C)+_xlfn.IFNA(INDEX(activity!F:F,MATCH(use_fish!C160,activity!A:A,0)),0)</f>
        <v>70</v>
      </c>
      <c r="F160" s="61">
        <f t="shared" si="25"/>
        <v>1.4285714285714285E-2</v>
      </c>
      <c r="G160" s="61" t="s">
        <v>22</v>
      </c>
      <c r="H160" s="64" t="str">
        <f>INDEX(base_fish!E:E,MATCH(use_fish!B160,base_fish!A:A,0))&amp;_xlfn.IFNA("+"&amp;INDEX(activity!G:G,MATCH(use_fish!C160,activity!A:A,0)),"")</f>
        <v>虎鲸+临时活动</v>
      </c>
      <c r="I160" s="61">
        <f>LOOKUP(use_fish!B160,base_fish!A:A,base_fish!F:F)+_xlfn.IFNA(INDEX(activity!F:F,MATCH(use_fish!C160,activity!A:A,0)),0)</f>
        <v>70</v>
      </c>
      <c r="J160" s="62">
        <v>1</v>
      </c>
      <c r="K160" s="62">
        <f>LOOKUP(use_fish!B160,base_fish!A:A,base_fish!G:G)</f>
        <v>0</v>
      </c>
      <c r="L160" s="62">
        <f t="shared" si="26"/>
        <v>70</v>
      </c>
      <c r="M160" s="62">
        <v>1</v>
      </c>
      <c r="N160" s="62">
        <v>0</v>
      </c>
      <c r="O160" s="62">
        <v>1</v>
      </c>
    </row>
    <row r="161" spans="1:15" x14ac:dyDescent="0.2">
      <c r="A161" s="63">
        <v>160</v>
      </c>
      <c r="B161" s="63">
        <v>61</v>
      </c>
      <c r="C161" s="63">
        <v>78</v>
      </c>
      <c r="D161" s="63"/>
      <c r="E161" s="61">
        <f>LOOKUP(use_fish!B161,base_fish!A:A,base_fish!C:C)+_xlfn.IFNA(INDEX(activity!F:F,MATCH(use_fish!C161,activity!A:A,0)),0)</f>
        <v>250</v>
      </c>
      <c r="F161" s="61">
        <f t="shared" si="25"/>
        <v>4.0000000000000001E-3</v>
      </c>
      <c r="G161" s="61" t="s">
        <v>22</v>
      </c>
      <c r="H161" s="64" t="str">
        <f>INDEX(base_fish!E:E,MATCH(use_fish!B161,base_fish!A:A,0))&amp;_xlfn.IFNA("+"&amp;INDEX(activity!G:G,MATCH(use_fish!C161,activity!A:A,0)),"")</f>
        <v>活动boss+临时活动</v>
      </c>
      <c r="I161" s="61">
        <f>LOOKUP(use_fish!B161,base_fish!A:A,base_fish!F:F)+_xlfn.IFNA(INDEX(activity!F:F,MATCH(use_fish!C161,activity!A:A,0)),0)</f>
        <v>250</v>
      </c>
      <c r="J161" s="62">
        <v>1</v>
      </c>
      <c r="K161" s="62">
        <f>LOOKUP(use_fish!B161,base_fish!A:A,base_fish!G:G)</f>
        <v>0</v>
      </c>
      <c r="L161" s="62">
        <f t="shared" si="26"/>
        <v>250</v>
      </c>
      <c r="M161" s="62">
        <v>1</v>
      </c>
      <c r="N161" s="62">
        <v>1</v>
      </c>
      <c r="O161" s="62">
        <v>1</v>
      </c>
    </row>
    <row r="162" spans="1:15" x14ac:dyDescent="0.2">
      <c r="A162" s="63">
        <v>161</v>
      </c>
      <c r="B162" s="63">
        <v>61</v>
      </c>
      <c r="C162" s="63">
        <v>79</v>
      </c>
      <c r="D162" s="63"/>
      <c r="E162" s="61">
        <f>LOOKUP(use_fish!B162,base_fish!A:A,base_fish!C:C)+_xlfn.IFNA(INDEX(activity!F:F,MATCH(use_fish!C162,activity!A:A,0)),0)</f>
        <v>350</v>
      </c>
      <c r="F162" s="61">
        <f t="shared" si="25"/>
        <v>2.8571428571428571E-3</v>
      </c>
      <c r="G162" s="61" t="s">
        <v>22</v>
      </c>
      <c r="H162" s="64" t="str">
        <f>INDEX(base_fish!E:E,MATCH(use_fish!B162,base_fish!A:A,0))&amp;_xlfn.IFNA("+"&amp;INDEX(activity!G:G,MATCH(use_fish!C162,activity!A:A,0)),"")</f>
        <v>活动boss+临时活动</v>
      </c>
      <c r="I162" s="61">
        <f>LOOKUP(use_fish!B162,base_fish!A:A,base_fish!F:F)+_xlfn.IFNA(INDEX(activity!F:F,MATCH(use_fish!C162,activity!A:A,0)),0)</f>
        <v>350</v>
      </c>
      <c r="J162" s="62">
        <v>1</v>
      </c>
      <c r="K162" s="62">
        <f>LOOKUP(use_fish!B162,base_fish!A:A,base_fish!G:G)</f>
        <v>0</v>
      </c>
      <c r="L162" s="62">
        <f t="shared" si="26"/>
        <v>350</v>
      </c>
      <c r="M162" s="62">
        <v>1</v>
      </c>
      <c r="N162" s="62">
        <v>1</v>
      </c>
      <c r="O162" s="62">
        <v>1</v>
      </c>
    </row>
    <row r="163" spans="1:15" x14ac:dyDescent="0.2">
      <c r="A163" s="63">
        <v>162</v>
      </c>
      <c r="B163" s="63">
        <v>61</v>
      </c>
      <c r="C163" s="63">
        <v>80</v>
      </c>
      <c r="D163" s="63"/>
      <c r="E163" s="61">
        <f>LOOKUP(use_fish!B163,base_fish!A:A,base_fish!C:C)+_xlfn.IFNA(INDEX(activity!F:F,MATCH(use_fish!C163,activity!A:A,0)),0)</f>
        <v>450</v>
      </c>
      <c r="F163" s="61">
        <f t="shared" si="25"/>
        <v>2.2222222222222222E-3</v>
      </c>
      <c r="G163" s="61" t="s">
        <v>22</v>
      </c>
      <c r="H163" s="64" t="str">
        <f>INDEX(base_fish!E:E,MATCH(use_fish!B163,base_fish!A:A,0))&amp;_xlfn.IFNA("+"&amp;INDEX(activity!G:G,MATCH(use_fish!C163,activity!A:A,0)),"")</f>
        <v>活动boss+临时活动</v>
      </c>
      <c r="I163" s="61">
        <f>LOOKUP(use_fish!B163,base_fish!A:A,base_fish!F:F)+_xlfn.IFNA(INDEX(activity!F:F,MATCH(use_fish!C163,activity!A:A,0)),0)</f>
        <v>450</v>
      </c>
      <c r="J163" s="62">
        <v>1</v>
      </c>
      <c r="K163" s="62">
        <f>LOOKUP(use_fish!B163,base_fish!A:A,base_fish!G:G)</f>
        <v>0</v>
      </c>
      <c r="L163" s="62">
        <f t="shared" si="26"/>
        <v>450</v>
      </c>
      <c r="M163" s="62">
        <v>1</v>
      </c>
      <c r="N163" s="62">
        <v>1</v>
      </c>
      <c r="O163" s="62">
        <v>1</v>
      </c>
    </row>
    <row r="164" spans="1:15" s="83" customFormat="1" x14ac:dyDescent="0.2">
      <c r="A164" s="85">
        <v>163</v>
      </c>
      <c r="B164" s="86">
        <v>13</v>
      </c>
      <c r="C164" s="85">
        <v>85</v>
      </c>
      <c r="D164" s="85"/>
      <c r="E164" s="86">
        <f>LOOKUP(use_fish!B164,base_fish!A:A,base_fish!C:C)+_xlfn.IFNA(INDEX(activity!F:F,MATCH(use_fish!C164,activity!A:A,0)),0)</f>
        <v>30</v>
      </c>
      <c r="F164" s="86">
        <f t="shared" ref="F164:F173" si="27">1/E164</f>
        <v>3.3333333333333333E-2</v>
      </c>
      <c r="G164" s="86" t="s">
        <v>22</v>
      </c>
      <c r="H164" s="87" t="str">
        <f>INDEX(base_fish!E:E,MATCH(use_fish!B164,base_fish!A:A,0))&amp;_xlfn.IFNA("+"&amp;INDEX(activity!G:G,MATCH(use_fish!C164,activity!A:A,0)),"")</f>
        <v>蝴蝶鱼+临时活动</v>
      </c>
      <c r="I164" s="86">
        <f>LOOKUP(use_fish!B164,base_fish!A:A,base_fish!F:F)+_xlfn.IFNA(INDEX(activity!F:F,MATCH(use_fish!C164,activity!A:A,0)),0)</f>
        <v>30</v>
      </c>
      <c r="J164" s="83">
        <v>1</v>
      </c>
      <c r="K164" s="83">
        <f>LOOKUP(use_fish!B164,base_fish!A:A,base_fish!G:G)</f>
        <v>0</v>
      </c>
      <c r="L164" s="83">
        <f t="shared" ref="L164:L174" si="28">I164</f>
        <v>30</v>
      </c>
      <c r="M164" s="83">
        <v>1</v>
      </c>
      <c r="N164" s="83">
        <v>0</v>
      </c>
      <c r="O164" s="83">
        <v>1</v>
      </c>
    </row>
    <row r="165" spans="1:15" s="83" customFormat="1" x14ac:dyDescent="0.2">
      <c r="A165" s="85">
        <v>164</v>
      </c>
      <c r="B165" s="86">
        <v>14</v>
      </c>
      <c r="C165" s="85">
        <v>85</v>
      </c>
      <c r="D165" s="85"/>
      <c r="E165" s="86">
        <f>LOOKUP(use_fish!B165,base_fish!A:A,base_fish!C:C)+_xlfn.IFNA(INDEX(activity!F:F,MATCH(use_fish!C165,activity!A:A,0)),0)</f>
        <v>35</v>
      </c>
      <c r="F165" s="86">
        <f t="shared" si="27"/>
        <v>2.8571428571428571E-2</v>
      </c>
      <c r="G165" s="86" t="s">
        <v>22</v>
      </c>
      <c r="H165" s="87" t="str">
        <f>INDEX(base_fish!E:E,MATCH(use_fish!B165,base_fish!A:A,0))&amp;_xlfn.IFNA("+"&amp;INDEX(activity!G:G,MATCH(use_fish!C165,activity!A:A,0)),"")</f>
        <v>巨大小丑鱼+临时活动</v>
      </c>
      <c r="I165" s="86">
        <f>LOOKUP(use_fish!B165,base_fish!A:A,base_fish!F:F)+_xlfn.IFNA(INDEX(activity!F:F,MATCH(use_fish!C165,activity!A:A,0)),0)</f>
        <v>35</v>
      </c>
      <c r="J165" s="83">
        <v>1</v>
      </c>
      <c r="K165" s="83">
        <f>LOOKUP(use_fish!B165,base_fish!A:A,base_fish!G:G)</f>
        <v>0</v>
      </c>
      <c r="L165" s="83">
        <f t="shared" si="28"/>
        <v>35</v>
      </c>
      <c r="M165" s="83">
        <v>1</v>
      </c>
      <c r="N165" s="83">
        <v>0</v>
      </c>
      <c r="O165" s="83">
        <v>1</v>
      </c>
    </row>
    <row r="166" spans="1:15" s="83" customFormat="1" x14ac:dyDescent="0.2">
      <c r="A166" s="85">
        <v>165</v>
      </c>
      <c r="B166" s="86">
        <v>15</v>
      </c>
      <c r="C166" s="85">
        <v>85</v>
      </c>
      <c r="D166" s="85"/>
      <c r="E166" s="86">
        <f>LOOKUP(use_fish!B166,base_fish!A:A,base_fish!C:C)+_xlfn.IFNA(INDEX(activity!F:F,MATCH(use_fish!C166,activity!A:A,0)),0)</f>
        <v>40</v>
      </c>
      <c r="F166" s="86">
        <f t="shared" si="27"/>
        <v>2.5000000000000001E-2</v>
      </c>
      <c r="G166" s="86" t="s">
        <v>22</v>
      </c>
      <c r="H166" s="87" t="str">
        <f>INDEX(base_fish!E:E,MATCH(use_fish!B166,base_fish!A:A,0))&amp;_xlfn.IFNA("+"&amp;INDEX(activity!G:G,MATCH(use_fish!C166,activity!A:A,0)),"")</f>
        <v>巨大灯笼鱼+临时活动</v>
      </c>
      <c r="I166" s="86">
        <f>LOOKUP(use_fish!B166,base_fish!A:A,base_fish!F:F)+_xlfn.IFNA(INDEX(activity!F:F,MATCH(use_fish!C166,activity!A:A,0)),0)</f>
        <v>40</v>
      </c>
      <c r="J166" s="83">
        <v>1</v>
      </c>
      <c r="K166" s="83">
        <f>LOOKUP(use_fish!B166,base_fish!A:A,base_fish!G:G)</f>
        <v>0</v>
      </c>
      <c r="L166" s="83">
        <f t="shared" si="28"/>
        <v>40</v>
      </c>
      <c r="M166" s="83">
        <v>1</v>
      </c>
      <c r="N166" s="83">
        <v>0</v>
      </c>
      <c r="O166" s="83">
        <v>1</v>
      </c>
    </row>
    <row r="167" spans="1:15" s="83" customFormat="1" x14ac:dyDescent="0.2">
      <c r="A167" s="85">
        <v>166</v>
      </c>
      <c r="B167" s="86">
        <v>16</v>
      </c>
      <c r="C167" s="85">
        <v>85</v>
      </c>
      <c r="D167" s="85"/>
      <c r="E167" s="86">
        <f>LOOKUP(use_fish!B167,base_fish!A:A,base_fish!C:C)+_xlfn.IFNA(INDEX(activity!F:F,MATCH(use_fish!C167,activity!A:A,0)),0)</f>
        <v>45</v>
      </c>
      <c r="F167" s="86">
        <f t="shared" si="27"/>
        <v>2.2222222222222223E-2</v>
      </c>
      <c r="G167" s="86" t="s">
        <v>22</v>
      </c>
      <c r="H167" s="87" t="str">
        <f>INDEX(base_fish!E:E,MATCH(use_fish!B167,base_fish!A:A,0))&amp;_xlfn.IFNA("+"&amp;INDEX(activity!G:G,MATCH(use_fish!C167,activity!A:A,0)),"")</f>
        <v>巨大燕鱼+临时活动</v>
      </c>
      <c r="I167" s="86">
        <f>LOOKUP(use_fish!B167,base_fish!A:A,base_fish!F:F)+_xlfn.IFNA(INDEX(activity!F:F,MATCH(use_fish!C167,activity!A:A,0)),0)</f>
        <v>45</v>
      </c>
      <c r="J167" s="83">
        <v>1</v>
      </c>
      <c r="K167" s="83">
        <f>LOOKUP(use_fish!B167,base_fish!A:A,base_fish!G:G)</f>
        <v>0</v>
      </c>
      <c r="L167" s="83">
        <f t="shared" si="28"/>
        <v>45</v>
      </c>
      <c r="M167" s="83">
        <v>1</v>
      </c>
      <c r="N167" s="83">
        <v>0</v>
      </c>
      <c r="O167" s="83">
        <v>1</v>
      </c>
    </row>
    <row r="168" spans="1:15" s="83" customFormat="1" x14ac:dyDescent="0.2">
      <c r="A168" s="85">
        <v>167</v>
      </c>
      <c r="B168" s="86">
        <v>17</v>
      </c>
      <c r="C168" s="85">
        <v>85</v>
      </c>
      <c r="D168" s="85"/>
      <c r="E168" s="86">
        <f>LOOKUP(use_fish!B168,base_fish!A:A,base_fish!C:C)+_xlfn.IFNA(INDEX(activity!F:F,MATCH(use_fish!C168,activity!A:A,0)),0)</f>
        <v>50</v>
      </c>
      <c r="F168" s="86">
        <f t="shared" si="27"/>
        <v>0.02</v>
      </c>
      <c r="G168" s="86" t="s">
        <v>22</v>
      </c>
      <c r="H168" s="87" t="str">
        <f>INDEX(base_fish!E:E,MATCH(use_fish!B168,base_fish!A:A,0))&amp;_xlfn.IFNA("+"&amp;INDEX(activity!G:G,MATCH(use_fish!C168,activity!A:A,0)),"")</f>
        <v>魔鬼鱼+临时活动</v>
      </c>
      <c r="I168" s="86">
        <f>LOOKUP(use_fish!B168,base_fish!A:A,base_fish!F:F)+_xlfn.IFNA(INDEX(activity!F:F,MATCH(use_fish!C168,activity!A:A,0)),0)</f>
        <v>50</v>
      </c>
      <c r="J168" s="83">
        <v>1</v>
      </c>
      <c r="K168" s="83">
        <f>LOOKUP(use_fish!B168,base_fish!A:A,base_fish!G:G)</f>
        <v>0</v>
      </c>
      <c r="L168" s="83">
        <f t="shared" si="28"/>
        <v>50</v>
      </c>
      <c r="M168" s="83">
        <v>1</v>
      </c>
      <c r="N168" s="83">
        <v>0</v>
      </c>
      <c r="O168" s="83">
        <v>1</v>
      </c>
    </row>
    <row r="169" spans="1:15" s="83" customFormat="1" x14ac:dyDescent="0.2">
      <c r="A169" s="85">
        <v>168</v>
      </c>
      <c r="B169" s="86">
        <v>18</v>
      </c>
      <c r="C169" s="85">
        <v>85</v>
      </c>
      <c r="D169" s="85"/>
      <c r="E169" s="86">
        <f>LOOKUP(use_fish!B169,base_fish!A:A,base_fish!C:C)+_xlfn.IFNA(INDEX(activity!F:F,MATCH(use_fish!C169,activity!A:A,0)),0)</f>
        <v>70</v>
      </c>
      <c r="F169" s="86">
        <f t="shared" si="27"/>
        <v>1.4285714285714285E-2</v>
      </c>
      <c r="G169" s="86" t="s">
        <v>22</v>
      </c>
      <c r="H169" s="87" t="str">
        <f>INDEX(base_fish!E:E,MATCH(use_fish!B169,base_fish!A:A,0))&amp;_xlfn.IFNA("+"&amp;INDEX(activity!G:G,MATCH(use_fish!C169,activity!A:A,0)),"")</f>
        <v>虎鲸+临时活动</v>
      </c>
      <c r="I169" s="86">
        <f>LOOKUP(use_fish!B169,base_fish!A:A,base_fish!F:F)+_xlfn.IFNA(INDEX(activity!F:F,MATCH(use_fish!C169,activity!A:A,0)),0)</f>
        <v>70</v>
      </c>
      <c r="J169" s="83">
        <v>1</v>
      </c>
      <c r="K169" s="83">
        <f>LOOKUP(use_fish!B169,base_fish!A:A,base_fish!G:G)</f>
        <v>0</v>
      </c>
      <c r="L169" s="83">
        <f t="shared" si="28"/>
        <v>70</v>
      </c>
      <c r="M169" s="83">
        <v>1</v>
      </c>
      <c r="N169" s="83">
        <v>0</v>
      </c>
      <c r="O169" s="83">
        <v>1</v>
      </c>
    </row>
    <row r="170" spans="1:15" s="83" customFormat="1" x14ac:dyDescent="0.2">
      <c r="A170" s="85">
        <v>169</v>
      </c>
      <c r="B170" s="85">
        <v>61</v>
      </c>
      <c r="C170" s="85">
        <v>82</v>
      </c>
      <c r="D170" s="85"/>
      <c r="E170" s="86">
        <f>LOOKUP(use_fish!B170,base_fish!A:A,base_fish!C:C)+_xlfn.IFNA(INDEX(activity!F:F,MATCH(use_fish!C170,activity!A:A,0)),0)</f>
        <v>250</v>
      </c>
      <c r="F170" s="86">
        <f t="shared" si="27"/>
        <v>4.0000000000000001E-3</v>
      </c>
      <c r="G170" s="86" t="s">
        <v>22</v>
      </c>
      <c r="H170" s="87" t="str">
        <f>INDEX(base_fish!E:E,MATCH(use_fish!B170,base_fish!A:A,0))&amp;_xlfn.IFNA("+"&amp;INDEX(activity!G:G,MATCH(use_fish!C170,activity!A:A,0)),"")</f>
        <v>活动boss+临时活动</v>
      </c>
      <c r="I170" s="86">
        <f>LOOKUP(use_fish!B170,base_fish!A:A,base_fish!F:F)+_xlfn.IFNA(INDEX(activity!F:F,MATCH(use_fish!C170,activity!A:A,0)),0)</f>
        <v>250</v>
      </c>
      <c r="J170" s="83">
        <v>1</v>
      </c>
      <c r="K170" s="83">
        <f>LOOKUP(use_fish!B170,base_fish!A:A,base_fish!G:G)</f>
        <v>0</v>
      </c>
      <c r="L170" s="83">
        <f t="shared" si="28"/>
        <v>250</v>
      </c>
      <c r="M170" s="83">
        <v>1</v>
      </c>
      <c r="N170" s="83">
        <v>1</v>
      </c>
      <c r="O170" s="83">
        <v>1</v>
      </c>
    </row>
    <row r="171" spans="1:15" s="83" customFormat="1" x14ac:dyDescent="0.2">
      <c r="A171" s="85">
        <v>170</v>
      </c>
      <c r="B171" s="85">
        <v>61</v>
      </c>
      <c r="C171" s="85">
        <v>83</v>
      </c>
      <c r="D171" s="85"/>
      <c r="E171" s="86">
        <f>LOOKUP(use_fish!B171,base_fish!A:A,base_fish!C:C)+_xlfn.IFNA(INDEX(activity!F:F,MATCH(use_fish!C171,activity!A:A,0)),0)</f>
        <v>350</v>
      </c>
      <c r="F171" s="86">
        <f t="shared" si="27"/>
        <v>2.8571428571428571E-3</v>
      </c>
      <c r="G171" s="86" t="s">
        <v>22</v>
      </c>
      <c r="H171" s="87" t="str">
        <f>INDEX(base_fish!E:E,MATCH(use_fish!B171,base_fish!A:A,0))&amp;_xlfn.IFNA("+"&amp;INDEX(activity!G:G,MATCH(use_fish!C171,activity!A:A,0)),"")</f>
        <v>活动boss+临时活动</v>
      </c>
      <c r="I171" s="86">
        <f>LOOKUP(use_fish!B171,base_fish!A:A,base_fish!F:F)+_xlfn.IFNA(INDEX(activity!F:F,MATCH(use_fish!C171,activity!A:A,0)),0)</f>
        <v>350</v>
      </c>
      <c r="J171" s="83">
        <v>1</v>
      </c>
      <c r="K171" s="83">
        <f>LOOKUP(use_fish!B171,base_fish!A:A,base_fish!G:G)</f>
        <v>0</v>
      </c>
      <c r="L171" s="83">
        <f t="shared" si="28"/>
        <v>350</v>
      </c>
      <c r="M171" s="83">
        <v>1</v>
      </c>
      <c r="N171" s="83">
        <v>1</v>
      </c>
      <c r="O171" s="83">
        <v>1</v>
      </c>
    </row>
    <row r="172" spans="1:15" s="83" customFormat="1" x14ac:dyDescent="0.2">
      <c r="A172" s="85">
        <v>171</v>
      </c>
      <c r="B172" s="85">
        <v>61</v>
      </c>
      <c r="C172" s="85">
        <v>84</v>
      </c>
      <c r="D172" s="85"/>
      <c r="E172" s="86">
        <f>LOOKUP(use_fish!B172,base_fish!A:A,base_fish!C:C)+_xlfn.IFNA(INDEX(activity!F:F,MATCH(use_fish!C172,activity!A:A,0)),0)</f>
        <v>450</v>
      </c>
      <c r="F172" s="86">
        <f t="shared" si="27"/>
        <v>2.2222222222222222E-3</v>
      </c>
      <c r="G172" s="86" t="s">
        <v>22</v>
      </c>
      <c r="H172" s="87" t="str">
        <f>INDEX(base_fish!E:E,MATCH(use_fish!B172,base_fish!A:A,0))&amp;_xlfn.IFNA("+"&amp;INDEX(activity!G:G,MATCH(use_fish!C172,activity!A:A,0)),"")</f>
        <v>活动boss+临时活动</v>
      </c>
      <c r="I172" s="86">
        <f>LOOKUP(use_fish!B172,base_fish!A:A,base_fish!F:F)+_xlfn.IFNA(INDEX(activity!F:F,MATCH(use_fish!C172,activity!A:A,0)),0)</f>
        <v>450</v>
      </c>
      <c r="J172" s="83">
        <v>1</v>
      </c>
      <c r="K172" s="83">
        <f>LOOKUP(use_fish!B172,base_fish!A:A,base_fish!G:G)</f>
        <v>0</v>
      </c>
      <c r="L172" s="83">
        <f t="shared" si="28"/>
        <v>450</v>
      </c>
      <c r="M172" s="83">
        <v>1</v>
      </c>
      <c r="N172" s="83">
        <v>1</v>
      </c>
      <c r="O172" s="83">
        <v>1</v>
      </c>
    </row>
    <row r="173" spans="1:15" s="65" customFormat="1" x14ac:dyDescent="0.2">
      <c r="A173" s="66">
        <v>172</v>
      </c>
      <c r="B173" s="66">
        <v>62</v>
      </c>
      <c r="C173" s="66">
        <v>86</v>
      </c>
      <c r="D173" s="66"/>
      <c r="E173" s="57">
        <f>LOOKUP(use_fish!B173,base_fish!A:A,base_fish!C:C)+_xlfn.IFNA(INDEX(activity!F:F,MATCH(use_fish!C173,activity!A:A,0)),0)</f>
        <v>200</v>
      </c>
      <c r="F173" s="67">
        <f t="shared" si="27"/>
        <v>5.0000000000000001E-3</v>
      </c>
      <c r="G173" s="67" t="s">
        <v>339</v>
      </c>
      <c r="H173" s="68" t="str">
        <f>INDEX(base_fish!E:E,MATCH(use_fish!B173,base_fish!A:A,0))&amp;_xlfn.IFNA("+"&amp;INDEX(activity!G:G,MATCH(use_fish!C173,activity!A:A,0)),"")</f>
        <v>红包鱼+红包</v>
      </c>
      <c r="I173" s="67">
        <f>LOOKUP(use_fish!B173,base_fish!A:A,base_fish!F:F)+_xlfn.IFNA(INDEX(activity!F:F,MATCH(use_fish!C173,activity!A:A,0)),0)</f>
        <v>200</v>
      </c>
      <c r="J173" s="65">
        <v>1</v>
      </c>
      <c r="K173" s="65">
        <v>0</v>
      </c>
      <c r="L173" s="65">
        <v>200</v>
      </c>
      <c r="M173" s="65">
        <v>1</v>
      </c>
      <c r="N173" s="65">
        <v>1</v>
      </c>
      <c r="O173" s="65">
        <v>1</v>
      </c>
    </row>
    <row r="174" spans="1:15" s="65" customFormat="1" x14ac:dyDescent="0.2">
      <c r="A174" s="66">
        <v>173</v>
      </c>
      <c r="B174" s="66">
        <v>62</v>
      </c>
      <c r="C174" s="66"/>
      <c r="D174" s="79" t="s">
        <v>493</v>
      </c>
      <c r="E174" s="57">
        <v>0</v>
      </c>
      <c r="F174" s="67">
        <v>0</v>
      </c>
      <c r="G174" s="67" t="s">
        <v>339</v>
      </c>
      <c r="H174" s="68" t="str">
        <f>INDEX(base_fish!E:E,MATCH(use_fish!B174,base_fish!A:A,0))&amp;_xlfn.IFNA("+"&amp;INDEX(activity!G:G,MATCH(use_fish!C174,activity!A:A,0)),"")</f>
        <v>红包鱼</v>
      </c>
      <c r="I174" s="67">
        <f>LOOKUP(use_fish!B174,base_fish!A:A,base_fish!F:F)+_xlfn.IFNA(INDEX(activity!F:F,MATCH(use_fish!C174,activity!A:A,0)),0)</f>
        <v>0</v>
      </c>
      <c r="J174" s="65">
        <v>1</v>
      </c>
      <c r="K174" s="65">
        <v>0</v>
      </c>
      <c r="L174" s="65">
        <f t="shared" si="28"/>
        <v>0</v>
      </c>
      <c r="M174" s="65">
        <v>1</v>
      </c>
      <c r="N174" s="65">
        <v>1</v>
      </c>
      <c r="O174" s="65">
        <v>1</v>
      </c>
    </row>
    <row r="175" spans="1:15" s="19" customFormat="1" x14ac:dyDescent="0.2">
      <c r="A175" s="16">
        <v>174</v>
      </c>
      <c r="B175" s="16">
        <v>63</v>
      </c>
      <c r="C175" s="16"/>
      <c r="D175" s="16" t="s">
        <v>508</v>
      </c>
      <c r="E175" s="17">
        <v>126</v>
      </c>
      <c r="F175" s="17">
        <f>1/E175</f>
        <v>7.9365079365079361E-3</v>
      </c>
      <c r="G175" s="17" t="s">
        <v>22</v>
      </c>
      <c r="H175" s="18" t="s">
        <v>507</v>
      </c>
      <c r="I175" s="17">
        <v>120</v>
      </c>
      <c r="J175" s="19">
        <v>1</v>
      </c>
      <c r="K175" s="19">
        <v>0</v>
      </c>
      <c r="L175" s="19">
        <v>120</v>
      </c>
      <c r="M175" s="19">
        <v>1</v>
      </c>
      <c r="N175" s="19">
        <v>0</v>
      </c>
      <c r="O175" s="19">
        <v>2</v>
      </c>
    </row>
    <row r="176" spans="1:15" s="19" customFormat="1" x14ac:dyDescent="0.2">
      <c r="A176" s="16">
        <v>175</v>
      </c>
      <c r="B176" s="16">
        <v>64</v>
      </c>
      <c r="C176" s="16"/>
      <c r="D176" s="16" t="s">
        <v>509</v>
      </c>
      <c r="E176" s="17">
        <v>126</v>
      </c>
      <c r="F176" s="17">
        <f t="shared" ref="F176:F180" si="29">1/E176</f>
        <v>7.9365079365079361E-3</v>
      </c>
      <c r="G176" s="17" t="s">
        <v>22</v>
      </c>
      <c r="H176" s="18" t="s">
        <v>197</v>
      </c>
      <c r="I176" s="17">
        <v>120</v>
      </c>
      <c r="J176" s="19">
        <v>1</v>
      </c>
      <c r="K176" s="19">
        <v>0</v>
      </c>
      <c r="L176" s="19">
        <v>120</v>
      </c>
      <c r="M176" s="19">
        <v>1</v>
      </c>
      <c r="N176" s="19">
        <v>0</v>
      </c>
      <c r="O176" s="19">
        <v>2</v>
      </c>
    </row>
    <row r="177" spans="1:15" s="19" customFormat="1" x14ac:dyDescent="0.2">
      <c r="A177" s="16">
        <v>176</v>
      </c>
      <c r="B177" s="16">
        <v>65</v>
      </c>
      <c r="C177" s="16"/>
      <c r="D177" s="16" t="s">
        <v>510</v>
      </c>
      <c r="E177" s="17">
        <v>126</v>
      </c>
      <c r="F177" s="17">
        <f t="shared" si="29"/>
        <v>7.9365079365079361E-3</v>
      </c>
      <c r="G177" s="17" t="s">
        <v>22</v>
      </c>
      <c r="H177" s="18" t="s">
        <v>198</v>
      </c>
      <c r="I177" s="17">
        <v>120</v>
      </c>
      <c r="J177" s="19">
        <v>1</v>
      </c>
      <c r="K177" s="19">
        <v>0</v>
      </c>
      <c r="L177" s="19">
        <v>120</v>
      </c>
      <c r="M177" s="19">
        <v>1</v>
      </c>
      <c r="N177" s="19">
        <v>0</v>
      </c>
      <c r="O177" s="19">
        <v>2</v>
      </c>
    </row>
    <row r="178" spans="1:15" s="19" customFormat="1" x14ac:dyDescent="0.2">
      <c r="A178" s="16">
        <v>177</v>
      </c>
      <c r="B178" s="16">
        <v>66</v>
      </c>
      <c r="C178" s="16"/>
      <c r="D178" s="16" t="s">
        <v>511</v>
      </c>
      <c r="E178" s="17">
        <v>168</v>
      </c>
      <c r="F178" s="17">
        <f t="shared" si="29"/>
        <v>5.9523809523809521E-3</v>
      </c>
      <c r="G178" s="17" t="s">
        <v>22</v>
      </c>
      <c r="H178" s="18" t="s">
        <v>111</v>
      </c>
      <c r="I178" s="17">
        <v>160</v>
      </c>
      <c r="J178" s="19">
        <v>1</v>
      </c>
      <c r="K178" s="19">
        <v>0</v>
      </c>
      <c r="L178" s="19">
        <v>160</v>
      </c>
      <c r="M178" s="19">
        <v>1</v>
      </c>
      <c r="N178" s="19">
        <v>0</v>
      </c>
      <c r="O178" s="19">
        <v>2</v>
      </c>
    </row>
    <row r="179" spans="1:15" s="19" customFormat="1" x14ac:dyDescent="0.2">
      <c r="A179" s="16">
        <v>178</v>
      </c>
      <c r="B179" s="16">
        <v>67</v>
      </c>
      <c r="C179" s="16"/>
      <c r="D179" s="16" t="s">
        <v>512</v>
      </c>
      <c r="E179" s="17">
        <v>210</v>
      </c>
      <c r="F179" s="17">
        <f t="shared" si="29"/>
        <v>4.7619047619047623E-3</v>
      </c>
      <c r="G179" s="17" t="s">
        <v>22</v>
      </c>
      <c r="H179" s="18" t="s">
        <v>110</v>
      </c>
      <c r="I179" s="17">
        <v>200</v>
      </c>
      <c r="J179" s="19">
        <v>1</v>
      </c>
      <c r="K179" s="19">
        <v>0</v>
      </c>
      <c r="L179" s="19">
        <v>200</v>
      </c>
      <c r="M179" s="19">
        <v>1</v>
      </c>
      <c r="N179" s="19">
        <v>0</v>
      </c>
      <c r="O179" s="19">
        <v>2</v>
      </c>
    </row>
    <row r="180" spans="1:15" s="19" customFormat="1" x14ac:dyDescent="0.2">
      <c r="A180" s="16">
        <v>179</v>
      </c>
      <c r="B180" s="16">
        <v>68</v>
      </c>
      <c r="C180" s="16"/>
      <c r="D180" s="16" t="s">
        <v>509</v>
      </c>
      <c r="E180" s="17">
        <v>210</v>
      </c>
      <c r="F180" s="17">
        <f t="shared" si="29"/>
        <v>4.7619047619047623E-3</v>
      </c>
      <c r="G180" s="17" t="s">
        <v>22</v>
      </c>
      <c r="H180" s="18" t="s">
        <v>200</v>
      </c>
      <c r="I180" s="17">
        <v>200</v>
      </c>
      <c r="J180" s="19">
        <v>1</v>
      </c>
      <c r="K180" s="19">
        <v>0</v>
      </c>
      <c r="L180" s="19">
        <v>200</v>
      </c>
      <c r="M180" s="19">
        <v>1</v>
      </c>
      <c r="N180" s="19">
        <v>0</v>
      </c>
      <c r="O180" s="19">
        <v>2</v>
      </c>
    </row>
    <row r="181" spans="1:15" s="55" customFormat="1" x14ac:dyDescent="0.2">
      <c r="A181" s="12"/>
      <c r="B181" s="12"/>
      <c r="C181" s="12"/>
      <c r="D181" s="12"/>
      <c r="E181" s="13"/>
      <c r="F181" s="13"/>
      <c r="G181" s="13"/>
      <c r="H181" s="81"/>
      <c r="I181" s="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0"/>
  <sheetViews>
    <sheetView zoomScale="115" zoomScaleNormal="115" workbookViewId="0">
      <pane ySplit="1" topLeftCell="A64" activePane="bottomLeft" state="frozen"/>
      <selection pane="bottomLeft" activeCell="C81" sqref="C81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>
        <v>74</v>
      </c>
      <c r="B75" s="29">
        <v>9</v>
      </c>
      <c r="C75" s="29" t="s">
        <v>503</v>
      </c>
      <c r="D75" s="80">
        <v>0</v>
      </c>
      <c r="E75" s="80">
        <v>1</v>
      </c>
      <c r="F75" s="29">
        <v>250</v>
      </c>
      <c r="G75" s="29" t="s">
        <v>88</v>
      </c>
    </row>
    <row r="76" spans="1:7" x14ac:dyDescent="0.2">
      <c r="A76">
        <v>75</v>
      </c>
      <c r="B76" s="29">
        <v>9</v>
      </c>
      <c r="C76" s="29" t="s">
        <v>504</v>
      </c>
      <c r="D76" s="80">
        <v>0</v>
      </c>
      <c r="E76" s="80">
        <v>1</v>
      </c>
      <c r="F76" s="29">
        <v>350</v>
      </c>
      <c r="G76" s="29" t="s">
        <v>88</v>
      </c>
    </row>
    <row r="77" spans="1:7" x14ac:dyDescent="0.2">
      <c r="A77">
        <v>76</v>
      </c>
      <c r="B77" s="29">
        <v>9</v>
      </c>
      <c r="C77" s="29" t="s">
        <v>505</v>
      </c>
      <c r="D77" s="80">
        <v>0</v>
      </c>
      <c r="E77" s="80">
        <v>1</v>
      </c>
      <c r="F77" s="29">
        <v>450</v>
      </c>
      <c r="G77" s="29" t="s">
        <v>88</v>
      </c>
    </row>
    <row r="78" spans="1:7" x14ac:dyDescent="0.2">
      <c r="A78">
        <v>77</v>
      </c>
      <c r="B78" s="29">
        <v>9</v>
      </c>
      <c r="C78" s="29" t="s">
        <v>506</v>
      </c>
      <c r="D78" s="80">
        <v>1</v>
      </c>
      <c r="E78" s="80">
        <v>1</v>
      </c>
      <c r="F78" s="29">
        <v>10</v>
      </c>
      <c r="G78" s="29" t="s">
        <v>88</v>
      </c>
    </row>
    <row r="79" spans="1:7" s="55" customFormat="1" x14ac:dyDescent="0.2">
      <c r="A79">
        <v>78</v>
      </c>
      <c r="B79" s="62">
        <v>9</v>
      </c>
      <c r="C79" s="62" t="s">
        <v>495</v>
      </c>
      <c r="D79" s="82">
        <v>0</v>
      </c>
      <c r="E79" s="82">
        <v>1</v>
      </c>
      <c r="F79" s="62">
        <v>250</v>
      </c>
      <c r="G79" s="62" t="s">
        <v>88</v>
      </c>
    </row>
    <row r="80" spans="1:7" s="55" customFormat="1" x14ac:dyDescent="0.2">
      <c r="A80">
        <v>79</v>
      </c>
      <c r="B80" s="62">
        <v>9</v>
      </c>
      <c r="C80" s="62" t="s">
        <v>496</v>
      </c>
      <c r="D80" s="82">
        <v>0</v>
      </c>
      <c r="E80" s="82">
        <v>1</v>
      </c>
      <c r="F80" s="62">
        <v>350</v>
      </c>
      <c r="G80" s="62" t="s">
        <v>88</v>
      </c>
    </row>
    <row r="81" spans="1:7" s="55" customFormat="1" x14ac:dyDescent="0.2">
      <c r="A81">
        <v>80</v>
      </c>
      <c r="B81" s="62">
        <v>9</v>
      </c>
      <c r="C81" s="62" t="s">
        <v>497</v>
      </c>
      <c r="D81" s="82">
        <v>0</v>
      </c>
      <c r="E81" s="82">
        <v>1</v>
      </c>
      <c r="F81" s="62">
        <v>450</v>
      </c>
      <c r="G81" s="62" t="s">
        <v>88</v>
      </c>
    </row>
    <row r="82" spans="1:7" s="55" customFormat="1" x14ac:dyDescent="0.2">
      <c r="A82">
        <v>81</v>
      </c>
      <c r="B82" s="62">
        <v>9</v>
      </c>
      <c r="C82" s="62" t="s">
        <v>498</v>
      </c>
      <c r="D82" s="82">
        <v>1</v>
      </c>
      <c r="E82" s="82">
        <v>1</v>
      </c>
      <c r="F82" s="62">
        <v>10</v>
      </c>
      <c r="G82" s="62" t="s">
        <v>88</v>
      </c>
    </row>
    <row r="83" spans="1:7" s="55" customFormat="1" x14ac:dyDescent="0.2">
      <c r="A83">
        <v>82</v>
      </c>
      <c r="B83" s="83">
        <v>9</v>
      </c>
      <c r="C83" s="83" t="s">
        <v>499</v>
      </c>
      <c r="D83" s="84">
        <v>0</v>
      </c>
      <c r="E83" s="84">
        <v>1</v>
      </c>
      <c r="F83" s="83">
        <v>250</v>
      </c>
      <c r="G83" s="83" t="s">
        <v>88</v>
      </c>
    </row>
    <row r="84" spans="1:7" s="55" customFormat="1" x14ac:dyDescent="0.2">
      <c r="A84">
        <v>83</v>
      </c>
      <c r="B84" s="83">
        <v>9</v>
      </c>
      <c r="C84" s="83" t="s">
        <v>500</v>
      </c>
      <c r="D84" s="84">
        <v>0</v>
      </c>
      <c r="E84" s="84">
        <v>1</v>
      </c>
      <c r="F84" s="83">
        <v>350</v>
      </c>
      <c r="G84" s="83" t="s">
        <v>88</v>
      </c>
    </row>
    <row r="85" spans="1:7" s="55" customFormat="1" x14ac:dyDescent="0.2">
      <c r="A85">
        <v>84</v>
      </c>
      <c r="B85" s="83">
        <v>9</v>
      </c>
      <c r="C85" s="83" t="s">
        <v>501</v>
      </c>
      <c r="D85" s="84">
        <v>0</v>
      </c>
      <c r="E85" s="84">
        <v>1</v>
      </c>
      <c r="F85" s="83">
        <v>450</v>
      </c>
      <c r="G85" s="83" t="s">
        <v>88</v>
      </c>
    </row>
    <row r="86" spans="1:7" s="55" customFormat="1" x14ac:dyDescent="0.2">
      <c r="A86">
        <v>85</v>
      </c>
      <c r="B86" s="83">
        <v>9</v>
      </c>
      <c r="C86" s="83" t="s">
        <v>502</v>
      </c>
      <c r="D86" s="84">
        <v>1</v>
      </c>
      <c r="E86" s="84">
        <v>1</v>
      </c>
      <c r="F86" s="83">
        <v>10</v>
      </c>
      <c r="G86" s="83" t="s">
        <v>88</v>
      </c>
    </row>
    <row r="87" spans="1:7" s="65" customFormat="1" x14ac:dyDescent="0.2">
      <c r="A87">
        <v>86</v>
      </c>
      <c r="B87" s="65">
        <v>9</v>
      </c>
      <c r="C87" s="65" t="s">
        <v>494</v>
      </c>
      <c r="D87" s="66">
        <v>1</v>
      </c>
      <c r="E87" s="66">
        <v>1</v>
      </c>
      <c r="F87" s="65">
        <v>200</v>
      </c>
      <c r="G87" s="65" t="s">
        <v>490</v>
      </c>
    </row>
    <row r="88" spans="1:7" s="55" customFormat="1" x14ac:dyDescent="0.2">
      <c r="D88" s="4"/>
      <c r="E88" s="4"/>
    </row>
    <row r="89" spans="1:7" s="55" customFormat="1" x14ac:dyDescent="0.2">
      <c r="D89" s="4"/>
      <c r="E89" s="4"/>
    </row>
    <row r="90" spans="1:7" s="55" customFormat="1" x14ac:dyDescent="0.2">
      <c r="D90" s="4"/>
      <c r="E90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C37" sqref="C37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9"/>
  <sheetViews>
    <sheetView zoomScaleNormal="100" workbookViewId="0">
      <pane ySplit="1" topLeftCell="A50" activePane="bottomLeft" state="frozen"/>
      <selection pane="bottomLeft" activeCell="A64" sqref="A64:A69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470</v>
      </c>
      <c r="F62" s="30">
        <v>0</v>
      </c>
      <c r="G62" s="30">
        <v>0</v>
      </c>
    </row>
    <row r="63" spans="1:7" x14ac:dyDescent="0.2">
      <c r="A63" s="2">
        <v>62</v>
      </c>
      <c r="B63" s="2">
        <v>1</v>
      </c>
      <c r="C63" s="2">
        <v>0</v>
      </c>
      <c r="D63" s="2">
        <v>0</v>
      </c>
      <c r="E63" s="2" t="s">
        <v>489</v>
      </c>
      <c r="F63" s="2">
        <v>0</v>
      </c>
      <c r="G63" s="2">
        <v>0</v>
      </c>
    </row>
    <row r="64" spans="1:7" s="13" customFormat="1" x14ac:dyDescent="0.2">
      <c r="A64" s="2">
        <v>63</v>
      </c>
      <c r="B64" s="13">
        <v>1</v>
      </c>
      <c r="C64" s="13">
        <v>120</v>
      </c>
      <c r="D64" s="13">
        <f>1/C64</f>
        <v>8.3333333333333332E-3</v>
      </c>
      <c r="E64" s="15" t="s">
        <v>214</v>
      </c>
      <c r="F64" s="13">
        <f>C64</f>
        <v>120</v>
      </c>
      <c r="G64" s="13">
        <v>0</v>
      </c>
    </row>
    <row r="65" spans="1:7" s="13" customFormat="1" x14ac:dyDescent="0.2">
      <c r="A65" s="2">
        <v>64</v>
      </c>
      <c r="B65" s="13">
        <v>1</v>
      </c>
      <c r="C65" s="13">
        <v>120</v>
      </c>
      <c r="D65" s="13">
        <f t="shared" ref="D65:D69" si="5">1/C65</f>
        <v>8.3333333333333332E-3</v>
      </c>
      <c r="E65" s="14" t="s">
        <v>197</v>
      </c>
      <c r="F65" s="13">
        <f t="shared" ref="F65:F69" si="6">C65</f>
        <v>120</v>
      </c>
      <c r="G65" s="13">
        <v>0</v>
      </c>
    </row>
    <row r="66" spans="1:7" s="13" customFormat="1" x14ac:dyDescent="0.2">
      <c r="A66" s="2">
        <v>65</v>
      </c>
      <c r="B66" s="13">
        <v>1</v>
      </c>
      <c r="C66" s="13">
        <v>120</v>
      </c>
      <c r="D66" s="13">
        <f t="shared" si="5"/>
        <v>8.3333333333333332E-3</v>
      </c>
      <c r="E66" s="14" t="s">
        <v>198</v>
      </c>
      <c r="F66" s="13">
        <f t="shared" si="6"/>
        <v>120</v>
      </c>
      <c r="G66" s="13">
        <v>0</v>
      </c>
    </row>
    <row r="67" spans="1:7" s="13" customFormat="1" x14ac:dyDescent="0.2">
      <c r="A67" s="2">
        <v>66</v>
      </c>
      <c r="B67" s="13">
        <v>1</v>
      </c>
      <c r="C67" s="13">
        <v>160</v>
      </c>
      <c r="D67" s="13">
        <f t="shared" si="5"/>
        <v>6.2500000000000003E-3</v>
      </c>
      <c r="E67" s="14" t="s">
        <v>111</v>
      </c>
      <c r="F67" s="13">
        <f t="shared" si="6"/>
        <v>160</v>
      </c>
      <c r="G67" s="13">
        <v>0</v>
      </c>
    </row>
    <row r="68" spans="1:7" s="13" customFormat="1" x14ac:dyDescent="0.2">
      <c r="A68" s="2">
        <v>67</v>
      </c>
      <c r="B68" s="13">
        <v>1</v>
      </c>
      <c r="C68" s="13">
        <v>100</v>
      </c>
      <c r="D68" s="13">
        <f t="shared" si="5"/>
        <v>0.01</v>
      </c>
      <c r="E68" s="14" t="s">
        <v>110</v>
      </c>
      <c r="F68" s="13">
        <f t="shared" si="6"/>
        <v>100</v>
      </c>
      <c r="G68" s="13">
        <v>0</v>
      </c>
    </row>
    <row r="69" spans="1:7" s="13" customFormat="1" x14ac:dyDescent="0.2">
      <c r="A69" s="2">
        <v>68</v>
      </c>
      <c r="B69" s="13">
        <v>1</v>
      </c>
      <c r="C69" s="13">
        <v>100</v>
      </c>
      <c r="D69" s="13">
        <f t="shared" si="5"/>
        <v>0.01</v>
      </c>
      <c r="E69" s="14" t="s">
        <v>200</v>
      </c>
      <c r="F69" s="13">
        <f t="shared" si="6"/>
        <v>100</v>
      </c>
      <c r="G69" s="13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70" workbookViewId="0">
      <selection activeCell="E97" sqref="E97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2021-03-17T13:14:46Z</dcterms:modified>
</cp:coreProperties>
</file>