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27" i="7" l="1"/>
  <c r="J128" i="7"/>
  <c r="I127" i="7"/>
  <c r="H127" i="7"/>
  <c r="I111" i="14"/>
  <c r="L111" i="14" s="1"/>
  <c r="I112" i="14"/>
  <c r="I128" i="7" s="1"/>
  <c r="H111" i="14"/>
  <c r="H112" i="14"/>
  <c r="E111" i="14"/>
  <c r="F111" i="14" s="1"/>
  <c r="E112" i="14"/>
  <c r="H128" i="7" s="1"/>
  <c r="E110" i="14"/>
  <c r="L112" i="14" l="1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H115" i="7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L94" i="14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L83" i="14" s="1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/>
  <c r="H73" i="14"/>
  <c r="I72" i="14"/>
  <c r="I88" i="7" s="1"/>
  <c r="K72" i="14"/>
  <c r="J88" i="7" s="1"/>
  <c r="H72" i="14"/>
  <c r="N71" i="14"/>
  <c r="I71" i="14"/>
  <c r="L71" i="14" s="1"/>
  <c r="K71" i="14"/>
  <c r="J87" i="7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/>
  <c r="K67" i="14"/>
  <c r="J83" i="7" s="1"/>
  <c r="H67" i="14"/>
  <c r="E67" i="14"/>
  <c r="F67" i="14" s="1"/>
  <c r="N66" i="14"/>
  <c r="I66" i="14"/>
  <c r="I82" i="7" s="1"/>
  <c r="K66" i="14"/>
  <c r="J82" i="7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/>
  <c r="E45" i="14"/>
  <c r="H59" i="7" s="1"/>
  <c r="K44" i="14"/>
  <c r="J58" i="7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/>
  <c r="F23" i="14"/>
  <c r="H23" i="14"/>
  <c r="K23" i="14"/>
  <c r="J37" i="7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J18" i="7" s="1"/>
  <c r="K13" i="14"/>
  <c r="J27" i="7" s="1"/>
  <c r="K14" i="14"/>
  <c r="J28" i="7"/>
  <c r="K15" i="14"/>
  <c r="J29" i="7" s="1"/>
  <c r="K16" i="14"/>
  <c r="J30" i="7" s="1"/>
  <c r="K17" i="14"/>
  <c r="J31" i="7" s="1"/>
  <c r="K18" i="14"/>
  <c r="J32" i="7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J8" i="7"/>
  <c r="L72" i="14"/>
  <c r="L9" i="14"/>
  <c r="I83" i="7"/>
  <c r="H73" i="7"/>
  <c r="L59" i="14"/>
  <c r="F52" i="14"/>
  <c r="F13" i="14"/>
  <c r="L31" i="14"/>
  <c r="L46" i="14"/>
  <c r="J19" i="7"/>
  <c r="I12" i="7"/>
  <c r="J21" i="7"/>
  <c r="J22" i="7"/>
  <c r="L13" i="14"/>
  <c r="I29" i="7"/>
  <c r="I11" i="7"/>
  <c r="J16" i="7"/>
  <c r="L61" i="14"/>
  <c r="L30" i="14"/>
  <c r="L66" i="14"/>
  <c r="J14" i="7"/>
  <c r="I99" i="7"/>
  <c r="J26" i="7"/>
  <c r="H53" i="7"/>
  <c r="F16" i="14"/>
  <c r="F56" i="14"/>
  <c r="L17" i="14"/>
  <c r="L55" i="14"/>
  <c r="F40" i="14"/>
  <c r="I34" i="7"/>
  <c r="I32" i="7"/>
  <c r="I85" i="7"/>
  <c r="I46" i="7"/>
  <c r="I97" i="7"/>
  <c r="L16" i="14"/>
  <c r="H66" i="7"/>
  <c r="L91" i="14" l="1"/>
  <c r="F31" i="14"/>
  <c r="F41" i="14"/>
  <c r="L57" i="14"/>
  <c r="I56" i="7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<sst xmlns="http://schemas.openxmlformats.org/spreadsheetml/2006/main" count="606" uniqueCount="422">
  <si>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</si>
  <si>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</si>
  <si>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</si>
  <si>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</si>
  <si>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</si>
  <si>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</si>
  <si>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</si>
  <si>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</si>
  <si>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</si>
  <si>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</si>
  <si>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</si>
  <si>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</si>
  <si>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</si>
  <si>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</si>
  <si>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</si>
  <si>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</si>
  <si>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</si>
  <si>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</si>
  <si>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</si>
  <si>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</si>
  <si>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</si>
  <si>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</si>
  <si>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</si>
  <si>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</si>
  <si>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</si>
  <si>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</si>
  <si>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</si>
  <si>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</si>
  <si>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</si>
  <si>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</si>
  <si>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</si>
  <si>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</si>
  <si>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</si>
  <si>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</si>
  <si>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</si>
  <si>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</si>
  <si>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</si>
  <si>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</si>
  <si>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</si>
  <si>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</si>
  <si>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</si>
  <si>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</si>
  <si>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</si>
  <si>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</si>
  <si>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</si>
  <si>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</si>
  <si>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</si>
  <si>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</si>
  <si>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</si>
  <si>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</si>
  <si>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</si>
  <si>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</si>
  <si>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</si>
  <si>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</si>
  <si>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</si>
  <si>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</si>
  <si>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</si>
  <si>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</si>
  <si>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</si>
  <si>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</si>
  <si>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</si>
  <si>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</si>
  <si>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</si>
  <si>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</si>
  <si>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</si>
  <si>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</si>
  <si>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</si>
  <si>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</si>
  <si>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</si>
  <si>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</si>
  <si>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</si>
  <si>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</si>
  <si>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</si>
  <si>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</si>
  <si>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</si>
  <si>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</si>
  <si>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</si>
  <si>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</si>
  <si>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</si>
  <si>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</si>
  <si>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</si>
  <si>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</si>
  <si>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</si>
  <si>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</si>
  <si>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</si>
  <si>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</si>
  <si>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</si>
  <si>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</si>
  <si>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</si>
  <si>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</si>
  <si>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</si>
  <si>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</si>
  <si>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</si>
  <si>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</si>
  <si>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</si>
  <si>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</si>
  <si>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</si>
  <si>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</si>
  <si>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</si>
  <si>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</si>
  <si>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</si>
  <si>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</si>
  <si>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</si>
  <si>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</si>
  <si>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</si>
  <si>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</si>
  <si>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</si>
  <si>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</si>
  <si>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</si>
  <si>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</si>
  <si>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</si>
  <si>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</si>
  <si>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</si>
  <si>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</si>
  <si>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</si>
  <si>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</si>
  <si>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</si>
  <si>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</si>
  <si>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</si>
  <si>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</si>
  <si>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</si>
  <si>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</si>
  <si>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</si>
  <si>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</si>
  <si>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</si>
  <si>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</si>
  <si>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</si>
  <si>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</si>
  <si>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</si>
  <si>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</si>
  <si>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</si>
  <si>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</si>
  <si>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</si>
  <si>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</si>
  <si>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</si>
  <si>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</si>
  <si>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</si>
  <si>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</si>
  <si>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</si>
  <si>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</si>
  <si>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</si>
  <si>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</si>
  <si>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</si>
  <si>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</si>
  <si>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</si>
  <si>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</si>
  <si>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</si>
  <si>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</si>
  <si>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</si>
  <si>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</si>
  <si>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</si>
  <si>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</si>
  <si>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</si>
  <si>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</si>
  <si>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</si>
  <si>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</si>
  <si>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</si>
  <si>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</si>
  <si>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</si>
  <si>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</si>
  <si>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</si>
  <si>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</si>
  <si>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</si>
  <si>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</si>
  <si>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</si>
  <si>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</si>
  <si>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</si>
  <si>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</si>
  <si>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</si>
  <si>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</si>
  <si>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</si>
  <si>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</si>
  <si>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</si>
  <si>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</si>
  <si>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</si>
  <si>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</si>
  <si>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</si>
  <si>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</si>
  <si>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</si>
  <si>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</si>
  <si>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</si>
  <si>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</si>
  <si>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</si>
  <si>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</si>
  <si>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</si>
  <si>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</si>
  <si>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</si>
  <si>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</si>
  <si>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</si>
  <si>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</si>
  <si>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</si>
  <si>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</si>
  <si>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</si>
  <si>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</si>
  <si>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</si>
  <si>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</si>
  <si>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</si>
  <si>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</si>
  <si>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</si>
  <si>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</si>
  <si>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</si>
  <si>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</si>
  <si>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</si>
  <si>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</si>
  <si>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</si>
  <si>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</si>
  <si>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</si>
  <si>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</si>
  <si>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</si>
  <si>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</si>
  <si>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</si>
  <si>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</si>
  <si>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</si>
  <si>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</si>
  <si>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</si>
  <si>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</si>
  <si>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</si>
  <si>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</si>
  <si>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</si>
  <si>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</si>
  <si>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</si>
  <si>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</si>
  <si>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</si>
  <si>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</si>
  <si>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</si>
  <si>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</si>
  <si>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</si>
  <si>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</si>
  <si>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</si>
  <si>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</si>
  <si>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</si>
  <si>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</si>
  <si>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</si>
  <si>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</si>
  <si>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</si>
  <si>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</si>
  <si>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</si>
  <si>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</si>
  <si>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</si>
  <si>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</si>
  <si>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</si>
  <si>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</si>
  <si>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</si>
  <si>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</si>
  <si>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</si>
  <si>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</si>
  <si>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</si>
  <si>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</si>
  <si>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</si>
  <si>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</si>
  <si>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</si>
  <si>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</si>
  <si>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</si>
  <si>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</si>
  <si>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</si>
  <si>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</si>
  <si>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</si>
  <si>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</si>
  <si>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</si>
  <si>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</si>
  <si>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</si>
  <si>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</si>
  <si>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</si>
  <si>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</si>
  <si>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</si>
  <si>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</si>
  <si>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</si>
  <si>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</si>
  <si>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</si>
  <si>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</si>
  <si>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</si>
  <si>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</si>
  <si>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</si>
  <si>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</si>
  <si>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</si>
  <si>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</si>
  <si>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</si>
  <si>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</si>
  <si>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</si>
  <si>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</si>
  <si>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</si>
  <si>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</si>
  <si>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</si>
  <si>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</si>
  <si>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</si>
  <si>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</si>
  <si>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</si>
  <si>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</si>
  <si>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</si>
  <si>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</si>
  <si>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</si>
  <si>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</si>
  <si>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</si>
  <si>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</si>
  <si>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</si>
  <si>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</si>
  <si>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</si>
  <si>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</si>
  <si>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</si>
  <si>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</si>
  <si>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</si>
  <si>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</si>
  <si>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</si>
  <si>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</si>
  <si>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</si>
  <si>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</si>
  <si>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</si>
  <si>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</si>
  <si>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</si>
  <si>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</si>
  <si>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</si>
  <si>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</si>
  <si>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</si>
  <si>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</si>
  <si>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</si>
  <si>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</si>
  <si>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</si>
  <si>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</si>
  <si>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</si>
  <si>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</si>
  <si>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</si>
  <si>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</si>
  <si>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</si>
  <si>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</si>
  <si>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</si>
  <si>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</si>
  <si>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</si>
  <si>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</si>
  <si>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</si>
  <si>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</si>
  <si>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</si>
  <si>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</si>
  <si>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</si>
  <si>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</si>
  <si>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</si>
  <si>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</si>
  <si>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</si>
  <si>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</si>
  <si>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</si>
  <si>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</si>
  <si>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</si>
  <si>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</si>
  <si>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</si>
  <si>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</si>
  <si>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</si>
  <si>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</si>
  <si>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</si>
  <si>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</si>
  <si>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</si>
  <si>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</si>
  <si>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</si>
  <si>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</si>
  <si>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</si>
  <si>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</si>
  <si>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</si>
  <si>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</si>
  <si>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</si>
  <si>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</si>
  <si>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</si>
  <si>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</si>
  <si>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</si>
  <si>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</si>
  <si>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</si>
  <si>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</si>
  <si>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</si>
  <si>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</si>
  <si>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</si>
  <si>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</si>
  <si>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</si>
  <si>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</si>
  <si>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</si>
  <si>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</si>
  <si>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</si>
  <si>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</si>
  <si>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</si>
  <si>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</si>
  <si>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</si>
  <si>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</si>
  <si>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</si>
  <si>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</si>
  <si>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</si>
  <si>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</si>
  <si>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</si>
  <si>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</si>
  <si>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</si>
  <si>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</si>
  <si>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</si>
  <si>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</si>
  <si>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</si>
  <si>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</si>
  <si>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</si>
  <si>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</si>
  <si>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</si>
  <si>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</si>
  <si>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</si>
  <si>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</si>
  <si>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</si>
  <si>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</si>
  <si>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</si>
  <si>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</si>
  <si>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</si>
  <si>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</si>
  <si>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</si>
  <si>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</si>
  <si>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</si>
  <si>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</si>
  <si>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</si>
  <si>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</si>
  <si>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</si>
  <si>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</si>
  <si>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</si>
  <si>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</si>
  <si>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</si>
  <si>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</si>
  <si>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</si>
  <si>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</si>
  <si>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</si>
  <si>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</si>
  <si>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</si>
  <si>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</si>
  <si>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</si>
  <si>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话费鱼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</si>
</sst>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0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3" fontId="0" fillId="1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28"/>
  <sheetViews>
    <sheetView workbookViewId="0">
      <pane ySplit="1" topLeftCell="A110" activePane="bottomLeft" state="frozen"/>
      <selection pane="bottomLeft" activeCell="T118" sqref="T11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418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419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29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9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28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28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28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12"/>
  <sheetViews>
    <sheetView tabSelected="1" zoomScaleNormal="100" workbookViewId="0">
      <pane ySplit="1" topLeftCell="A98" activePane="bottomLeft" state="frozen"/>
      <selection pane="bottomLeft" activeCell="J116" sqref="J116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12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12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6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/>
      <c r="D112" s="69">
        <v>50100</v>
      </c>
      <c r="E112" s="67">
        <f>LOOKUP(use_fish!B112,base_fish!A:A,base_fish!C:C)+_xlfn.IFNA(INDEX(activity!F:F,MATCH(use_fish!C112,activity!A:A,0)),0)</f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1"/>
  <sheetViews>
    <sheetView zoomScale="130" zoomScaleNormal="130" workbookViewId="0">
      <pane ySplit="1" topLeftCell="A53" activePane="bottomLeft" state="frozen"/>
      <selection pane="bottomLeft" activeCell="F74" sqref="F74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420</v>
      </c>
      <c r="D70" s="66">
        <v>1</v>
      </c>
      <c r="E70" s="66">
        <v>1</v>
      </c>
      <c r="F70" s="65">
        <v>75</v>
      </c>
      <c r="G70" s="65" t="s">
        <v>417</v>
      </c>
    </row>
    <row r="71" spans="1:7" s="55" customFormat="1" x14ac:dyDescent="0.2">
      <c r="D71" s="12"/>
      <c r="E71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0"/>
  <sheetViews>
    <sheetView topLeftCell="A37" zoomScaleNormal="100" workbookViewId="0">
      <selection activeCell="E60" sqref="E6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421</v>
      </c>
      <c r="F60" s="2">
        <v>0</v>
      </c>
      <c r="G60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2020-11-25T11:18:47Z</dcterms:modified>
</cp:coreProperties>
</file>