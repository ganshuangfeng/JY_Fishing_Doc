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group!$I$1:$I$129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J153" i="14"/>
  <c r="J154" i="14"/>
  <c r="J155" i="14"/>
  <c r="J156" i="14"/>
  <c r="J157" i="14"/>
  <c r="H153" i="14"/>
  <c r="H154" i="14"/>
  <c r="H155" i="14"/>
  <c r="H156" i="14"/>
  <c r="H157" i="14"/>
  <c r="G153" i="14"/>
  <c r="G154" i="14"/>
  <c r="G155" i="14"/>
  <c r="G156" i="14"/>
  <c r="G157" i="14"/>
  <c r="E153" i="14"/>
  <c r="E154" i="14"/>
  <c r="E155" i="14"/>
  <c r="E156" i="14"/>
  <c r="E157" i="14"/>
  <c r="D153" i="14"/>
  <c r="D154" i="14"/>
  <c r="D155" i="14"/>
  <c r="D156" i="14"/>
  <c r="D157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J150" i="14"/>
  <c r="J151" i="14"/>
  <c r="J152" i="14"/>
  <c r="H150" i="14"/>
  <c r="H151" i="14"/>
  <c r="H152" i="14"/>
  <c r="G150" i="14"/>
  <c r="G151" i="14"/>
  <c r="G152" i="14"/>
  <c r="E150" i="14"/>
  <c r="E151" i="14"/>
  <c r="E152" i="14"/>
  <c r="D150" i="14"/>
  <c r="D151" i="14"/>
  <c r="D152" i="14"/>
  <c r="D32" i="1"/>
  <c r="D143" i="14"/>
  <c r="H169" i="7"/>
  <c r="D144" i="14"/>
  <c r="H170" i="7"/>
  <c r="D145" i="14"/>
  <c r="H171" i="7"/>
  <c r="D146" i="14"/>
  <c r="H172" i="7"/>
  <c r="D147" i="14"/>
  <c r="H173" i="7"/>
  <c r="D148" i="14"/>
  <c r="H174" i="7"/>
  <c r="D149" i="14"/>
  <c r="H175" i="7"/>
  <c r="H143" i="14"/>
  <c r="I169" i="7"/>
  <c r="H144" i="14"/>
  <c r="I170" i="7"/>
  <c r="H145" i="14"/>
  <c r="I171" i="7"/>
  <c r="H146" i="14"/>
  <c r="I172" i="7"/>
  <c r="H147" i="14"/>
  <c r="I173" i="7"/>
  <c r="H148" i="14"/>
  <c r="I174" i="7"/>
  <c r="H149" i="14"/>
  <c r="I175" i="7"/>
  <c r="H142" i="14"/>
  <c r="I168" i="7"/>
  <c r="D142" i="14"/>
  <c r="H168" i="7"/>
  <c r="E146" i="14"/>
  <c r="G146" i="14"/>
  <c r="J146" i="14"/>
  <c r="J172" i="7"/>
  <c r="E147" i="14"/>
  <c r="G147" i="14"/>
  <c r="J147" i="14"/>
  <c r="J173" i="7"/>
  <c r="E148" i="14"/>
  <c r="G148" i="14"/>
  <c r="J148" i="14"/>
  <c r="J174" i="7"/>
  <c r="E149" i="14"/>
  <c r="G149" i="14"/>
  <c r="J149" i="14"/>
  <c r="J175" i="7"/>
  <c r="D31" i="1"/>
  <c r="J145" i="14"/>
  <c r="G145" i="14"/>
  <c r="E145" i="14"/>
  <c r="J144" i="14"/>
  <c r="J170" i="7"/>
  <c r="G144" i="14"/>
  <c r="E144" i="14"/>
  <c r="J171" i="7"/>
  <c r="J143" i="14"/>
  <c r="J169" i="7"/>
  <c r="G143" i="14"/>
  <c r="E143" i="14"/>
  <c r="G142" i="14"/>
  <c r="J142" i="14"/>
  <c r="J168" i="7"/>
  <c r="E142" i="14"/>
  <c r="D30" i="1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3" i="14"/>
  <c r="H126" i="14"/>
  <c r="K126" i="14"/>
  <c r="H127" i="14"/>
  <c r="I153" i="7"/>
  <c r="H128" i="14"/>
  <c r="K128" i="14"/>
  <c r="H129" i="14"/>
  <c r="I155" i="7"/>
  <c r="H130" i="14"/>
  <c r="I156" i="7"/>
  <c r="H131" i="14"/>
  <c r="I157" i="7"/>
  <c r="H132" i="14"/>
  <c r="I158" i="7"/>
  <c r="H133" i="14"/>
  <c r="H134" i="14"/>
  <c r="I160" i="7"/>
  <c r="H135" i="14"/>
  <c r="I161" i="7"/>
  <c r="H136" i="14"/>
  <c r="I162" i="7"/>
  <c r="H137" i="14"/>
  <c r="I163" i="7"/>
  <c r="H138" i="14"/>
  <c r="I164" i="7"/>
  <c r="H139" i="14"/>
  <c r="I165" i="7"/>
  <c r="H140" i="14"/>
  <c r="I166" i="7"/>
  <c r="H141" i="14"/>
  <c r="I167" i="7"/>
  <c r="H152" i="7"/>
  <c r="H153" i="7"/>
  <c r="H154" i="7"/>
  <c r="H155" i="7"/>
  <c r="E130" i="14"/>
  <c r="H157" i="7"/>
  <c r="E132" i="14"/>
  <c r="H159" i="7"/>
  <c r="E134" i="14"/>
  <c r="H161" i="7"/>
  <c r="E136" i="14"/>
  <c r="H163" i="7"/>
  <c r="E138" i="14"/>
  <c r="H165" i="7"/>
  <c r="E140" i="14"/>
  <c r="H167" i="7"/>
  <c r="H125" i="14"/>
  <c r="I151" i="7"/>
  <c r="D125" i="14"/>
  <c r="H151" i="7"/>
  <c r="J129" i="14"/>
  <c r="J155" i="7"/>
  <c r="G20" i="5"/>
  <c r="G126" i="14"/>
  <c r="J128" i="14"/>
  <c r="J154" i="7"/>
  <c r="J127" i="14"/>
  <c r="J153" i="7"/>
  <c r="E127" i="14"/>
  <c r="J126" i="14"/>
  <c r="J152" i="7"/>
  <c r="E126" i="14"/>
  <c r="J141" i="14"/>
  <c r="J167" i="7"/>
  <c r="G21" i="5"/>
  <c r="G141" i="14"/>
  <c r="J140" i="14"/>
  <c r="J166" i="7"/>
  <c r="J139" i="14"/>
  <c r="J165" i="7"/>
  <c r="J138" i="14"/>
  <c r="J164" i="7"/>
  <c r="J137" i="14"/>
  <c r="J163" i="7"/>
  <c r="E137" i="14"/>
  <c r="J136" i="14"/>
  <c r="J162" i="7"/>
  <c r="G19" i="5"/>
  <c r="G136" i="14"/>
  <c r="J135" i="14"/>
  <c r="J161" i="7"/>
  <c r="J134" i="14"/>
  <c r="J160" i="7"/>
  <c r="J133" i="14"/>
  <c r="J159" i="7"/>
  <c r="E133" i="14"/>
  <c r="J132" i="14"/>
  <c r="J158" i="7"/>
  <c r="J131" i="14"/>
  <c r="J157" i="7"/>
  <c r="J130" i="14"/>
  <c r="J156" i="7"/>
  <c r="J125" i="14"/>
  <c r="J151" i="7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2" i="14"/>
  <c r="J150" i="7"/>
  <c r="D2" i="14"/>
  <c r="H2" i="7"/>
  <c r="D28" i="1"/>
  <c r="F28" i="1"/>
  <c r="D27" i="1"/>
  <c r="F27" i="1"/>
  <c r="D26" i="1"/>
  <c r="F26" i="1"/>
  <c r="D25" i="1"/>
  <c r="F25" i="1"/>
  <c r="D24" i="1"/>
  <c r="F24" i="1"/>
  <c r="D23" i="1"/>
  <c r="F23" i="1"/>
  <c r="H9" i="14"/>
  <c r="K9" i="14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2" i="1"/>
  <c r="F22" i="1"/>
  <c r="K119" i="14"/>
  <c r="K120" i="14"/>
  <c r="K121" i="14"/>
  <c r="D122" i="14"/>
  <c r="E122" i="14"/>
  <c r="J3" i="14"/>
  <c r="J5" i="7"/>
  <c r="J4" i="14"/>
  <c r="J12" i="7"/>
  <c r="J5" i="14"/>
  <c r="J13" i="7"/>
  <c r="J6" i="14"/>
  <c r="J20" i="7"/>
  <c r="J7" i="14"/>
  <c r="J8" i="14"/>
  <c r="J16" i="7"/>
  <c r="J9" i="14"/>
  <c r="J10" i="14"/>
  <c r="J24" i="7"/>
  <c r="J11" i="14"/>
  <c r="J25" i="7"/>
  <c r="J12" i="14"/>
  <c r="J26" i="7"/>
  <c r="J13" i="14"/>
  <c r="J27" i="7"/>
  <c r="J14" i="14"/>
  <c r="J15" i="14"/>
  <c r="J29" i="7"/>
  <c r="J16" i="14"/>
  <c r="J30" i="7"/>
  <c r="J17" i="14"/>
  <c r="J31" i="7"/>
  <c r="J18" i="14"/>
  <c r="J32" i="7"/>
  <c r="J19" i="14"/>
  <c r="J33" i="7"/>
  <c r="J20" i="14"/>
  <c r="J34" i="7"/>
  <c r="J21" i="14"/>
  <c r="J35" i="7"/>
  <c r="J22" i="14"/>
  <c r="J36" i="7"/>
  <c r="J23" i="14"/>
  <c r="J37" i="7"/>
  <c r="J24" i="14"/>
  <c r="J38" i="7"/>
  <c r="J25" i="14"/>
  <c r="J39" i="7"/>
  <c r="J26" i="14"/>
  <c r="J40" i="7"/>
  <c r="J27" i="14"/>
  <c r="J41" i="7"/>
  <c r="J28" i="14"/>
  <c r="J42" i="7"/>
  <c r="J29" i="14"/>
  <c r="J43" i="7"/>
  <c r="J30" i="14"/>
  <c r="J44" i="7"/>
  <c r="J31" i="14"/>
  <c r="J45" i="7"/>
  <c r="J32" i="14"/>
  <c r="J46" i="7"/>
  <c r="J33" i="14"/>
  <c r="J47" i="7"/>
  <c r="J34" i="14"/>
  <c r="J48" i="7"/>
  <c r="J35" i="14"/>
  <c r="J49" i="7"/>
  <c r="J36" i="14"/>
  <c r="J50" i="7"/>
  <c r="J37" i="14"/>
  <c r="J51" i="7"/>
  <c r="J38" i="14"/>
  <c r="J52" i="7"/>
  <c r="J39" i="14"/>
  <c r="J53" i="7"/>
  <c r="J40" i="14"/>
  <c r="J54" i="7"/>
  <c r="J41" i="14"/>
  <c r="J55" i="7"/>
  <c r="J42" i="14"/>
  <c r="J56" i="7"/>
  <c r="J43" i="14"/>
  <c r="J57" i="7"/>
  <c r="J44" i="14"/>
  <c r="J58" i="7"/>
  <c r="J45" i="14"/>
  <c r="J59" i="7"/>
  <c r="J46" i="14"/>
  <c r="J60" i="7"/>
  <c r="J47" i="14"/>
  <c r="J61" i="7"/>
  <c r="J48" i="14"/>
  <c r="J62" i="7"/>
  <c r="J49" i="14"/>
  <c r="J63" i="7"/>
  <c r="J50" i="14"/>
  <c r="J64" i="7"/>
  <c r="J51" i="14"/>
  <c r="J65" i="7"/>
  <c r="J52" i="14"/>
  <c r="J66" i="7"/>
  <c r="J53" i="14"/>
  <c r="J67" i="7"/>
  <c r="J54" i="14"/>
  <c r="J68" i="7"/>
  <c r="J55" i="14"/>
  <c r="J69" i="7"/>
  <c r="J56" i="14"/>
  <c r="J70" i="7"/>
  <c r="J57" i="14"/>
  <c r="J71" i="7"/>
  <c r="J58" i="14"/>
  <c r="J72" i="7"/>
  <c r="J59" i="14"/>
  <c r="J73" i="7"/>
  <c r="J60" i="14"/>
  <c r="J74" i="7"/>
  <c r="J61" i="14"/>
  <c r="J75" i="7"/>
  <c r="J62" i="14"/>
  <c r="J76" i="7"/>
  <c r="J63" i="14"/>
  <c r="J77" i="7"/>
  <c r="J64" i="14"/>
  <c r="J78" i="7"/>
  <c r="J65" i="14"/>
  <c r="J79" i="7"/>
  <c r="J66" i="14"/>
  <c r="J80" i="7"/>
  <c r="J67" i="14"/>
  <c r="J81" i="7"/>
  <c r="J68" i="14"/>
  <c r="J82" i="7"/>
  <c r="J69" i="14"/>
  <c r="J83" i="7"/>
  <c r="J70" i="14"/>
  <c r="J84" i="7"/>
  <c r="J71" i="14"/>
  <c r="J85" i="7"/>
  <c r="J72" i="14"/>
  <c r="J86" i="7"/>
  <c r="J73" i="14"/>
  <c r="J87" i="7"/>
  <c r="J74" i="14"/>
  <c r="J88" i="7"/>
  <c r="J75" i="14"/>
  <c r="J89" i="7"/>
  <c r="J76" i="14"/>
  <c r="J90" i="7"/>
  <c r="J77" i="14"/>
  <c r="J91" i="7"/>
  <c r="J78" i="14"/>
  <c r="J92" i="7"/>
  <c r="J79" i="14"/>
  <c r="J93" i="7"/>
  <c r="J80" i="14"/>
  <c r="J94" i="7"/>
  <c r="J81" i="14"/>
  <c r="J95" i="7"/>
  <c r="J82" i="14"/>
  <c r="J96" i="7"/>
  <c r="J83" i="14"/>
  <c r="J97" i="7"/>
  <c r="J84" i="14"/>
  <c r="J98" i="7"/>
  <c r="J85" i="14"/>
  <c r="J99" i="7"/>
  <c r="J86" i="14"/>
  <c r="J100" i="7"/>
  <c r="J87" i="14"/>
  <c r="J101" i="7"/>
  <c r="J88" i="14"/>
  <c r="J102" i="7"/>
  <c r="J89" i="14"/>
  <c r="J103" i="7"/>
  <c r="J90" i="14"/>
  <c r="J104" i="7"/>
  <c r="J91" i="14"/>
  <c r="J105" i="7"/>
  <c r="J92" i="14"/>
  <c r="J106" i="7"/>
  <c r="J93" i="14"/>
  <c r="J107" i="7"/>
  <c r="J94" i="14"/>
  <c r="J108" i="7"/>
  <c r="J95" i="14"/>
  <c r="J109" i="7"/>
  <c r="J96" i="14"/>
  <c r="J110" i="7"/>
  <c r="J97" i="14"/>
  <c r="J111" i="7"/>
  <c r="J98" i="14"/>
  <c r="J112" i="7"/>
  <c r="J99" i="14"/>
  <c r="J113" i="7"/>
  <c r="J100" i="14"/>
  <c r="J114" i="7"/>
  <c r="J101" i="14"/>
  <c r="J115" i="7"/>
  <c r="J102" i="14"/>
  <c r="J116" i="7"/>
  <c r="J103" i="14"/>
  <c r="J130" i="7"/>
  <c r="J104" i="14"/>
  <c r="J131" i="7"/>
  <c r="J105" i="14"/>
  <c r="J132" i="7"/>
  <c r="J106" i="14"/>
  <c r="J133" i="7"/>
  <c r="J107" i="14"/>
  <c r="J134" i="7"/>
  <c r="J108" i="14"/>
  <c r="J135" i="7"/>
  <c r="J109" i="14"/>
  <c r="J136" i="7"/>
  <c r="J110" i="14"/>
  <c r="J137" i="7"/>
  <c r="J111" i="14"/>
  <c r="J138" i="7"/>
  <c r="J112" i="14"/>
  <c r="J139" i="7"/>
  <c r="J113" i="14"/>
  <c r="J140" i="7"/>
  <c r="J114" i="14"/>
  <c r="J141" i="7"/>
  <c r="J115" i="14"/>
  <c r="J142" i="7"/>
  <c r="J116" i="14"/>
  <c r="J143" i="7"/>
  <c r="J117" i="14"/>
  <c r="J144" i="7"/>
  <c r="J118" i="14"/>
  <c r="J145" i="7"/>
  <c r="J119" i="14"/>
  <c r="J146" i="7"/>
  <c r="J120" i="14"/>
  <c r="J147" i="7"/>
  <c r="J121" i="14"/>
  <c r="J148" i="7"/>
  <c r="J122" i="14"/>
  <c r="J149" i="7"/>
  <c r="J2" i="14"/>
  <c r="J9" i="7"/>
  <c r="H2" i="14"/>
  <c r="I8" i="7"/>
  <c r="J7" i="7"/>
  <c r="I146" i="7"/>
  <c r="D2" i="1"/>
  <c r="F2" i="1"/>
  <c r="F3" i="1"/>
  <c r="H3" i="14"/>
  <c r="I11" i="7"/>
  <c r="F4" i="1"/>
  <c r="H4" i="14"/>
  <c r="I6" i="7"/>
  <c r="F5" i="1"/>
  <c r="H5" i="14"/>
  <c r="F6" i="1"/>
  <c r="H6" i="14"/>
  <c r="K6" i="14"/>
  <c r="F7" i="1"/>
  <c r="H7" i="14"/>
  <c r="K7" i="14"/>
  <c r="F8" i="1"/>
  <c r="H8" i="14"/>
  <c r="I16" i="7"/>
  <c r="F9" i="1"/>
  <c r="F10" i="1"/>
  <c r="H10" i="14"/>
  <c r="I24" i="7"/>
  <c r="F11" i="1"/>
  <c r="H11" i="14"/>
  <c r="I25" i="7"/>
  <c r="F12" i="1"/>
  <c r="H12" i="14"/>
  <c r="K12" i="14"/>
  <c r="F13" i="1"/>
  <c r="H13" i="14"/>
  <c r="I27" i="7"/>
  <c r="F16" i="1"/>
  <c r="H91" i="14"/>
  <c r="F15" i="1"/>
  <c r="H15" i="14"/>
  <c r="I29" i="7"/>
  <c r="H16" i="14"/>
  <c r="I30" i="7"/>
  <c r="F17" i="1"/>
  <c r="H17" i="14"/>
  <c r="I31" i="7"/>
  <c r="F18" i="1"/>
  <c r="H18" i="14"/>
  <c r="K18" i="14"/>
  <c r="F19" i="1"/>
  <c r="H19" i="14"/>
  <c r="I33" i="7"/>
  <c r="H20" i="14"/>
  <c r="I34" i="7"/>
  <c r="H21" i="14"/>
  <c r="I35" i="7"/>
  <c r="H22" i="14"/>
  <c r="I36" i="7"/>
  <c r="H23" i="14"/>
  <c r="I37" i="7"/>
  <c r="H24" i="14"/>
  <c r="H25" i="14"/>
  <c r="K25" i="14"/>
  <c r="H26" i="14"/>
  <c r="K26" i="14"/>
  <c r="H27" i="14"/>
  <c r="K27" i="14"/>
  <c r="H28" i="14"/>
  <c r="I42" i="7"/>
  <c r="H29" i="14"/>
  <c r="I43" i="7"/>
  <c r="H30" i="14"/>
  <c r="K30" i="14"/>
  <c r="H31" i="14"/>
  <c r="I45" i="7"/>
  <c r="H32" i="14"/>
  <c r="H33" i="14"/>
  <c r="I47" i="7"/>
  <c r="H34" i="14"/>
  <c r="K34" i="14"/>
  <c r="H35" i="14"/>
  <c r="I49" i="7"/>
  <c r="H36" i="14"/>
  <c r="I50" i="7"/>
  <c r="H37" i="14"/>
  <c r="I51" i="7"/>
  <c r="H38" i="14"/>
  <c r="I52" i="7"/>
  <c r="H39" i="14"/>
  <c r="K39" i="14"/>
  <c r="H40" i="14"/>
  <c r="H41" i="14"/>
  <c r="I55" i="7"/>
  <c r="H42" i="14"/>
  <c r="K42" i="14"/>
  <c r="H43" i="14"/>
  <c r="I57" i="7"/>
  <c r="H44" i="14"/>
  <c r="I58" i="7"/>
  <c r="H45" i="14"/>
  <c r="K45" i="14"/>
  <c r="H46" i="14"/>
  <c r="K46" i="14"/>
  <c r="H47" i="14"/>
  <c r="K47" i="14"/>
  <c r="H48" i="14"/>
  <c r="H49" i="14"/>
  <c r="K49" i="14"/>
  <c r="H50" i="14"/>
  <c r="K50" i="14"/>
  <c r="H51" i="14"/>
  <c r="I65" i="7"/>
  <c r="H52" i="14"/>
  <c r="I66" i="7"/>
  <c r="H53" i="14"/>
  <c r="I67" i="7"/>
  <c r="H54" i="14"/>
  <c r="K54" i="14"/>
  <c r="H55" i="14"/>
  <c r="I69" i="7"/>
  <c r="H56" i="14"/>
  <c r="H57" i="14"/>
  <c r="K57" i="14"/>
  <c r="H58" i="14"/>
  <c r="K58" i="14"/>
  <c r="H59" i="14"/>
  <c r="I73" i="7"/>
  <c r="H60" i="14"/>
  <c r="I74" i="7"/>
  <c r="H61" i="14"/>
  <c r="I75" i="7"/>
  <c r="H62" i="14"/>
  <c r="K62" i="14"/>
  <c r="H63" i="14"/>
  <c r="I77" i="7"/>
  <c r="H64" i="14"/>
  <c r="H65" i="14"/>
  <c r="I79" i="7"/>
  <c r="H66" i="14"/>
  <c r="K66" i="14"/>
  <c r="H67" i="14"/>
  <c r="H68" i="14"/>
  <c r="K68" i="14"/>
  <c r="H69" i="14"/>
  <c r="I83" i="7"/>
  <c r="H70" i="14"/>
  <c r="I84" i="7"/>
  <c r="H71" i="14"/>
  <c r="I85" i="7"/>
  <c r="H72" i="14"/>
  <c r="I86" i="7"/>
  <c r="H73" i="14"/>
  <c r="I87" i="7"/>
  <c r="H74" i="14"/>
  <c r="K74" i="14"/>
  <c r="H75" i="14"/>
  <c r="I89" i="7"/>
  <c r="H76" i="14"/>
  <c r="K76" i="14"/>
  <c r="H77" i="14"/>
  <c r="K77" i="14"/>
  <c r="H78" i="14"/>
  <c r="K78" i="14"/>
  <c r="H79" i="14"/>
  <c r="I93" i="7"/>
  <c r="H80" i="14"/>
  <c r="H81" i="14"/>
  <c r="I95" i="7"/>
  <c r="H82" i="14"/>
  <c r="K82" i="14"/>
  <c r="H83" i="14"/>
  <c r="H84" i="14"/>
  <c r="K84" i="14"/>
  <c r="H85" i="14"/>
  <c r="K85" i="14"/>
  <c r="H86" i="14"/>
  <c r="I100" i="7"/>
  <c r="H87" i="14"/>
  <c r="I101" i="7"/>
  <c r="H88" i="14"/>
  <c r="H89" i="14"/>
  <c r="I103" i="7"/>
  <c r="H90" i="14"/>
  <c r="K90" i="14"/>
  <c r="H92" i="14"/>
  <c r="H93" i="14"/>
  <c r="K93" i="14"/>
  <c r="H94" i="14"/>
  <c r="I108" i="7"/>
  <c r="H95" i="14"/>
  <c r="I109" i="7"/>
  <c r="H96" i="14"/>
  <c r="K96" i="14"/>
  <c r="H97" i="14"/>
  <c r="H98" i="14"/>
  <c r="I112" i="7"/>
  <c r="H99" i="14"/>
  <c r="K99" i="14"/>
  <c r="H100" i="14"/>
  <c r="I114" i="7"/>
  <c r="H101" i="14"/>
  <c r="K101" i="14"/>
  <c r="H102" i="14"/>
  <c r="I116" i="7"/>
  <c r="H103" i="14"/>
  <c r="K103" i="14"/>
  <c r="H104" i="14"/>
  <c r="K104" i="14"/>
  <c r="H105" i="14"/>
  <c r="I132" i="7"/>
  <c r="H106" i="14"/>
  <c r="I133" i="7"/>
  <c r="H107" i="14"/>
  <c r="I134" i="7"/>
  <c r="H108" i="14"/>
  <c r="H109" i="14"/>
  <c r="K109" i="14"/>
  <c r="H110" i="14"/>
  <c r="I137" i="7"/>
  <c r="H111" i="14"/>
  <c r="K111" i="14"/>
  <c r="H112" i="14"/>
  <c r="K112" i="14"/>
  <c r="H113" i="14"/>
  <c r="H114" i="14"/>
  <c r="K114" i="14"/>
  <c r="H115" i="14"/>
  <c r="K115" i="14"/>
  <c r="H116" i="14"/>
  <c r="K116" i="14"/>
  <c r="H117" i="14"/>
  <c r="K117" i="14"/>
  <c r="H118" i="14"/>
  <c r="K118" i="14"/>
  <c r="F20" i="1"/>
  <c r="I147" i="7"/>
  <c r="I148" i="7"/>
  <c r="F21" i="1"/>
  <c r="H122" i="14"/>
  <c r="I149" i="7"/>
  <c r="D3" i="14"/>
  <c r="E3" i="14"/>
  <c r="D4" i="14"/>
  <c r="H7" i="7"/>
  <c r="D5" i="14"/>
  <c r="E5" i="14"/>
  <c r="D6" i="14"/>
  <c r="H20" i="7"/>
  <c r="D7" i="14"/>
  <c r="H15" i="7"/>
  <c r="D8" i="14"/>
  <c r="H16" i="7"/>
  <c r="D9" i="14"/>
  <c r="H17" i="7"/>
  <c r="D10" i="14"/>
  <c r="H18" i="7"/>
  <c r="D11" i="14"/>
  <c r="H25" i="7"/>
  <c r="D12" i="14"/>
  <c r="E12" i="14"/>
  <c r="D13" i="14"/>
  <c r="H27" i="7"/>
  <c r="D91" i="14"/>
  <c r="H28" i="7"/>
  <c r="D15" i="14"/>
  <c r="E15" i="14"/>
  <c r="D16" i="14"/>
  <c r="E16" i="14"/>
  <c r="D17" i="14"/>
  <c r="H31" i="7"/>
  <c r="D18" i="14"/>
  <c r="H32" i="7"/>
  <c r="D19" i="14"/>
  <c r="E19" i="14"/>
  <c r="D20" i="14"/>
  <c r="E20" i="14"/>
  <c r="D21" i="14"/>
  <c r="H35" i="7"/>
  <c r="D22" i="14"/>
  <c r="E22" i="14"/>
  <c r="D23" i="14"/>
  <c r="E23" i="14"/>
  <c r="D24" i="14"/>
  <c r="H38" i="7"/>
  <c r="D25" i="14"/>
  <c r="E25" i="14"/>
  <c r="D26" i="14"/>
  <c r="H40" i="7"/>
  <c r="D27" i="14"/>
  <c r="H41" i="7"/>
  <c r="D28" i="14"/>
  <c r="H42" i="7"/>
  <c r="D29" i="14"/>
  <c r="E29" i="14"/>
  <c r="D30" i="14"/>
  <c r="H44" i="7"/>
  <c r="D31" i="14"/>
  <c r="E31" i="14"/>
  <c r="D32" i="14"/>
  <c r="H46" i="7"/>
  <c r="D33" i="14"/>
  <c r="H47" i="7"/>
  <c r="D34" i="14"/>
  <c r="H48" i="7"/>
  <c r="D35" i="14"/>
  <c r="H49" i="7"/>
  <c r="D36" i="14"/>
  <c r="H50" i="7"/>
  <c r="D37" i="14"/>
  <c r="E37" i="14"/>
  <c r="D38" i="14"/>
  <c r="H52" i="7"/>
  <c r="D39" i="14"/>
  <c r="E39" i="14"/>
  <c r="D40" i="14"/>
  <c r="H54" i="7"/>
  <c r="D41" i="14"/>
  <c r="H55" i="7"/>
  <c r="D42" i="14"/>
  <c r="H56" i="7"/>
  <c r="D43" i="14"/>
  <c r="D44" i="14"/>
  <c r="H58" i="7"/>
  <c r="D45" i="14"/>
  <c r="H59" i="7"/>
  <c r="D46" i="14"/>
  <c r="H60" i="7"/>
  <c r="D47" i="14"/>
  <c r="E47" i="14"/>
  <c r="D48" i="14"/>
  <c r="H62" i="7"/>
  <c r="D49" i="14"/>
  <c r="E49" i="14"/>
  <c r="D50" i="14"/>
  <c r="H64" i="7"/>
  <c r="D51" i="14"/>
  <c r="H65" i="7"/>
  <c r="D52" i="14"/>
  <c r="H66" i="7"/>
  <c r="D53" i="14"/>
  <c r="H67" i="7"/>
  <c r="D54" i="14"/>
  <c r="E54" i="14"/>
  <c r="D55" i="14"/>
  <c r="D56" i="14"/>
  <c r="H70" i="7"/>
  <c r="D57" i="14"/>
  <c r="E57" i="14"/>
  <c r="D58" i="14"/>
  <c r="H72" i="7"/>
  <c r="D59" i="14"/>
  <c r="D60" i="14"/>
  <c r="H74" i="7"/>
  <c r="D61" i="14"/>
  <c r="H75" i="7"/>
  <c r="D62" i="14"/>
  <c r="E62" i="14"/>
  <c r="D63" i="14"/>
  <c r="H77" i="7"/>
  <c r="D64" i="14"/>
  <c r="H78" i="7"/>
  <c r="D65" i="14"/>
  <c r="E65" i="14"/>
  <c r="D66" i="14"/>
  <c r="E66" i="14"/>
  <c r="D67" i="14"/>
  <c r="E67" i="14"/>
  <c r="D68" i="14"/>
  <c r="H82" i="7"/>
  <c r="D69" i="14"/>
  <c r="H83" i="7"/>
  <c r="D70" i="14"/>
  <c r="H84" i="7"/>
  <c r="D71" i="14"/>
  <c r="E71" i="14"/>
  <c r="D72" i="14"/>
  <c r="H86" i="7"/>
  <c r="D73" i="14"/>
  <c r="H87" i="7"/>
  <c r="D74" i="14"/>
  <c r="H88" i="7"/>
  <c r="D75" i="14"/>
  <c r="E75" i="14"/>
  <c r="D76" i="14"/>
  <c r="E76" i="14"/>
  <c r="D77" i="14"/>
  <c r="E77" i="14"/>
  <c r="D78" i="14"/>
  <c r="H92" i="7"/>
  <c r="D79" i="14"/>
  <c r="E79" i="14"/>
  <c r="D80" i="14"/>
  <c r="E80" i="14"/>
  <c r="D81" i="14"/>
  <c r="E81" i="14"/>
  <c r="D82" i="14"/>
  <c r="H96" i="7"/>
  <c r="D83" i="14"/>
  <c r="E83" i="14"/>
  <c r="D84" i="14"/>
  <c r="H98" i="7"/>
  <c r="D85" i="14"/>
  <c r="H99" i="7"/>
  <c r="D86" i="14"/>
  <c r="H100" i="7"/>
  <c r="D87" i="14"/>
  <c r="H101" i="7"/>
  <c r="D88" i="14"/>
  <c r="E88" i="14"/>
  <c r="D89" i="14"/>
  <c r="D90" i="14"/>
  <c r="H104" i="7"/>
  <c r="D92" i="14"/>
  <c r="E92" i="14"/>
  <c r="D93" i="14"/>
  <c r="H107" i="7"/>
  <c r="D94" i="14"/>
  <c r="H108" i="7"/>
  <c r="D95" i="14"/>
  <c r="H109" i="7"/>
  <c r="D96" i="14"/>
  <c r="D97" i="14"/>
  <c r="H111" i="7"/>
  <c r="D98" i="14"/>
  <c r="D99" i="14"/>
  <c r="H113" i="7"/>
  <c r="D100" i="14"/>
  <c r="H114" i="7"/>
  <c r="D101" i="14"/>
  <c r="H115" i="7"/>
  <c r="D102" i="14"/>
  <c r="E102" i="14"/>
  <c r="D103" i="14"/>
  <c r="H130" i="7"/>
  <c r="D104" i="14"/>
  <c r="D105" i="14"/>
  <c r="H132" i="7"/>
  <c r="D106" i="14"/>
  <c r="D107" i="14"/>
  <c r="H134" i="7"/>
  <c r="D108" i="14"/>
  <c r="D109" i="14"/>
  <c r="E109" i="14"/>
  <c r="D110" i="14"/>
  <c r="D111" i="14"/>
  <c r="H138" i="7"/>
  <c r="D112" i="14"/>
  <c r="E112" i="14"/>
  <c r="D113" i="14"/>
  <c r="H140" i="7"/>
  <c r="D114" i="14"/>
  <c r="D115" i="14"/>
  <c r="E115" i="14"/>
  <c r="D116" i="14"/>
  <c r="D117" i="14"/>
  <c r="E117" i="14"/>
  <c r="D118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F14" i="1"/>
  <c r="H14" i="14"/>
  <c r="K14" i="14"/>
  <c r="D14" i="14"/>
  <c r="E14" i="14"/>
  <c r="G16" i="5"/>
  <c r="G106" i="14"/>
  <c r="G122" i="14"/>
  <c r="G18" i="5"/>
  <c r="G29" i="14"/>
  <c r="E119" i="14"/>
  <c r="E120" i="14"/>
  <c r="E121" i="14"/>
  <c r="G2" i="30"/>
  <c r="F2" i="30"/>
  <c r="G17" i="5"/>
  <c r="G112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3" i="5"/>
  <c r="G20" i="14"/>
  <c r="G4" i="5"/>
  <c r="G121" i="14"/>
  <c r="G6" i="5"/>
  <c r="G48" i="14"/>
  <c r="G8" i="5"/>
  <c r="G40" i="14"/>
  <c r="G11" i="5"/>
  <c r="G24" i="14"/>
  <c r="G13" i="5"/>
  <c r="G62" i="14"/>
  <c r="G15" i="5"/>
  <c r="G72" i="14"/>
  <c r="G5" i="5"/>
  <c r="G81" i="14"/>
  <c r="G7" i="5"/>
  <c r="G45" i="14"/>
  <c r="G14" i="5"/>
  <c r="G52" i="14"/>
  <c r="G12" i="5"/>
  <c r="G61" i="14"/>
  <c r="D3" i="18"/>
  <c r="D4" i="18"/>
  <c r="D5" i="18"/>
  <c r="D6" i="18"/>
  <c r="D7" i="18"/>
  <c r="D8" i="18"/>
  <c r="D9" i="18"/>
  <c r="D10" i="18"/>
  <c r="D11" i="18"/>
  <c r="D2" i="18"/>
  <c r="G2" i="5"/>
  <c r="G119" i="14"/>
  <c r="G9" i="5"/>
  <c r="G10" i="5"/>
  <c r="I9" i="7"/>
  <c r="H11" i="7"/>
  <c r="G70" i="14"/>
  <c r="G109" i="14"/>
  <c r="G42" i="14"/>
  <c r="J8" i="7"/>
  <c r="J3" i="7"/>
  <c r="J2" i="7"/>
  <c r="J123" i="7"/>
  <c r="I143" i="7"/>
  <c r="H4" i="7"/>
  <c r="J28" i="7"/>
  <c r="J18" i="7"/>
  <c r="G26" i="14"/>
  <c r="G51" i="14"/>
  <c r="G21" i="14"/>
  <c r="G128" i="14"/>
  <c r="G35" i="14"/>
  <c r="G47" i="14"/>
  <c r="G107" i="14"/>
  <c r="G134" i="14"/>
  <c r="G99" i="14"/>
  <c r="G118" i="14"/>
  <c r="G105" i="14"/>
  <c r="G97" i="14"/>
  <c r="G125" i="14"/>
  <c r="G91" i="14"/>
  <c r="G96" i="14"/>
  <c r="G88" i="14"/>
  <c r="G31" i="14"/>
  <c r="G94" i="14"/>
  <c r="G27" i="14"/>
  <c r="G104" i="14"/>
  <c r="G86" i="14"/>
  <c r="G54" i="14"/>
  <c r="G78" i="14"/>
  <c r="G101" i="14"/>
  <c r="G85" i="14"/>
  <c r="G44" i="14"/>
  <c r="G50" i="14"/>
  <c r="K10" i="14"/>
  <c r="G79" i="14"/>
  <c r="H80" i="7"/>
  <c r="G33" i="14"/>
  <c r="G34" i="14"/>
  <c r="G89" i="14"/>
  <c r="G69" i="14"/>
  <c r="G41" i="14"/>
  <c r="G100" i="14"/>
  <c r="G77" i="14"/>
  <c r="G23" i="14"/>
  <c r="E58" i="14"/>
  <c r="G49" i="14"/>
  <c r="G60" i="14"/>
  <c r="G64" i="14"/>
  <c r="G76" i="14"/>
  <c r="H105" i="7"/>
  <c r="E70" i="14"/>
  <c r="G63" i="14"/>
  <c r="G92" i="14"/>
  <c r="G55" i="14"/>
  <c r="G59" i="14"/>
  <c r="G102" i="14"/>
  <c r="G80" i="14"/>
  <c r="G87" i="14"/>
  <c r="E91" i="14"/>
  <c r="I64" i="7"/>
  <c r="E11" i="14"/>
  <c r="G68" i="14"/>
  <c r="K19" i="14"/>
  <c r="G113" i="14"/>
  <c r="G98" i="14"/>
  <c r="G135" i="14"/>
  <c r="G138" i="14"/>
  <c r="G140" i="14"/>
  <c r="G46" i="14"/>
  <c r="G117" i="14"/>
  <c r="G116" i="14"/>
  <c r="G90" i="14"/>
  <c r="G28" i="14"/>
  <c r="G82" i="14"/>
  <c r="G43" i="14"/>
  <c r="G137" i="14"/>
  <c r="G127" i="14"/>
  <c r="G129" i="14"/>
  <c r="G83" i="14"/>
  <c r="G114" i="14"/>
  <c r="G115" i="14"/>
  <c r="G139" i="14"/>
  <c r="E73" i="14"/>
  <c r="I17" i="7"/>
  <c r="I5" i="7"/>
  <c r="I23" i="7"/>
  <c r="K43" i="14"/>
  <c r="I32" i="7"/>
  <c r="H97" i="7"/>
  <c r="I39" i="7"/>
  <c r="E8" i="14"/>
  <c r="E52" i="14"/>
  <c r="E100" i="14"/>
  <c r="K16" i="14"/>
  <c r="H22" i="7"/>
  <c r="H149" i="7"/>
  <c r="E90" i="14"/>
  <c r="H142" i="7"/>
  <c r="H26" i="7"/>
  <c r="I91" i="7"/>
  <c r="E101" i="14"/>
  <c r="I60" i="7"/>
  <c r="I113" i="7"/>
  <c r="E13" i="14"/>
  <c r="I7" i="7"/>
  <c r="K11" i="14"/>
  <c r="I122" i="7"/>
  <c r="E32" i="14"/>
  <c r="H36" i="7"/>
  <c r="E28" i="14"/>
  <c r="E35" i="14"/>
  <c r="E17" i="14"/>
  <c r="H24" i="7"/>
  <c r="H94" i="7"/>
  <c r="H68" i="7"/>
  <c r="H61" i="7"/>
  <c r="I110" i="7"/>
  <c r="I141" i="7"/>
  <c r="H13" i="7"/>
  <c r="I4" i="7"/>
  <c r="K3" i="14"/>
  <c r="H63" i="7"/>
  <c r="E56" i="14"/>
  <c r="K13" i="14"/>
  <c r="K33" i="14"/>
  <c r="I10" i="7"/>
  <c r="E99" i="14"/>
  <c r="K31" i="14"/>
  <c r="E46" i="14"/>
  <c r="H45" i="7"/>
  <c r="I76" i="7"/>
  <c r="E38" i="14"/>
  <c r="E53" i="14"/>
  <c r="E42" i="14"/>
  <c r="I44" i="7"/>
  <c r="K59" i="14"/>
  <c r="H123" i="7"/>
  <c r="K15" i="14"/>
  <c r="I61" i="7"/>
  <c r="I68" i="7"/>
  <c r="I131" i="7"/>
  <c r="I99" i="7"/>
  <c r="K71" i="14"/>
  <c r="I41" i="7"/>
  <c r="I71" i="7"/>
  <c r="J22" i="7"/>
  <c r="J6" i="7"/>
  <c r="K4" i="14"/>
  <c r="E26" i="14"/>
  <c r="H122" i="7"/>
  <c r="I145" i="7"/>
  <c r="E111" i="14"/>
  <c r="I14" i="7"/>
  <c r="K98" i="14"/>
  <c r="J126" i="7"/>
  <c r="K127" i="14"/>
  <c r="J4" i="7"/>
  <c r="H51" i="7"/>
  <c r="I26" i="7"/>
  <c r="K102" i="14"/>
  <c r="K61" i="14"/>
  <c r="I96" i="7"/>
  <c r="I12" i="7"/>
  <c r="E74" i="14"/>
  <c r="K105" i="14"/>
  <c r="H3" i="7"/>
  <c r="H102" i="7"/>
  <c r="H76" i="7"/>
  <c r="H43" i="7"/>
  <c r="H19" i="7"/>
  <c r="E107" i="14"/>
  <c r="H91" i="7"/>
  <c r="K95" i="14"/>
  <c r="I128" i="7"/>
  <c r="I63" i="7"/>
  <c r="K69" i="14"/>
  <c r="I104" i="7"/>
  <c r="I138" i="7"/>
  <c r="I125" i="7"/>
  <c r="K22" i="14"/>
  <c r="K8" i="14"/>
  <c r="K44" i="14"/>
  <c r="K20" i="14"/>
  <c r="H136" i="7"/>
  <c r="H30" i="7"/>
  <c r="H14" i="7"/>
  <c r="K125" i="14"/>
  <c r="J129" i="7"/>
  <c r="H85" i="7"/>
  <c r="E61" i="14"/>
  <c r="I127" i="7"/>
  <c r="E33" i="14"/>
  <c r="I82" i="7"/>
  <c r="J14" i="7"/>
  <c r="K5" i="14"/>
  <c r="E113" i="14"/>
  <c r="E68" i="14"/>
  <c r="H5" i="7"/>
  <c r="K28" i="14"/>
  <c r="I21" i="7"/>
  <c r="J128" i="7"/>
  <c r="E95" i="14"/>
  <c r="E44" i="14"/>
  <c r="J10" i="7"/>
  <c r="E50" i="14"/>
  <c r="H139" i="7"/>
  <c r="H81" i="7"/>
  <c r="E40" i="14"/>
  <c r="K107" i="14"/>
  <c r="E86" i="14"/>
  <c r="E6" i="14"/>
  <c r="I139" i="7"/>
  <c r="H95" i="7"/>
  <c r="I142" i="7"/>
  <c r="E85" i="14"/>
  <c r="I88" i="7"/>
  <c r="H10" i="7"/>
  <c r="I115" i="7"/>
  <c r="I121" i="7"/>
  <c r="K17" i="14"/>
  <c r="I19" i="7"/>
  <c r="H90" i="7"/>
  <c r="I53" i="7"/>
  <c r="J11" i="7"/>
  <c r="H117" i="7"/>
  <c r="E103" i="14"/>
  <c r="H127" i="7"/>
  <c r="H106" i="7"/>
  <c r="E64" i="14"/>
  <c r="H33" i="7"/>
  <c r="K51" i="14"/>
  <c r="E10" i="14"/>
  <c r="K122" i="14"/>
  <c r="K94" i="14"/>
  <c r="K65" i="14"/>
  <c r="E93" i="14"/>
  <c r="I119" i="7"/>
  <c r="K23" i="14"/>
  <c r="I144" i="7"/>
  <c r="I13" i="7"/>
  <c r="I15" i="7"/>
  <c r="K55" i="14"/>
  <c r="E60" i="14"/>
  <c r="E72" i="14"/>
  <c r="E84" i="14"/>
  <c r="H129" i="7"/>
  <c r="K110" i="14"/>
  <c r="H89" i="7"/>
  <c r="I130" i="7"/>
  <c r="E36" i="14"/>
  <c r="K73" i="14"/>
  <c r="K79" i="14"/>
  <c r="K35" i="14"/>
  <c r="I107" i="7"/>
  <c r="I2" i="7"/>
  <c r="K2" i="14"/>
  <c r="E9" i="14"/>
  <c r="H79" i="7"/>
  <c r="H34" i="7"/>
  <c r="K63" i="14"/>
  <c r="E125" i="14"/>
  <c r="E141" i="14"/>
  <c r="K129" i="14"/>
  <c r="H29" i="7"/>
  <c r="E45" i="14"/>
  <c r="K70" i="14"/>
  <c r="H71" i="7"/>
  <c r="K38" i="14"/>
  <c r="K106" i="14"/>
  <c r="E51" i="14"/>
  <c r="E21" i="14"/>
  <c r="I126" i="7"/>
  <c r="K29" i="14"/>
  <c r="K89" i="14"/>
  <c r="I22" i="7"/>
  <c r="E18" i="14"/>
  <c r="H12" i="7"/>
  <c r="E41" i="14"/>
  <c r="E135" i="14"/>
  <c r="E129" i="14"/>
  <c r="E30" i="14"/>
  <c r="E78" i="14"/>
  <c r="E27" i="14"/>
  <c r="H126" i="7"/>
  <c r="E24" i="14"/>
  <c r="K41" i="14"/>
  <c r="I40" i="7"/>
  <c r="H118" i="7"/>
  <c r="H23" i="7"/>
  <c r="E69" i="14"/>
  <c r="I90" i="7"/>
  <c r="H120" i="7"/>
  <c r="E4" i="14"/>
  <c r="I3" i="7"/>
  <c r="H144" i="7"/>
  <c r="H6" i="7"/>
  <c r="I159" i="7"/>
  <c r="G71" i="14"/>
  <c r="G93" i="14"/>
  <c r="G65" i="14"/>
  <c r="G95" i="14"/>
  <c r="G58" i="14"/>
  <c r="G22" i="14"/>
  <c r="H53" i="7"/>
  <c r="H93" i="7"/>
  <c r="E34" i="14"/>
  <c r="G56" i="14"/>
  <c r="G75" i="14"/>
  <c r="G30" i="14"/>
  <c r="G120" i="14"/>
  <c r="G32" i="14"/>
  <c r="G73" i="14"/>
  <c r="G37" i="14"/>
  <c r="G74" i="14"/>
  <c r="G66" i="14"/>
  <c r="I18" i="7"/>
  <c r="I92" i="7"/>
  <c r="I124" i="7"/>
  <c r="E82" i="14"/>
  <c r="K87" i="14"/>
  <c r="I56" i="7"/>
  <c r="I117" i="7"/>
  <c r="E87" i="14"/>
  <c r="K37" i="14"/>
  <c r="E63" i="14"/>
  <c r="G110" i="14"/>
  <c r="K21" i="14"/>
  <c r="K100" i="14"/>
  <c r="H21" i="7"/>
  <c r="I80" i="7"/>
  <c r="I98" i="7"/>
  <c r="I136" i="7"/>
  <c r="H8" i="7"/>
  <c r="H9" i="7"/>
  <c r="G39" i="14"/>
  <c r="G25" i="14"/>
  <c r="E131" i="14"/>
  <c r="G132" i="14"/>
  <c r="G133" i="14"/>
  <c r="E128" i="14"/>
  <c r="G130" i="14"/>
  <c r="G131" i="14"/>
  <c r="E139" i="14"/>
  <c r="H37" i="7"/>
  <c r="E105" i="14"/>
  <c r="G67" i="14"/>
  <c r="G38" i="14"/>
  <c r="G36" i="14"/>
  <c r="G84" i="14"/>
  <c r="G53" i="14"/>
  <c r="G57" i="14"/>
  <c r="H119" i="7"/>
  <c r="I48" i="7"/>
  <c r="I120" i="7"/>
  <c r="K86" i="14"/>
  <c r="H125" i="7"/>
  <c r="H128" i="7"/>
  <c r="K52" i="14"/>
  <c r="H124" i="7"/>
  <c r="H121" i="7"/>
  <c r="H39" i="7"/>
  <c r="I72" i="7"/>
  <c r="G103" i="14"/>
  <c r="G111" i="14"/>
  <c r="G108" i="14"/>
  <c r="K81" i="14"/>
  <c r="E7" i="14"/>
  <c r="E97" i="14"/>
  <c r="K60" i="14"/>
  <c r="K36" i="14"/>
  <c r="K53" i="14"/>
  <c r="I59" i="7"/>
  <c r="E2" i="14"/>
  <c r="E94" i="14"/>
  <c r="H116" i="7"/>
  <c r="K72" i="14"/>
  <c r="H131" i="7"/>
  <c r="E104" i="14"/>
  <c r="H110" i="7"/>
  <c r="E96" i="14"/>
  <c r="H73" i="7"/>
  <c r="E59" i="14"/>
  <c r="K108" i="14"/>
  <c r="I135" i="7"/>
  <c r="I97" i="7"/>
  <c r="K83" i="14"/>
  <c r="I94" i="7"/>
  <c r="K80" i="14"/>
  <c r="I20" i="7"/>
  <c r="I118" i="7"/>
  <c r="I123" i="7"/>
  <c r="I129" i="7"/>
  <c r="J19" i="7"/>
  <c r="J122" i="7"/>
  <c r="J117" i="7"/>
  <c r="J127" i="7"/>
  <c r="H141" i="7"/>
  <c r="E114" i="14"/>
  <c r="H133" i="7"/>
  <c r="E106" i="14"/>
  <c r="E98" i="14"/>
  <c r="H112" i="7"/>
  <c r="E89" i="14"/>
  <c r="H103" i="7"/>
  <c r="K113" i="14"/>
  <c r="I140" i="7"/>
  <c r="I106" i="7"/>
  <c r="K92" i="14"/>
  <c r="I102" i="7"/>
  <c r="K88" i="14"/>
  <c r="I28" i="7"/>
  <c r="I105" i="7"/>
  <c r="K91" i="14"/>
  <c r="J21" i="7"/>
  <c r="J15" i="7"/>
  <c r="J124" i="7"/>
  <c r="J119" i="7"/>
  <c r="E48" i="14"/>
  <c r="K75" i="14"/>
  <c r="H143" i="7"/>
  <c r="E116" i="14"/>
  <c r="H135" i="7"/>
  <c r="E108" i="14"/>
  <c r="E55" i="14"/>
  <c r="H69" i="7"/>
  <c r="H57" i="7"/>
  <c r="E43" i="14"/>
  <c r="K97" i="14"/>
  <c r="I111" i="7"/>
  <c r="I81" i="7"/>
  <c r="K67" i="14"/>
  <c r="K64" i="14"/>
  <c r="I78" i="7"/>
  <c r="I70" i="7"/>
  <c r="K56" i="14"/>
  <c r="K48" i="14"/>
  <c r="I62" i="7"/>
  <c r="I54" i="7"/>
  <c r="K40" i="14"/>
  <c r="I46" i="7"/>
  <c r="K32" i="14"/>
  <c r="I38" i="7"/>
  <c r="K24" i="14"/>
  <c r="J23" i="7"/>
  <c r="J121" i="7"/>
  <c r="J118" i="7"/>
  <c r="J120" i="7"/>
  <c r="J17" i="7"/>
  <c r="J125" i="7"/>
  <c r="H145" i="7"/>
  <c r="E118" i="14"/>
  <c r="H137" i="7"/>
  <c r="E110" i="14"/>
  <c r="H166" i="7"/>
  <c r="H164" i="7"/>
  <c r="H162" i="7"/>
  <c r="H160" i="7"/>
  <c r="H158" i="7"/>
  <c r="H156" i="7"/>
  <c r="I154" i="7"/>
  <c r="I152" i="7"/>
  <c r="K10" i="7" a="1"/>
  <c r="K10" i="7"/>
  <c r="K26" i="7" a="1"/>
  <c r="K26" i="7"/>
  <c r="K76" i="7" a="1"/>
  <c r="K76" i="7"/>
  <c r="K6" i="7" a="1"/>
  <c r="K6" i="7"/>
  <c r="K75" i="7" a="1"/>
  <c r="K75" i="7"/>
  <c r="K19" i="7" a="1"/>
  <c r="K19" i="7"/>
  <c r="K43" i="7" a="1"/>
  <c r="K43" i="7"/>
  <c r="K41" i="7" a="1"/>
  <c r="K41" i="7"/>
  <c r="K11" i="7" a="1"/>
  <c r="K11" i="7"/>
  <c r="L4" i="7" a="1"/>
  <c r="L4" i="7"/>
  <c r="K77" i="7" a="1"/>
  <c r="K77" i="7"/>
  <c r="K7" i="7" a="1"/>
  <c r="K7" i="7"/>
  <c r="L5" i="7" a="1"/>
  <c r="L5" i="7"/>
  <c r="K42" i="7" a="1"/>
  <c r="K42" i="7"/>
  <c r="K20" i="7" a="1"/>
  <c r="K20" i="7"/>
  <c r="K30" i="7" a="1"/>
  <c r="K30" i="7"/>
  <c r="K12" i="7" a="1"/>
  <c r="K12" i="7"/>
  <c r="K44" i="7" a="1"/>
  <c r="K44" i="7"/>
  <c r="K27" i="7" a="1"/>
  <c r="K27" i="7"/>
  <c r="K9" i="7" a="1"/>
  <c r="K9" i="7"/>
  <c r="K23" i="7" a="1"/>
  <c r="K23" i="7"/>
  <c r="K25" i="7" a="1"/>
  <c r="K25" i="7"/>
  <c r="K8" i="7" a="1"/>
  <c r="K8" i="7"/>
  <c r="K31" i="7" a="1"/>
  <c r="K31" i="7"/>
  <c r="K22" i="7" a="1"/>
  <c r="K22" i="7"/>
  <c r="K21" i="7" a="1"/>
  <c r="K21" i="7"/>
  <c r="K24" i="7" a="1"/>
  <c r="K24" i="7"/>
  <c r="K84" i="7" a="1"/>
  <c r="K84" i="7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<sst xmlns="http://schemas.openxmlformats.org/spreadsheetml/2006/main" count="680" uniqueCount="410">
  <si>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</si>
  <si>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</si>
  <si>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</si>
  <si>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</si>
  <si>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</si>
  <si>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</si>
  <si>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</si>
  <si>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</si>
  <si>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</si>
  <si>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</si>
  <si>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</si>
  <si>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</si>
  <si>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</si>
  <si>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</si>
  <si>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</si>
  <si>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</si>
  <si>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</si>
  <si>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</si>
  <si>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</si>
  <si>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</si>
  <si>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</si>
  <si>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</si>
  <si>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</si>
  <si>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</si>
  <si>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</si>
  <si>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</si>
  <si>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</si>
  <si>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</si>
  <si>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</si>
  <si>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</si>
  <si>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</si>
  <si>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</si>
  <si>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</si>
  <si>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</si>
  <si>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</si>
  <si>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</si>
  <si>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</si>
  <si>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</si>
  <si>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</si>
  <si>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</si>
  <si>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</si>
  <si>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</si>
  <si>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</si>
  <si>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</si>
  <si>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</si>
  <si>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</si>
  <si>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</si>
  <si>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</si>
  <si>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</si>
  <si>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</si>
  <si>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</si>
  <si>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</si>
  <si>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</si>
  <si>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</si>
  <si>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</si>
  <si>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</si>
  <si>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</si>
  <si>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</si>
  <si>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</si>
  <si>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</si>
  <si>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</si>
  <si>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</si>
  <si>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</si>
  <si>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</si>
  <si>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</si>
  <si>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</si>
  <si>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</si>
  <si>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</si>
  <si>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</si>
  <si>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</si>
  <si>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</si>
  <si>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</si>
  <si>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</si>
  <si>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</si>
  <si>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</si>
  <si>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</si>
  <si>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</si>
  <si>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</si>
  <si>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</si>
  <si>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</si>
  <si>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</si>
  <si>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</si>
  <si>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</si>
  <si>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</si>
  <si>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</si>
  <si>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</si>
  <si>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</si>
  <si>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</si>
  <si>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</si>
  <si>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</si>
  <si>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</si>
  <si>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</si>
  <si>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</si>
  <si>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</si>
  <si>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</si>
  <si>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</si>
  <si>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</si>
  <si>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</si>
  <si>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</si>
  <si>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</si>
  <si>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</si>
  <si>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</si>
  <si>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</si>
  <si>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</si>
  <si>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</si>
  <si>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</si>
  <si>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</si>
  <si>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</si>
  <si>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</si>
  <si>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</si>
  <si>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</si>
  <si>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</si>
  <si>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</si>
  <si>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</si>
  <si>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</si>
  <si>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</si>
  <si>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</si>
  <si>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</si>
  <si>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</si>
  <si>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</si>
  <si>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</si>
  <si>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</si>
  <si>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</si>
  <si>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</si>
  <si>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</si>
  <si>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</si>
  <si>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</si>
  <si>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</si>
  <si>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</si>
  <si>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</si>
  <si>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</si>
  <si>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</si>
  <si>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</si>
  <si>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</si>
  <si>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</si>
  <si>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</si>
  <si>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</si>
  <si>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</si>
  <si>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</si>
  <si>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</si>
  <si>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</si>
  <si>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</si>
  <si>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</si>
  <si>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</si>
  <si>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</si>
  <si>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</si>
  <si>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</si>
  <si>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</si>
  <si>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</si>
  <si>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</si>
  <si>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</si>
  <si>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</si>
  <si>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</si>
  <si>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</si>
  <si>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</si>
  <si>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</si>
  <si>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</si>
  <si>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</si>
  <si>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</si>
  <si>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</si>
  <si>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</si>
  <si>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</si>
  <si>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</si>
  <si>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</si>
  <si>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</si>
  <si>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</si>
  <si>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</si>
  <si>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</si>
  <si>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</si>
  <si>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</si>
  <si>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</si>
  <si>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</si>
  <si>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</si>
  <si>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</si>
  <si>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</si>
  <si>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</si>
  <si>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</si>
  <si>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</si>
  <si>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</si>
  <si>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</si>
  <si>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</si>
  <si>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</si>
  <si>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</si>
  <si>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</si>
  <si>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</si>
  <si>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</si>
  <si>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</si>
  <si>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</si>
  <si>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</si>
  <si>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</si>
  <si>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</si>
  <si>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</si>
  <si>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</si>
  <si>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</si>
  <si>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</si>
  <si>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</si>
  <si>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</si>
  <si>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</si>
  <si>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</si>
  <si>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</si>
  <si>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</si>
  <si>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</si>
  <si>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</si>
  <si>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</si>
  <si>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</si>
  <si>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</si>
  <si>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</si>
  <si>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</si>
  <si>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</si>
  <si>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</si>
  <si>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</si>
  <si>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</si>
  <si>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</si>
  <si>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</si>
  <si>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</si>
  <si>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</si>
  <si>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</si>
  <si>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</si>
  <si>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</si>
  <si>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</si>
  <si>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</si>
  <si>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</si>
  <si>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</si>
  <si>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</si>
  <si>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</si>
  <si>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</si>
  <si>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</si>
  <si>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</si>
  <si>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</si>
  <si>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</si>
  <si>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</si>
  <si>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</si>
  <si>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</si>
  <si>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</si>
  <si>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</si>
  <si>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</si>
  <si>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</si>
  <si>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</si>
  <si>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</si>
  <si>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</si>
  <si>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</si>
  <si>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</si>
  <si>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</si>
  <si>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</si>
  <si>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</si>
  <si>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</si>
  <si>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</si>
  <si>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</si>
  <si>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</si>
  <si>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1,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</si>
  <si>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</si>
  <si>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</si>
  <si>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</si>
  <si>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</si>
  <si>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</si>
  <si>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</si>
  <si>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</si>
  <si>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</si>
  <si>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</si>
  <si>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</si>
  <si>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</si>
  <si>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</si>
  <si>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</si>
  <si>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</si>
  <si>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</si>
  <si>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</si>
  <si>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</si>
  <si>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</si>
  <si>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</si>
  <si>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</si>
  <si>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0.5,455,1,240,1.5,155,2,150</t>
    <phoneticPr fontId="1" type="noConversion"/>
  </si>
  <si>
    <t>0.1,527,0,0,0,0,2,473</t>
    <phoneticPr fontId="1" type="noConversion"/>
  </si>
  <si>
    <t>fish_yutu_random_2</t>
    <phoneticPr fontId="1" type="noConversion"/>
  </si>
  <si>
    <t>黄金龙</t>
    <phoneticPr fontId="1" type="noConversion"/>
  </si>
  <si>
    <t>121,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</si>
  <si>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</si>
  <si>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</si>
  <si>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</si>
  <si>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</si>
  <si>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</si>
  <si>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</si>
  <si>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</si>
  <si>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</si>
  <si>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</si>
  <si>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</si>
  <si>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</si>
  <si>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</si>
  <si>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</si>
  <si>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</si>
  <si>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box_fish_activity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</si>
  <si>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</si>
  <si>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</si>
  <si>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</si>
  <si>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</si>
  <si>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60,10,10</t>
    <phoneticPr fontId="1" type="noConversion"/>
  </si>
  <si>
    <t>贝壳鱼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</si>
  <si>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</si>
  <si>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</si>
  <si>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</si>
  <si>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</si>
  <si>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</si>
  <si>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</si>
  <si>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</si>
  <si>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</si>
  <si>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</si>
  <si>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</si>
  <si>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</si>
  <si>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</si>
  <si>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</si>
  <si>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</si>
  <si>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guding</t>
    <phoneticPr fontId="1" type="noConversion"/>
  </si>
  <si>
    <t>guding</t>
    <phoneticPr fontId="1" type="noConversion"/>
  </si>
  <si>
    <t>fish_yutu_gd_1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</si>
  <si>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</si>
  <si>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</si>
  <si>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</si>
  <si>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</si>
  <si>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</si>
  <si>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</si>
  <si>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</si>
  <si>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</si>
  <si>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</si>
  <si>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</si>
  <si>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</si>
  <si>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</si>
  <si>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</si>
  <si>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</si>
  <si>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</si>
  <si>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</si>
  <si>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</si>
  <si>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</si>
  <si>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</si>
  <si>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</si>
  <si>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</si>
  <si>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</si>
  <si>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</si>
  <si>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</si>
  <si>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</si>
  <si>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胖胖鱼</t>
    <phoneticPr fontId="1" type="noConversion"/>
  </si>
  <si>
    <t>胖胖鱼</t>
    <phoneticPr fontId="1" type="noConversion"/>
  </si>
  <si>
    <t>123,</t>
    <phoneticPr fontId="1" type="noConversion"/>
  </si>
  <si>
    <t>broadcast|广播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</si>
  <si>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</si>
  <si>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</si>
  <si>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</si>
  <si>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</si>
  <si>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</si>
  <si>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124,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</si>
  <si>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</si>
  <si>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</si>
  <si>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</si>
  <si>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</si>
  <si>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</si>
  <si>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</si>
  <si>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</si>
  <si>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</si>
  <si>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</si>
  <si>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</si>
  <si>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</si>
  <si>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</si>
  <si>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</si>
  <si>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</si>
  <si>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</si>
  <si>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</si>
  <si>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28,29,30,31,32,</t>
    <phoneticPr fontId="1" type="noConversion"/>
  </si>
  <si>
    <t>150,</t>
    <phoneticPr fontId="1" type="noConversion"/>
  </si>
  <si>
    <t>20,40,140,</t>
    <phoneticPr fontId="1" type="noConversion"/>
  </si>
  <si>
    <t>10,30,160,</t>
  </si>
  <si>
    <t>10,30,160,</t>
    <phoneticPr fontId="1" type="noConversion"/>
  </si>
  <si>
    <t>0.05,0.025,0.007143</t>
    <phoneticPr fontId="1" type="noConversion"/>
  </si>
  <si>
    <t>20,40,140,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</si>
  <si>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</si>
  <si>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</si>
  <si>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</si>
  <si>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财神</t>
    <phoneticPr fontId="1" type="noConversion"/>
  </si>
  <si>
    <t>141,</t>
  </si>
  <si>
    <t>财神</t>
    <phoneticPr fontId="1" type="noConversion"/>
  </si>
  <si>
    <t>142,</t>
  </si>
  <si>
    <t>0,50</t>
    <phoneticPr fontId="1" type="noConversion"/>
  </si>
  <si>
    <t>100,150</t>
    <phoneticPr fontId="1" type="noConversion"/>
  </si>
  <si>
    <t>200,250</t>
    <phoneticPr fontId="1" type="noConversion"/>
  </si>
  <si>
    <t>143,</t>
  </si>
  <si>
    <t>144,</t>
  </si>
  <si>
    <t>300,450</t>
    <phoneticPr fontId="1" type="noConversion"/>
  </si>
  <si>
    <t>固定原子彈</t>
    <phoneticPr fontId="1" type="noConversion"/>
  </si>
  <si>
    <t>固定超級原子彈</t>
    <phoneticPr fontId="1" type="noConversion"/>
  </si>
  <si>
    <t>顶级全屏炸弹</t>
    <phoneticPr fontId="1" type="noConversion"/>
  </si>
  <si>
    <t>次级全屏炸弹</t>
    <phoneticPr fontId="1" type="noConversion"/>
  </si>
  <si>
    <t>ID</t>
    <phoneticPr fontId="1" type="noConversion"/>
  </si>
  <si>
    <t>1,190,</t>
    <phoneticPr fontId="1" type="noConversion"/>
  </si>
  <si>
    <t>1,475,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</si>
  <si>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</si>
  <si>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</si>
  <si>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</si>
  <si>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</si>
  <si>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</si>
  <si>
    <t>星星鱼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</si>
  <si>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</si>
  <si>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</si>
  <si>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</si>
  <si>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</si>
  <si>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</si>
  <si>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</si>
  <si>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</si>
  <si>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</si>
  <si>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</si>
  <si>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</si>
  <si>
    <t>tax</t>
    <phoneticPr fontId="1" type="noConversion"/>
  </si>
  <si>
    <t>"prop_031_aster",0,0.005,</t>
    <phoneticPr fontId="1" type="noConversion"/>
  </si>
  <si>
    <t>"prop_031_aster",0,0.05,0.1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</si>
</sst>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1" sqref="B1:B104857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30</v>
      </c>
      <c r="B1" s="1" t="s">
        <v>407</v>
      </c>
      <c r="C1" s="1" t="s">
        <v>31</v>
      </c>
      <c r="D1" s="1" t="s">
        <v>32</v>
      </c>
      <c r="E1" s="1" t="s">
        <v>238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239</v>
      </c>
      <c r="B1" s="2" t="s">
        <v>240</v>
      </c>
      <c r="C1" s="2" t="s">
        <v>241</v>
      </c>
      <c r="D1" s="2" t="s">
        <v>242</v>
      </c>
      <c r="E1" s="2" t="s">
        <v>243</v>
      </c>
      <c r="F1" s="2" t="s">
        <v>244</v>
      </c>
      <c r="G1" s="2" t="s">
        <v>245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24</v>
      </c>
      <c r="B1" s="1" t="s">
        <v>33</v>
      </c>
      <c r="C1" s="1" t="s">
        <v>34</v>
      </c>
      <c r="D1" s="1" t="s">
        <v>35</v>
      </c>
      <c r="E1" s="1" t="s">
        <v>36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"/>
  <sheetViews>
    <sheetView zoomScaleNormal="100" workbookViewId="0">
      <selection activeCell="C8" sqref="C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24</v>
      </c>
      <c r="B1" s="1" t="s">
        <v>298</v>
      </c>
      <c r="C1" s="1" t="s">
        <v>302</v>
      </c>
      <c r="D1" s="1" t="s">
        <v>303</v>
      </c>
      <c r="E1" s="1" t="s">
        <v>314</v>
      </c>
      <c r="F1" s="1" t="s">
        <v>316</v>
      </c>
      <c r="G1" s="1" t="s">
        <v>313</v>
      </c>
    </row>
    <row r="2" spans="1:7" x14ac:dyDescent="0.2">
      <c r="A2" s="2">
        <v>1</v>
      </c>
      <c r="B2" s="2" t="s">
        <v>307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309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C11" sqref="C11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24</v>
      </c>
      <c r="B1" s="1" t="s">
        <v>296</v>
      </c>
      <c r="C1" s="1" t="s">
        <v>297</v>
      </c>
      <c r="D1" s="1" t="s">
        <v>299</v>
      </c>
      <c r="E1" s="1" t="s">
        <v>300</v>
      </c>
      <c r="F1" s="1" t="s">
        <v>301</v>
      </c>
      <c r="G1" s="1" t="s">
        <v>302</v>
      </c>
      <c r="H1" s="1" t="s">
        <v>304</v>
      </c>
      <c r="I1" s="1" t="s">
        <v>305</v>
      </c>
      <c r="J1" s="1" t="s">
        <v>315</v>
      </c>
      <c r="K1" s="1" t="s">
        <v>306</v>
      </c>
      <c r="L1" s="1"/>
    </row>
    <row r="2" spans="1:12" x14ac:dyDescent="0.2">
      <c r="A2" s="2">
        <v>1</v>
      </c>
      <c r="B2" s="2" t="s">
        <v>272</v>
      </c>
      <c r="C2" s="2">
        <v>1</v>
      </c>
      <c r="D2" t="s">
        <v>307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308</v>
      </c>
      <c r="C3" s="2">
        <v>1</v>
      </c>
      <c r="D3" t="s">
        <v>310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308</v>
      </c>
      <c r="C4" s="2">
        <v>2</v>
      </c>
      <c r="D4" t="s">
        <v>309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308</v>
      </c>
      <c r="C5" s="2">
        <v>3</v>
      </c>
      <c r="D5" t="s">
        <v>310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308</v>
      </c>
      <c r="C6" s="2">
        <v>4</v>
      </c>
      <c r="D6" t="s">
        <v>309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308</v>
      </c>
      <c r="C7" s="2">
        <v>5</v>
      </c>
      <c r="D7" t="s">
        <v>309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308</v>
      </c>
      <c r="C8" s="2">
        <v>6</v>
      </c>
      <c r="D8" t="s">
        <v>311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312</v>
      </c>
      <c r="C9" s="2">
        <v>7</v>
      </c>
      <c r="D9" t="s">
        <v>310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308</v>
      </c>
      <c r="C10" s="2">
        <v>8</v>
      </c>
      <c r="D10" t="s">
        <v>309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 s="2">
        <v>10</v>
      </c>
      <c r="B11" s="2" t="s">
        <v>308</v>
      </c>
      <c r="C11" s="2">
        <v>11</v>
      </c>
      <c r="D11" t="s">
        <v>309</v>
      </c>
      <c r="E11" s="2">
        <v>800</v>
      </c>
      <c r="F11" s="2">
        <v>800</v>
      </c>
      <c r="G11" s="2">
        <v>0</v>
      </c>
      <c r="H11" s="2">
        <v>9999999</v>
      </c>
      <c r="I11" s="2">
        <v>9999999</v>
      </c>
      <c r="J11" s="2">
        <v>1</v>
      </c>
      <c r="K11" s="2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83"/>
  <sheetViews>
    <sheetView workbookViewId="0">
      <pane ySplit="1" topLeftCell="A164" activePane="bottomLeft" state="frozen"/>
      <selection pane="bottomLeft" activeCell="E170" sqref="E170"/>
    </sheetView>
  </sheetViews>
  <sheetFormatPr defaultColWidth="8.62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35.25" customHeight="1" x14ac:dyDescent="0.2">
      <c r="A1" s="1" t="s">
        <v>14</v>
      </c>
      <c r="B1" s="1" t="s">
        <v>50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281</v>
      </c>
      <c r="I1" s="1" t="s">
        <v>287</v>
      </c>
      <c r="J1" s="10" t="s">
        <v>285</v>
      </c>
      <c r="K1" s="1" t="s">
        <v>248</v>
      </c>
      <c r="L1" s="1" t="s">
        <v>63</v>
      </c>
      <c r="Q1" s="1" t="s">
        <v>168</v>
      </c>
      <c r="R1" s="1" t="s">
        <v>168</v>
      </c>
      <c r="S1" s="1" t="s">
        <v>168</v>
      </c>
      <c r="T1" s="1" t="s">
        <v>168</v>
      </c>
      <c r="U1" s="1" t="s">
        <v>168</v>
      </c>
      <c r="V1" s="1" t="s">
        <v>168</v>
      </c>
      <c r="W1" s="1" t="s">
        <v>168</v>
      </c>
    </row>
    <row r="2" spans="1:23" x14ac:dyDescent="0.2">
      <c r="A2">
        <v>1</v>
      </c>
      <c r="B2">
        <v>1</v>
      </c>
      <c r="C2" t="s">
        <v>48</v>
      </c>
      <c r="D2" t="s">
        <v>174</v>
      </c>
      <c r="E2" t="s">
        <v>209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194</v>
      </c>
      <c r="Q2">
        <v>1</v>
      </c>
    </row>
    <row r="3" spans="1:23" x14ac:dyDescent="0.2">
      <c r="A3">
        <v>2</v>
      </c>
      <c r="B3">
        <v>1</v>
      </c>
      <c r="C3" t="s">
        <v>48</v>
      </c>
      <c r="D3" t="s">
        <v>175</v>
      </c>
      <c r="E3" t="s">
        <v>209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288</v>
      </c>
      <c r="Q3">
        <v>1</v>
      </c>
    </row>
    <row r="4" spans="1:23" x14ac:dyDescent="0.2">
      <c r="A4">
        <v>3</v>
      </c>
      <c r="B4">
        <v>1</v>
      </c>
      <c r="C4" t="s">
        <v>64</v>
      </c>
      <c r="D4" t="s">
        <v>176</v>
      </c>
      <c r="E4" t="s">
        <v>209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107</v>
      </c>
      <c r="Q4">
        <v>2</v>
      </c>
    </row>
    <row r="5" spans="1:23" x14ac:dyDescent="0.2">
      <c r="A5">
        <v>4</v>
      </c>
      <c r="B5">
        <v>1</v>
      </c>
      <c r="C5" t="s">
        <v>64</v>
      </c>
      <c r="D5" t="s">
        <v>188</v>
      </c>
      <c r="E5" t="s">
        <v>209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115</v>
      </c>
      <c r="Q5">
        <v>2</v>
      </c>
    </row>
    <row r="6" spans="1:23" x14ac:dyDescent="0.2">
      <c r="A6">
        <v>5</v>
      </c>
      <c r="B6">
        <v>1</v>
      </c>
      <c r="C6" t="s">
        <v>49</v>
      </c>
      <c r="E6" t="s">
        <v>209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K6" t="str">
        <f t="array" ref="K6">INDEX(use_fish!A:A,SMALL(IF(group!$L$2&amp;IF(ISBLANK($L$3),$L$3,"+"&amp;$L$3)=use_fish!G:G,ROW(use_fish!G:G),4^8),ROW(3:3)))&amp;""</f>
        <v>155</v>
      </c>
      <c r="Q6">
        <v>3</v>
      </c>
    </row>
    <row r="7" spans="1:23" x14ac:dyDescent="0.2">
      <c r="A7">
        <v>6</v>
      </c>
      <c r="B7">
        <v>1</v>
      </c>
      <c r="C7" t="s">
        <v>65</v>
      </c>
      <c r="D7" t="s">
        <v>177</v>
      </c>
      <c r="E7" t="s">
        <v>209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K7" t="str">
        <f t="array" ref="K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48</v>
      </c>
      <c r="D8" t="s">
        <v>178</v>
      </c>
      <c r="E8" t="s">
        <v>209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K8" t="str">
        <f t="array" ref="K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48</v>
      </c>
      <c r="D9" t="s">
        <v>175</v>
      </c>
      <c r="E9" t="s">
        <v>209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K9" t="str">
        <f t="array" ref="K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64</v>
      </c>
      <c r="D10" t="s">
        <v>179</v>
      </c>
      <c r="E10" t="s">
        <v>209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K10" t="str">
        <f t="array" ref="K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64</v>
      </c>
      <c r="D11" t="s">
        <v>180</v>
      </c>
      <c r="E11" t="s">
        <v>209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K11" t="str">
        <f t="array" ref="K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49</v>
      </c>
      <c r="D12" t="s">
        <v>176</v>
      </c>
      <c r="E12" t="s">
        <v>209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K12" t="str">
        <f t="array" ref="K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66</v>
      </c>
      <c r="D13" t="s">
        <v>64</v>
      </c>
      <c r="E13" t="s">
        <v>209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175</v>
      </c>
      <c r="D14" t="s">
        <v>64</v>
      </c>
      <c r="E14" t="s">
        <v>209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51</v>
      </c>
      <c r="D15" t="s">
        <v>64</v>
      </c>
      <c r="E15" t="s">
        <v>209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67</v>
      </c>
      <c r="D16" t="s">
        <v>64</v>
      </c>
      <c r="E16" t="s">
        <v>209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68</v>
      </c>
      <c r="D17" t="s">
        <v>64</v>
      </c>
      <c r="E17" t="s">
        <v>209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69</v>
      </c>
      <c r="D18" t="s">
        <v>64</v>
      </c>
      <c r="E18" t="s">
        <v>209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66</v>
      </c>
      <c r="E19" t="s">
        <v>209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K19" t="str">
        <f t="array" ref="K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189</v>
      </c>
      <c r="E20" t="s">
        <v>209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K20" t="str">
        <f t="array" ref="K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51</v>
      </c>
      <c r="E21" t="s">
        <v>209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K21" t="str">
        <f t="array" ref="K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67</v>
      </c>
      <c r="E22" t="s">
        <v>209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K22" t="str">
        <f t="array" ref="K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68</v>
      </c>
      <c r="E23" t="s">
        <v>209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K23" t="str">
        <f t="array" ref="K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69</v>
      </c>
      <c r="E24" t="s">
        <v>209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K24" t="str">
        <f t="array" ref="K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70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K25" t="str">
        <f t="array" ref="K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71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K26" t="str">
        <f t="array" ref="K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72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K27" t="str">
        <f t="array" ref="K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202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73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74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K30" t="str">
        <f t="array" ref="K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75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K31" t="str">
        <f t="array" ref="K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76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77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78</v>
      </c>
      <c r="E34" t="s">
        <v>209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79</v>
      </c>
      <c r="E35" t="s">
        <v>209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80</v>
      </c>
      <c r="E36" t="s">
        <v>209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81</v>
      </c>
      <c r="E37" t="s">
        <v>209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82</v>
      </c>
      <c r="E38" t="s">
        <v>209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83</v>
      </c>
      <c r="E39" t="s">
        <v>209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84</v>
      </c>
      <c r="E40" t="s">
        <v>209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85</v>
      </c>
      <c r="E41" t="s">
        <v>209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K41" t="str">
        <f t="array" ref="K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86</v>
      </c>
      <c r="E42" t="s">
        <v>209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K42" t="str">
        <f t="array" ref="K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87</v>
      </c>
      <c r="E43" t="s">
        <v>209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K43" t="str">
        <f t="array" ref="K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88</v>
      </c>
      <c r="E44" t="s">
        <v>209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K44" t="str">
        <f t="array" ref="K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89</v>
      </c>
      <c r="E45" t="s">
        <v>209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90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91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92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93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94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95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96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97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98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99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100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101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102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103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104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105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106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107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108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109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110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111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112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113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114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115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116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117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118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119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K75" t="str">
        <f t="array" ref="K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120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K76" t="str">
        <f t="array" ref="K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121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K77" t="str">
        <f t="array" ref="K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122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123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124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125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126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127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128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K84" t="str">
        <f t="array" ref="K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129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130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131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132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133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134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135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136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137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138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139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140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141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142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143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144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145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146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147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148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149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150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151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152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153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154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155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156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157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158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159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160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203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204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205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206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207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208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161</v>
      </c>
      <c r="G123" t="s">
        <v>162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214</v>
      </c>
      <c r="G124" t="s">
        <v>163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215</v>
      </c>
      <c r="G125" t="s">
        <v>164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216</v>
      </c>
      <c r="G126" t="s">
        <v>165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217</v>
      </c>
      <c r="G127" t="s">
        <v>164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218</v>
      </c>
      <c r="G128" t="s">
        <v>166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219</v>
      </c>
      <c r="G129" t="s">
        <v>167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222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223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224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225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226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227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228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229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230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231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232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233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234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235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236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237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267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249</v>
      </c>
      <c r="Q146">
        <v>118</v>
      </c>
    </row>
    <row r="147" spans="1:17" x14ac:dyDescent="0.2">
      <c r="A147">
        <v>146</v>
      </c>
      <c r="B147">
        <v>1</v>
      </c>
      <c r="C147" t="s">
        <v>268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48</v>
      </c>
      <c r="Q147">
        <v>119</v>
      </c>
    </row>
    <row r="148" spans="1:17" x14ac:dyDescent="0.2">
      <c r="A148">
        <v>147</v>
      </c>
      <c r="B148">
        <v>1</v>
      </c>
      <c r="C148" t="s">
        <v>269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48</v>
      </c>
      <c r="Q148">
        <v>120</v>
      </c>
    </row>
    <row r="149" spans="1:17" x14ac:dyDescent="0.2">
      <c r="A149">
        <v>148</v>
      </c>
      <c r="B149">
        <v>1</v>
      </c>
      <c r="C149" t="s">
        <v>274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340</v>
      </c>
      <c r="H150" s="2" t="s">
        <v>370</v>
      </c>
      <c r="I150" s="2" t="s">
        <v>367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347</v>
      </c>
      <c r="E151" t="s">
        <v>365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348</v>
      </c>
      <c r="E152" t="s">
        <v>365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349</v>
      </c>
      <c r="E153" t="s">
        <v>365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350</v>
      </c>
      <c r="E154" t="s">
        <v>365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351</v>
      </c>
      <c r="E155" t="s">
        <v>365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352</v>
      </c>
      <c r="E156" t="s">
        <v>365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353</v>
      </c>
      <c r="E157" t="s">
        <v>365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354</v>
      </c>
      <c r="E158" t="s">
        <v>365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355</v>
      </c>
      <c r="E159" t="s">
        <v>365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356</v>
      </c>
      <c r="E160" t="s">
        <v>365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357</v>
      </c>
      <c r="E161" t="s">
        <v>365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358</v>
      </c>
      <c r="E162" t="s">
        <v>365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359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360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361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362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363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375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377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381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382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392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393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394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395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399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_xlfn.IFNA(LOOKUP(W176,use_fish!A:A,use_fish!J:J),0),)</f>
        <v>0</v>
      </c>
      <c r="Q176" s="15">
        <v>149</v>
      </c>
    </row>
    <row r="177" spans="1:17" x14ac:dyDescent="0.2">
      <c r="A177">
        <v>176</v>
      </c>
      <c r="B177">
        <v>1</v>
      </c>
      <c r="C177" t="s">
        <v>400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_xlfn.IFNA(LOOKUP(W177,use_fish!A:A,use_fish!J:J),0),)</f>
        <v>0</v>
      </c>
      <c r="Q177" s="15">
        <v>150</v>
      </c>
    </row>
    <row r="178" spans="1:17" x14ac:dyDescent="0.2">
      <c r="A178">
        <v>177</v>
      </c>
      <c r="B178">
        <v>1</v>
      </c>
      <c r="C178" t="s">
        <v>401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_xlfn.IFNA(LOOKUP(W178,use_fish!A:A,use_fish!J:J),0),)</f>
        <v>0</v>
      </c>
      <c r="Q178" s="15">
        <v>151</v>
      </c>
    </row>
    <row r="179" spans="1:17" x14ac:dyDescent="0.2">
      <c r="A179">
        <v>178</v>
      </c>
      <c r="B179">
        <v>1</v>
      </c>
      <c r="C179" t="s">
        <v>402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_xlfn.IFNA(LOOKUP(W179,use_fish!A:A,use_fish!J:J),0),)</f>
        <v>0</v>
      </c>
      <c r="Q179" s="15">
        <v>152</v>
      </c>
    </row>
    <row r="180" spans="1:17" x14ac:dyDescent="0.2">
      <c r="A180">
        <v>179</v>
      </c>
      <c r="B180">
        <v>1</v>
      </c>
      <c r="C180" t="s">
        <v>403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_xlfn.IFNA(LOOKUP(W180,use_fish!A:A,use_fish!J:J),0),)</f>
        <v>0</v>
      </c>
      <c r="Q180" s="15">
        <v>153</v>
      </c>
    </row>
    <row r="181" spans="1:17" x14ac:dyDescent="0.2">
      <c r="A181">
        <v>180</v>
      </c>
      <c r="B181">
        <v>1</v>
      </c>
      <c r="C181" t="s">
        <v>404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_xlfn.IFNA(LOOKUP(W181,use_fish!A:A,use_fish!J:J),0),)</f>
        <v>0</v>
      </c>
      <c r="Q181" s="15">
        <v>154</v>
      </c>
    </row>
    <row r="182" spans="1:17" x14ac:dyDescent="0.2">
      <c r="A182">
        <v>181</v>
      </c>
      <c r="B182">
        <v>1</v>
      </c>
      <c r="C182" t="s">
        <v>405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_xlfn.IFNA(LOOKUP(W182,use_fish!A:A,use_fish!J:J),0),)</f>
        <v>0</v>
      </c>
      <c r="Q182" s="15">
        <v>155</v>
      </c>
    </row>
    <row r="183" spans="1:17" x14ac:dyDescent="0.2">
      <c r="A183">
        <v>182</v>
      </c>
      <c r="B183">
        <v>1</v>
      </c>
      <c r="C183" t="s">
        <v>406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_xlfn.IFNA(LOOKUP(W183,use_fish!A:A,use_fish!J:J),0),)</f>
        <v>0</v>
      </c>
      <c r="Q183" s="15">
        <v>156</v>
      </c>
    </row>
  </sheetData>
  <autoFilter ref="I1:I129"/>
  <dataConsolidate/>
  <phoneticPr fontId="1" type="noConversion"/>
  <conditionalFormatting sqref="I184:I1048576 I1:I149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0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4:J1048576 K1 K146:K148 J2:J149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1:J171">
    <cfRule type="iconSet" priority="5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83">
    <cfRule type="iconSet" priority="5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83">
    <cfRule type="iconSet" priority="6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83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activity!$I$2:$I$10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34" activePane="bottomLeft" state="frozen"/>
      <selection pane="bottomLeft" activeCell="J151" sqref="J151:J157"/>
    </sheetView>
  </sheetViews>
  <sheetFormatPr defaultColWidth="8.875"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625" customWidth="1"/>
    <col min="9" max="9" width="19" customWidth="1"/>
    <col min="13" max="13" width="8.75" bestFit="1" customWidth="1"/>
  </cols>
  <sheetData>
    <row r="1" spans="1:13" ht="67.5" x14ac:dyDescent="0.2">
      <c r="A1" s="1" t="s">
        <v>26</v>
      </c>
      <c r="B1" s="1" t="s">
        <v>27</v>
      </c>
      <c r="C1" s="1" t="s">
        <v>21</v>
      </c>
      <c r="D1" s="1" t="s">
        <v>277</v>
      </c>
      <c r="E1" s="1" t="s">
        <v>0</v>
      </c>
      <c r="F1" s="1" t="s">
        <v>29</v>
      </c>
      <c r="G1" s="1" t="s">
        <v>23</v>
      </c>
      <c r="H1" s="9" t="s">
        <v>283</v>
      </c>
      <c r="I1" s="9" t="s">
        <v>278</v>
      </c>
      <c r="J1" s="9" t="s">
        <v>286</v>
      </c>
      <c r="K1" s="9" t="s">
        <v>317</v>
      </c>
      <c r="L1" s="9" t="s">
        <v>318</v>
      </c>
      <c r="M1" s="9" t="s">
        <v>341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LOOKUP(use_fish!B2,base_fish!A:A,base_fish!G:G)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LOOKUP(use_fish!B3,base_fish!A:A,base_fish!G:G)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28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LOOKUP(use_fish!B4,base_fish!A:A,base_fish!G:G)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28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LOOKUP(use_fish!B5,base_fish!A:A,base_fish!G:G)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28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LOOKUP(use_fish!B6,base_fish!A:A,base_fish!G:G)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28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LOOKUP(use_fish!B7,base_fish!A:A,base_fish!G:G)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28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LOOKUP(use_fish!B8,base_fish!A:A,base_fish!G:G)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28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LOOKUP(use_fish!B9,base_fish!A:A,base_fish!G:G)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28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LOOKUP(use_fish!B10,base_fish!A:A,base_fish!G:G)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28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LOOKUP(use_fish!B11,base_fish!A:A,base_fish!G:G)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28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LOOKUP(use_fish!B12,base_fish!A:A,base_fish!G:G)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28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LOOKUP(use_fish!B13,base_fish!A:A,base_fish!G:G)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28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LOOKUP(use_fish!B14,base_fish!A:A,base_fish!G:G)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28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LOOKUP(use_fish!B15,base_fish!A:A,base_fish!G:G)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28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LOOKUP(use_fish!B16,base_fish!A:A,base_fish!G:G)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28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LOOKUP(use_fish!B17,base_fish!A:A,base_fish!G:G)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28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LOOKUP(use_fish!B18,base_fish!A:A,base_fish!G:G)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28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LOOKUP(use_fish!B19,base_fish!A:A,base_fish!G:G)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36" si="3">1/D20</f>
        <v>1.2048192771084338E-2</v>
      </c>
      <c r="F20" s="2" t="s">
        <v>28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LOOKUP(use_fish!B20,base_fish!A:A,base_fish!G:G)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28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LOOKUP(use_fish!B21,base_fish!A:A,base_fish!G:G)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28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LOOKUP(use_fish!B22,base_fish!A:A,base_fish!G:G)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28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LOOKUP(use_fish!B23,base_fish!A:A,base_fish!G:G)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28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LOOKUP(use_fish!B24,base_fish!A:A,base_fish!G:G)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3"/>
        <v>1.0752688172043012E-2</v>
      </c>
      <c r="F25" s="2" t="s">
        <v>28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LOOKUP(use_fish!B25,base_fish!A:A,base_fish!G:G)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3"/>
        <v>1.0752688172043012E-2</v>
      </c>
      <c r="F26" s="2" t="s">
        <v>28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LOOKUP(use_fish!B26,base_fish!A:A,base_fish!G:G)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3"/>
        <v>1.2500000000000001E-2</v>
      </c>
      <c r="F27" s="2" t="s">
        <v>28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LOOKUP(use_fish!B27,base_fish!A:A,base_fish!G:G)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3"/>
        <v>1.2500000000000001E-2</v>
      </c>
      <c r="F28" s="2" t="s">
        <v>28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LOOKUP(use_fish!B28,base_fish!A:A,base_fish!G:G)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3"/>
        <v>9.0909090909090905E-3</v>
      </c>
      <c r="F29" s="2" t="s">
        <v>28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LOOKUP(use_fish!B29,base_fish!A:A,base_fish!G:G)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3"/>
        <v>9.7087378640776691E-3</v>
      </c>
      <c r="F30" s="2" t="s">
        <v>28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LOOKUP(use_fish!B30,base_fish!A:A,base_fish!G:G)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3"/>
        <v>9.7087378640776691E-3</v>
      </c>
      <c r="F31" s="2" t="s">
        <v>28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LOOKUP(use_fish!B31,base_fish!A:A,base_fish!G:G)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3"/>
        <v>1.1111111111111112E-2</v>
      </c>
      <c r="F32" s="2" t="s">
        <v>28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LOOKUP(use_fish!B32,base_fish!A:A,base_fish!G:G)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3"/>
        <v>1.1111111111111112E-2</v>
      </c>
      <c r="F33" s="2" t="s">
        <v>28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LOOKUP(use_fish!B33,base_fish!A:A,base_fish!G:G)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3"/>
        <v>8.3333333333333332E-3</v>
      </c>
      <c r="F34" s="2" t="s">
        <v>28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LOOKUP(use_fish!B34,base_fish!A:A,base_fish!G:G)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3"/>
        <v>2.5000000000000001E-2</v>
      </c>
      <c r="F35" s="2" t="s">
        <v>28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LOOKUP(use_fish!B35,base_fish!A:A,base_fish!G:G)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3"/>
        <v>2.5000000000000001E-2</v>
      </c>
      <c r="F36" s="2" t="s">
        <v>28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LOOKUP(use_fish!B36,base_fish!A:A,base_fish!G:G)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4">1/D37</f>
        <v>8.8495575221238937E-3</v>
      </c>
      <c r="F37" s="2" t="s">
        <v>28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LOOKUP(use_fish!B37,base_fish!A:A,base_fish!G:G)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4"/>
        <v>8.8495575221238937E-3</v>
      </c>
      <c r="F38" s="2" t="s">
        <v>28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LOOKUP(use_fish!B38,base_fish!A:A,base_fish!G:G)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4"/>
        <v>0.01</v>
      </c>
      <c r="F39" s="2" t="s">
        <v>28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LOOKUP(use_fish!B39,base_fish!A:A,base_fish!G:G)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4"/>
        <v>0.01</v>
      </c>
      <c r="F40" s="2" t="s">
        <v>28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LOOKUP(use_fish!B40,base_fish!A:A,base_fish!G:G)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4"/>
        <v>7.6923076923076927E-3</v>
      </c>
      <c r="F41" s="2" t="s">
        <v>28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LOOKUP(use_fish!B41,base_fish!A:A,base_fish!G:G)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4"/>
        <v>0.02</v>
      </c>
      <c r="F42" s="2" t="s">
        <v>28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LOOKUP(use_fish!B42,base_fish!A:A,base_fish!G:G)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28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LOOKUP(use_fish!B43,base_fish!A:A,base_fish!G:G)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28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LOOKUP(use_fish!B44,base_fish!A:A,base_fish!G:G)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28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LOOKUP(use_fish!B45,base_fish!A:A,base_fish!G:G)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5">1/D46</f>
        <v>8.130081300813009E-3</v>
      </c>
      <c r="F46" s="2" t="s">
        <v>28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LOOKUP(use_fish!B46,base_fish!A:A,base_fish!G:G)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5"/>
        <v>8.130081300813009E-3</v>
      </c>
      <c r="F47" s="2" t="s">
        <v>28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LOOKUP(use_fish!B47,base_fish!A:A,base_fish!G:G)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5"/>
        <v>9.0909090909090905E-3</v>
      </c>
      <c r="F48" s="2" t="s">
        <v>28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LOOKUP(use_fish!B48,base_fish!A:A,base_fish!G:G)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5"/>
        <v>9.0909090909090905E-3</v>
      </c>
      <c r="F49" s="2" t="s">
        <v>28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LOOKUP(use_fish!B49,base_fish!A:A,base_fish!G:G)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5"/>
        <v>7.1428571428571426E-3</v>
      </c>
      <c r="F50" s="2" t="s">
        <v>28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LOOKUP(use_fish!B50,base_fish!A:A,base_fish!G:G)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5"/>
        <v>1.6666666666666666E-2</v>
      </c>
      <c r="F51" s="2" t="s">
        <v>28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LOOKUP(use_fish!B51,base_fish!A:A,base_fish!G:G)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28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LOOKUP(use_fish!B52,base_fish!A:A,base_fish!G:G)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28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LOOKUP(use_fish!B53,base_fish!A:A,base_fish!G:G)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28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LOOKUP(use_fish!B54,base_fish!A:A,base_fish!G:G)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28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LOOKUP(use_fish!B55,base_fish!A:A,base_fish!G:G)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6">1/D56</f>
        <v>7.5187969924812026E-3</v>
      </c>
      <c r="F56" s="2" t="s">
        <v>28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LOOKUP(use_fish!B56,base_fish!A:A,base_fish!G:G)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6"/>
        <v>7.5187969924812026E-3</v>
      </c>
      <c r="F57" s="2" t="s">
        <v>28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LOOKUP(use_fish!B57,base_fish!A:A,base_fish!G:G)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6"/>
        <v>8.3333333333333332E-3</v>
      </c>
      <c r="F58" s="2" t="s">
        <v>28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LOOKUP(use_fish!B58,base_fish!A:A,base_fish!G:G)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6"/>
        <v>8.3333333333333332E-3</v>
      </c>
      <c r="F59" s="2" t="s">
        <v>28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LOOKUP(use_fish!B59,base_fish!A:A,base_fish!G:G)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6"/>
        <v>6.6666666666666671E-3</v>
      </c>
      <c r="F60" s="2" t="s">
        <v>28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LOOKUP(use_fish!B60,base_fish!A:A,base_fish!G:G)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6"/>
        <v>1.4285714285714285E-2</v>
      </c>
      <c r="F61" s="2" t="s">
        <v>28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LOOKUP(use_fish!B61,base_fish!A:A,base_fish!G:G)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6"/>
        <v>1.4285714285714285E-2</v>
      </c>
      <c r="F62" s="2" t="s">
        <v>28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LOOKUP(use_fish!B62,base_fish!A:A,base_fish!G:G)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ref="E63:E72" si="7">1/D63</f>
        <v>1.4285714285714285E-2</v>
      </c>
      <c r="F63" s="2" t="s">
        <v>28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LOOKUP(use_fish!B63,base_fish!A:A,base_fish!G:G)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7"/>
        <v>1.4285714285714285E-2</v>
      </c>
      <c r="F64" s="2" t="s">
        <v>28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LOOKUP(use_fish!B64,base_fish!A:A,base_fish!G:G)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7"/>
        <v>6.1349693251533744E-3</v>
      </c>
      <c r="F65" s="2" t="s">
        <v>28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LOOKUP(use_fish!B65,base_fish!A:A,base_fish!G:G)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7"/>
        <v>6.1349693251533744E-3</v>
      </c>
      <c r="F66" s="2" t="s">
        <v>28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LOOKUP(use_fish!B66,base_fish!A:A,base_fish!G:G)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7"/>
        <v>6.6666666666666671E-3</v>
      </c>
      <c r="F67" s="2" t="s">
        <v>28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LOOKUP(use_fish!B67,base_fish!A:A,base_fish!G:G)</f>
        <v>0</v>
      </c>
      <c r="K67">
        <f t="shared" ref="K67:K122" si="8">H67</f>
        <v>150</v>
      </c>
      <c r="L67">
        <v>1</v>
      </c>
      <c r="M67">
        <f t="shared" ref="M67:M123" si="9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7"/>
        <v>6.6666666666666671E-3</v>
      </c>
      <c r="F68" s="2" t="s">
        <v>28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LOOKUP(use_fish!B68,base_fish!A:A,base_fish!G:G)</f>
        <v>0</v>
      </c>
      <c r="K68">
        <f t="shared" si="8"/>
        <v>150</v>
      </c>
      <c r="L68">
        <v>1</v>
      </c>
      <c r="M68">
        <f t="shared" si="9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7"/>
        <v>5.5555555555555558E-3</v>
      </c>
      <c r="F69" s="2" t="s">
        <v>28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LOOKUP(use_fish!B69,base_fish!A:A,base_fish!G:G)</f>
        <v>0</v>
      </c>
      <c r="K69">
        <f t="shared" si="8"/>
        <v>180</v>
      </c>
      <c r="L69">
        <v>1</v>
      </c>
      <c r="M69">
        <f t="shared" si="9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7"/>
        <v>0.01</v>
      </c>
      <c r="F70" s="2" t="s">
        <v>28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LOOKUP(use_fish!B70,base_fish!A:A,base_fish!G:G)</f>
        <v>0</v>
      </c>
      <c r="K70">
        <f t="shared" si="8"/>
        <v>100</v>
      </c>
      <c r="L70">
        <v>1</v>
      </c>
      <c r="M70">
        <f t="shared" si="9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7"/>
        <v>0.01</v>
      </c>
      <c r="F71" s="2" t="s">
        <v>28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LOOKUP(use_fish!B71,base_fish!A:A,base_fish!G:G)</f>
        <v>0</v>
      </c>
      <c r="K71">
        <f t="shared" si="8"/>
        <v>100</v>
      </c>
      <c r="L71">
        <v>1</v>
      </c>
      <c r="M71">
        <f t="shared" si="9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7"/>
        <v>0.01</v>
      </c>
      <c r="F72" s="2" t="s">
        <v>28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LOOKUP(use_fish!B72,base_fish!A:A,base_fish!G:G)</f>
        <v>0</v>
      </c>
      <c r="K72">
        <f t="shared" si="8"/>
        <v>100</v>
      </c>
      <c r="L72">
        <v>1</v>
      </c>
      <c r="M72">
        <f t="shared" si="9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79" si="10">1/D73</f>
        <v>6.993006993006993E-3</v>
      </c>
      <c r="F73" s="2" t="s">
        <v>28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LOOKUP(use_fish!B73,base_fish!A:A,base_fish!G:G)</f>
        <v>0</v>
      </c>
      <c r="K73">
        <f t="shared" si="8"/>
        <v>143</v>
      </c>
      <c r="L73">
        <v>1</v>
      </c>
      <c r="M73">
        <f t="shared" si="9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0"/>
        <v>6.993006993006993E-3</v>
      </c>
      <c r="F74" s="2" t="s">
        <v>28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LOOKUP(use_fish!B74,base_fish!A:A,base_fish!G:G)</f>
        <v>0</v>
      </c>
      <c r="K74">
        <f t="shared" si="8"/>
        <v>143</v>
      </c>
      <c r="L74">
        <v>1</v>
      </c>
      <c r="M74">
        <f t="shared" si="9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0"/>
        <v>7.6923076923076927E-3</v>
      </c>
      <c r="F75" s="2" t="s">
        <v>28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LOOKUP(use_fish!B75,base_fish!A:A,base_fish!G:G)</f>
        <v>0</v>
      </c>
      <c r="K75">
        <f t="shared" si="8"/>
        <v>130</v>
      </c>
      <c r="L75">
        <v>1</v>
      </c>
      <c r="M75">
        <f t="shared" si="9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0"/>
        <v>7.6923076923076927E-3</v>
      </c>
      <c r="F76" s="2" t="s">
        <v>28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LOOKUP(use_fish!B76,base_fish!A:A,base_fish!G:G)</f>
        <v>0</v>
      </c>
      <c r="K76">
        <f t="shared" si="8"/>
        <v>130</v>
      </c>
      <c r="L76">
        <v>1</v>
      </c>
      <c r="M76">
        <f t="shared" si="9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10"/>
        <v>6.2500000000000003E-3</v>
      </c>
      <c r="F77" s="2" t="s">
        <v>28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LOOKUP(use_fish!B77,base_fish!A:A,base_fish!G:G)</f>
        <v>0</v>
      </c>
      <c r="K77">
        <f t="shared" si="8"/>
        <v>160</v>
      </c>
      <c r="L77">
        <v>1</v>
      </c>
      <c r="M77">
        <f t="shared" si="9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0"/>
        <v>1.2500000000000001E-2</v>
      </c>
      <c r="F78" s="2" t="s">
        <v>28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LOOKUP(use_fish!B78,base_fish!A:A,base_fish!G:G)</f>
        <v>0</v>
      </c>
      <c r="K78">
        <f t="shared" si="8"/>
        <v>80</v>
      </c>
      <c r="L78">
        <v>1</v>
      </c>
      <c r="M78">
        <f t="shared" si="9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0"/>
        <v>1.2500000000000001E-2</v>
      </c>
      <c r="F79" s="2" t="s">
        <v>28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LOOKUP(use_fish!B79,base_fish!A:A,base_fish!G:G)</f>
        <v>0</v>
      </c>
      <c r="K79">
        <f t="shared" si="8"/>
        <v>80</v>
      </c>
      <c r="L79">
        <v>1</v>
      </c>
      <c r="M79">
        <f t="shared" si="9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28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LOOKUP(use_fish!B80,base_fish!A:A,base_fish!G:G)</f>
        <v>0</v>
      </c>
      <c r="K80">
        <f t="shared" si="8"/>
        <v>80</v>
      </c>
      <c r="L80">
        <v>1</v>
      </c>
      <c r="M80">
        <f t="shared" si="9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28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LOOKUP(use_fish!B81,base_fish!A:A,base_fish!G:G)</f>
        <v>0</v>
      </c>
      <c r="K81">
        <f t="shared" si="8"/>
        <v>110</v>
      </c>
      <c r="L81">
        <v>1</v>
      </c>
      <c r="M81">
        <f t="shared" si="9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28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LOOKUP(use_fish!B82,base_fish!A:A,base_fish!G:G)</f>
        <v>0</v>
      </c>
      <c r="K82">
        <f t="shared" si="8"/>
        <v>100</v>
      </c>
      <c r="L82">
        <v>1</v>
      </c>
      <c r="M82">
        <f t="shared" si="9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11">1/D83</f>
        <v>6.1349693251533744E-3</v>
      </c>
      <c r="F83" s="2" t="s">
        <v>28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LOOKUP(use_fish!B83,base_fish!A:A,base_fish!G:G)</f>
        <v>0</v>
      </c>
      <c r="K83">
        <f t="shared" si="8"/>
        <v>163</v>
      </c>
      <c r="L83">
        <v>1</v>
      </c>
      <c r="M83">
        <f t="shared" si="9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1"/>
        <v>6.1349693251533744E-3</v>
      </c>
      <c r="F84" s="2" t="s">
        <v>28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LOOKUP(use_fish!B84,base_fish!A:A,base_fish!G:G)</f>
        <v>0</v>
      </c>
      <c r="K84">
        <f t="shared" si="8"/>
        <v>163</v>
      </c>
      <c r="L84">
        <v>1</v>
      </c>
      <c r="M84">
        <f t="shared" si="9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1"/>
        <v>6.6666666666666671E-3</v>
      </c>
      <c r="F85" s="2" t="s">
        <v>28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LOOKUP(use_fish!B85,base_fish!A:A,base_fish!G:G)</f>
        <v>0</v>
      </c>
      <c r="K85">
        <f t="shared" si="8"/>
        <v>150</v>
      </c>
      <c r="L85">
        <v>1</v>
      </c>
      <c r="M85">
        <f t="shared" si="9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1"/>
        <v>6.6666666666666671E-3</v>
      </c>
      <c r="F86" s="2" t="s">
        <v>28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LOOKUP(use_fish!B86,base_fish!A:A,base_fish!G:G)</f>
        <v>0</v>
      </c>
      <c r="K86">
        <f t="shared" si="8"/>
        <v>150</v>
      </c>
      <c r="L86">
        <v>1</v>
      </c>
      <c r="M86">
        <f t="shared" si="9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11"/>
        <v>5.5555555555555558E-3</v>
      </c>
      <c r="F87" s="2" t="s">
        <v>28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LOOKUP(use_fish!B87,base_fish!A:A,base_fish!G:G)</f>
        <v>0</v>
      </c>
      <c r="K87">
        <f t="shared" si="8"/>
        <v>180</v>
      </c>
      <c r="L87">
        <v>1</v>
      </c>
      <c r="M87">
        <f t="shared" si="9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1"/>
        <v>0.01</v>
      </c>
      <c r="F88" s="2" t="s">
        <v>28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LOOKUP(use_fish!B88,base_fish!A:A,base_fish!G:G)</f>
        <v>0</v>
      </c>
      <c r="K88">
        <f t="shared" si="8"/>
        <v>100</v>
      </c>
      <c r="L88">
        <v>1</v>
      </c>
      <c r="M88">
        <f t="shared" si="9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28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LOOKUP(use_fish!B89,base_fish!A:A,base_fish!G:G)</f>
        <v>0</v>
      </c>
      <c r="K89">
        <f t="shared" si="8"/>
        <v>100</v>
      </c>
      <c r="L89">
        <v>1</v>
      </c>
      <c r="M89">
        <f t="shared" si="9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28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LOOKUP(use_fish!B90,base_fish!A:A,base_fish!G:G)</f>
        <v>0</v>
      </c>
      <c r="K90">
        <f t="shared" si="8"/>
        <v>100</v>
      </c>
      <c r="L90">
        <v>1</v>
      </c>
      <c r="M90">
        <f t="shared" si="9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28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LOOKUP(use_fish!B91,base_fish!A:A,base_fish!G:G)</f>
        <v>0</v>
      </c>
      <c r="K91">
        <f t="shared" si="8"/>
        <v>130</v>
      </c>
      <c r="L91">
        <v>1</v>
      </c>
      <c r="M91">
        <f t="shared" si="9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28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LOOKUP(use_fish!B92,base_fish!A:A,base_fish!G:G)</f>
        <v>0</v>
      </c>
      <c r="K92">
        <f t="shared" si="8"/>
        <v>120</v>
      </c>
      <c r="L92">
        <v>1</v>
      </c>
      <c r="M92">
        <f t="shared" si="9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12">1/D93</f>
        <v>5.4644808743169399E-3</v>
      </c>
      <c r="F93" s="2" t="s">
        <v>28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LOOKUP(use_fish!B93,base_fish!A:A,base_fish!G:G)</f>
        <v>0</v>
      </c>
      <c r="K93">
        <f t="shared" si="8"/>
        <v>183</v>
      </c>
      <c r="L93">
        <v>1</v>
      </c>
      <c r="M93">
        <f t="shared" si="9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2"/>
        <v>5.4644808743169399E-3</v>
      </c>
      <c r="F94" s="2" t="s">
        <v>28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LOOKUP(use_fish!B94,base_fish!A:A,base_fish!G:G)</f>
        <v>0</v>
      </c>
      <c r="K94">
        <f t="shared" si="8"/>
        <v>183</v>
      </c>
      <c r="L94">
        <v>1</v>
      </c>
      <c r="M94">
        <f t="shared" si="9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2"/>
        <v>5.8823529411764705E-3</v>
      </c>
      <c r="F95" s="2" t="s">
        <v>28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LOOKUP(use_fish!B95,base_fish!A:A,base_fish!G:G)</f>
        <v>0</v>
      </c>
      <c r="K95">
        <f t="shared" si="8"/>
        <v>170</v>
      </c>
      <c r="L95">
        <v>1</v>
      </c>
      <c r="M95">
        <f t="shared" si="9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2"/>
        <v>5.8823529411764705E-3</v>
      </c>
      <c r="F96" s="2" t="s">
        <v>28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LOOKUP(use_fish!B96,base_fish!A:A,base_fish!G:G)</f>
        <v>0</v>
      </c>
      <c r="K96">
        <f t="shared" si="8"/>
        <v>170</v>
      </c>
      <c r="L96">
        <v>1</v>
      </c>
      <c r="M96">
        <f t="shared" si="9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2"/>
        <v>5.8823529411764705E-3</v>
      </c>
      <c r="F97" s="2" t="s">
        <v>28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LOOKUP(use_fish!B97,base_fish!A:A,base_fish!G:G)</f>
        <v>0</v>
      </c>
      <c r="K97">
        <f t="shared" si="8"/>
        <v>170</v>
      </c>
      <c r="L97">
        <v>1</v>
      </c>
      <c r="M97">
        <f t="shared" si="9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2"/>
        <v>8.3333333333333332E-3</v>
      </c>
      <c r="F98" s="2" t="s">
        <v>28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LOOKUP(use_fish!B98,base_fish!A:A,base_fish!G:G)</f>
        <v>0</v>
      </c>
      <c r="K98">
        <f t="shared" si="8"/>
        <v>120</v>
      </c>
      <c r="L98">
        <v>1</v>
      </c>
      <c r="M98">
        <f t="shared" si="9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2"/>
        <v>8.3333333333333332E-3</v>
      </c>
      <c r="F99" s="2" t="s">
        <v>28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LOOKUP(use_fish!B99,base_fish!A:A,base_fish!G:G)</f>
        <v>0</v>
      </c>
      <c r="K99">
        <f t="shared" si="8"/>
        <v>120</v>
      </c>
      <c r="L99">
        <v>1</v>
      </c>
      <c r="M99">
        <f t="shared" si="9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28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LOOKUP(use_fish!B100,base_fish!A:A,base_fish!G:G)</f>
        <v>0</v>
      </c>
      <c r="K100">
        <f t="shared" si="8"/>
        <v>120</v>
      </c>
      <c r="L100">
        <v>1</v>
      </c>
      <c r="M100">
        <f t="shared" si="9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28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LOOKUP(use_fish!B101,base_fish!A:A,base_fish!G:G)</f>
        <v>0</v>
      </c>
      <c r="K101">
        <f t="shared" si="8"/>
        <v>150</v>
      </c>
      <c r="L101">
        <v>1</v>
      </c>
      <c r="M101">
        <f t="shared" si="9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28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LOOKUP(use_fish!B102,base_fish!A:A,base_fish!G:G)</f>
        <v>0</v>
      </c>
      <c r="K102">
        <f t="shared" si="8"/>
        <v>140</v>
      </c>
      <c r="L102">
        <v>1</v>
      </c>
      <c r="M102">
        <f t="shared" si="9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2" si="13">1/D103</f>
        <v>0.16666666666666666</v>
      </c>
      <c r="F103" s="2" t="s">
        <v>28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LOOKUP(use_fish!B103,base_fish!A:A,base_fish!G:G)</f>
        <v>0</v>
      </c>
      <c r="K103">
        <f t="shared" si="8"/>
        <v>6</v>
      </c>
      <c r="L103">
        <v>1</v>
      </c>
      <c r="M103">
        <f t="shared" si="9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28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LOOKUP(use_fish!B104,base_fish!A:A,base_fish!G:G)</f>
        <v>0</v>
      </c>
      <c r="K104">
        <f t="shared" si="8"/>
        <v>9</v>
      </c>
      <c r="L104">
        <v>1</v>
      </c>
      <c r="M104">
        <f t="shared" si="9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28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LOOKUP(use_fish!B105,base_fish!A:A,base_fish!G:G)</f>
        <v>0</v>
      </c>
      <c r="K105">
        <f t="shared" si="8"/>
        <v>16</v>
      </c>
      <c r="L105">
        <v>1</v>
      </c>
      <c r="M105">
        <f t="shared" si="9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28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LOOKUP(use_fish!B106,base_fish!A:A,base_fish!G:G)</f>
        <v>0</v>
      </c>
      <c r="K106">
        <f t="shared" si="8"/>
        <v>21</v>
      </c>
      <c r="L106">
        <v>1</v>
      </c>
      <c r="M106">
        <f t="shared" si="9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28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LOOKUP(use_fish!B107,base_fish!A:A,base_fish!G:G)</f>
        <v>0</v>
      </c>
      <c r="K107">
        <f t="shared" si="8"/>
        <v>31</v>
      </c>
      <c r="L107">
        <v>1</v>
      </c>
      <c r="M107">
        <f t="shared" si="9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28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LOOKUP(use_fish!B108,base_fish!A:A,base_fish!G:G)</f>
        <v>0</v>
      </c>
      <c r="K108">
        <f t="shared" si="8"/>
        <v>41</v>
      </c>
      <c r="L108">
        <v>1</v>
      </c>
      <c r="M108">
        <f t="shared" si="9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28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LOOKUP(use_fish!B109,base_fish!A:A,base_fish!G:G)</f>
        <v>0</v>
      </c>
      <c r="K109">
        <f t="shared" si="8"/>
        <v>51</v>
      </c>
      <c r="L109">
        <v>1</v>
      </c>
      <c r="M109">
        <f t="shared" si="9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28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LOOKUP(use_fish!B110,base_fish!A:A,base_fish!G:G)</f>
        <v>0</v>
      </c>
      <c r="K110">
        <f t="shared" si="8"/>
        <v>61</v>
      </c>
      <c r="L110">
        <v>1</v>
      </c>
      <c r="M110">
        <f t="shared" si="9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28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LOOKUP(use_fish!B111,base_fish!A:A,base_fish!G:G)</f>
        <v>0</v>
      </c>
      <c r="K111">
        <f t="shared" si="8"/>
        <v>6</v>
      </c>
      <c r="L111">
        <v>1</v>
      </c>
      <c r="M111">
        <f t="shared" si="9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28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LOOKUP(use_fish!B112,base_fish!A:A,base_fish!G:G)</f>
        <v>0</v>
      </c>
      <c r="K112">
        <f t="shared" si="8"/>
        <v>9</v>
      </c>
      <c r="L112">
        <v>1</v>
      </c>
      <c r="M112">
        <f t="shared" si="9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ref="E113:E118" si="14">1/D113</f>
        <v>6.25E-2</v>
      </c>
      <c r="F113" s="2" t="s">
        <v>28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LOOKUP(use_fish!B113,base_fish!A:A,base_fish!G:G)</f>
        <v>0</v>
      </c>
      <c r="K113">
        <f t="shared" si="8"/>
        <v>16</v>
      </c>
      <c r="L113">
        <v>1</v>
      </c>
      <c r="M113">
        <f t="shared" si="9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4"/>
        <v>4.7619047619047616E-2</v>
      </c>
      <c r="F114" s="2" t="s">
        <v>28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LOOKUP(use_fish!B114,base_fish!A:A,base_fish!G:G)</f>
        <v>0</v>
      </c>
      <c r="K114">
        <f t="shared" si="8"/>
        <v>21</v>
      </c>
      <c r="L114">
        <v>1</v>
      </c>
      <c r="M114">
        <f t="shared" si="9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4"/>
        <v>3.2258064516129031E-2</v>
      </c>
      <c r="F115" s="2" t="s">
        <v>28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LOOKUP(use_fish!B115,base_fish!A:A,base_fish!G:G)</f>
        <v>0</v>
      </c>
      <c r="K115">
        <f t="shared" si="8"/>
        <v>31</v>
      </c>
      <c r="L115">
        <v>1</v>
      </c>
      <c r="M115">
        <f t="shared" si="9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4"/>
        <v>2.4390243902439025E-2</v>
      </c>
      <c r="F116" s="2" t="s">
        <v>28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LOOKUP(use_fish!B116,base_fish!A:A,base_fish!G:G)</f>
        <v>0</v>
      </c>
      <c r="K116">
        <f>H116</f>
        <v>41</v>
      </c>
      <c r="L116">
        <v>1</v>
      </c>
      <c r="M116">
        <f t="shared" si="9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4"/>
        <v>1.9607843137254902E-2</v>
      </c>
      <c r="F117" s="2" t="s">
        <v>28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LOOKUP(use_fish!B117,base_fish!A:A,base_fish!G:G)</f>
        <v>0</v>
      </c>
      <c r="K117">
        <f t="shared" si="8"/>
        <v>51</v>
      </c>
      <c r="L117">
        <v>1</v>
      </c>
      <c r="M117">
        <f t="shared" si="9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4"/>
        <v>1.6393442622950821E-2</v>
      </c>
      <c r="F118" s="2" t="s">
        <v>28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LOOKUP(use_fish!B118,base_fish!A:A,base_fish!G:G)</f>
        <v>0</v>
      </c>
      <c r="K118">
        <f t="shared" si="8"/>
        <v>61</v>
      </c>
      <c r="L118">
        <v>1</v>
      </c>
      <c r="M118">
        <f t="shared" si="9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f t="shared" ref="E119:E122" si="15">1/D119</f>
        <v>1.9999999999999999E-6</v>
      </c>
      <c r="F119" s="2" t="s">
        <v>289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v>0</v>
      </c>
      <c r="I119">
        <v>3</v>
      </c>
      <c r="J119">
        <f>LOOKUP(use_fish!B119,base_fish!A:A,base_fish!G:G)</f>
        <v>0</v>
      </c>
      <c r="K119">
        <f t="shared" si="8"/>
        <v>0</v>
      </c>
      <c r="L119">
        <v>1</v>
      </c>
      <c r="M119">
        <f t="shared" si="9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f t="shared" si="15"/>
        <v>1.9999999999999999E-7</v>
      </c>
      <c r="F120" s="2" t="s">
        <v>289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v>0</v>
      </c>
      <c r="I120">
        <v>3</v>
      </c>
      <c r="J120">
        <f>LOOKUP(use_fish!B120,base_fish!A:A,base_fish!G:G)</f>
        <v>0</v>
      </c>
      <c r="K120">
        <f t="shared" si="8"/>
        <v>0</v>
      </c>
      <c r="L120">
        <v>1</v>
      </c>
      <c r="M120">
        <f t="shared" si="9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f t="shared" si="15"/>
        <v>2E-8</v>
      </c>
      <c r="F121" s="2" t="s">
        <v>289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v>0</v>
      </c>
      <c r="I121">
        <v>3</v>
      </c>
      <c r="J121">
        <f>LOOKUP(use_fish!B121,base_fish!A:A,base_fish!G:G)</f>
        <v>0</v>
      </c>
      <c r="K121">
        <f t="shared" si="8"/>
        <v>0</v>
      </c>
      <c r="L121">
        <v>1</v>
      </c>
      <c r="M121">
        <f t="shared" si="9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5"/>
        <v>2E-3</v>
      </c>
      <c r="F122" s="2" t="s">
        <v>28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LOOKUP(use_fish!B122,base_fish!A:A,base_fish!G:G)</f>
        <v>0</v>
      </c>
      <c r="K122">
        <f t="shared" si="8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28</v>
      </c>
      <c r="G123" t="s">
        <v>295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9"/>
        <v>0</v>
      </c>
    </row>
    <row r="124" spans="1:13" x14ac:dyDescent="0.2">
      <c r="A124" s="3">
        <v>123</v>
      </c>
      <c r="B124" s="3">
        <v>28</v>
      </c>
      <c r="C124" s="3"/>
      <c r="D124" s="2" t="s">
        <v>366</v>
      </c>
      <c r="E124" s="2" t="s">
        <v>369</v>
      </c>
      <c r="F124" s="2" t="s">
        <v>28</v>
      </c>
      <c r="G124" t="s">
        <v>339</v>
      </c>
      <c r="H124" s="2" t="s">
        <v>368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36" si="16">1/D125</f>
        <v>6.6225165562913907E-3</v>
      </c>
      <c r="F125" s="2" t="s">
        <v>28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LOOKUP(use_fish!B125,base_fish!A:A,base_fish!G:G)</f>
        <v>0</v>
      </c>
      <c r="K125">
        <f t="shared" ref="K125:K136" si="17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6"/>
        <v>5.0000000000000001E-3</v>
      </c>
      <c r="F126" s="2" t="s">
        <v>28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LOOKUP(use_fish!B126,base_fish!A:A,base_fish!G:G)</f>
        <v>0</v>
      </c>
      <c r="K126">
        <f t="shared" si="17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6"/>
        <v>4.7619047619047623E-3</v>
      </c>
      <c r="F127" s="2" t="s">
        <v>28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LOOKUP(use_fish!B127,base_fish!A:A,base_fish!G:G)</f>
        <v>0</v>
      </c>
      <c r="K127">
        <f t="shared" si="17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6"/>
        <v>4.5454545454545452E-3</v>
      </c>
      <c r="F128" s="2" t="s">
        <v>28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LOOKUP(use_fish!B128,base_fish!A:A,base_fish!G:G)</f>
        <v>0</v>
      </c>
      <c r="K128">
        <f t="shared" si="17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6"/>
        <v>4.0000000000000001E-3</v>
      </c>
      <c r="F129" s="2" t="s">
        <v>28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LOOKUP(use_fish!B129,base_fish!A:A,base_fish!G:G)</f>
        <v>0</v>
      </c>
      <c r="K129">
        <f t="shared" si="17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6"/>
        <v>1.2048192771084338E-2</v>
      </c>
      <c r="F130" s="2" t="s">
        <v>28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LOOKUP(use_fish!B130,base_fish!A:A,base_fish!G:G)</f>
        <v>0</v>
      </c>
      <c r="K130">
        <f t="shared" si="17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6"/>
        <v>1.0752688172043012E-2</v>
      </c>
      <c r="F131" s="2" t="s">
        <v>28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LOOKUP(use_fish!B131,base_fish!A:A,base_fish!G:G)</f>
        <v>0</v>
      </c>
      <c r="K131">
        <f t="shared" si="17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6"/>
        <v>9.7087378640776691E-3</v>
      </c>
      <c r="F132" s="2" t="s">
        <v>28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LOOKUP(use_fish!B132,base_fish!A:A,base_fish!G:G)</f>
        <v>0</v>
      </c>
      <c r="K132">
        <f t="shared" si="17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6"/>
        <v>8.8495575221238937E-3</v>
      </c>
      <c r="F133" s="2" t="s">
        <v>28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LOOKUP(use_fish!B133,base_fish!A:A,base_fish!G:G)</f>
        <v>0</v>
      </c>
      <c r="K133">
        <f t="shared" si="17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6"/>
        <v>8.130081300813009E-3</v>
      </c>
      <c r="F134" s="2" t="s">
        <v>28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LOOKUP(use_fish!B134,base_fish!A:A,base_fish!G:G)</f>
        <v>0</v>
      </c>
      <c r="K134">
        <f t="shared" si="17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6"/>
        <v>7.5187969924812026E-3</v>
      </c>
      <c r="F135" s="2" t="s">
        <v>28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LOOKUP(use_fish!B135,base_fish!A:A,base_fish!G:G)</f>
        <v>0</v>
      </c>
      <c r="K135">
        <f t="shared" si="17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6"/>
        <v>6.1349693251533744E-3</v>
      </c>
      <c r="F136" s="2" t="s">
        <v>28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LOOKUP(use_fish!B136,base_fish!A:A,base_fish!G:G)</f>
        <v>0</v>
      </c>
      <c r="K136">
        <f t="shared" si="17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3" si="18">1/D137</f>
        <v>2.5000000000000001E-2</v>
      </c>
      <c r="F137" s="2" t="s">
        <v>28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LOOKUP(use_fish!B137,base_fish!A:A,base_fish!G:G)</f>
        <v>0</v>
      </c>
      <c r="K137">
        <f t="shared" ref="K137:K141" si="19">H137</f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8"/>
        <v>0.02</v>
      </c>
      <c r="F138" s="2" t="s">
        <v>28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LOOKUP(use_fish!B138,base_fish!A:A,base_fish!G:G)</f>
        <v>0</v>
      </c>
      <c r="K138">
        <f t="shared" si="19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8"/>
        <v>1.6666666666666666E-2</v>
      </c>
      <c r="F139" s="2" t="s">
        <v>28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LOOKUP(use_fish!B139,base_fish!A:A,base_fish!G:G)</f>
        <v>0</v>
      </c>
      <c r="K139">
        <f t="shared" si="19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8"/>
        <v>1.4285714285714285E-2</v>
      </c>
      <c r="F140" s="2" t="s">
        <v>28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LOOKUP(use_fish!B140,base_fish!A:A,base_fish!G:G)</f>
        <v>0</v>
      </c>
      <c r="K140">
        <f t="shared" si="19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8"/>
        <v>0.01</v>
      </c>
      <c r="F141" s="2" t="s">
        <v>28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LOOKUP(use_fish!B141,base_fish!A:A,base_fish!G:G)</f>
        <v>0</v>
      </c>
      <c r="K141">
        <f t="shared" si="19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8"/>
        <v>1.3333333333333334E-2</v>
      </c>
      <c r="F142" s="2" t="s">
        <v>28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LOOKUP(use_fish!B142,base_fish!A:A,base_fish!G:G)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8"/>
        <v>5.7142857142857143E-3</v>
      </c>
      <c r="F143" s="2" t="s">
        <v>28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LOOKUP(use_fish!B143,base_fish!A:A,base_fish!G:G)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ref="E144:E145" si="20">1/D144</f>
        <v>3.6363636363636364E-3</v>
      </c>
      <c r="F144" s="2" t="s">
        <v>28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LOOKUP(use_fish!B144,base_fish!A:A,base_fish!G:G)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20"/>
        <v>2.352941176470588E-3</v>
      </c>
      <c r="F145" s="2" t="s">
        <v>28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LOOKUP(use_fish!B145,base_fish!A:A,base_fish!G:G)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ref="E146:E157" si="21">1/D146</f>
        <v>1.3333333333333334E-2</v>
      </c>
      <c r="F146" s="2" t="s">
        <v>28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LOOKUP(use_fish!B146,base_fish!A:A,base_fish!G:G)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21"/>
        <v>5.7142857142857143E-3</v>
      </c>
      <c r="F147" s="2" t="s">
        <v>28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LOOKUP(use_fish!B147,base_fish!A:A,base_fish!G:G)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21"/>
        <v>3.6363636363636364E-3</v>
      </c>
      <c r="F148" s="2" t="s">
        <v>28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LOOKUP(use_fish!B148,base_fish!A:A,base_fish!G:G)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21"/>
        <v>2.352941176470588E-3</v>
      </c>
      <c r="F149" s="2" t="s">
        <v>28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LOOKUP(use_fish!B149,base_fish!A:A,base_fish!G:G)</f>
        <v>0</v>
      </c>
      <c r="K149">
        <v>50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si="21"/>
        <v>1.3333333333333334E-2</v>
      </c>
      <c r="F150" s="2" t="s">
        <v>28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f>LOOKUP(use_fish!B150,base_fish!A:A,base_fish!G:G)</f>
        <v>0</v>
      </c>
      <c r="K150"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21"/>
        <v>6.6666666666666671E-3</v>
      </c>
      <c r="F151" s="2" t="s">
        <v>28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f>LOOKUP(use_fish!B151,base_fish!A:A,base_fish!G:G)</f>
        <v>0</v>
      </c>
      <c r="K151"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21"/>
        <v>4.0000000000000001E-3</v>
      </c>
      <c r="F152" s="2" t="s">
        <v>28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f>LOOKUP(use_fish!B152,base_fish!A:A,base_fish!G:G)</f>
        <v>0</v>
      </c>
      <c r="K152"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21"/>
        <v>0.05</v>
      </c>
      <c r="F153" s="2" t="s">
        <v>28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f>LOOKUP(use_fish!B153,base_fish!A:A,base_fish!G:G)</f>
        <v>0</v>
      </c>
      <c r="K153"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21"/>
        <v>0.04</v>
      </c>
      <c r="F154" s="2" t="s">
        <v>28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f>LOOKUP(use_fish!B154,base_fish!A:A,base_fish!G:G)</f>
        <v>0</v>
      </c>
      <c r="K154"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21"/>
        <v>2.8571428571428571E-2</v>
      </c>
      <c r="F155" s="2" t="s">
        <v>28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f>LOOKUP(use_fish!B155,base_fish!A:A,base_fish!G:G)</f>
        <v>0</v>
      </c>
      <c r="K155"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21"/>
        <v>2.2222222222222223E-2</v>
      </c>
      <c r="F156" s="2" t="s">
        <v>28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f>LOOKUP(use_fish!B156,base_fish!A:A,base_fish!G:G)</f>
        <v>0</v>
      </c>
      <c r="K156"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21"/>
        <v>1.8181818181818181E-2</v>
      </c>
      <c r="F157" s="2" t="s">
        <v>28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f>LOOKUP(use_fish!B157,base_fish!A:A,base_fish!G:G)</f>
        <v>0</v>
      </c>
      <c r="K157"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abSelected="1" topLeftCell="A13" workbookViewId="0">
      <selection activeCell="H39" sqref="H39"/>
    </sheetView>
  </sheetViews>
  <sheetFormatPr defaultColWidth="8.625" defaultRowHeight="14.25" x14ac:dyDescent="0.2"/>
  <cols>
    <col min="2" max="2" width="13" customWidth="1"/>
    <col min="3" max="3" width="27.25" customWidth="1"/>
    <col min="4" max="5" width="16.125" customWidth="1"/>
    <col min="6" max="7" width="15.125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325</v>
      </c>
      <c r="F1" s="1" t="s">
        <v>38</v>
      </c>
      <c r="G1" s="1" t="s">
        <v>53</v>
      </c>
      <c r="H1" s="1" t="s">
        <v>2</v>
      </c>
      <c r="I1" s="1" t="s">
        <v>2</v>
      </c>
      <c r="K1" s="1" t="s">
        <v>182</v>
      </c>
    </row>
    <row r="2" spans="1:11" x14ac:dyDescent="0.2">
      <c r="A2">
        <v>1</v>
      </c>
      <c r="B2">
        <v>1</v>
      </c>
      <c r="C2" t="s">
        <v>210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54</v>
      </c>
      <c r="K2" t="s">
        <v>247</v>
      </c>
    </row>
    <row r="3" spans="1:11" x14ac:dyDescent="0.2">
      <c r="A3">
        <v>2</v>
      </c>
      <c r="B3">
        <v>2</v>
      </c>
      <c r="C3" t="s">
        <v>220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55</v>
      </c>
      <c r="K3" s="7">
        <v>0.1</v>
      </c>
    </row>
    <row r="4" spans="1:11" x14ac:dyDescent="0.2">
      <c r="A4">
        <v>3</v>
      </c>
      <c r="B4">
        <v>3</v>
      </c>
      <c r="C4" t="s">
        <v>220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56</v>
      </c>
    </row>
    <row r="5" spans="1:11" x14ac:dyDescent="0.2">
      <c r="A5">
        <v>4</v>
      </c>
      <c r="B5">
        <v>4</v>
      </c>
      <c r="C5" t="s">
        <v>170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57</v>
      </c>
    </row>
    <row r="6" spans="1:11" x14ac:dyDescent="0.2">
      <c r="A6">
        <v>5</v>
      </c>
      <c r="B6">
        <v>5</v>
      </c>
      <c r="C6" t="s">
        <v>171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58</v>
      </c>
    </row>
    <row r="7" spans="1:11" x14ac:dyDescent="0.2">
      <c r="A7">
        <v>6</v>
      </c>
      <c r="B7">
        <v>4</v>
      </c>
      <c r="C7" t="s">
        <v>172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59</v>
      </c>
    </row>
    <row r="8" spans="1:11" x14ac:dyDescent="0.2">
      <c r="A8">
        <v>7</v>
      </c>
      <c r="B8">
        <v>1</v>
      </c>
      <c r="C8" t="s">
        <v>169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60</v>
      </c>
    </row>
    <row r="9" spans="1:11" x14ac:dyDescent="0.2">
      <c r="A9">
        <v>8</v>
      </c>
      <c r="B9">
        <v>4</v>
      </c>
      <c r="C9" t="s">
        <v>211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61</v>
      </c>
    </row>
    <row r="10" spans="1:11" x14ac:dyDescent="0.2">
      <c r="A10">
        <v>9</v>
      </c>
      <c r="B10">
        <v>5</v>
      </c>
      <c r="C10" t="s">
        <v>212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275</v>
      </c>
    </row>
    <row r="11" spans="1:11" x14ac:dyDescent="0.2">
      <c r="A11">
        <v>10</v>
      </c>
      <c r="B11">
        <v>5</v>
      </c>
      <c r="C11" t="s">
        <v>173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246</v>
      </c>
    </row>
    <row r="12" spans="1:11" x14ac:dyDescent="0.2">
      <c r="A12">
        <v>11</v>
      </c>
      <c r="B12">
        <v>7</v>
      </c>
      <c r="C12" t="s">
        <v>52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282</v>
      </c>
    </row>
    <row r="13" spans="1:11" x14ac:dyDescent="0.2">
      <c r="A13">
        <v>12</v>
      </c>
      <c r="B13">
        <v>7</v>
      </c>
      <c r="C13" t="s">
        <v>62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342</v>
      </c>
    </row>
    <row r="14" spans="1:11" x14ac:dyDescent="0.2">
      <c r="A14">
        <v>13</v>
      </c>
      <c r="B14">
        <v>8</v>
      </c>
      <c r="C14" t="s">
        <v>48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343</v>
      </c>
    </row>
    <row r="15" spans="1:11" x14ac:dyDescent="0.2">
      <c r="A15">
        <v>14</v>
      </c>
      <c r="B15">
        <v>8</v>
      </c>
      <c r="C15" t="s">
        <v>62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371</v>
      </c>
    </row>
    <row r="16" spans="1:11" x14ac:dyDescent="0.2">
      <c r="A16">
        <v>15</v>
      </c>
      <c r="B16">
        <v>9</v>
      </c>
      <c r="C16" t="s">
        <v>221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26</v>
      </c>
      <c r="I16" t="s">
        <v>384</v>
      </c>
    </row>
    <row r="17" spans="1:9" x14ac:dyDescent="0.2">
      <c r="A17">
        <v>16</v>
      </c>
      <c r="B17">
        <v>9</v>
      </c>
      <c r="C17" t="s">
        <v>221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27</v>
      </c>
      <c r="I17" t="s">
        <v>385</v>
      </c>
    </row>
    <row r="18" spans="1:9" x14ac:dyDescent="0.2">
      <c r="A18">
        <v>17</v>
      </c>
      <c r="B18">
        <v>10</v>
      </c>
      <c r="C18" s="8" t="s">
        <v>294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9" x14ac:dyDescent="0.2">
      <c r="A19">
        <v>18</v>
      </c>
      <c r="B19">
        <v>18</v>
      </c>
      <c r="C19" t="s">
        <v>372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9" x14ac:dyDescent="0.2">
      <c r="A20">
        <v>19</v>
      </c>
      <c r="B20">
        <v>17</v>
      </c>
      <c r="C20" t="s">
        <v>373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9" x14ac:dyDescent="0.2">
      <c r="A21">
        <v>20</v>
      </c>
      <c r="B21">
        <v>19</v>
      </c>
      <c r="C21" t="s">
        <v>48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9" x14ac:dyDescent="0.2">
      <c r="A22">
        <v>21</v>
      </c>
      <c r="B22">
        <v>20</v>
      </c>
      <c r="C22" s="12" t="s">
        <v>378</v>
      </c>
      <c r="D22" s="4">
        <v>0</v>
      </c>
      <c r="E22" s="4">
        <v>0</v>
      </c>
      <c r="F22">
        <v>25</v>
      </c>
      <c r="G22" t="s">
        <v>376</v>
      </c>
    </row>
    <row r="23" spans="1:9" x14ac:dyDescent="0.2">
      <c r="A23">
        <v>22</v>
      </c>
      <c r="B23">
        <v>20</v>
      </c>
      <c r="C23" s="12" t="s">
        <v>379</v>
      </c>
      <c r="D23" s="4">
        <v>0</v>
      </c>
      <c r="E23" s="4">
        <v>0</v>
      </c>
      <c r="F23">
        <v>125</v>
      </c>
      <c r="G23" t="s">
        <v>376</v>
      </c>
    </row>
    <row r="24" spans="1:9" x14ac:dyDescent="0.2">
      <c r="A24">
        <v>23</v>
      </c>
      <c r="B24">
        <v>20</v>
      </c>
      <c r="C24" s="12" t="s">
        <v>380</v>
      </c>
      <c r="D24" s="4">
        <v>0</v>
      </c>
      <c r="E24" s="4">
        <v>0</v>
      </c>
      <c r="F24">
        <v>225</v>
      </c>
      <c r="G24" t="s">
        <v>376</v>
      </c>
    </row>
    <row r="25" spans="1:9" x14ac:dyDescent="0.2">
      <c r="A25">
        <v>24</v>
      </c>
      <c r="B25">
        <v>20</v>
      </c>
      <c r="C25" s="12" t="s">
        <v>383</v>
      </c>
      <c r="D25" s="4">
        <v>0</v>
      </c>
      <c r="E25" s="4">
        <v>0</v>
      </c>
      <c r="F25">
        <v>375</v>
      </c>
      <c r="G25" t="s">
        <v>376</v>
      </c>
    </row>
    <row r="26" spans="1:9" x14ac:dyDescent="0.2">
      <c r="A26">
        <v>25</v>
      </c>
      <c r="B26">
        <v>26</v>
      </c>
      <c r="C26" t="s">
        <v>389</v>
      </c>
      <c r="D26" s="4">
        <v>1</v>
      </c>
      <c r="E26" s="4">
        <v>1</v>
      </c>
      <c r="F26">
        <v>200</v>
      </c>
      <c r="G26" t="s">
        <v>387</v>
      </c>
    </row>
    <row r="27" spans="1:9" x14ac:dyDescent="0.2">
      <c r="A27">
        <v>26</v>
      </c>
      <c r="B27">
        <v>27</v>
      </c>
      <c r="C27" t="s">
        <v>390</v>
      </c>
      <c r="D27" s="4">
        <v>1</v>
      </c>
      <c r="E27" s="4">
        <v>1</v>
      </c>
      <c r="F27">
        <v>500</v>
      </c>
      <c r="G27" t="s">
        <v>386</v>
      </c>
    </row>
    <row r="28" spans="1:9" x14ac:dyDescent="0.2">
      <c r="A28">
        <v>27</v>
      </c>
      <c r="B28" s="13">
        <v>9</v>
      </c>
      <c r="C28" s="13" t="s">
        <v>409</v>
      </c>
      <c r="D28" s="14">
        <v>0</v>
      </c>
      <c r="E28" s="14">
        <v>1</v>
      </c>
      <c r="F28" s="13">
        <v>75</v>
      </c>
      <c r="G28" s="13" t="s">
        <v>288</v>
      </c>
    </row>
    <row r="29" spans="1:9" x14ac:dyDescent="0.2">
      <c r="A29">
        <v>28</v>
      </c>
      <c r="B29" s="13">
        <v>9</v>
      </c>
      <c r="C29" s="13" t="s">
        <v>397</v>
      </c>
      <c r="D29" s="14">
        <v>0</v>
      </c>
      <c r="E29" s="14">
        <v>1</v>
      </c>
      <c r="F29" s="13">
        <v>150</v>
      </c>
      <c r="G29" s="13" t="s">
        <v>288</v>
      </c>
    </row>
    <row r="30" spans="1:9" x14ac:dyDescent="0.2">
      <c r="A30">
        <v>29</v>
      </c>
      <c r="B30" s="13">
        <v>9</v>
      </c>
      <c r="C30" s="13" t="s">
        <v>398</v>
      </c>
      <c r="D30" s="14">
        <v>0</v>
      </c>
      <c r="E30" s="14">
        <v>1</v>
      </c>
      <c r="F30" s="13">
        <v>250</v>
      </c>
      <c r="G30" s="13" t="s">
        <v>288</v>
      </c>
    </row>
    <row r="31" spans="1:9" x14ac:dyDescent="0.2">
      <c r="A31">
        <v>30</v>
      </c>
      <c r="B31" s="13">
        <v>9</v>
      </c>
      <c r="C31" s="13" t="s">
        <v>408</v>
      </c>
      <c r="D31" s="14">
        <v>1</v>
      </c>
      <c r="E31" s="14">
        <v>1</v>
      </c>
      <c r="F31" s="13">
        <v>5</v>
      </c>
      <c r="G31" s="13" t="s">
        <v>288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5" sqref="F15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290</v>
      </c>
      <c r="C1" s="1" t="s">
        <v>291</v>
      </c>
      <c r="D1" s="1" t="s">
        <v>292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32"/>
  <sheetViews>
    <sheetView zoomScaleNormal="100" workbookViewId="0">
      <selection activeCell="A32" sqref="A32:XFD3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1" style="2" customWidth="1"/>
    <col min="4" max="4" width="8.625" style="2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22</v>
      </c>
      <c r="B1" s="1" t="s">
        <v>20</v>
      </c>
      <c r="C1" s="1" t="s">
        <v>276</v>
      </c>
      <c r="D1" s="1" t="s">
        <v>0</v>
      </c>
      <c r="E1" s="1" t="s">
        <v>7</v>
      </c>
      <c r="F1" s="1" t="s">
        <v>284</v>
      </c>
      <c r="G1" s="10" t="s">
        <v>285</v>
      </c>
    </row>
    <row r="2" spans="1:7" x14ac:dyDescent="0.2">
      <c r="A2" s="2">
        <v>1</v>
      </c>
      <c r="B2" s="2">
        <v>1</v>
      </c>
      <c r="C2" s="2">
        <v>1</v>
      </c>
      <c r="D2" s="2">
        <f>IF(C2,1/C2,0)</f>
        <v>1</v>
      </c>
      <c r="E2" s="5" t="s">
        <v>8</v>
      </c>
      <c r="F2" s="2">
        <f>C2</f>
        <v>1</v>
      </c>
      <c r="G2" s="2">
        <v>0</v>
      </c>
    </row>
    <row r="3" spans="1:7" x14ac:dyDescent="0.2">
      <c r="A3" s="2">
        <v>2</v>
      </c>
      <c r="B3" s="2">
        <v>1</v>
      </c>
      <c r="C3" s="2">
        <v>2</v>
      </c>
      <c r="D3" s="2">
        <f t="shared" ref="D3:D28" si="0">IF(C3,1/C3,0)</f>
        <v>0.5</v>
      </c>
      <c r="E3" s="5" t="s">
        <v>190</v>
      </c>
      <c r="F3" s="2">
        <f t="shared" ref="F3:F28" si="1">C3</f>
        <v>2</v>
      </c>
      <c r="G3" s="2">
        <v>0</v>
      </c>
    </row>
    <row r="4" spans="1:7" x14ac:dyDescent="0.2">
      <c r="A4" s="2">
        <v>3</v>
      </c>
      <c r="B4" s="2">
        <v>1</v>
      </c>
      <c r="C4" s="2">
        <v>5</v>
      </c>
      <c r="D4" s="2">
        <f t="shared" si="0"/>
        <v>0.2</v>
      </c>
      <c r="E4" s="5" t="s">
        <v>191</v>
      </c>
      <c r="F4" s="2">
        <f t="shared" si="1"/>
        <v>5</v>
      </c>
      <c r="G4" s="2">
        <v>0</v>
      </c>
    </row>
    <row r="5" spans="1:7" x14ac:dyDescent="0.2">
      <c r="A5" s="2">
        <v>4</v>
      </c>
      <c r="B5" s="2">
        <v>1</v>
      </c>
      <c r="C5" s="2">
        <v>8</v>
      </c>
      <c r="D5" s="2">
        <f t="shared" si="0"/>
        <v>0.125</v>
      </c>
      <c r="E5" s="5" t="s">
        <v>192</v>
      </c>
      <c r="F5" s="2">
        <f t="shared" si="1"/>
        <v>8</v>
      </c>
      <c r="G5" s="2">
        <v>0</v>
      </c>
    </row>
    <row r="6" spans="1:7" x14ac:dyDescent="0.2">
      <c r="A6" s="2">
        <v>5</v>
      </c>
      <c r="B6" s="2">
        <v>1</v>
      </c>
      <c r="C6" s="2">
        <v>15</v>
      </c>
      <c r="D6" s="2">
        <f t="shared" si="0"/>
        <v>6.6666666666666666E-2</v>
      </c>
      <c r="E6" s="5" t="s">
        <v>9</v>
      </c>
      <c r="F6" s="2">
        <f t="shared" si="1"/>
        <v>15</v>
      </c>
      <c r="G6" s="2">
        <v>0</v>
      </c>
    </row>
    <row r="7" spans="1:7" x14ac:dyDescent="0.2">
      <c r="A7" s="2">
        <v>6</v>
      </c>
      <c r="B7" s="2">
        <v>1</v>
      </c>
      <c r="C7" s="2">
        <v>20</v>
      </c>
      <c r="D7" s="2">
        <f t="shared" si="0"/>
        <v>0.05</v>
      </c>
      <c r="E7" s="5" t="s">
        <v>193</v>
      </c>
      <c r="F7" s="2">
        <f t="shared" si="1"/>
        <v>20</v>
      </c>
      <c r="G7" s="2">
        <v>0</v>
      </c>
    </row>
    <row r="8" spans="1:7" x14ac:dyDescent="0.2">
      <c r="A8" s="2">
        <v>7</v>
      </c>
      <c r="B8" s="2">
        <v>1</v>
      </c>
      <c r="C8" s="2">
        <v>30</v>
      </c>
      <c r="D8" s="2">
        <f t="shared" si="0"/>
        <v>3.3333333333333333E-2</v>
      </c>
      <c r="E8" s="5" t="s">
        <v>10</v>
      </c>
      <c r="F8" s="2">
        <f t="shared" si="1"/>
        <v>30</v>
      </c>
      <c r="G8" s="2">
        <v>0</v>
      </c>
    </row>
    <row r="9" spans="1:7" x14ac:dyDescent="0.2">
      <c r="A9" s="2">
        <v>8</v>
      </c>
      <c r="B9" s="2">
        <v>1</v>
      </c>
      <c r="C9" s="2">
        <v>40</v>
      </c>
      <c r="D9" s="2">
        <f t="shared" si="0"/>
        <v>2.5000000000000001E-2</v>
      </c>
      <c r="E9" s="5" t="s">
        <v>194</v>
      </c>
      <c r="F9" s="2">
        <f t="shared" si="1"/>
        <v>40</v>
      </c>
      <c r="G9" s="2">
        <v>0</v>
      </c>
    </row>
    <row r="10" spans="1:7" x14ac:dyDescent="0.2">
      <c r="A10" s="2">
        <v>9</v>
      </c>
      <c r="B10" s="2">
        <v>1</v>
      </c>
      <c r="C10" s="2">
        <v>50</v>
      </c>
      <c r="D10" s="2">
        <f t="shared" si="0"/>
        <v>0.02</v>
      </c>
      <c r="E10" s="5" t="s">
        <v>11</v>
      </c>
      <c r="F10" s="2">
        <f t="shared" si="1"/>
        <v>50</v>
      </c>
      <c r="G10" s="2">
        <v>0</v>
      </c>
    </row>
    <row r="11" spans="1:7" x14ac:dyDescent="0.2">
      <c r="A11" s="2">
        <v>10</v>
      </c>
      <c r="B11" s="2">
        <v>2</v>
      </c>
      <c r="C11" s="2">
        <v>60</v>
      </c>
      <c r="D11" s="2">
        <f t="shared" si="0"/>
        <v>1.6666666666666666E-2</v>
      </c>
      <c r="E11" s="5" t="s">
        <v>12</v>
      </c>
      <c r="F11" s="2">
        <f t="shared" si="1"/>
        <v>60</v>
      </c>
      <c r="G11" s="2">
        <v>0</v>
      </c>
    </row>
    <row r="12" spans="1:7" x14ac:dyDescent="0.2">
      <c r="A12" s="2">
        <v>11</v>
      </c>
      <c r="B12" s="2">
        <v>2</v>
      </c>
      <c r="C12" s="2">
        <v>70</v>
      </c>
      <c r="D12" s="2">
        <f t="shared" si="0"/>
        <v>1.4285714285714285E-2</v>
      </c>
      <c r="E12" s="5" t="s">
        <v>195</v>
      </c>
      <c r="F12" s="2">
        <f t="shared" si="1"/>
        <v>70</v>
      </c>
      <c r="G12" s="2">
        <v>0</v>
      </c>
    </row>
    <row r="13" spans="1:7" x14ac:dyDescent="0.2">
      <c r="A13" s="2">
        <v>12</v>
      </c>
      <c r="B13" s="2">
        <v>2</v>
      </c>
      <c r="C13" s="2">
        <v>100</v>
      </c>
      <c r="D13" s="2">
        <f t="shared" si="0"/>
        <v>0.01</v>
      </c>
      <c r="E13" s="5" t="s">
        <v>13</v>
      </c>
      <c r="F13" s="2">
        <f t="shared" si="1"/>
        <v>100</v>
      </c>
      <c r="G13" s="2">
        <v>0</v>
      </c>
    </row>
    <row r="14" spans="1:7" x14ac:dyDescent="0.2">
      <c r="A14" s="2">
        <v>13</v>
      </c>
      <c r="B14" s="2">
        <v>2</v>
      </c>
      <c r="C14" s="2">
        <v>150</v>
      </c>
      <c r="D14" s="2">
        <f t="shared" si="0"/>
        <v>6.6666666666666671E-3</v>
      </c>
      <c r="E14" s="5" t="s">
        <v>196</v>
      </c>
      <c r="F14" s="2">
        <f t="shared" si="1"/>
        <v>150</v>
      </c>
      <c r="G14" s="2">
        <v>0</v>
      </c>
    </row>
    <row r="15" spans="1:7" x14ac:dyDescent="0.2">
      <c r="A15" s="2">
        <v>14</v>
      </c>
      <c r="B15" s="2">
        <v>2</v>
      </c>
      <c r="C15" s="2">
        <v>80</v>
      </c>
      <c r="D15" s="2">
        <f t="shared" si="0"/>
        <v>1.2500000000000001E-2</v>
      </c>
      <c r="E15" s="5" t="s">
        <v>197</v>
      </c>
      <c r="F15" s="2">
        <f t="shared" si="1"/>
        <v>80</v>
      </c>
      <c r="G15" s="2">
        <v>0</v>
      </c>
    </row>
    <row r="16" spans="1:7" x14ac:dyDescent="0.2">
      <c r="A16" s="2">
        <v>15</v>
      </c>
      <c r="B16" s="2">
        <v>2</v>
      </c>
      <c r="C16" s="2">
        <v>100</v>
      </c>
      <c r="D16" s="2">
        <f t="shared" si="0"/>
        <v>0.01</v>
      </c>
      <c r="E16" s="5" t="s">
        <v>198</v>
      </c>
      <c r="F16" s="2">
        <f t="shared" si="1"/>
        <v>100</v>
      </c>
      <c r="G16" s="2">
        <v>0</v>
      </c>
    </row>
    <row r="17" spans="1:7" x14ac:dyDescent="0.2">
      <c r="A17" s="2">
        <v>16</v>
      </c>
      <c r="B17" s="2">
        <v>3</v>
      </c>
      <c r="C17" s="2">
        <v>120</v>
      </c>
      <c r="D17" s="2">
        <f t="shared" si="0"/>
        <v>8.3333333333333332E-3</v>
      </c>
      <c r="E17" s="5" t="s">
        <v>199</v>
      </c>
      <c r="F17" s="2">
        <f t="shared" si="1"/>
        <v>120</v>
      </c>
      <c r="G17" s="2">
        <v>0</v>
      </c>
    </row>
    <row r="18" spans="1:7" x14ac:dyDescent="0.2">
      <c r="A18" s="2">
        <v>17</v>
      </c>
      <c r="B18" s="2">
        <v>3</v>
      </c>
      <c r="C18" s="2">
        <v>140</v>
      </c>
      <c r="D18" s="2">
        <f t="shared" si="0"/>
        <v>7.1428571428571426E-3</v>
      </c>
      <c r="E18" s="5" t="s">
        <v>200</v>
      </c>
      <c r="F18" s="2">
        <f t="shared" si="1"/>
        <v>140</v>
      </c>
      <c r="G18" s="2">
        <v>0</v>
      </c>
    </row>
    <row r="19" spans="1:7" x14ac:dyDescent="0.2">
      <c r="A19" s="2">
        <v>18</v>
      </c>
      <c r="B19" s="2">
        <v>3</v>
      </c>
      <c r="C19" s="2">
        <v>200</v>
      </c>
      <c r="D19" s="2">
        <f t="shared" si="0"/>
        <v>5.0000000000000001E-3</v>
      </c>
      <c r="E19" s="5" t="s">
        <v>201</v>
      </c>
      <c r="F19" s="2">
        <f t="shared" si="1"/>
        <v>200</v>
      </c>
      <c r="G19" s="2">
        <v>0</v>
      </c>
    </row>
    <row r="20" spans="1:7" x14ac:dyDescent="0.2">
      <c r="A20" s="2">
        <v>19</v>
      </c>
      <c r="B20" s="2">
        <v>4</v>
      </c>
      <c r="C20" s="2">
        <v>0</v>
      </c>
      <c r="D20" s="2">
        <f t="shared" si="0"/>
        <v>0</v>
      </c>
      <c r="E20" s="5" t="s">
        <v>266</v>
      </c>
      <c r="F20" s="2">
        <f t="shared" si="1"/>
        <v>0</v>
      </c>
      <c r="G20" s="2">
        <v>0</v>
      </c>
    </row>
    <row r="21" spans="1:7" x14ac:dyDescent="0.2">
      <c r="A21" s="2">
        <v>20</v>
      </c>
      <c r="B21" s="2">
        <v>3</v>
      </c>
      <c r="C21" s="2">
        <v>500</v>
      </c>
      <c r="D21" s="2">
        <f t="shared" si="0"/>
        <v>2E-3</v>
      </c>
      <c r="E21" s="5" t="s">
        <v>273</v>
      </c>
      <c r="F21" s="2">
        <f t="shared" si="1"/>
        <v>500</v>
      </c>
      <c r="G21" s="2">
        <v>0</v>
      </c>
    </row>
    <row r="22" spans="1:7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293</v>
      </c>
      <c r="F22" s="2">
        <f t="shared" si="1"/>
        <v>0</v>
      </c>
      <c r="G22" s="2">
        <v>0</v>
      </c>
    </row>
    <row r="23" spans="1:7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319</v>
      </c>
      <c r="F23" s="2">
        <f t="shared" si="1"/>
        <v>50</v>
      </c>
      <c r="G23" s="2">
        <v>0</v>
      </c>
    </row>
    <row r="24" spans="1:7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320</v>
      </c>
      <c r="F24" s="2">
        <f t="shared" si="1"/>
        <v>50</v>
      </c>
      <c r="G24" s="2">
        <v>0</v>
      </c>
    </row>
    <row r="25" spans="1:7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321</v>
      </c>
      <c r="F25" s="2">
        <f t="shared" si="1"/>
        <v>50</v>
      </c>
      <c r="G25" s="2">
        <v>0</v>
      </c>
    </row>
    <row r="26" spans="1:7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322</v>
      </c>
      <c r="F26" s="2">
        <f t="shared" si="1"/>
        <v>50</v>
      </c>
      <c r="G26" s="2">
        <v>0</v>
      </c>
    </row>
    <row r="27" spans="1:7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323</v>
      </c>
      <c r="F27" s="2">
        <f t="shared" si="1"/>
        <v>100</v>
      </c>
      <c r="G27" s="2">
        <v>0</v>
      </c>
    </row>
    <row r="28" spans="1:7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324</v>
      </c>
      <c r="F28" s="2">
        <f t="shared" si="1"/>
        <v>50</v>
      </c>
      <c r="G28" s="2">
        <v>0</v>
      </c>
    </row>
    <row r="29" spans="1:7" x14ac:dyDescent="0.2">
      <c r="A29" s="2">
        <v>28</v>
      </c>
      <c r="B29" s="2">
        <v>3</v>
      </c>
      <c r="C29" s="2" t="s">
        <v>366</v>
      </c>
      <c r="D29" s="2" t="s">
        <v>369</v>
      </c>
      <c r="E29" s="2" t="s">
        <v>338</v>
      </c>
      <c r="F29" s="2" t="s">
        <v>368</v>
      </c>
      <c r="G29" s="2">
        <v>0</v>
      </c>
    </row>
    <row r="30" spans="1:7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374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391</v>
      </c>
      <c r="F31" s="2">
        <v>50</v>
      </c>
      <c r="G31" s="2">
        <v>0</v>
      </c>
    </row>
    <row r="32" spans="1:7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396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59"/>
  <sheetViews>
    <sheetView topLeftCell="A37" workbookViewId="0">
      <selection activeCell="A59" sqref="A59:B5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181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H24" sqref="H24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30</v>
      </c>
      <c r="B1" s="1" t="s">
        <v>37</v>
      </c>
      <c r="C1" s="1" t="s">
        <v>39</v>
      </c>
      <c r="D1" s="1" t="s">
        <v>213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H21" sqref="H21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40</v>
      </c>
      <c r="B1" s="1" t="s">
        <v>41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24</v>
      </c>
      <c r="B1" s="1" t="s">
        <v>183</v>
      </c>
      <c r="C1" s="1" t="s">
        <v>184</v>
      </c>
      <c r="D1" s="1" t="s">
        <v>185</v>
      </c>
      <c r="XFD1" s="1"/>
    </row>
    <row r="2" spans="1:4 16384:16384" x14ac:dyDescent="0.2">
      <c r="A2">
        <v>1</v>
      </c>
      <c r="B2" t="s">
        <v>186</v>
      </c>
      <c r="C2">
        <v>10</v>
      </c>
      <c r="D2">
        <v>0</v>
      </c>
    </row>
    <row r="3" spans="1:4 16384:16384" x14ac:dyDescent="0.2">
      <c r="A3">
        <v>2</v>
      </c>
      <c r="B3" t="s">
        <v>187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B2" sqref="B2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250</v>
      </c>
      <c r="B1" s="1" t="s">
        <v>251</v>
      </c>
      <c r="C1" s="1" t="s">
        <v>182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252</v>
      </c>
      <c r="C2" s="2"/>
    </row>
    <row r="3" spans="1:10 16384:16384" x14ac:dyDescent="0.2">
      <c r="A3" s="2">
        <v>2</v>
      </c>
      <c r="B3" s="2" t="s">
        <v>279</v>
      </c>
      <c r="C3" s="2" t="s">
        <v>253</v>
      </c>
    </row>
    <row r="4" spans="1:10 16384:16384" x14ac:dyDescent="0.2">
      <c r="A4" s="2">
        <v>3</v>
      </c>
      <c r="B4" s="2" t="s">
        <v>280</v>
      </c>
      <c r="C4" s="2" t="s">
        <v>254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261</v>
      </c>
      <c r="D2" s="2">
        <v>0</v>
      </c>
      <c r="E2" s="2"/>
      <c r="F2" t="s">
        <v>262</v>
      </c>
    </row>
    <row r="3" spans="1:10 16384:16384" ht="39" customHeight="1" x14ac:dyDescent="0.2">
      <c r="A3" s="2">
        <v>2</v>
      </c>
      <c r="B3" s="2">
        <v>1</v>
      </c>
      <c r="C3" s="2" t="s">
        <v>263</v>
      </c>
      <c r="D3" s="2">
        <v>1</v>
      </c>
      <c r="E3" s="2" t="s">
        <v>271</v>
      </c>
      <c r="F3" t="s">
        <v>337</v>
      </c>
    </row>
    <row r="4" spans="1:10 16384:16384" ht="63.75" customHeight="1" x14ac:dyDescent="0.2">
      <c r="A4" s="2">
        <v>3</v>
      </c>
      <c r="B4" s="2">
        <v>1</v>
      </c>
      <c r="C4" s="2" t="s">
        <v>264</v>
      </c>
      <c r="D4" s="2">
        <v>0</v>
      </c>
      <c r="E4" s="4" t="s">
        <v>270</v>
      </c>
      <c r="F4" t="s">
        <v>265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326</v>
      </c>
      <c r="B1" s="1" t="s">
        <v>327</v>
      </c>
      <c r="C1" s="1" t="s">
        <v>328</v>
      </c>
      <c r="D1" s="1" t="s">
        <v>329</v>
      </c>
      <c r="E1" s="1" t="s">
        <v>330</v>
      </c>
      <c r="F1" s="1" t="s">
        <v>331</v>
      </c>
      <c r="G1" s="1" t="s">
        <v>332</v>
      </c>
      <c r="H1" s="1" t="s">
        <v>333</v>
      </c>
      <c r="I1" s="1" t="s">
        <v>334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335</v>
      </c>
      <c r="B1" t="s">
        <v>336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sqref="A1:C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388</v>
      </c>
      <c r="B1" s="1" t="s">
        <v>344</v>
      </c>
      <c r="C1" t="s">
        <v>345</v>
      </c>
    </row>
    <row r="2" spans="1:3" x14ac:dyDescent="0.2">
      <c r="A2">
        <v>1</v>
      </c>
      <c r="B2" t="s">
        <v>364</v>
      </c>
      <c r="C2" t="s">
        <v>346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2020-09-23T06:46:44Z</dcterms:modified>
</cp:coreProperties>
</file>