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76" i="7" l="1"/>
  <c r="I176" i="7"/>
  <c r="J176" i="7"/>
  <c r="H177" i="7"/>
  <c r="I177" i="7"/>
  <c r="J177" i="7"/>
  <c r="H178" i="7"/>
  <c r="I178" i="7"/>
  <c r="J178" i="7"/>
  <c r="H179" i="7"/>
  <c r="I179" i="7"/>
  <c r="J179" i="7"/>
  <c r="H180" i="7"/>
  <c r="I180" i="7"/>
  <c r="J180" i="7"/>
  <c r="H181" i="7"/>
  <c r="I181" i="7"/>
  <c r="J181" i="7"/>
  <c r="H182" i="7"/>
  <c r="I182" i="7"/>
  <c r="J182" i="7"/>
  <c r="H183" i="7"/>
  <c r="I183" i="7"/>
  <c r="J183" i="7"/>
  <c r="J153" i="14"/>
  <c r="J154" i="14"/>
  <c r="J155" i="14"/>
  <c r="J156" i="14"/>
  <c r="J157" i="14"/>
  <c r="H153" i="14"/>
  <c r="H154" i="14"/>
  <c r="H155" i="14"/>
  <c r="H156" i="14"/>
  <c r="H157" i="14"/>
  <c r="G153" i="14"/>
  <c r="G154" i="14"/>
  <c r="G155" i="14"/>
  <c r="G156" i="14"/>
  <c r="G157" i="14"/>
  <c r="E153" i="14"/>
  <c r="E154" i="14"/>
  <c r="E155" i="14"/>
  <c r="E156" i="14"/>
  <c r="E157" i="14"/>
  <c r="D153" i="14"/>
  <c r="D154" i="14"/>
  <c r="D155" i="14"/>
  <c r="D156" i="14"/>
  <c r="D157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J150" i="14"/>
  <c r="J151" i="14"/>
  <c r="J152" i="14"/>
  <c r="H150" i="14"/>
  <c r="H151" i="14"/>
  <c r="H152" i="14"/>
  <c r="G150" i="14"/>
  <c r="G151" i="14"/>
  <c r="G152" i="14"/>
  <c r="E150" i="14"/>
  <c r="E151" i="14"/>
  <c r="E152" i="14"/>
  <c r="D150" i="14"/>
  <c r="D151" i="14"/>
  <c r="D152" i="14"/>
  <c r="D32" i="1" l="1"/>
  <c r="D143" i="14" l="1"/>
  <c r="H169" i="7" s="1"/>
  <c r="D144" i="14"/>
  <c r="H170" i="7" s="1"/>
  <c r="D145" i="14"/>
  <c r="H171" i="7" s="1"/>
  <c r="D146" i="14"/>
  <c r="H172" i="7" s="1"/>
  <c r="D147" i="14"/>
  <c r="H173" i="7" s="1"/>
  <c r="D148" i="14"/>
  <c r="H174" i="7" s="1"/>
  <c r="D149" i="14"/>
  <c r="H175" i="7" s="1"/>
  <c r="H143" i="14"/>
  <c r="I169" i="7" s="1"/>
  <c r="H144" i="14"/>
  <c r="I170" i="7" s="1"/>
  <c r="H145" i="14"/>
  <c r="I171" i="7" s="1"/>
  <c r="H146" i="14"/>
  <c r="I172" i="7" s="1"/>
  <c r="H147" i="14"/>
  <c r="I173" i="7" s="1"/>
  <c r="H148" i="14"/>
  <c r="I174" i="7" s="1"/>
  <c r="H149" i="14"/>
  <c r="I175" i="7" s="1"/>
  <c r="H142" i="14" l="1"/>
  <c r="I168" i="7" s="1"/>
  <c r="D142" i="14"/>
  <c r="H168" i="7" s="1"/>
  <c r="E146" i="14" l="1"/>
  <c r="G146" i="14"/>
  <c r="J146" i="14"/>
  <c r="J172" i="7" s="1"/>
  <c r="E147" i="14"/>
  <c r="G147" i="14"/>
  <c r="J147" i="14"/>
  <c r="J173" i="7" s="1"/>
  <c r="E148" i="14"/>
  <c r="G148" i="14"/>
  <c r="J148" i="14"/>
  <c r="J174" i="7" s="1"/>
  <c r="E149" i="14"/>
  <c r="G149" i="14"/>
  <c r="J149" i="14"/>
  <c r="J175" i="7" s="1"/>
  <c r="D31" i="1"/>
  <c r="J145" i="14" l="1"/>
  <c r="G145" i="14"/>
  <c r="E145" i="14"/>
  <c r="J144" i="14"/>
  <c r="J170" i="7" s="1"/>
  <c r="G144" i="14"/>
  <c r="E144" i="14"/>
  <c r="J171" i="7" l="1"/>
  <c r="J143" i="14"/>
  <c r="J169" i="7" s="1"/>
  <c r="G143" i="14"/>
  <c r="E143" i="14"/>
  <c r="G142" i="14"/>
  <c r="J142" i="14" l="1"/>
  <c r="J168" i="7" s="1"/>
  <c r="E142" i="14"/>
  <c r="D30" i="1"/>
  <c r="D126" i="14" l="1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M102" i="14" l="1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3" i="14"/>
  <c r="H126" i="14"/>
  <c r="K126" i="14" s="1"/>
  <c r="H127" i="14"/>
  <c r="I153" i="7" s="1"/>
  <c r="H128" i="14"/>
  <c r="K128" i="14" s="1"/>
  <c r="H129" i="14"/>
  <c r="I155" i="7" s="1"/>
  <c r="H130" i="14"/>
  <c r="I156" i="7" s="1"/>
  <c r="H131" i="14"/>
  <c r="I157" i="7" s="1"/>
  <c r="H132" i="14"/>
  <c r="I158" i="7" s="1"/>
  <c r="H133" i="14"/>
  <c r="H134" i="14"/>
  <c r="I160" i="7" s="1"/>
  <c r="H135" i="14"/>
  <c r="I161" i="7" s="1"/>
  <c r="H136" i="14"/>
  <c r="I162" i="7" s="1"/>
  <c r="H137" i="14"/>
  <c r="I163" i="7" s="1"/>
  <c r="H138" i="14"/>
  <c r="I164" i="7" s="1"/>
  <c r="H139" i="14"/>
  <c r="I165" i="7" s="1"/>
  <c r="H140" i="14"/>
  <c r="I166" i="7" s="1"/>
  <c r="H141" i="14"/>
  <c r="I167" i="7" s="1"/>
  <c r="H152" i="7"/>
  <c r="H153" i="7"/>
  <c r="H154" i="7"/>
  <c r="H155" i="7"/>
  <c r="E130" i="14"/>
  <c r="H157" i="7"/>
  <c r="E132" i="14"/>
  <c r="H159" i="7"/>
  <c r="E134" i="14"/>
  <c r="H161" i="7"/>
  <c r="E136" i="14"/>
  <c r="H163" i="7"/>
  <c r="E138" i="14"/>
  <c r="H165" i="7"/>
  <c r="E140" i="14"/>
  <c r="H167" i="7"/>
  <c r="H125" i="14"/>
  <c r="I151" i="7" s="1"/>
  <c r="D125" i="14"/>
  <c r="H151" i="7" s="1"/>
  <c r="J129" i="14"/>
  <c r="J155" i="7" s="1"/>
  <c r="G20" i="5"/>
  <c r="G126" i="14" s="1"/>
  <c r="J128" i="14"/>
  <c r="J154" i="7" s="1"/>
  <c r="J127" i="14"/>
  <c r="J153" i="7" s="1"/>
  <c r="E127" i="14"/>
  <c r="J126" i="14"/>
  <c r="J152" i="7" s="1"/>
  <c r="E126" i="14"/>
  <c r="J141" i="14"/>
  <c r="J167" i="7" s="1"/>
  <c r="G21" i="5"/>
  <c r="G141" i="14" s="1"/>
  <c r="J140" i="14"/>
  <c r="J166" i="7" s="1"/>
  <c r="J139" i="14"/>
  <c r="J165" i="7" s="1"/>
  <c r="J138" i="14"/>
  <c r="J164" i="7" s="1"/>
  <c r="J137" i="14"/>
  <c r="J163" i="7" s="1"/>
  <c r="E137" i="14"/>
  <c r="J136" i="14"/>
  <c r="J162" i="7" s="1"/>
  <c r="G19" i="5"/>
  <c r="G136" i="14" s="1"/>
  <c r="J135" i="14"/>
  <c r="J161" i="7" s="1"/>
  <c r="J134" i="14"/>
  <c r="J160" i="7" s="1"/>
  <c r="J133" i="14"/>
  <c r="J159" i="7" s="1"/>
  <c r="E133" i="14"/>
  <c r="J132" i="14"/>
  <c r="J158" i="7" s="1"/>
  <c r="J131" i="14"/>
  <c r="J157" i="7" s="1"/>
  <c r="J130" i="14"/>
  <c r="J156" i="7" s="1"/>
  <c r="J125" i="14"/>
  <c r="J151" i="7" s="1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2" i="14"/>
  <c r="J150" i="7"/>
  <c r="D2" i="14"/>
  <c r="H2" i="7" s="1"/>
  <c r="D28" i="1"/>
  <c r="F28" i="1"/>
  <c r="D27" i="1"/>
  <c r="F27" i="1"/>
  <c r="D26" i="1"/>
  <c r="F26" i="1"/>
  <c r="D25" i="1"/>
  <c r="F25" i="1"/>
  <c r="D24" i="1"/>
  <c r="F24" i="1"/>
  <c r="D23" i="1"/>
  <c r="F23" i="1"/>
  <c r="H9" i="14"/>
  <c r="K9" i="14" s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2" i="1"/>
  <c r="F22" i="1"/>
  <c r="K119" i="14"/>
  <c r="K120" i="14"/>
  <c r="K121" i="14"/>
  <c r="D122" i="14"/>
  <c r="E122" i="14" s="1"/>
  <c r="J3" i="14"/>
  <c r="J5" i="7" s="1"/>
  <c r="J4" i="14"/>
  <c r="J12" i="7" s="1"/>
  <c r="J5" i="14"/>
  <c r="J13" i="7" s="1"/>
  <c r="J6" i="14"/>
  <c r="J20" i="7" s="1"/>
  <c r="J7" i="14"/>
  <c r="J8" i="14"/>
  <c r="J16" i="7" s="1"/>
  <c r="J9" i="14"/>
  <c r="J10" i="14"/>
  <c r="J24" i="7" s="1"/>
  <c r="J11" i="14"/>
  <c r="J25" i="7" s="1"/>
  <c r="J12" i="14"/>
  <c r="J26" i="7" s="1"/>
  <c r="J13" i="14"/>
  <c r="J27" i="7" s="1"/>
  <c r="J14" i="14"/>
  <c r="J15" i="14"/>
  <c r="J29" i="7"/>
  <c r="J16" i="14"/>
  <c r="J30" i="7" s="1"/>
  <c r="J17" i="14"/>
  <c r="J31" i="7" s="1"/>
  <c r="J18" i="14"/>
  <c r="J32" i="7" s="1"/>
  <c r="J19" i="14"/>
  <c r="J33" i="7" s="1"/>
  <c r="J20" i="14"/>
  <c r="J34" i="7" s="1"/>
  <c r="J21" i="14"/>
  <c r="J35" i="7" s="1"/>
  <c r="J22" i="14"/>
  <c r="J36" i="7" s="1"/>
  <c r="J23" i="14"/>
  <c r="J37" i="7" s="1"/>
  <c r="J24" i="14"/>
  <c r="J38" i="7" s="1"/>
  <c r="J25" i="14"/>
  <c r="J39" i="7" s="1"/>
  <c r="J26" i="14"/>
  <c r="J40" i="7" s="1"/>
  <c r="J27" i="14"/>
  <c r="J41" i="7" s="1"/>
  <c r="J28" i="14"/>
  <c r="J42" i="7" s="1"/>
  <c r="J29" i="14"/>
  <c r="J43" i="7" s="1"/>
  <c r="J30" i="14"/>
  <c r="J44" i="7" s="1"/>
  <c r="J31" i="14"/>
  <c r="J45" i="7" s="1"/>
  <c r="J32" i="14"/>
  <c r="J46" i="7" s="1"/>
  <c r="J33" i="14"/>
  <c r="J47" i="7" s="1"/>
  <c r="J34" i="14"/>
  <c r="J48" i="7" s="1"/>
  <c r="J35" i="14"/>
  <c r="J49" i="7" s="1"/>
  <c r="J36" i="14"/>
  <c r="J50" i="7" s="1"/>
  <c r="J37" i="14"/>
  <c r="J51" i="7" s="1"/>
  <c r="J38" i="14"/>
  <c r="J52" i="7" s="1"/>
  <c r="J39" i="14"/>
  <c r="J53" i="7" s="1"/>
  <c r="J40" i="14"/>
  <c r="J54" i="7" s="1"/>
  <c r="J41" i="14"/>
  <c r="J55" i="7" s="1"/>
  <c r="J42" i="14"/>
  <c r="J56" i="7" s="1"/>
  <c r="J43" i="14"/>
  <c r="J57" i="7" s="1"/>
  <c r="J44" i="14"/>
  <c r="J58" i="7" s="1"/>
  <c r="J45" i="14"/>
  <c r="J59" i="7" s="1"/>
  <c r="J46" i="14"/>
  <c r="J60" i="7" s="1"/>
  <c r="J47" i="14"/>
  <c r="J61" i="7" s="1"/>
  <c r="J48" i="14"/>
  <c r="J62" i="7" s="1"/>
  <c r="J49" i="14"/>
  <c r="J63" i="7" s="1"/>
  <c r="J50" i="14"/>
  <c r="J64" i="7" s="1"/>
  <c r="J51" i="14"/>
  <c r="J65" i="7" s="1"/>
  <c r="J52" i="14"/>
  <c r="J66" i="7" s="1"/>
  <c r="J53" i="14"/>
  <c r="J67" i="7" s="1"/>
  <c r="J54" i="14"/>
  <c r="J68" i="7" s="1"/>
  <c r="J55" i="14"/>
  <c r="J69" i="7" s="1"/>
  <c r="J56" i="14"/>
  <c r="J70" i="7" s="1"/>
  <c r="J57" i="14"/>
  <c r="J71" i="7" s="1"/>
  <c r="J58" i="14"/>
  <c r="J72" i="7" s="1"/>
  <c r="J59" i="14"/>
  <c r="J73" i="7" s="1"/>
  <c r="J60" i="14"/>
  <c r="J74" i="7" s="1"/>
  <c r="J61" i="14"/>
  <c r="J75" i="7" s="1"/>
  <c r="J62" i="14"/>
  <c r="J76" i="7" s="1"/>
  <c r="J63" i="14"/>
  <c r="J77" i="7" s="1"/>
  <c r="J64" i="14"/>
  <c r="J78" i="7" s="1"/>
  <c r="J65" i="14"/>
  <c r="J79" i="7" s="1"/>
  <c r="J66" i="14"/>
  <c r="J80" i="7" s="1"/>
  <c r="J67" i="14"/>
  <c r="J81" i="7" s="1"/>
  <c r="J68" i="14"/>
  <c r="J82" i="7" s="1"/>
  <c r="J69" i="14"/>
  <c r="J83" i="7" s="1"/>
  <c r="J70" i="14"/>
  <c r="J84" i="7" s="1"/>
  <c r="J71" i="14"/>
  <c r="J85" i="7" s="1"/>
  <c r="J72" i="14"/>
  <c r="J86" i="7" s="1"/>
  <c r="J73" i="14"/>
  <c r="J87" i="7" s="1"/>
  <c r="J74" i="14"/>
  <c r="J88" i="7" s="1"/>
  <c r="J75" i="14"/>
  <c r="J89" i="7" s="1"/>
  <c r="J76" i="14"/>
  <c r="J90" i="7" s="1"/>
  <c r="J77" i="14"/>
  <c r="J91" i="7" s="1"/>
  <c r="J78" i="14"/>
  <c r="J92" i="7" s="1"/>
  <c r="J79" i="14"/>
  <c r="J93" i="7" s="1"/>
  <c r="J80" i="14"/>
  <c r="J94" i="7" s="1"/>
  <c r="J81" i="14"/>
  <c r="J95" i="7" s="1"/>
  <c r="J82" i="14"/>
  <c r="J96" i="7" s="1"/>
  <c r="J83" i="14"/>
  <c r="J97" i="7" s="1"/>
  <c r="J84" i="14"/>
  <c r="J98" i="7" s="1"/>
  <c r="J85" i="14"/>
  <c r="J99" i="7" s="1"/>
  <c r="J86" i="14"/>
  <c r="J100" i="7" s="1"/>
  <c r="J87" i="14"/>
  <c r="J101" i="7" s="1"/>
  <c r="J88" i="14"/>
  <c r="J102" i="7" s="1"/>
  <c r="J89" i="14"/>
  <c r="J103" i="7" s="1"/>
  <c r="J90" i="14"/>
  <c r="J104" i="7" s="1"/>
  <c r="J91" i="14"/>
  <c r="J105" i="7" s="1"/>
  <c r="J92" i="14"/>
  <c r="J106" i="7" s="1"/>
  <c r="J93" i="14"/>
  <c r="J107" i="7" s="1"/>
  <c r="J94" i="14"/>
  <c r="J108" i="7" s="1"/>
  <c r="J95" i="14"/>
  <c r="J109" i="7" s="1"/>
  <c r="J96" i="14"/>
  <c r="J110" i="7" s="1"/>
  <c r="J97" i="14"/>
  <c r="J111" i="7" s="1"/>
  <c r="J98" i="14"/>
  <c r="J112" i="7" s="1"/>
  <c r="J99" i="14"/>
  <c r="J113" i="7" s="1"/>
  <c r="J100" i="14"/>
  <c r="J114" i="7" s="1"/>
  <c r="J101" i="14"/>
  <c r="J115" i="7" s="1"/>
  <c r="J102" i="14"/>
  <c r="J116" i="7" s="1"/>
  <c r="J103" i="14"/>
  <c r="J130" i="7" s="1"/>
  <c r="J104" i="14"/>
  <c r="J131" i="7" s="1"/>
  <c r="J105" i="14"/>
  <c r="J132" i="7" s="1"/>
  <c r="J106" i="14"/>
  <c r="J133" i="7" s="1"/>
  <c r="J107" i="14"/>
  <c r="J134" i="7" s="1"/>
  <c r="J108" i="14"/>
  <c r="J135" i="7" s="1"/>
  <c r="J109" i="14"/>
  <c r="J136" i="7" s="1"/>
  <c r="J110" i="14"/>
  <c r="J137" i="7" s="1"/>
  <c r="J111" i="14"/>
  <c r="J138" i="7"/>
  <c r="J112" i="14"/>
  <c r="J139" i="7" s="1"/>
  <c r="J113" i="14"/>
  <c r="J140" i="7" s="1"/>
  <c r="J114" i="14"/>
  <c r="J141" i="7" s="1"/>
  <c r="J115" i="14"/>
  <c r="J142" i="7" s="1"/>
  <c r="J116" i="14"/>
  <c r="J143" i="7" s="1"/>
  <c r="J117" i="14"/>
  <c r="J144" i="7" s="1"/>
  <c r="J118" i="14"/>
  <c r="J145" i="7" s="1"/>
  <c r="J119" i="14"/>
  <c r="J146" i="7" s="1"/>
  <c r="J120" i="14"/>
  <c r="J147" i="7" s="1"/>
  <c r="J121" i="14"/>
  <c r="J148" i="7" s="1"/>
  <c r="J122" i="14"/>
  <c r="J149" i="7" s="1"/>
  <c r="J2" i="14"/>
  <c r="J9" i="7" s="1"/>
  <c r="H2" i="14"/>
  <c r="I8" i="7" s="1"/>
  <c r="J7" i="7"/>
  <c r="I146" i="7"/>
  <c r="D2" i="1"/>
  <c r="F2" i="1"/>
  <c r="F3" i="1"/>
  <c r="H3" i="14"/>
  <c r="I11" i="7" s="1"/>
  <c r="F4" i="1"/>
  <c r="H4" i="14"/>
  <c r="I6" i="7" s="1"/>
  <c r="F5" i="1"/>
  <c r="H5" i="14"/>
  <c r="F6" i="1"/>
  <c r="H6" i="14"/>
  <c r="K6" i="14" s="1"/>
  <c r="F7" i="1"/>
  <c r="H7" i="14"/>
  <c r="K7" i="14" s="1"/>
  <c r="F8" i="1"/>
  <c r="H8" i="14"/>
  <c r="I16" i="7" s="1"/>
  <c r="F9" i="1"/>
  <c r="F10" i="1"/>
  <c r="H10" i="14"/>
  <c r="I24" i="7" s="1"/>
  <c r="F11" i="1"/>
  <c r="H11" i="14"/>
  <c r="I25" i="7" s="1"/>
  <c r="F12" i="1"/>
  <c r="H12" i="14"/>
  <c r="K12" i="14" s="1"/>
  <c r="F13" i="1"/>
  <c r="H13" i="14"/>
  <c r="I27" i="7" s="1"/>
  <c r="F16" i="1"/>
  <c r="H91" i="14"/>
  <c r="F15" i="1"/>
  <c r="H15" i="14"/>
  <c r="I29" i="7" s="1"/>
  <c r="H16" i="14"/>
  <c r="I30" i="7" s="1"/>
  <c r="F17" i="1"/>
  <c r="H17" i="14"/>
  <c r="I31" i="7" s="1"/>
  <c r="F18" i="1"/>
  <c r="H18" i="14"/>
  <c r="K18" i="14" s="1"/>
  <c r="F19" i="1"/>
  <c r="H19" i="14"/>
  <c r="I33" i="7" s="1"/>
  <c r="H20" i="14"/>
  <c r="I34" i="7" s="1"/>
  <c r="H21" i="14"/>
  <c r="I35" i="7" s="1"/>
  <c r="H22" i="14"/>
  <c r="I36" i="7" s="1"/>
  <c r="H23" i="14"/>
  <c r="I37" i="7" s="1"/>
  <c r="H24" i="14"/>
  <c r="H25" i="14"/>
  <c r="K25" i="14" s="1"/>
  <c r="H26" i="14"/>
  <c r="K26" i="14" s="1"/>
  <c r="H27" i="14"/>
  <c r="K27" i="14" s="1"/>
  <c r="H28" i="14"/>
  <c r="I42" i="7" s="1"/>
  <c r="H29" i="14"/>
  <c r="I43" i="7" s="1"/>
  <c r="H30" i="14"/>
  <c r="K30" i="14" s="1"/>
  <c r="H31" i="14"/>
  <c r="I45" i="7" s="1"/>
  <c r="H32" i="14"/>
  <c r="H33" i="14"/>
  <c r="I47" i="7" s="1"/>
  <c r="H34" i="14"/>
  <c r="K34" i="14" s="1"/>
  <c r="H35" i="14"/>
  <c r="I49" i="7" s="1"/>
  <c r="H36" i="14"/>
  <c r="I50" i="7" s="1"/>
  <c r="H37" i="14"/>
  <c r="I51" i="7" s="1"/>
  <c r="H38" i="14"/>
  <c r="I52" i="7" s="1"/>
  <c r="H39" i="14"/>
  <c r="K39" i="14" s="1"/>
  <c r="H40" i="14"/>
  <c r="H41" i="14"/>
  <c r="I55" i="7" s="1"/>
  <c r="H42" i="14"/>
  <c r="K42" i="14" s="1"/>
  <c r="H43" i="14"/>
  <c r="I57" i="7" s="1"/>
  <c r="H44" i="14"/>
  <c r="I58" i="7" s="1"/>
  <c r="H45" i="14"/>
  <c r="K45" i="14" s="1"/>
  <c r="H46" i="14"/>
  <c r="K46" i="14" s="1"/>
  <c r="H47" i="14"/>
  <c r="K47" i="14" s="1"/>
  <c r="H48" i="14"/>
  <c r="H49" i="14"/>
  <c r="K49" i="14" s="1"/>
  <c r="H50" i="14"/>
  <c r="K50" i="14" s="1"/>
  <c r="H51" i="14"/>
  <c r="I65" i="7" s="1"/>
  <c r="H52" i="14"/>
  <c r="I66" i="7" s="1"/>
  <c r="H53" i="14"/>
  <c r="I67" i="7" s="1"/>
  <c r="H54" i="14"/>
  <c r="K54" i="14" s="1"/>
  <c r="H55" i="14"/>
  <c r="I69" i="7" s="1"/>
  <c r="H56" i="14"/>
  <c r="H57" i="14"/>
  <c r="K57" i="14" s="1"/>
  <c r="H58" i="14"/>
  <c r="K58" i="14" s="1"/>
  <c r="H59" i="14"/>
  <c r="I73" i="7" s="1"/>
  <c r="H60" i="14"/>
  <c r="I74" i="7" s="1"/>
  <c r="H61" i="14"/>
  <c r="I75" i="7" s="1"/>
  <c r="H62" i="14"/>
  <c r="K62" i="14" s="1"/>
  <c r="H63" i="14"/>
  <c r="I77" i="7" s="1"/>
  <c r="H64" i="14"/>
  <c r="H65" i="14"/>
  <c r="I79" i="7" s="1"/>
  <c r="H66" i="14"/>
  <c r="K66" i="14" s="1"/>
  <c r="H67" i="14"/>
  <c r="H68" i="14"/>
  <c r="K68" i="14" s="1"/>
  <c r="H69" i="14"/>
  <c r="I83" i="7" s="1"/>
  <c r="H70" i="14"/>
  <c r="I84" i="7" s="1"/>
  <c r="H71" i="14"/>
  <c r="I85" i="7" s="1"/>
  <c r="H72" i="14"/>
  <c r="I86" i="7" s="1"/>
  <c r="H73" i="14"/>
  <c r="I87" i="7" s="1"/>
  <c r="H74" i="14"/>
  <c r="K74" i="14" s="1"/>
  <c r="H75" i="14"/>
  <c r="I89" i="7" s="1"/>
  <c r="H76" i="14"/>
  <c r="K76" i="14" s="1"/>
  <c r="H77" i="14"/>
  <c r="K77" i="14" s="1"/>
  <c r="H78" i="14"/>
  <c r="K78" i="14" s="1"/>
  <c r="H79" i="14"/>
  <c r="I93" i="7" s="1"/>
  <c r="H80" i="14"/>
  <c r="H81" i="14"/>
  <c r="I95" i="7" s="1"/>
  <c r="H82" i="14"/>
  <c r="K82" i="14" s="1"/>
  <c r="H83" i="14"/>
  <c r="H84" i="14"/>
  <c r="K84" i="14" s="1"/>
  <c r="H85" i="14"/>
  <c r="K85" i="14" s="1"/>
  <c r="H86" i="14"/>
  <c r="I100" i="7" s="1"/>
  <c r="H87" i="14"/>
  <c r="I101" i="7" s="1"/>
  <c r="H88" i="14"/>
  <c r="H89" i="14"/>
  <c r="I103" i="7" s="1"/>
  <c r="H90" i="14"/>
  <c r="K90" i="14" s="1"/>
  <c r="H92" i="14"/>
  <c r="H93" i="14"/>
  <c r="K93" i="14" s="1"/>
  <c r="H94" i="14"/>
  <c r="I108" i="7" s="1"/>
  <c r="H95" i="14"/>
  <c r="I109" i="7" s="1"/>
  <c r="H96" i="14"/>
  <c r="K96" i="14" s="1"/>
  <c r="H97" i="14"/>
  <c r="H98" i="14"/>
  <c r="I112" i="7" s="1"/>
  <c r="H99" i="14"/>
  <c r="K99" i="14" s="1"/>
  <c r="H100" i="14"/>
  <c r="I114" i="7" s="1"/>
  <c r="H101" i="14"/>
  <c r="K101" i="14" s="1"/>
  <c r="H102" i="14"/>
  <c r="I116" i="7" s="1"/>
  <c r="H103" i="14"/>
  <c r="K103" i="14" s="1"/>
  <c r="H104" i="14"/>
  <c r="K104" i="14" s="1"/>
  <c r="H105" i="14"/>
  <c r="I132" i="7" s="1"/>
  <c r="H106" i="14"/>
  <c r="I133" i="7" s="1"/>
  <c r="H107" i="14"/>
  <c r="I134" i="7" s="1"/>
  <c r="H108" i="14"/>
  <c r="H109" i="14"/>
  <c r="K109" i="14" s="1"/>
  <c r="H110" i="14"/>
  <c r="I137" i="7" s="1"/>
  <c r="H111" i="14"/>
  <c r="K111" i="14" s="1"/>
  <c r="H112" i="14"/>
  <c r="K112" i="14" s="1"/>
  <c r="H113" i="14"/>
  <c r="H114" i="14"/>
  <c r="K114" i="14" s="1"/>
  <c r="H115" i="14"/>
  <c r="K115" i="14" s="1"/>
  <c r="H116" i="14"/>
  <c r="K116" i="14" s="1"/>
  <c r="H117" i="14"/>
  <c r="K117" i="14" s="1"/>
  <c r="H118" i="14"/>
  <c r="K118" i="14" s="1"/>
  <c r="F20" i="1"/>
  <c r="I147" i="7"/>
  <c r="I148" i="7"/>
  <c r="F21" i="1"/>
  <c r="H122" i="14"/>
  <c r="I149" i="7" s="1"/>
  <c r="D3" i="14"/>
  <c r="E3" i="14" s="1"/>
  <c r="D4" i="14"/>
  <c r="H7" i="7" s="1"/>
  <c r="D5" i="14"/>
  <c r="E5" i="14" s="1"/>
  <c r="D6" i="14"/>
  <c r="H20" i="7" s="1"/>
  <c r="D7" i="14"/>
  <c r="H15" i="7" s="1"/>
  <c r="D8" i="14"/>
  <c r="H16" i="7" s="1"/>
  <c r="D9" i="14"/>
  <c r="H17" i="7" s="1"/>
  <c r="D10" i="14"/>
  <c r="H18" i="7" s="1"/>
  <c r="D11" i="14"/>
  <c r="H25" i="7" s="1"/>
  <c r="D12" i="14"/>
  <c r="E12" i="14" s="1"/>
  <c r="D13" i="14"/>
  <c r="H27" i="7" s="1"/>
  <c r="D91" i="14"/>
  <c r="H28" i="7" s="1"/>
  <c r="D15" i="14"/>
  <c r="E15" i="14" s="1"/>
  <c r="D16" i="14"/>
  <c r="E16" i="14" s="1"/>
  <c r="D17" i="14"/>
  <c r="H31" i="7" s="1"/>
  <c r="D18" i="14"/>
  <c r="H32" i="7" s="1"/>
  <c r="D19" i="14"/>
  <c r="E19" i="14" s="1"/>
  <c r="D20" i="14"/>
  <c r="E20" i="14" s="1"/>
  <c r="D21" i="14"/>
  <c r="H35" i="7" s="1"/>
  <c r="D22" i="14"/>
  <c r="E22" i="14" s="1"/>
  <c r="D23" i="14"/>
  <c r="E23" i="14" s="1"/>
  <c r="D24" i="14"/>
  <c r="H38" i="7" s="1"/>
  <c r="D25" i="14"/>
  <c r="E25" i="14" s="1"/>
  <c r="D26" i="14"/>
  <c r="H40" i="7" s="1"/>
  <c r="D27" i="14"/>
  <c r="H41" i="7" s="1"/>
  <c r="D28" i="14"/>
  <c r="H42" i="7" s="1"/>
  <c r="D29" i="14"/>
  <c r="E29" i="14" s="1"/>
  <c r="D30" i="14"/>
  <c r="H44" i="7" s="1"/>
  <c r="D31" i="14"/>
  <c r="E31" i="14" s="1"/>
  <c r="D32" i="14"/>
  <c r="H46" i="7" s="1"/>
  <c r="D33" i="14"/>
  <c r="H47" i="7" s="1"/>
  <c r="D34" i="14"/>
  <c r="H48" i="7" s="1"/>
  <c r="D35" i="14"/>
  <c r="H49" i="7" s="1"/>
  <c r="D36" i="14"/>
  <c r="H50" i="7" s="1"/>
  <c r="D37" i="14"/>
  <c r="E37" i="14" s="1"/>
  <c r="D38" i="14"/>
  <c r="H52" i="7" s="1"/>
  <c r="D39" i="14"/>
  <c r="E39" i="14" s="1"/>
  <c r="D40" i="14"/>
  <c r="H54" i="7" s="1"/>
  <c r="D41" i="14"/>
  <c r="H55" i="7" s="1"/>
  <c r="D42" i="14"/>
  <c r="H56" i="7" s="1"/>
  <c r="D43" i="14"/>
  <c r="D44" i="14"/>
  <c r="H58" i="7" s="1"/>
  <c r="D45" i="14"/>
  <c r="H59" i="7" s="1"/>
  <c r="D46" i="14"/>
  <c r="H60" i="7" s="1"/>
  <c r="D47" i="14"/>
  <c r="E47" i="14" s="1"/>
  <c r="D48" i="14"/>
  <c r="H62" i="7" s="1"/>
  <c r="D49" i="14"/>
  <c r="E49" i="14" s="1"/>
  <c r="D50" i="14"/>
  <c r="H64" i="7" s="1"/>
  <c r="D51" i="14"/>
  <c r="H65" i="7" s="1"/>
  <c r="D52" i="14"/>
  <c r="H66" i="7" s="1"/>
  <c r="D53" i="14"/>
  <c r="H67" i="7" s="1"/>
  <c r="D54" i="14"/>
  <c r="E54" i="14" s="1"/>
  <c r="D55" i="14"/>
  <c r="D56" i="14"/>
  <c r="H70" i="7" s="1"/>
  <c r="D57" i="14"/>
  <c r="E57" i="14" s="1"/>
  <c r="D58" i="14"/>
  <c r="H72" i="7" s="1"/>
  <c r="D59" i="14"/>
  <c r="D60" i="14"/>
  <c r="H74" i="7" s="1"/>
  <c r="D61" i="14"/>
  <c r="H75" i="7" s="1"/>
  <c r="D62" i="14"/>
  <c r="E62" i="14" s="1"/>
  <c r="D63" i="14"/>
  <c r="H77" i="7" s="1"/>
  <c r="D64" i="14"/>
  <c r="H78" i="7" s="1"/>
  <c r="D65" i="14"/>
  <c r="E65" i="14" s="1"/>
  <c r="D66" i="14"/>
  <c r="E66" i="14" s="1"/>
  <c r="D67" i="14"/>
  <c r="E67" i="14" s="1"/>
  <c r="D68" i="14"/>
  <c r="H82" i="7" s="1"/>
  <c r="D69" i="14"/>
  <c r="H83" i="7" s="1"/>
  <c r="D70" i="14"/>
  <c r="H84" i="7" s="1"/>
  <c r="D71" i="14"/>
  <c r="E71" i="14" s="1"/>
  <c r="D72" i="14"/>
  <c r="H86" i="7" s="1"/>
  <c r="D73" i="14"/>
  <c r="H87" i="7" s="1"/>
  <c r="D74" i="14"/>
  <c r="H88" i="7" s="1"/>
  <c r="D75" i="14"/>
  <c r="E75" i="14" s="1"/>
  <c r="D76" i="14"/>
  <c r="E76" i="14" s="1"/>
  <c r="D77" i="14"/>
  <c r="E77" i="14" s="1"/>
  <c r="D78" i="14"/>
  <c r="H92" i="7" s="1"/>
  <c r="D79" i="14"/>
  <c r="E79" i="14" s="1"/>
  <c r="D80" i="14"/>
  <c r="E80" i="14" s="1"/>
  <c r="D81" i="14"/>
  <c r="E81" i="14" s="1"/>
  <c r="D82" i="14"/>
  <c r="H96" i="7" s="1"/>
  <c r="D83" i="14"/>
  <c r="E83" i="14" s="1"/>
  <c r="D84" i="14"/>
  <c r="H98" i="7" s="1"/>
  <c r="D85" i="14"/>
  <c r="H99" i="7" s="1"/>
  <c r="D86" i="14"/>
  <c r="H100" i="7" s="1"/>
  <c r="D87" i="14"/>
  <c r="H101" i="7" s="1"/>
  <c r="D88" i="14"/>
  <c r="E88" i="14" s="1"/>
  <c r="D89" i="14"/>
  <c r="D90" i="14"/>
  <c r="H104" i="7" s="1"/>
  <c r="D92" i="14"/>
  <c r="E92" i="14" s="1"/>
  <c r="D93" i="14"/>
  <c r="H107" i="7" s="1"/>
  <c r="D94" i="14"/>
  <c r="H108" i="7" s="1"/>
  <c r="D95" i="14"/>
  <c r="H109" i="7" s="1"/>
  <c r="D96" i="14"/>
  <c r="D97" i="14"/>
  <c r="H111" i="7" s="1"/>
  <c r="D98" i="14"/>
  <c r="D99" i="14"/>
  <c r="H113" i="7" s="1"/>
  <c r="D100" i="14"/>
  <c r="H114" i="7" s="1"/>
  <c r="D101" i="14"/>
  <c r="H115" i="7" s="1"/>
  <c r="D102" i="14"/>
  <c r="E102" i="14" s="1"/>
  <c r="D103" i="14"/>
  <c r="H130" i="7" s="1"/>
  <c r="D104" i="14"/>
  <c r="D105" i="14"/>
  <c r="H132" i="7" s="1"/>
  <c r="D106" i="14"/>
  <c r="D107" i="14"/>
  <c r="H134" i="7" s="1"/>
  <c r="D108" i="14"/>
  <c r="D109" i="14"/>
  <c r="E109" i="14" s="1"/>
  <c r="D110" i="14"/>
  <c r="D111" i="14"/>
  <c r="H138" i="7" s="1"/>
  <c r="D112" i="14"/>
  <c r="E112" i="14" s="1"/>
  <c r="D113" i="14"/>
  <c r="H140" i="7" s="1"/>
  <c r="D114" i="14"/>
  <c r="D115" i="14"/>
  <c r="E115" i="14" s="1"/>
  <c r="D116" i="14"/>
  <c r="D117" i="14"/>
  <c r="E117" i="14" s="1"/>
  <c r="D118" i="14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F14" i="1"/>
  <c r="H14" i="14"/>
  <c r="K14" i="14" s="1"/>
  <c r="D14" i="14"/>
  <c r="E14" i="14" s="1"/>
  <c r="G16" i="5"/>
  <c r="G106" i="14" s="1"/>
  <c r="G122" i="14"/>
  <c r="G18" i="5"/>
  <c r="G29" i="14" s="1"/>
  <c r="E119" i="14"/>
  <c r="E120" i="14"/>
  <c r="E121" i="14"/>
  <c r="G2" i="30"/>
  <c r="F2" i="30"/>
  <c r="G17" i="5"/>
  <c r="G112" i="14" s="1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3" i="5"/>
  <c r="G20" i="14" s="1"/>
  <c r="G4" i="5"/>
  <c r="G121" i="14" s="1"/>
  <c r="G6" i="5"/>
  <c r="G48" i="14" s="1"/>
  <c r="G8" i="5"/>
  <c r="G40" i="14" s="1"/>
  <c r="G11" i="5"/>
  <c r="G24" i="14" s="1"/>
  <c r="G13" i="5"/>
  <c r="G62" i="14" s="1"/>
  <c r="G15" i="5"/>
  <c r="G72" i="14" s="1"/>
  <c r="G5" i="5"/>
  <c r="G81" i="14" s="1"/>
  <c r="G7" i="5"/>
  <c r="G45" i="14" s="1"/>
  <c r="G14" i="5"/>
  <c r="G52" i="14" s="1"/>
  <c r="G12" i="5"/>
  <c r="G61" i="14" s="1"/>
  <c r="D3" i="18"/>
  <c r="D4" i="18"/>
  <c r="D5" i="18"/>
  <c r="D6" i="18"/>
  <c r="D7" i="18"/>
  <c r="D8" i="18"/>
  <c r="D9" i="18"/>
  <c r="D10" i="18"/>
  <c r="D11" i="18"/>
  <c r="D2" i="18"/>
  <c r="G2" i="5"/>
  <c r="G119" i="14" s="1"/>
  <c r="G9" i="5"/>
  <c r="G10" i="5"/>
  <c r="I9" i="7"/>
  <c r="H11" i="7" l="1"/>
  <c r="G70" i="14"/>
  <c r="G109" i="14"/>
  <c r="G42" i="14"/>
  <c r="J8" i="7"/>
  <c r="J3" i="7"/>
  <c r="J2" i="7"/>
  <c r="J123" i="7"/>
  <c r="I143" i="7"/>
  <c r="H4" i="7"/>
  <c r="J28" i="7"/>
  <c r="J18" i="7"/>
  <c r="G26" i="14"/>
  <c r="G51" i="14"/>
  <c r="G21" i="14"/>
  <c r="G128" i="14"/>
  <c r="G35" i="14"/>
  <c r="G47" i="14"/>
  <c r="G107" i="14"/>
  <c r="G134" i="14"/>
  <c r="G99" i="14"/>
  <c r="G118" i="14"/>
  <c r="G105" i="14"/>
  <c r="G97" i="14"/>
  <c r="G125" i="14"/>
  <c r="G91" i="14"/>
  <c r="G96" i="14"/>
  <c r="G88" i="14"/>
  <c r="G31" i="14"/>
  <c r="G94" i="14"/>
  <c r="G27" i="14"/>
  <c r="G104" i="14"/>
  <c r="G86" i="14"/>
  <c r="G54" i="14"/>
  <c r="G78" i="14"/>
  <c r="G101" i="14"/>
  <c r="G85" i="14"/>
  <c r="G44" i="14"/>
  <c r="G50" i="14"/>
  <c r="K10" i="14"/>
  <c r="G79" i="14"/>
  <c r="H80" i="7"/>
  <c r="G33" i="14"/>
  <c r="G34" i="14"/>
  <c r="G89" i="14"/>
  <c r="G69" i="14"/>
  <c r="G41" i="14"/>
  <c r="G100" i="14"/>
  <c r="G77" i="14"/>
  <c r="G23" i="14"/>
  <c r="E58" i="14"/>
  <c r="G49" i="14"/>
  <c r="G60" i="14"/>
  <c r="G64" i="14"/>
  <c r="G76" i="14"/>
  <c r="H105" i="7"/>
  <c r="E70" i="14"/>
  <c r="G63" i="14"/>
  <c r="G92" i="14"/>
  <c r="G55" i="14"/>
  <c r="G59" i="14"/>
  <c r="G102" i="14"/>
  <c r="G80" i="14"/>
  <c r="G87" i="14"/>
  <c r="E91" i="14"/>
  <c r="I64" i="7"/>
  <c r="E11" i="14"/>
  <c r="G68" i="14"/>
  <c r="K19" i="14"/>
  <c r="G113" i="14"/>
  <c r="G98" i="14"/>
  <c r="G135" i="14"/>
  <c r="G138" i="14"/>
  <c r="G140" i="14"/>
  <c r="G46" i="14"/>
  <c r="G117" i="14"/>
  <c r="G116" i="14"/>
  <c r="G90" i="14"/>
  <c r="G28" i="14"/>
  <c r="G82" i="14"/>
  <c r="G43" i="14"/>
  <c r="G137" i="14"/>
  <c r="G127" i="14"/>
  <c r="G129" i="14"/>
  <c r="G83" i="14"/>
  <c r="G114" i="14"/>
  <c r="G115" i="14"/>
  <c r="G139" i="14"/>
  <c r="E73" i="14"/>
  <c r="I17" i="7"/>
  <c r="I5" i="7"/>
  <c r="I23" i="7"/>
  <c r="K43" i="14"/>
  <c r="I32" i="7"/>
  <c r="H97" i="7"/>
  <c r="I39" i="7"/>
  <c r="E8" i="14"/>
  <c r="E52" i="14"/>
  <c r="E100" i="14"/>
  <c r="K16" i="14"/>
  <c r="H22" i="7"/>
  <c r="H149" i="7"/>
  <c r="E90" i="14"/>
  <c r="H142" i="7"/>
  <c r="H26" i="7"/>
  <c r="I91" i="7"/>
  <c r="E101" i="14"/>
  <c r="I60" i="7"/>
  <c r="I113" i="7"/>
  <c r="E13" i="14"/>
  <c r="I7" i="7"/>
  <c r="K11" i="14"/>
  <c r="I122" i="7"/>
  <c r="E32" i="14"/>
  <c r="H36" i="7"/>
  <c r="E28" i="14"/>
  <c r="E35" i="14"/>
  <c r="E17" i="14"/>
  <c r="H24" i="7"/>
  <c r="H94" i="7"/>
  <c r="H68" i="7"/>
  <c r="H61" i="7"/>
  <c r="I110" i="7"/>
  <c r="I141" i="7"/>
  <c r="H13" i="7"/>
  <c r="I4" i="7"/>
  <c r="K3" i="14"/>
  <c r="H63" i="7"/>
  <c r="E56" i="14"/>
  <c r="K13" i="14"/>
  <c r="K33" i="14"/>
  <c r="I10" i="7"/>
  <c r="E99" i="14"/>
  <c r="K31" i="14"/>
  <c r="E46" i="14"/>
  <c r="H45" i="7"/>
  <c r="I76" i="7"/>
  <c r="E38" i="14"/>
  <c r="E53" i="14"/>
  <c r="E42" i="14"/>
  <c r="I44" i="7"/>
  <c r="K59" i="14"/>
  <c r="H123" i="7"/>
  <c r="K15" i="14"/>
  <c r="I61" i="7"/>
  <c r="I68" i="7"/>
  <c r="I131" i="7"/>
  <c r="I99" i="7"/>
  <c r="K71" i="14"/>
  <c r="I41" i="7"/>
  <c r="I71" i="7"/>
  <c r="J22" i="7"/>
  <c r="J6" i="7"/>
  <c r="K4" i="14"/>
  <c r="E26" i="14"/>
  <c r="H122" i="7"/>
  <c r="I145" i="7"/>
  <c r="E111" i="14"/>
  <c r="I14" i="7"/>
  <c r="K98" i="14"/>
  <c r="J126" i="7"/>
  <c r="K127" i="14"/>
  <c r="J4" i="7"/>
  <c r="H51" i="7"/>
  <c r="I26" i="7"/>
  <c r="K102" i="14"/>
  <c r="K61" i="14"/>
  <c r="I96" i="7"/>
  <c r="I12" i="7"/>
  <c r="E74" i="14"/>
  <c r="K105" i="14"/>
  <c r="H3" i="7"/>
  <c r="H102" i="7"/>
  <c r="H76" i="7"/>
  <c r="H43" i="7"/>
  <c r="H19" i="7"/>
  <c r="E107" i="14"/>
  <c r="H91" i="7"/>
  <c r="K95" i="14"/>
  <c r="I128" i="7"/>
  <c r="I63" i="7"/>
  <c r="K69" i="14"/>
  <c r="I104" i="7"/>
  <c r="I138" i="7"/>
  <c r="I125" i="7"/>
  <c r="K22" i="14"/>
  <c r="K8" i="14"/>
  <c r="K44" i="14"/>
  <c r="K20" i="14"/>
  <c r="H136" i="7"/>
  <c r="H30" i="7"/>
  <c r="H14" i="7"/>
  <c r="K125" i="14"/>
  <c r="J129" i="7"/>
  <c r="H85" i="7"/>
  <c r="E61" i="14"/>
  <c r="I127" i="7"/>
  <c r="E33" i="14"/>
  <c r="I82" i="7"/>
  <c r="J14" i="7"/>
  <c r="K5" i="14"/>
  <c r="E113" i="14"/>
  <c r="E68" i="14"/>
  <c r="H5" i="7"/>
  <c r="K28" i="14"/>
  <c r="I21" i="7"/>
  <c r="J128" i="7"/>
  <c r="E95" i="14"/>
  <c r="E44" i="14"/>
  <c r="J10" i="7"/>
  <c r="E50" i="14"/>
  <c r="H139" i="7"/>
  <c r="H81" i="7"/>
  <c r="E40" i="14"/>
  <c r="K107" i="14"/>
  <c r="E86" i="14"/>
  <c r="E6" i="14"/>
  <c r="I139" i="7"/>
  <c r="H95" i="7"/>
  <c r="I142" i="7"/>
  <c r="E85" i="14"/>
  <c r="I88" i="7"/>
  <c r="H10" i="7"/>
  <c r="I115" i="7"/>
  <c r="I121" i="7"/>
  <c r="K17" i="14"/>
  <c r="I19" i="7"/>
  <c r="H90" i="7"/>
  <c r="I53" i="7"/>
  <c r="J11" i="7"/>
  <c r="H117" i="7"/>
  <c r="E103" i="14"/>
  <c r="H127" i="7"/>
  <c r="H106" i="7"/>
  <c r="E64" i="14"/>
  <c r="H33" i="7"/>
  <c r="K51" i="14"/>
  <c r="E10" i="14"/>
  <c r="K122" i="14"/>
  <c r="K94" i="14"/>
  <c r="K65" i="14"/>
  <c r="E93" i="14"/>
  <c r="I119" i="7"/>
  <c r="K23" i="14"/>
  <c r="I144" i="7"/>
  <c r="I13" i="7"/>
  <c r="I15" i="7"/>
  <c r="K55" i="14"/>
  <c r="E60" i="14"/>
  <c r="E72" i="14"/>
  <c r="E84" i="14"/>
  <c r="H129" i="7"/>
  <c r="K110" i="14"/>
  <c r="H89" i="7"/>
  <c r="I130" i="7"/>
  <c r="E36" i="14"/>
  <c r="K73" i="14"/>
  <c r="K79" i="14"/>
  <c r="K35" i="14"/>
  <c r="I107" i="7"/>
  <c r="I2" i="7"/>
  <c r="K2" i="14"/>
  <c r="E9" i="14"/>
  <c r="H79" i="7"/>
  <c r="H34" i="7"/>
  <c r="K63" i="14"/>
  <c r="E125" i="14"/>
  <c r="E141" i="14"/>
  <c r="K129" i="14"/>
  <c r="H29" i="7"/>
  <c r="E45" i="14"/>
  <c r="K70" i="14"/>
  <c r="H71" i="7"/>
  <c r="K38" i="14"/>
  <c r="K106" i="14"/>
  <c r="E51" i="14"/>
  <c r="E21" i="14"/>
  <c r="I126" i="7"/>
  <c r="K29" i="14"/>
  <c r="K89" i="14"/>
  <c r="I22" i="7"/>
  <c r="E18" i="14"/>
  <c r="H12" i="7"/>
  <c r="E41" i="14"/>
  <c r="E135" i="14"/>
  <c r="E129" i="14"/>
  <c r="E30" i="14"/>
  <c r="E78" i="14"/>
  <c r="E27" i="14"/>
  <c r="H126" i="7"/>
  <c r="E24" i="14"/>
  <c r="K41" i="14"/>
  <c r="I40" i="7"/>
  <c r="H118" i="7"/>
  <c r="H23" i="7"/>
  <c r="E69" i="14"/>
  <c r="I90" i="7"/>
  <c r="H120" i="7"/>
  <c r="E4" i="14"/>
  <c r="I3" i="7"/>
  <c r="H144" i="7"/>
  <c r="H6" i="7"/>
  <c r="I159" i="7"/>
  <c r="G71" i="14"/>
  <c r="G93" i="14"/>
  <c r="G65" i="14"/>
  <c r="G95" i="14"/>
  <c r="G58" i="14"/>
  <c r="G22" i="14"/>
  <c r="H53" i="7"/>
  <c r="H93" i="7"/>
  <c r="E34" i="14"/>
  <c r="G56" i="14"/>
  <c r="G75" i="14"/>
  <c r="G30" i="14"/>
  <c r="G120" i="14"/>
  <c r="G32" i="14"/>
  <c r="G73" i="14"/>
  <c r="G37" i="14"/>
  <c r="G74" i="14"/>
  <c r="G66" i="14"/>
  <c r="I18" i="7"/>
  <c r="I92" i="7"/>
  <c r="I124" i="7"/>
  <c r="E82" i="14"/>
  <c r="K87" i="14"/>
  <c r="I56" i="7"/>
  <c r="I117" i="7"/>
  <c r="E87" i="14"/>
  <c r="K37" i="14"/>
  <c r="E63" i="14"/>
  <c r="G110" i="14"/>
  <c r="K21" i="14"/>
  <c r="K100" i="14"/>
  <c r="H21" i="7"/>
  <c r="I80" i="7"/>
  <c r="I98" i="7"/>
  <c r="I136" i="7"/>
  <c r="H8" i="7"/>
  <c r="H9" i="7"/>
  <c r="G39" i="14"/>
  <c r="G25" i="14"/>
  <c r="E131" i="14"/>
  <c r="G132" i="14"/>
  <c r="G133" i="14"/>
  <c r="E128" i="14"/>
  <c r="G130" i="14"/>
  <c r="G131" i="14"/>
  <c r="E139" i="14"/>
  <c r="H37" i="7"/>
  <c r="E105" i="14"/>
  <c r="G67" i="14"/>
  <c r="G38" i="14"/>
  <c r="G36" i="14"/>
  <c r="G84" i="14"/>
  <c r="G53" i="14"/>
  <c r="G57" i="14"/>
  <c r="H119" i="7"/>
  <c r="I48" i="7"/>
  <c r="I120" i="7"/>
  <c r="K86" i="14"/>
  <c r="H125" i="7"/>
  <c r="H128" i="7"/>
  <c r="K52" i="14"/>
  <c r="H124" i="7"/>
  <c r="H121" i="7"/>
  <c r="H39" i="7"/>
  <c r="I72" i="7"/>
  <c r="G103" i="14"/>
  <c r="G111" i="14"/>
  <c r="G108" i="14"/>
  <c r="K81" i="14"/>
  <c r="E7" i="14"/>
  <c r="E97" i="14"/>
  <c r="K60" i="14"/>
  <c r="K36" i="14"/>
  <c r="K53" i="14"/>
  <c r="I59" i="7"/>
  <c r="E2" i="14"/>
  <c r="E94" i="14"/>
  <c r="H116" i="7"/>
  <c r="K72" i="14"/>
  <c r="H131" i="7"/>
  <c r="E104" i="14"/>
  <c r="H110" i="7"/>
  <c r="E96" i="14"/>
  <c r="H73" i="7"/>
  <c r="E59" i="14"/>
  <c r="K108" i="14"/>
  <c r="I135" i="7"/>
  <c r="I97" i="7"/>
  <c r="K83" i="14"/>
  <c r="I94" i="7"/>
  <c r="K80" i="14"/>
  <c r="I20" i="7"/>
  <c r="I118" i="7"/>
  <c r="I123" i="7"/>
  <c r="I129" i="7"/>
  <c r="J19" i="7"/>
  <c r="J122" i="7"/>
  <c r="J117" i="7"/>
  <c r="J127" i="7"/>
  <c r="H141" i="7"/>
  <c r="E114" i="14"/>
  <c r="H133" i="7"/>
  <c r="E106" i="14"/>
  <c r="E98" i="14"/>
  <c r="H112" i="7"/>
  <c r="E89" i="14"/>
  <c r="H103" i="7"/>
  <c r="K113" i="14"/>
  <c r="I140" i="7"/>
  <c r="I106" i="7"/>
  <c r="K92" i="14"/>
  <c r="I102" i="7"/>
  <c r="K88" i="14"/>
  <c r="I28" i="7"/>
  <c r="I105" i="7"/>
  <c r="K91" i="14"/>
  <c r="J21" i="7"/>
  <c r="J15" i="7"/>
  <c r="J124" i="7"/>
  <c r="J119" i="7"/>
  <c r="E48" i="14"/>
  <c r="K75" i="14"/>
  <c r="H143" i="7"/>
  <c r="E116" i="14"/>
  <c r="H135" i="7"/>
  <c r="E108" i="14"/>
  <c r="E55" i="14"/>
  <c r="H69" i="7"/>
  <c r="H57" i="7"/>
  <c r="E43" i="14"/>
  <c r="K97" i="14"/>
  <c r="I111" i="7"/>
  <c r="I81" i="7"/>
  <c r="K67" i="14"/>
  <c r="K64" i="14"/>
  <c r="I78" i="7"/>
  <c r="I70" i="7"/>
  <c r="K56" i="14"/>
  <c r="K48" i="14"/>
  <c r="I62" i="7"/>
  <c r="I54" i="7"/>
  <c r="K40" i="14"/>
  <c r="I46" i="7"/>
  <c r="K32" i="14"/>
  <c r="I38" i="7"/>
  <c r="K24" i="14"/>
  <c r="J23" i="7"/>
  <c r="J121" i="7"/>
  <c r="J118" i="7"/>
  <c r="J120" i="7"/>
  <c r="J17" i="7"/>
  <c r="J125" i="7"/>
  <c r="H145" i="7"/>
  <c r="E118" i="14"/>
  <c r="H137" i="7"/>
  <c r="E110" i="14"/>
  <c r="H166" i="7"/>
  <c r="H164" i="7"/>
  <c r="H162" i="7"/>
  <c r="H160" i="7"/>
  <c r="H158" i="7"/>
  <c r="H156" i="7"/>
  <c r="I154" i="7"/>
  <c r="I152" i="7"/>
  <c r="K10" i="7" l="1" a="1"/>
  <c r="K10" i="7" s="1"/>
  <c r="K26" i="7" a="1"/>
  <c r="K26" i="7" s="1"/>
  <c r="K76" i="7" a="1"/>
  <c r="K76" i="7" s="1"/>
  <c r="K6" i="7" a="1"/>
  <c r="K6" i="7" s="1"/>
  <c r="K75" i="7" a="1"/>
  <c r="K75" i="7" s="1"/>
  <c r="K19" i="7" a="1"/>
  <c r="K19" i="7" s="1"/>
  <c r="K43" i="7" a="1"/>
  <c r="K43" i="7" s="1"/>
  <c r="K41" i="7" a="1"/>
  <c r="K41" i="7" s="1"/>
  <c r="K11" i="7" a="1"/>
  <c r="K11" i="7" s="1"/>
  <c r="L4" i="7" a="1"/>
  <c r="L4" i="7" s="1"/>
  <c r="K77" i="7" a="1"/>
  <c r="K77" i="7" s="1"/>
  <c r="K7" i="7" a="1"/>
  <c r="K7" i="7" s="1"/>
  <c r="L5" i="7" a="1"/>
  <c r="L5" i="7" s="1"/>
  <c r="K42" i="7" a="1"/>
  <c r="K42" i="7" s="1"/>
  <c r="K20" i="7" a="1"/>
  <c r="K20" i="7" s="1"/>
  <c r="K30" i="7" a="1"/>
  <c r="K30" i="7" s="1"/>
  <c r="K12" i="7" a="1"/>
  <c r="K12" i="7" s="1"/>
  <c r="K44" i="7" a="1"/>
  <c r="K44" i="7" s="1"/>
  <c r="K27" i="7" a="1"/>
  <c r="K27" i="7" s="1"/>
  <c r="K9" i="7" a="1"/>
  <c r="K9" i="7" s="1"/>
  <c r="K23" i="7" a="1"/>
  <c r="K23" i="7" s="1"/>
  <c r="K25" i="7" a="1"/>
  <c r="K25" i="7" s="1"/>
  <c r="K8" i="7" a="1"/>
  <c r="K8" i="7" s="1"/>
  <c r="K31" i="7" a="1"/>
  <c r="K31" i="7" s="1"/>
  <c r="K22" i="7" a="1"/>
  <c r="K22" i="7" s="1"/>
  <c r="K21" i="7" a="1"/>
  <c r="K21" i="7" s="1"/>
  <c r="K24" i="7" a="1"/>
  <c r="K24" i="7" s="1"/>
  <c r="K84" i="7" a="1"/>
  <c r="K84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<sst xmlns="http://schemas.openxmlformats.org/spreadsheetml/2006/main" count="680" uniqueCount="410">
  <si>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</si>
  <si>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</si>
  <si>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</si>
  <si>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</si>
  <si>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</si>
  <si>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</si>
  <si>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</si>
  <si>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</si>
  <si>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</si>
  <si>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</si>
  <si>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</si>
  <si>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</si>
  <si>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</si>
  <si>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</si>
  <si>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</si>
  <si>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</si>
  <si>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</si>
  <si>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</si>
  <si>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</si>
  <si>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</si>
  <si>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</si>
  <si>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</si>
  <si>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</si>
  <si>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</si>
  <si>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</si>
  <si>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</si>
  <si>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</si>
  <si>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base_id|基础鱼id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</si>
  <si>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</si>
  <si>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</si>
  <si>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</si>
  <si>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</si>
  <si>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</si>
  <si>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</si>
  <si>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</si>
  <si>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</si>
  <si>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</si>
  <si>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</si>
  <si>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</si>
  <si>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</si>
  <si>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</si>
  <si>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</si>
  <si>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</si>
  <si>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</si>
  <si>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</si>
  <si>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</si>
  <si>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</si>
  <si>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</si>
  <si>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</si>
  <si>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</si>
  <si>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</si>
  <si>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</si>
  <si>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</si>
  <si>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</si>
  <si>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</si>
  <si>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</si>
  <si>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</si>
  <si>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</si>
  <si>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</si>
  <si>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</si>
  <si>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</si>
  <si>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</si>
  <si>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</si>
  <si>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</si>
  <si>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</si>
  <si>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</si>
  <si>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</si>
  <si>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</si>
  <si>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</si>
  <si>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</si>
  <si>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</si>
  <si>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</si>
  <si>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</si>
  <si>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</si>
  <si>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</si>
  <si>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</si>
  <si>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</si>
  <si>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</si>
  <si>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</si>
  <si>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</si>
  <si>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</si>
  <si>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</si>
  <si>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</si>
  <si>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</si>
  <si>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</si>
  <si>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</si>
  <si>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</si>
  <si>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</si>
  <si>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</si>
  <si>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</si>
  <si>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</si>
  <si>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</si>
  <si>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</si>
  <si>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</si>
  <si>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</si>
  <si>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</si>
  <si>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</si>
  <si>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</si>
  <si>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</si>
  <si>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</si>
  <si>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</si>
  <si>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</si>
  <si>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</si>
  <si>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</si>
  <si>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</si>
  <si>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</si>
  <si>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</si>
  <si>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</si>
  <si>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</si>
  <si>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</si>
  <si>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</si>
  <si>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</si>
  <si>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</si>
  <si>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</si>
  <si>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</si>
  <si>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</si>
  <si>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</si>
  <si>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</si>
  <si>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</si>
  <si>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</si>
  <si>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</si>
  <si>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</si>
  <si>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</si>
  <si>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</si>
  <si>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</si>
  <si>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</si>
  <si>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</si>
  <si>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</si>
  <si>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</si>
  <si>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</si>
  <si>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</si>
  <si>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</si>
  <si>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</si>
  <si>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</si>
  <si>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</si>
  <si>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</si>
  <si>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</si>
  <si>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</si>
  <si>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</si>
  <si>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</si>
  <si>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</si>
  <si>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</si>
  <si>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</si>
  <si>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</si>
  <si>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</si>
  <si>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</si>
  <si>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</si>
  <si>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</si>
  <si>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</si>
  <si>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</si>
  <si>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</si>
  <si>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</si>
  <si>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</si>
  <si>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</si>
  <si>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</si>
  <si>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</si>
  <si>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</si>
  <si>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</si>
  <si>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</si>
  <si>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</si>
  <si>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</si>
  <si>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</si>
  <si>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</si>
  <si>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</si>
  <si>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</si>
  <si>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</si>
  <si>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</si>
  <si>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</si>
  <si>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</si>
  <si>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</si>
  <si>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</si>
  <si>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</si>
  <si>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</si>
  <si>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50,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</si>
  <si>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</si>
  <si>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</si>
  <si>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</si>
  <si>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</si>
  <si>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</si>
  <si>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</si>
  <si>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</si>
  <si>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</si>
  <si>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</si>
  <si>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</si>
  <si>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</si>
  <si>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</si>
  <si>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</si>
  <si>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</si>
  <si>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</si>
  <si>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</si>
  <si>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</si>
  <si>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</si>
  <si>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</si>
  <si>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</si>
  <si>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</si>
  <si>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</si>
  <si>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</si>
  <si>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</si>
  <si>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</si>
  <si>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</si>
  <si>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</si>
  <si>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</si>
  <si>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</si>
  <si>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</si>
  <si>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</si>
  <si>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</si>
  <si>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</si>
  <si>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</si>
  <si>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</si>
  <si>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</si>
  <si>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</si>
  <si>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63,</t>
    <phoneticPr fontId="1" type="noConversion"/>
  </si>
  <si>
    <t>63,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</si>
  <si>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</si>
  <si>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</si>
  <si>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</si>
  <si>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</si>
  <si>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</si>
  <si>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</si>
  <si>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</si>
  <si>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63,2,</t>
    <phoneticPr fontId="1" type="noConversion"/>
  </si>
  <si>
    <t>0.01,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</si>
  <si>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</si>
  <si>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</si>
  <si>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</si>
  <si>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</si>
  <si>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</si>
  <si>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</si>
  <si>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</si>
  <si>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</si>
  <si>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</si>
  <si>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</si>
  <si>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</si>
  <si>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</si>
  <si>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</si>
  <si>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</si>
  <si>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</si>
  <si>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</si>
  <si>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</si>
  <si>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</si>
  <si>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</si>
  <si>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</si>
  <si>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</si>
  <si>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</si>
  <si>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</si>
  <si>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</si>
  <si>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贝壳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</si>
  <si>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</si>
  <si>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</si>
  <si>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1,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</si>
  <si>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</si>
  <si>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</si>
  <si>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</si>
  <si>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</si>
  <si>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</si>
  <si>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</si>
  <si>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</si>
  <si>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</si>
  <si>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</si>
  <si>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</si>
  <si>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</si>
  <si>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</si>
  <si>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</si>
  <si>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</si>
  <si>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</si>
  <si>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</si>
  <si>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宝箱鱼</t>
    <phoneticPr fontId="1" type="noConversion"/>
  </si>
  <si>
    <t>118,</t>
    <phoneticPr fontId="1" type="noConversion"/>
  </si>
  <si>
    <t>119,</t>
  </si>
  <si>
    <t>120,</t>
  </si>
  <si>
    <t>0.5,455,1,240,1.5,155,2,150</t>
    <phoneticPr fontId="1" type="noConversion"/>
  </si>
  <si>
    <t>0.1,527,0,0,0,0,2,473</t>
    <phoneticPr fontId="1" type="noConversion"/>
  </si>
  <si>
    <t>fish_yutu_random_2</t>
    <phoneticPr fontId="1" type="noConversion"/>
  </si>
  <si>
    <t>黄金龙</t>
    <phoneticPr fontId="1" type="noConversion"/>
  </si>
  <si>
    <t>121,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</si>
  <si>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</si>
  <si>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</si>
  <si>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</si>
  <si>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</si>
  <si>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</si>
  <si>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</si>
  <si>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</si>
  <si>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</si>
  <si>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</si>
  <si>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</si>
  <si>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</si>
  <si>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</si>
  <si>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</si>
  <si>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</si>
  <si>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box_fish_activity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</si>
  <si>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</si>
  <si>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</si>
  <si>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</si>
  <si>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贝壳鱼</t>
    <phoneticPr fontId="1" type="noConversion"/>
  </si>
  <si>
    <t>60,10,10</t>
    <phoneticPr fontId="1" type="noConversion"/>
  </si>
  <si>
    <t>贝壳鱼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</si>
  <si>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</si>
  <si>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</si>
  <si>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</si>
  <si>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</si>
  <si>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</si>
  <si>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</si>
  <si>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</si>
  <si>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</si>
  <si>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</si>
  <si>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</si>
  <si>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</si>
  <si>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</si>
  <si>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</si>
  <si>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</si>
  <si>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guding</t>
    <phoneticPr fontId="1" type="noConversion"/>
  </si>
  <si>
    <t>guding</t>
    <phoneticPr fontId="1" type="noConversion"/>
  </si>
  <si>
    <t>fish_yutu_gd_1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</si>
  <si>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</si>
  <si>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</si>
  <si>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</si>
  <si>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</si>
  <si>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</si>
  <si>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</si>
  <si>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</si>
  <si>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</si>
  <si>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</si>
  <si>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</si>
  <si>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</si>
  <si>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</si>
  <si>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</si>
  <si>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</si>
  <si>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</si>
  <si>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</si>
  <si>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</si>
  <si>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</si>
  <si>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</si>
  <si>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</si>
  <si>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</si>
  <si>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</si>
  <si>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</si>
  <si>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</si>
  <si>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</si>
  <si>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胖胖鱼</t>
    <phoneticPr fontId="1" type="noConversion"/>
  </si>
  <si>
    <t>胖胖鱼</t>
    <phoneticPr fontId="1" type="noConversion"/>
  </si>
  <si>
    <t>123,</t>
    <phoneticPr fontId="1" type="noConversion"/>
  </si>
  <si>
    <t>broadcast|广播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</si>
  <si>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</si>
  <si>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</si>
  <si>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</si>
  <si>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</si>
  <si>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</si>
  <si>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124,</t>
    <phoneticPr fontId="1" type="noConversion"/>
  </si>
  <si>
    <t>125,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</si>
  <si>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</si>
  <si>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</si>
  <si>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</si>
  <si>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</si>
  <si>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</si>
  <si>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</si>
  <si>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</si>
  <si>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133,</t>
    <phoneticPr fontId="1" type="noConversion"/>
  </si>
  <si>
    <t>134,</t>
  </si>
  <si>
    <t>135,</t>
  </si>
  <si>
    <t>136,</t>
  </si>
  <si>
    <t>137,</t>
  </si>
  <si>
    <t>138,</t>
  </si>
  <si>
    <t>139,</t>
  </si>
  <si>
    <t>140,</t>
  </si>
  <si>
    <t>28,29,30,31,32,</t>
    <phoneticPr fontId="1" type="noConversion"/>
  </si>
  <si>
    <t>150,</t>
    <phoneticPr fontId="1" type="noConversion"/>
  </si>
  <si>
    <t>20,40,140,</t>
    <phoneticPr fontId="1" type="noConversion"/>
  </si>
  <si>
    <t>10,30,160,</t>
  </si>
  <si>
    <t>10,30,160,</t>
    <phoneticPr fontId="1" type="noConversion"/>
  </si>
  <si>
    <t>0.05,0.025,0.007143</t>
    <phoneticPr fontId="1" type="noConversion"/>
  </si>
  <si>
    <t>20,40,140,</t>
    <phoneticPr fontId="1" type="noConversion"/>
  </si>
  <si>
    <t>神灯</t>
    <phoneticPr fontId="1" type="noConversion"/>
  </si>
  <si>
    <t>63,2</t>
    <phoneticPr fontId="1" type="noConversion"/>
  </si>
  <si>
    <t>60,90</t>
    <phoneticPr fontId="1" type="noConversion"/>
  </si>
  <si>
    <t>财神</t>
    <phoneticPr fontId="1" type="noConversion"/>
  </si>
  <si>
    <t>141,</t>
  </si>
  <si>
    <t>财神</t>
    <phoneticPr fontId="1" type="noConversion"/>
  </si>
  <si>
    <t>142,</t>
  </si>
  <si>
    <t>0,50</t>
    <phoneticPr fontId="1" type="noConversion"/>
  </si>
  <si>
    <t>100,150</t>
    <phoneticPr fontId="1" type="noConversion"/>
  </si>
  <si>
    <t>200,250</t>
    <phoneticPr fontId="1" type="noConversion"/>
  </si>
  <si>
    <t>143,</t>
  </si>
  <si>
    <t>144,</t>
  </si>
  <si>
    <t>300,450</t>
    <phoneticPr fontId="1" type="noConversion"/>
  </si>
  <si>
    <t>固定原子彈</t>
    <phoneticPr fontId="1" type="noConversion"/>
  </si>
  <si>
    <t>固定超級原子彈</t>
    <phoneticPr fontId="1" type="noConversion"/>
  </si>
  <si>
    <t>顶级全屏炸弹</t>
    <phoneticPr fontId="1" type="noConversion"/>
  </si>
  <si>
    <t>次级全屏炸弹</t>
    <phoneticPr fontId="1" type="noConversion"/>
  </si>
  <si>
    <t>ID</t>
    <phoneticPr fontId="1" type="noConversion"/>
  </si>
  <si>
    <t>1,190,</t>
    <phoneticPr fontId="1" type="noConversion"/>
  </si>
  <si>
    <t>1,475,</t>
    <phoneticPr fontId="1" type="noConversion"/>
  </si>
  <si>
    <t>亲嘴鱼</t>
    <phoneticPr fontId="1" type="noConversion"/>
  </si>
  <si>
    <t>145,</t>
    <phoneticPr fontId="1" type="noConversion"/>
  </si>
  <si>
    <t>146,</t>
  </si>
  <si>
    <t>147,</t>
  </si>
  <si>
    <t>148,</t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</si>
  <si>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</si>
  <si>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</si>
  <si>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</si>
  <si>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</si>
  <si>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"prop_031_aster",0,0.05,</t>
    <phoneticPr fontId="1" type="noConversion"/>
  </si>
  <si>
    <t>149,</t>
    <phoneticPr fontId="1" type="noConversion"/>
  </si>
  <si>
    <t>150,</t>
    <phoneticPr fontId="1" type="noConversion"/>
  </si>
  <si>
    <t>151,</t>
    <phoneticPr fontId="1" type="noConversion"/>
  </si>
  <si>
    <t>152,</t>
    <phoneticPr fontId="1" type="noConversion"/>
  </si>
  <si>
    <t>153,</t>
    <phoneticPr fontId="1" type="noConversion"/>
  </si>
  <si>
    <t>154,</t>
    <phoneticPr fontId="1" type="noConversion"/>
  </si>
  <si>
    <t>155,</t>
    <phoneticPr fontId="1" type="noConversion"/>
  </si>
  <si>
    <t>156,</t>
    <phoneticPr fontId="1" type="noConversion"/>
  </si>
  <si>
    <t>tax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</si>
</sst>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6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Border="1" applyAlignment="1">
      <alignment horizontal="center" vertical="center"/>
    </xf>
    <xf numFmtId="0" fontId="0" fillId="0" borderId="0" xfId="0" applyAlignment="1">
      <alignment horizontal="righ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abSelected="1" workbookViewId="0">
      <selection activeCell="B1" sqref="B1:B104857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30</v>
      </c>
      <c r="B1" s="1" t="s">
        <v>409</v>
      </c>
      <c r="C1" s="1" t="s">
        <v>31</v>
      </c>
      <c r="D1" s="1" t="s">
        <v>32</v>
      </c>
      <c r="E1" s="1" t="s">
        <v>238</v>
      </c>
    </row>
    <row r="2" spans="1:5" x14ac:dyDescent="0.2">
      <c r="A2">
        <v>1</v>
      </c>
      <c r="B2" s="6">
        <v>0.02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0.02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0.02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0.02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0.02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0.02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0.02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0.02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0.02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0.02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3.2000000000000001E-2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3.2000000000000001E-2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3.2000000000000001E-2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3.2000000000000001E-2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3.2000000000000001E-2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3.2000000000000001E-2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3.2000000000000001E-2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3.2000000000000001E-2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3.2000000000000001E-2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3.2000000000000001E-2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3.2000000000000001E-2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3.2000000000000001E-2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3.2000000000000001E-2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3.2000000000000001E-2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3.2000000000000001E-2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3.2000000000000001E-2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3.2000000000000001E-2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3.2000000000000001E-2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3.2000000000000001E-2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3.2000000000000001E-2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3.2000000000000001E-2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3.2000000000000001E-2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3.2000000000000001E-2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3.2000000000000001E-2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3.2000000000000001E-2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3.2000000000000001E-2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3.2000000000000001E-2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3.2000000000000001E-2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3.2000000000000001E-2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3.2000000000000001E-2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29" sqref="C29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239</v>
      </c>
      <c r="B1" s="2" t="s">
        <v>240</v>
      </c>
      <c r="C1" s="2" t="s">
        <v>241</v>
      </c>
      <c r="D1" s="2" t="s">
        <v>242</v>
      </c>
      <c r="E1" s="2" t="s">
        <v>243</v>
      </c>
      <c r="F1" s="2" t="s">
        <v>244</v>
      </c>
      <c r="G1" s="2" t="s">
        <v>245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24</v>
      </c>
      <c r="B1" s="1" t="s">
        <v>33</v>
      </c>
      <c r="C1" s="1" t="s">
        <v>34</v>
      </c>
      <c r="D1" s="1" t="s">
        <v>35</v>
      </c>
      <c r="E1" s="1" t="s">
        <v>36</v>
      </c>
      <c r="F1" t="s">
        <v>42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3"/>
  <sheetViews>
    <sheetView zoomScaleNormal="100" workbookViewId="0">
      <selection activeCell="C8" sqref="C8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24</v>
      </c>
      <c r="B1" s="1" t="s">
        <v>298</v>
      </c>
      <c r="C1" s="1" t="s">
        <v>302</v>
      </c>
      <c r="D1" s="1" t="s">
        <v>303</v>
      </c>
      <c r="E1" s="1" t="s">
        <v>314</v>
      </c>
      <c r="F1" s="1" t="s">
        <v>316</v>
      </c>
      <c r="G1" s="1" t="s">
        <v>313</v>
      </c>
    </row>
    <row r="2" spans="1:7" x14ac:dyDescent="0.2">
      <c r="A2" s="2">
        <v>1</v>
      </c>
      <c r="B2" s="2" t="s">
        <v>307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309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1"/>
  <sheetViews>
    <sheetView workbookViewId="0">
      <selection activeCell="C11" sqref="C11"/>
    </sheetView>
  </sheetViews>
  <sheetFormatPr defaultColWidth="8.875" defaultRowHeight="14.25" x14ac:dyDescent="0.2"/>
  <cols>
    <col min="2" max="2" width="19.375" customWidth="1"/>
    <col min="7" max="7" width="14.875" customWidth="1"/>
    <col min="9" max="9" width="11.5" customWidth="1"/>
    <col min="10" max="10" width="11.625" customWidth="1"/>
  </cols>
  <sheetData>
    <row r="1" spans="1:12" s="2" customFormat="1" ht="38.25" customHeight="1" x14ac:dyDescent="0.2">
      <c r="A1" s="1" t="s">
        <v>24</v>
      </c>
      <c r="B1" s="1" t="s">
        <v>296</v>
      </c>
      <c r="C1" s="1" t="s">
        <v>297</v>
      </c>
      <c r="D1" s="1" t="s">
        <v>299</v>
      </c>
      <c r="E1" s="1" t="s">
        <v>300</v>
      </c>
      <c r="F1" s="1" t="s">
        <v>301</v>
      </c>
      <c r="G1" s="1" t="s">
        <v>302</v>
      </c>
      <c r="H1" s="1" t="s">
        <v>304</v>
      </c>
      <c r="I1" s="1" t="s">
        <v>305</v>
      </c>
      <c r="J1" s="1" t="s">
        <v>315</v>
      </c>
      <c r="K1" s="1" t="s">
        <v>306</v>
      </c>
      <c r="L1" s="1"/>
    </row>
    <row r="2" spans="1:12" x14ac:dyDescent="0.2">
      <c r="A2" s="2">
        <v>1</v>
      </c>
      <c r="B2" s="2" t="s">
        <v>272</v>
      </c>
      <c r="C2" s="2">
        <v>1</v>
      </c>
      <c r="D2" t="s">
        <v>307</v>
      </c>
      <c r="E2" s="2">
        <v>3000</v>
      </c>
      <c r="F2" s="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308</v>
      </c>
      <c r="C3" s="2">
        <v>1</v>
      </c>
      <c r="D3" t="s">
        <v>310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308</v>
      </c>
      <c r="C4" s="2">
        <v>2</v>
      </c>
      <c r="D4" t="s">
        <v>309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308</v>
      </c>
      <c r="C5" s="2">
        <v>3</v>
      </c>
      <c r="D5" t="s">
        <v>310</v>
      </c>
      <c r="E5" s="2">
        <v>530</v>
      </c>
      <c r="F5" s="2">
        <v>530</v>
      </c>
      <c r="G5" s="4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308</v>
      </c>
      <c r="C6" s="2">
        <v>4</v>
      </c>
      <c r="D6" t="s">
        <v>309</v>
      </c>
      <c r="E6" s="2">
        <v>650</v>
      </c>
      <c r="F6" s="2">
        <v>650</v>
      </c>
      <c r="G6" s="4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308</v>
      </c>
      <c r="C7" s="2">
        <v>5</v>
      </c>
      <c r="D7" t="s">
        <v>309</v>
      </c>
      <c r="E7" s="2">
        <v>1035</v>
      </c>
      <c r="F7" s="2">
        <v>1035</v>
      </c>
      <c r="G7" s="4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308</v>
      </c>
      <c r="C8" s="2">
        <v>6</v>
      </c>
      <c r="D8" t="s">
        <v>311</v>
      </c>
      <c r="E8" s="2">
        <v>750</v>
      </c>
      <c r="F8" s="2">
        <v>750</v>
      </c>
      <c r="G8" s="4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312</v>
      </c>
      <c r="C9" s="2">
        <v>7</v>
      </c>
      <c r="D9" t="s">
        <v>310</v>
      </c>
      <c r="E9" s="2">
        <v>600</v>
      </c>
      <c r="F9" s="2">
        <v>600</v>
      </c>
      <c r="G9" s="4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308</v>
      </c>
      <c r="C10" s="2">
        <v>8</v>
      </c>
      <c r="D10" t="s">
        <v>309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  <row r="11" spans="1:12" x14ac:dyDescent="0.2">
      <c r="A11" s="2">
        <v>10</v>
      </c>
      <c r="B11" s="2" t="s">
        <v>308</v>
      </c>
      <c r="C11" s="2">
        <v>11</v>
      </c>
      <c r="D11" t="s">
        <v>309</v>
      </c>
      <c r="E11" s="2">
        <v>800</v>
      </c>
      <c r="F11" s="2">
        <v>800</v>
      </c>
      <c r="G11" s="2">
        <v>0</v>
      </c>
      <c r="H11" s="2">
        <v>9999999</v>
      </c>
      <c r="I11" s="2">
        <v>9999999</v>
      </c>
      <c r="J11" s="2">
        <v>1</v>
      </c>
      <c r="K11" s="2">
        <v>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83"/>
  <sheetViews>
    <sheetView workbookViewId="0">
      <pane ySplit="1" topLeftCell="A149" activePane="bottomLeft" state="frozen"/>
      <selection pane="bottomLeft" activeCell="E170" sqref="E170"/>
    </sheetView>
  </sheetViews>
  <sheetFormatPr defaultColWidth="8.62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35.25" customHeight="1" x14ac:dyDescent="0.2">
      <c r="A1" s="1" t="s">
        <v>14</v>
      </c>
      <c r="B1" s="1" t="s">
        <v>50</v>
      </c>
      <c r="C1" s="1" t="s">
        <v>17</v>
      </c>
      <c r="D1" s="1" t="s">
        <v>18</v>
      </c>
      <c r="E1" s="1" t="s">
        <v>15</v>
      </c>
      <c r="F1" s="1" t="s">
        <v>16</v>
      </c>
      <c r="G1" s="1" t="s">
        <v>19</v>
      </c>
      <c r="H1" s="1" t="s">
        <v>281</v>
      </c>
      <c r="I1" s="1" t="s">
        <v>287</v>
      </c>
      <c r="J1" s="10" t="s">
        <v>285</v>
      </c>
      <c r="K1" s="1" t="s">
        <v>248</v>
      </c>
      <c r="L1" s="1" t="s">
        <v>63</v>
      </c>
      <c r="Q1" s="1" t="s">
        <v>168</v>
      </c>
      <c r="R1" s="1" t="s">
        <v>168</v>
      </c>
      <c r="S1" s="1" t="s">
        <v>168</v>
      </c>
      <c r="T1" s="1" t="s">
        <v>168</v>
      </c>
      <c r="U1" s="1" t="s">
        <v>168</v>
      </c>
      <c r="V1" s="1" t="s">
        <v>168</v>
      </c>
      <c r="W1" s="1" t="s">
        <v>168</v>
      </c>
    </row>
    <row r="2" spans="1:23" x14ac:dyDescent="0.2">
      <c r="A2">
        <v>1</v>
      </c>
      <c r="B2">
        <v>1</v>
      </c>
      <c r="C2" t="s">
        <v>48</v>
      </c>
      <c r="D2" t="s">
        <v>174</v>
      </c>
      <c r="E2" t="s">
        <v>209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>
        <f>SUM(_xlfn.IFNA(LOOKUP(Q2,use_fish!A:A,use_fish!J:J),0),_xlfn.IFNA(LOOKUP(R2,use_fish!A:A,use_fish!J:J),0),_xlfn.IFNA(LOOKUP(S2,use_fish!A:A,use_fish!J:J),0),_xlfn.IFNA(LOOKUP(T2,use_fish!A:A,use_fish!J:J),0),_xlfn.IFNA(LOOKUP(U2,use_fish!A:A,use_fish!J:J),0),_xlfn.IFNA(LOOKUP(V2,use_fish!A:A,use_fish!J:J),0),_xlfn.IFNA(LOOKUP(W2,use_fish!A:A,use_fish!J:J),0),)</f>
        <v>0</v>
      </c>
      <c r="L2" t="s">
        <v>194</v>
      </c>
      <c r="Q2">
        <v>1</v>
      </c>
    </row>
    <row r="3" spans="1:23" x14ac:dyDescent="0.2">
      <c r="A3">
        <v>2</v>
      </c>
      <c r="B3">
        <v>1</v>
      </c>
      <c r="C3" t="s">
        <v>48</v>
      </c>
      <c r="D3" t="s">
        <v>175</v>
      </c>
      <c r="E3" t="s">
        <v>209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J3" s="2">
        <f>SUM(_xlfn.IFNA(LOOKUP(Q3,use_fish!A:A,use_fish!J:J),0),_xlfn.IFNA(LOOKUP(R3,use_fish!A:A,use_fish!J:J),0),_xlfn.IFNA(LOOKUP(S3,use_fish!A:A,use_fish!J:J),0),_xlfn.IFNA(LOOKUP(T3,use_fish!A:A,use_fish!J:J),0),_xlfn.IFNA(LOOKUP(U3,use_fish!A:A,use_fish!J:J),0),_xlfn.IFNA(LOOKUP(V3,use_fish!A:A,use_fish!J:J),0),_xlfn.IFNA(LOOKUP(W3,use_fish!A:A,use_fish!J:J),0),)</f>
        <v>0</v>
      </c>
      <c r="L3" t="s">
        <v>288</v>
      </c>
      <c r="Q3">
        <v>1</v>
      </c>
    </row>
    <row r="4" spans="1:23" x14ac:dyDescent="0.2">
      <c r="A4">
        <v>3</v>
      </c>
      <c r="B4">
        <v>1</v>
      </c>
      <c r="C4" t="s">
        <v>64</v>
      </c>
      <c r="D4" t="s">
        <v>176</v>
      </c>
      <c r="E4" t="s">
        <v>209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J4" s="2">
        <f>SUM(_xlfn.IFNA(LOOKUP(Q4,use_fish!A:A,use_fish!J:J),0),_xlfn.IFNA(LOOKUP(R4,use_fish!A:A,use_fish!J:J),0),_xlfn.IFNA(LOOKUP(S4,use_fish!A:A,use_fish!J:J),0),_xlfn.IFNA(LOOKUP(T4,use_fish!A:A,use_fish!J:J),0),_xlfn.IFNA(LOOKUP(U4,use_fish!A:A,use_fish!J:J),0),_xlfn.IFNA(LOOKUP(V4,use_fish!A:A,use_fish!J:J),0),_xlfn.IFNA(LOOKUP(W4,use_fish!A:A,use_fish!J:J),0),)</f>
        <v>0</v>
      </c>
      <c r="L4" t="str">
        <f t="array" ref="L4">INDEX(use_fish!A:A,SMALL(IF(group!$L$2&amp;IF(ISBLANK($L$3),$L$3,"+"&amp;$L$3)=use_fish!G:G,ROW(use_fish!G:G),4^8),ROW(1:1)))&amp;""</f>
        <v>107</v>
      </c>
      <c r="Q4">
        <v>2</v>
      </c>
    </row>
    <row r="5" spans="1:23" x14ac:dyDescent="0.2">
      <c r="A5">
        <v>4</v>
      </c>
      <c r="B5">
        <v>1</v>
      </c>
      <c r="C5" t="s">
        <v>64</v>
      </c>
      <c r="D5" t="s">
        <v>188</v>
      </c>
      <c r="E5" t="s">
        <v>209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J5" s="2">
        <f>SUM(_xlfn.IFNA(LOOKUP(Q5,use_fish!A:A,use_fish!J:J),0),_xlfn.IFNA(LOOKUP(R5,use_fish!A:A,use_fish!J:J),0),_xlfn.IFNA(LOOKUP(S5,use_fish!A:A,use_fish!J:J),0),_xlfn.IFNA(LOOKUP(T5,use_fish!A:A,use_fish!J:J),0),_xlfn.IFNA(LOOKUP(U5,use_fish!A:A,use_fish!J:J),0),_xlfn.IFNA(LOOKUP(V5,use_fish!A:A,use_fish!J:J),0),_xlfn.IFNA(LOOKUP(W5,use_fish!A:A,use_fish!J:J),0),)</f>
        <v>0</v>
      </c>
      <c r="L5" t="str">
        <f t="array" ref="L5">INDEX(use_fish!A:A,SMALL(IF(group!$L$2&amp;IF(ISBLANK($L$3),$L$3,"+"&amp;$L$3)=use_fish!G:G,ROW(use_fish!G:G),4^8),ROW(2:2)))&amp;""</f>
        <v>115</v>
      </c>
      <c r="Q5">
        <v>2</v>
      </c>
    </row>
    <row r="6" spans="1:23" x14ac:dyDescent="0.2">
      <c r="A6">
        <v>5</v>
      </c>
      <c r="B6">
        <v>1</v>
      </c>
      <c r="C6" t="s">
        <v>49</v>
      </c>
      <c r="E6" t="s">
        <v>209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J6" s="2">
        <f>SUM(_xlfn.IFNA(LOOKUP(Q6,use_fish!A:A,use_fish!J:J),0),_xlfn.IFNA(LOOKUP(R6,use_fish!A:A,use_fish!J:J),0),_xlfn.IFNA(LOOKUP(S6,use_fish!A:A,use_fish!J:J),0),_xlfn.IFNA(LOOKUP(T6,use_fish!A:A,use_fish!J:J),0),_xlfn.IFNA(LOOKUP(U6,use_fish!A:A,use_fish!J:J),0),_xlfn.IFNA(LOOKUP(V6,use_fish!A:A,use_fish!J:J),0),_xlfn.IFNA(LOOKUP(W6,use_fish!A:A,use_fish!J:J),0),)</f>
        <v>0</v>
      </c>
      <c r="K6" t="str">
        <f t="array" ref="K6">INDEX(use_fish!A:A,SMALL(IF(group!$L$2&amp;IF(ISBLANK($L$3),$L$3,"+"&amp;$L$3)=use_fish!G:G,ROW(use_fish!G:G),4^8),ROW(3:3)))&amp;""</f>
        <v>155</v>
      </c>
      <c r="Q6">
        <v>3</v>
      </c>
    </row>
    <row r="7" spans="1:23" x14ac:dyDescent="0.2">
      <c r="A7">
        <v>6</v>
      </c>
      <c r="B7">
        <v>1</v>
      </c>
      <c r="C7" t="s">
        <v>65</v>
      </c>
      <c r="D7" t="s">
        <v>177</v>
      </c>
      <c r="E7" t="s">
        <v>209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J7" s="2">
        <f>SUM(_xlfn.IFNA(LOOKUP(Q7,use_fish!A:A,use_fish!J:J),0),_xlfn.IFNA(LOOKUP(R7,use_fish!A:A,use_fish!J:J),0),_xlfn.IFNA(LOOKUP(S7,use_fish!A:A,use_fish!J:J),0),_xlfn.IFNA(LOOKUP(T7,use_fish!A:A,use_fish!J:J),0),_xlfn.IFNA(LOOKUP(U7,use_fish!A:A,use_fish!J:J),0),_xlfn.IFNA(LOOKUP(V7,use_fish!A:A,use_fish!J:J),0),_xlfn.IFNA(LOOKUP(W7,use_fish!A:A,use_fish!J:J),0),)</f>
        <v>0</v>
      </c>
      <c r="K7" t="str">
        <f t="array" ref="K7">INDEX(use_fish!A:A,SMALL(IF(group!$L$2&amp;IF(ISBLANK($L$3),$L$3,"+"&amp;$L$3)=use_fish!G:G,ROW(use_fish!G:G),4^8),ROW(4:4)))&amp;""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48</v>
      </c>
      <c r="D8" t="s">
        <v>178</v>
      </c>
      <c r="E8" t="s">
        <v>209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J8" s="2">
        <f>SUM(_xlfn.IFNA(LOOKUP(Q8,use_fish!A:A,use_fish!J:J),0),_xlfn.IFNA(LOOKUP(R8,use_fish!A:A,use_fish!J:J),0),_xlfn.IFNA(LOOKUP(S8,use_fish!A:A,use_fish!J:J),0),_xlfn.IFNA(LOOKUP(T8,use_fish!A:A,use_fish!J:J),0),_xlfn.IFNA(LOOKUP(U8,use_fish!A:A,use_fish!J:J),0),_xlfn.IFNA(LOOKUP(V8,use_fish!A:A,use_fish!J:J),0),_xlfn.IFNA(LOOKUP(W8,use_fish!A:A,use_fish!J:J),0),)</f>
        <v>0</v>
      </c>
      <c r="K8" t="str">
        <f t="array" ref="K8">INDEX(use_fish!A:A,SMALL(IF(group!$L$2&amp;IF(ISBLANK($L$3),$L$3,"+"&amp;$L$3)=use_fish!G:G,ROW(use_fish!G:G),4^8),ROW(5:5)))&amp;""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48</v>
      </c>
      <c r="D9" t="s">
        <v>175</v>
      </c>
      <c r="E9" t="s">
        <v>209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J9" s="2">
        <f>SUM(_xlfn.IFNA(LOOKUP(Q9,use_fish!A:A,use_fish!J:J),0),_xlfn.IFNA(LOOKUP(R9,use_fish!A:A,use_fish!J:J),0),_xlfn.IFNA(LOOKUP(S9,use_fish!A:A,use_fish!J:J),0),_xlfn.IFNA(LOOKUP(T9,use_fish!A:A,use_fish!J:J),0),_xlfn.IFNA(LOOKUP(U9,use_fish!A:A,use_fish!J:J),0),_xlfn.IFNA(LOOKUP(V9,use_fish!A:A,use_fish!J:J),0),_xlfn.IFNA(LOOKUP(W9,use_fish!A:A,use_fish!J:J),0),)</f>
        <v>0</v>
      </c>
      <c r="K9" t="str">
        <f t="array" ref="K9">INDEX(use_fish!A:A,SMALL(IF(group!$L$2&amp;IF(ISBLANK($L$3),$L$3,"+"&amp;$L$3)=use_fish!G:G,ROW(use_fish!G:G),4^8),ROW(6:6)))&amp;""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64</v>
      </c>
      <c r="D10" t="s">
        <v>179</v>
      </c>
      <c r="E10" t="s">
        <v>209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J10" s="2">
        <f>SUM(_xlfn.IFNA(LOOKUP(Q10,use_fish!A:A,use_fish!J:J),0),_xlfn.IFNA(LOOKUP(R10,use_fish!A:A,use_fish!J:J),0),_xlfn.IFNA(LOOKUP(S10,use_fish!A:A,use_fish!J:J),0),_xlfn.IFNA(LOOKUP(T10,use_fish!A:A,use_fish!J:J),0),_xlfn.IFNA(LOOKUP(U10,use_fish!A:A,use_fish!J:J),0),_xlfn.IFNA(LOOKUP(V10,use_fish!A:A,use_fish!J:J),0),_xlfn.IFNA(LOOKUP(W10,use_fish!A:A,use_fish!J:J),0),)</f>
        <v>0</v>
      </c>
      <c r="K10" t="str">
        <f t="array" ref="K10">INDEX(use_fish!A:A,SMALL(IF(group!$L$2&amp;IF(ISBLANK($L$3),$L$3,"+"&amp;$L$3)=use_fish!G:G,ROW(use_fish!G:G),4^8),ROW(7:7)))&amp;""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64</v>
      </c>
      <c r="D11" t="s">
        <v>180</v>
      </c>
      <c r="E11" t="s">
        <v>209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J11" s="2">
        <f>SUM(_xlfn.IFNA(LOOKUP(Q11,use_fish!A:A,use_fish!J:J),0),_xlfn.IFNA(LOOKUP(R11,use_fish!A:A,use_fish!J:J),0),_xlfn.IFNA(LOOKUP(S11,use_fish!A:A,use_fish!J:J),0),_xlfn.IFNA(LOOKUP(T11,use_fish!A:A,use_fish!J:J),0),_xlfn.IFNA(LOOKUP(U11,use_fish!A:A,use_fish!J:J),0),_xlfn.IFNA(LOOKUP(V11,use_fish!A:A,use_fish!J:J),0),_xlfn.IFNA(LOOKUP(W11,use_fish!A:A,use_fish!J:J),0),)</f>
        <v>0</v>
      </c>
      <c r="K11" t="str">
        <f t="array" ref="K11">INDEX(use_fish!A:A,SMALL(IF(group!$L$2&amp;IF(ISBLANK($L$3),$L$3,"+"&amp;$L$3)=use_fish!G:G,ROW(use_fish!G:G),4^8),ROW(8:8)))&amp;""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49</v>
      </c>
      <c r="D12" t="s">
        <v>176</v>
      </c>
      <c r="E12" t="s">
        <v>209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J12" s="2">
        <f>SUM(_xlfn.IFNA(LOOKUP(Q12,use_fish!A:A,use_fish!J:J),0),_xlfn.IFNA(LOOKUP(R12,use_fish!A:A,use_fish!J:J),0),_xlfn.IFNA(LOOKUP(S12,use_fish!A:A,use_fish!J:J),0),_xlfn.IFNA(LOOKUP(T12,use_fish!A:A,use_fish!J:J),0),_xlfn.IFNA(LOOKUP(U12,use_fish!A:A,use_fish!J:J),0),_xlfn.IFNA(LOOKUP(V12,use_fish!A:A,use_fish!J:J),0),_xlfn.IFNA(LOOKUP(W12,use_fish!A:A,use_fish!J:J),0),)</f>
        <v>0</v>
      </c>
      <c r="K12" t="str">
        <f t="array" ref="K12">INDEX(use_fish!A:A,SMALL(IF(group!$L$2&amp;IF(ISBLANK($L$3),$L$3,"+"&amp;$L$3)=use_fish!G:G,ROW(use_fish!G:G),4^8),ROW(9:9)))&amp;""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66</v>
      </c>
      <c r="D13" t="s">
        <v>64</v>
      </c>
      <c r="E13" t="s">
        <v>209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J13" s="2">
        <f>SUM(_xlfn.IFNA(LOOKUP(Q13,use_fish!A:A,use_fish!J:J),0),_xlfn.IFNA(LOOKUP(R13,use_fish!A:A,use_fish!J:J),0),_xlfn.IFNA(LOOKUP(S13,use_fish!A:A,use_fish!J:J),0),_xlfn.IFNA(LOOKUP(T13,use_fish!A:A,use_fish!J:J),0),_xlfn.IFNA(LOOKUP(U13,use_fish!A:A,use_fish!J:J),0),_xlfn.IFNA(LOOKUP(V13,use_fish!A:A,use_fish!J:J),0),_xlfn.IFNA(LOOKUP(W13,use_fish!A:A,use_fish!J:J),0),)</f>
        <v>0</v>
      </c>
      <c r="Q13">
        <v>4</v>
      </c>
    </row>
    <row r="14" spans="1:23" x14ac:dyDescent="0.2">
      <c r="A14">
        <v>13</v>
      </c>
      <c r="B14">
        <v>2</v>
      </c>
      <c r="C14" t="s">
        <v>175</v>
      </c>
      <c r="D14" t="s">
        <v>64</v>
      </c>
      <c r="E14" t="s">
        <v>209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J14" s="2">
        <f>SUM(_xlfn.IFNA(LOOKUP(Q14,use_fish!A:A,use_fish!J:J),0),_xlfn.IFNA(LOOKUP(R14,use_fish!A:A,use_fish!J:J),0),_xlfn.IFNA(LOOKUP(S14,use_fish!A:A,use_fish!J:J),0),_xlfn.IFNA(LOOKUP(T14,use_fish!A:A,use_fish!J:J),0),_xlfn.IFNA(LOOKUP(U14,use_fish!A:A,use_fish!J:J),0),_xlfn.IFNA(LOOKUP(V14,use_fish!A:A,use_fish!J:J),0),_xlfn.IFNA(LOOKUP(W14,use_fish!A:A,use_fish!J:J),0),)</f>
        <v>0</v>
      </c>
      <c r="Q14">
        <v>5</v>
      </c>
    </row>
    <row r="15" spans="1:23" x14ac:dyDescent="0.2">
      <c r="A15">
        <v>14</v>
      </c>
      <c r="B15">
        <v>2</v>
      </c>
      <c r="C15" t="s">
        <v>51</v>
      </c>
      <c r="D15" t="s">
        <v>64</v>
      </c>
      <c r="E15" t="s">
        <v>209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J15" s="2">
        <f>SUM(_xlfn.IFNA(LOOKUP(Q15,use_fish!A:A,use_fish!J:J),0),_xlfn.IFNA(LOOKUP(R15,use_fish!A:A,use_fish!J:J),0),_xlfn.IFNA(LOOKUP(S15,use_fish!A:A,use_fish!J:J),0),_xlfn.IFNA(LOOKUP(T15,use_fish!A:A,use_fish!J:J),0),_xlfn.IFNA(LOOKUP(U15,use_fish!A:A,use_fish!J:J),0),_xlfn.IFNA(LOOKUP(V15,use_fish!A:A,use_fish!J:J),0),_xlfn.IFNA(LOOKUP(W15,use_fish!A:A,use_fish!J:J),0),)</f>
        <v>0</v>
      </c>
      <c r="Q15">
        <v>6</v>
      </c>
    </row>
    <row r="16" spans="1:23" x14ac:dyDescent="0.2">
      <c r="A16">
        <v>15</v>
      </c>
      <c r="B16">
        <v>2</v>
      </c>
      <c r="C16" t="s">
        <v>67</v>
      </c>
      <c r="D16" t="s">
        <v>64</v>
      </c>
      <c r="E16" t="s">
        <v>209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J16" s="2">
        <f>SUM(_xlfn.IFNA(LOOKUP(Q16,use_fish!A:A,use_fish!J:J),0),_xlfn.IFNA(LOOKUP(R16,use_fish!A:A,use_fish!J:J),0),_xlfn.IFNA(LOOKUP(S16,use_fish!A:A,use_fish!J:J),0),_xlfn.IFNA(LOOKUP(T16,use_fish!A:A,use_fish!J:J),0),_xlfn.IFNA(LOOKUP(U16,use_fish!A:A,use_fish!J:J),0),_xlfn.IFNA(LOOKUP(V16,use_fish!A:A,use_fish!J:J),0),_xlfn.IFNA(LOOKUP(W16,use_fish!A:A,use_fish!J:J),0),)</f>
        <v>0</v>
      </c>
      <c r="Q16">
        <v>7</v>
      </c>
    </row>
    <row r="17" spans="1:17" x14ac:dyDescent="0.2">
      <c r="A17">
        <v>16</v>
      </c>
      <c r="B17">
        <v>2</v>
      </c>
      <c r="C17" t="s">
        <v>68</v>
      </c>
      <c r="D17" t="s">
        <v>64</v>
      </c>
      <c r="E17" t="s">
        <v>209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J17" s="2">
        <f>SUM(_xlfn.IFNA(LOOKUP(Q17,use_fish!A:A,use_fish!J:J),0),_xlfn.IFNA(LOOKUP(R17,use_fish!A:A,use_fish!J:J),0),_xlfn.IFNA(LOOKUP(S17,use_fish!A:A,use_fish!J:J),0),_xlfn.IFNA(LOOKUP(T17,use_fish!A:A,use_fish!J:J),0),_xlfn.IFNA(LOOKUP(U17,use_fish!A:A,use_fish!J:J),0),_xlfn.IFNA(LOOKUP(V17,use_fish!A:A,use_fish!J:J),0),_xlfn.IFNA(LOOKUP(W17,use_fish!A:A,use_fish!J:J),0),)</f>
        <v>0</v>
      </c>
      <c r="Q17">
        <v>8</v>
      </c>
    </row>
    <row r="18" spans="1:17" x14ac:dyDescent="0.2">
      <c r="A18">
        <v>17</v>
      </c>
      <c r="B18">
        <v>2</v>
      </c>
      <c r="C18" t="s">
        <v>69</v>
      </c>
      <c r="D18" t="s">
        <v>64</v>
      </c>
      <c r="E18" t="s">
        <v>209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J18" s="2">
        <f>SUM(_xlfn.IFNA(LOOKUP(Q18,use_fish!A:A,use_fish!J:J),0),_xlfn.IFNA(LOOKUP(R18,use_fish!A:A,use_fish!J:J),0),_xlfn.IFNA(LOOKUP(S18,use_fish!A:A,use_fish!J:J),0),_xlfn.IFNA(LOOKUP(T18,use_fish!A:A,use_fish!J:J),0),_xlfn.IFNA(LOOKUP(U18,use_fish!A:A,use_fish!J:J),0),_xlfn.IFNA(LOOKUP(V18,use_fish!A:A,use_fish!J:J),0),_xlfn.IFNA(LOOKUP(W18,use_fish!A:A,use_fish!J:J),0),)</f>
        <v>0</v>
      </c>
      <c r="Q18">
        <v>9</v>
      </c>
    </row>
    <row r="19" spans="1:17" x14ac:dyDescent="0.2">
      <c r="A19">
        <v>18</v>
      </c>
      <c r="B19">
        <v>1</v>
      </c>
      <c r="C19" t="s">
        <v>66</v>
      </c>
      <c r="E19" t="s">
        <v>209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J19" s="2">
        <f>SUM(_xlfn.IFNA(LOOKUP(Q19,use_fish!A:A,use_fish!J:J),0),_xlfn.IFNA(LOOKUP(R19,use_fish!A:A,use_fish!J:J),0),_xlfn.IFNA(LOOKUP(S19,use_fish!A:A,use_fish!J:J),0),_xlfn.IFNA(LOOKUP(T19,use_fish!A:A,use_fish!J:J),0),_xlfn.IFNA(LOOKUP(U19,use_fish!A:A,use_fish!J:J),0),_xlfn.IFNA(LOOKUP(V19,use_fish!A:A,use_fish!J:J),0),_xlfn.IFNA(LOOKUP(W19,use_fish!A:A,use_fish!J:J),0),)</f>
        <v>0</v>
      </c>
      <c r="K19" t="str">
        <f t="array" ref="K19">INDEX(use_fish!A:A,SMALL(IF(group!$L$2&amp;IF(ISBLANK($L$3),$L$3,"+"&amp;$L$3)=use_fish!G:G,ROW(use_fish!G:G),4^8),ROW(10:10)))&amp;""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189</v>
      </c>
      <c r="E20" t="s">
        <v>209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J20" s="2">
        <f>SUM(_xlfn.IFNA(LOOKUP(Q20,use_fish!A:A,use_fish!J:J),0),_xlfn.IFNA(LOOKUP(R20,use_fish!A:A,use_fish!J:J),0),_xlfn.IFNA(LOOKUP(S20,use_fish!A:A,use_fish!J:J),0),_xlfn.IFNA(LOOKUP(T20,use_fish!A:A,use_fish!J:J),0),_xlfn.IFNA(LOOKUP(U20,use_fish!A:A,use_fish!J:J),0),_xlfn.IFNA(LOOKUP(V20,use_fish!A:A,use_fish!J:J),0),_xlfn.IFNA(LOOKUP(W20,use_fish!A:A,use_fish!J:J),0),)</f>
        <v>0</v>
      </c>
      <c r="K20" t="str">
        <f t="array" ref="K20">INDEX(use_fish!A:A,SMALL(IF(group!$L$2&amp;IF(ISBLANK($L$3),$L$3,"+"&amp;$L$3)=use_fish!G:G,ROW(use_fish!G:G),4^8),ROW(11:11)))&amp;""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51</v>
      </c>
      <c r="E21" t="s">
        <v>209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J21" s="2">
        <f>SUM(_xlfn.IFNA(LOOKUP(Q21,use_fish!A:A,use_fish!J:J),0),_xlfn.IFNA(LOOKUP(R21,use_fish!A:A,use_fish!J:J),0),_xlfn.IFNA(LOOKUP(S21,use_fish!A:A,use_fish!J:J),0),_xlfn.IFNA(LOOKUP(T21,use_fish!A:A,use_fish!J:J),0),_xlfn.IFNA(LOOKUP(U21,use_fish!A:A,use_fish!J:J),0),_xlfn.IFNA(LOOKUP(V21,use_fish!A:A,use_fish!J:J),0),_xlfn.IFNA(LOOKUP(W21,use_fish!A:A,use_fish!J:J),0),)</f>
        <v>0</v>
      </c>
      <c r="K21" t="str">
        <f t="array" ref="K21">INDEX(use_fish!A:A,SMALL(IF(group!$L$2&amp;IF(ISBLANK($L$3),$L$3,"+"&amp;$L$3)=use_fish!G:G,ROW(use_fish!G:G),4^8),ROW(12:12)))&amp;""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67</v>
      </c>
      <c r="E22" t="s">
        <v>209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J22" s="2">
        <f>SUM(_xlfn.IFNA(LOOKUP(Q22,use_fish!A:A,use_fish!J:J),0),_xlfn.IFNA(LOOKUP(R22,use_fish!A:A,use_fish!J:J),0),_xlfn.IFNA(LOOKUP(S22,use_fish!A:A,use_fish!J:J),0),_xlfn.IFNA(LOOKUP(T22,use_fish!A:A,use_fish!J:J),0),_xlfn.IFNA(LOOKUP(U22,use_fish!A:A,use_fish!J:J),0),_xlfn.IFNA(LOOKUP(V22,use_fish!A:A,use_fish!J:J),0),_xlfn.IFNA(LOOKUP(W22,use_fish!A:A,use_fish!J:J),0),)</f>
        <v>0</v>
      </c>
      <c r="K22" t="str">
        <f t="array" ref="K22">INDEX(use_fish!A:A,SMALL(IF(group!$L$2&amp;IF(ISBLANK($L$3),$L$3,"+"&amp;$L$3)=use_fish!G:G,ROW(use_fish!G:G),4^8),ROW(19:19)))&amp;""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68</v>
      </c>
      <c r="E23" t="s">
        <v>209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J23" s="2">
        <f>SUM(_xlfn.IFNA(LOOKUP(Q23,use_fish!A:A,use_fish!J:J),0),_xlfn.IFNA(LOOKUP(R23,use_fish!A:A,use_fish!J:J),0),_xlfn.IFNA(LOOKUP(S23,use_fish!A:A,use_fish!J:J),0),_xlfn.IFNA(LOOKUP(T23,use_fish!A:A,use_fish!J:J),0),_xlfn.IFNA(LOOKUP(U23,use_fish!A:A,use_fish!J:J),0),_xlfn.IFNA(LOOKUP(V23,use_fish!A:A,use_fish!J:J),0),_xlfn.IFNA(LOOKUP(W23,use_fish!A:A,use_fish!J:J),0),)</f>
        <v>0</v>
      </c>
      <c r="K23" t="str">
        <f t="array" ref="K23">INDEX(use_fish!A:A,SMALL(IF(group!$L$2&amp;IF(ISBLANK($L$3),$L$3,"+"&amp;$L$3)=use_fish!G:G,ROW(use_fish!G:G),4^8),ROW(20:20)))&amp;""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69</v>
      </c>
      <c r="E24" t="s">
        <v>209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J24" s="2">
        <f>SUM(_xlfn.IFNA(LOOKUP(Q24,use_fish!A:A,use_fish!J:J),0),_xlfn.IFNA(LOOKUP(R24,use_fish!A:A,use_fish!J:J),0),_xlfn.IFNA(LOOKUP(S24,use_fish!A:A,use_fish!J:J),0),_xlfn.IFNA(LOOKUP(T24,use_fish!A:A,use_fish!J:J),0),_xlfn.IFNA(LOOKUP(U24,use_fish!A:A,use_fish!J:J),0),_xlfn.IFNA(LOOKUP(V24,use_fish!A:A,use_fish!J:J),0),_xlfn.IFNA(LOOKUP(W24,use_fish!A:A,use_fish!J:J),0),)</f>
        <v>0</v>
      </c>
      <c r="K24" t="str">
        <f t="array" ref="K24">INDEX(use_fish!A:A,SMALL(IF(group!$L$2&amp;IF(ISBLANK($L$3),$L$3,"+"&amp;$L$3)=use_fish!G:G,ROW(use_fish!G:G),4^8),ROW(21:21)))&amp;""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70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J25" s="2">
        <f>SUM(_xlfn.IFNA(LOOKUP(Q25,use_fish!A:A,use_fish!J:J),0),_xlfn.IFNA(LOOKUP(R25,use_fish!A:A,use_fish!J:J),0),_xlfn.IFNA(LOOKUP(S25,use_fish!A:A,use_fish!J:J),0),_xlfn.IFNA(LOOKUP(T25,use_fish!A:A,use_fish!J:J),0),_xlfn.IFNA(LOOKUP(U25,use_fish!A:A,use_fish!J:J),0),_xlfn.IFNA(LOOKUP(V25,use_fish!A:A,use_fish!J:J),0),_xlfn.IFNA(LOOKUP(W25,use_fish!A:A,use_fish!J:J),0),)</f>
        <v>0</v>
      </c>
      <c r="K25" t="str">
        <f t="array" ref="K25">INDEX(use_fish!A:A,SMALL(IF(group!$L$2&amp;IF(ISBLANK($L$3),$L$3,"+"&amp;$L$3)=use_fish!G:G,ROW(use_fish!G:G),4^8),ROW(22:22)))&amp;""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71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J26" s="2">
        <f>SUM(_xlfn.IFNA(LOOKUP(Q26,use_fish!A:A,use_fish!J:J),0),_xlfn.IFNA(LOOKUP(R26,use_fish!A:A,use_fish!J:J),0),_xlfn.IFNA(LOOKUP(S26,use_fish!A:A,use_fish!J:J),0),_xlfn.IFNA(LOOKUP(T26,use_fish!A:A,use_fish!J:J),0),_xlfn.IFNA(LOOKUP(U26,use_fish!A:A,use_fish!J:J),0),_xlfn.IFNA(LOOKUP(V26,use_fish!A:A,use_fish!J:J),0),_xlfn.IFNA(LOOKUP(W26,use_fish!A:A,use_fish!J:J),0),)</f>
        <v>0</v>
      </c>
      <c r="K26" t="str">
        <f t="array" ref="K26">INDEX(use_fish!A:A,SMALL(IF(group!$L$2&amp;IF(ISBLANK($L$3),$L$3,"+"&amp;$L$3)=use_fish!G:G,ROW(use_fish!G:G),4^8),ROW(23:23)))&amp;""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72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J27" s="2">
        <f>SUM(_xlfn.IFNA(LOOKUP(Q27,use_fish!A:A,use_fish!J:J),0),_xlfn.IFNA(LOOKUP(R27,use_fish!A:A,use_fish!J:J),0),_xlfn.IFNA(LOOKUP(S27,use_fish!A:A,use_fish!J:J),0),_xlfn.IFNA(LOOKUP(T27,use_fish!A:A,use_fish!J:J),0),_xlfn.IFNA(LOOKUP(U27,use_fish!A:A,use_fish!J:J),0),_xlfn.IFNA(LOOKUP(V27,use_fish!A:A,use_fish!J:J),0),_xlfn.IFNA(LOOKUP(W27,use_fish!A:A,use_fish!J:J),0),)</f>
        <v>0</v>
      </c>
      <c r="K27" t="str">
        <f t="array" ref="K27">INDEX(use_fish!A:A,SMALL(IF(group!$L$2&amp;IF(ISBLANK($L$3),$L$3,"+"&amp;$L$3)=use_fish!G:G,ROW(use_fish!G:G),4^8),ROW(24:24)))&amp;""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202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J28" s="2">
        <f>SUM(_xlfn.IFNA(LOOKUP(Q28,use_fish!A:A,use_fish!J:J),0),_xlfn.IFNA(LOOKUP(R28,use_fish!A:A,use_fish!J:J),0),_xlfn.IFNA(LOOKUP(S28,use_fish!A:A,use_fish!J:J),0),_xlfn.IFNA(LOOKUP(T28,use_fish!A:A,use_fish!J:J),0),_xlfn.IFNA(LOOKUP(U28,use_fish!A:A,use_fish!J:J),0),_xlfn.IFNA(LOOKUP(V28,use_fish!A:A,use_fish!J:J),0),_xlfn.IFNA(LOOKUP(W28,use_fish!A:A,use_fish!J:J),0),)</f>
        <v>0</v>
      </c>
      <c r="Q28">
        <v>90</v>
      </c>
    </row>
    <row r="29" spans="1:17" x14ac:dyDescent="0.2">
      <c r="A29">
        <v>28</v>
      </c>
      <c r="B29">
        <v>1</v>
      </c>
      <c r="C29" t="s">
        <v>73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J29" s="2">
        <f>SUM(_xlfn.IFNA(LOOKUP(Q29,use_fish!A:A,use_fish!J:J),0),_xlfn.IFNA(LOOKUP(R29,use_fish!A:A,use_fish!J:J),0),_xlfn.IFNA(LOOKUP(S29,use_fish!A:A,use_fish!J:J),0),_xlfn.IFNA(LOOKUP(T29,use_fish!A:A,use_fish!J:J),0),_xlfn.IFNA(LOOKUP(U29,use_fish!A:A,use_fish!J:J),0),_xlfn.IFNA(LOOKUP(V29,use_fish!A:A,use_fish!J:J),0),_xlfn.IFNA(LOOKUP(W29,use_fish!A:A,use_fish!J:J),0),)</f>
        <v>0</v>
      </c>
      <c r="Q29">
        <v>14</v>
      </c>
    </row>
    <row r="30" spans="1:17" x14ac:dyDescent="0.2">
      <c r="A30">
        <v>29</v>
      </c>
      <c r="B30">
        <v>1</v>
      </c>
      <c r="C30" t="s">
        <v>74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J30" s="2">
        <f>SUM(_xlfn.IFNA(LOOKUP(Q30,use_fish!A:A,use_fish!J:J),0),_xlfn.IFNA(LOOKUP(R30,use_fish!A:A,use_fish!J:J),0),_xlfn.IFNA(LOOKUP(S30,use_fish!A:A,use_fish!J:J),0),_xlfn.IFNA(LOOKUP(T30,use_fish!A:A,use_fish!J:J),0),_xlfn.IFNA(LOOKUP(U30,use_fish!A:A,use_fish!J:J),0),_xlfn.IFNA(LOOKUP(V30,use_fish!A:A,use_fish!J:J),0),_xlfn.IFNA(LOOKUP(W30,use_fish!A:A,use_fish!J:J),0),)</f>
        <v>0</v>
      </c>
      <c r="K30" t="str">
        <f t="array" ref="K30">INDEX(use_fish!A:A,SMALL(IF(group!$L$2&amp;IF(ISBLANK($L$3),$L$3,"+"&amp;$L$3)=use_fish!G:G,ROW(use_fish!G:G),4^8),ROW(27:27)))&amp;""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75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J31" s="2">
        <f>SUM(_xlfn.IFNA(LOOKUP(Q31,use_fish!A:A,use_fish!J:J),0),_xlfn.IFNA(LOOKUP(R31,use_fish!A:A,use_fish!J:J),0),_xlfn.IFNA(LOOKUP(S31,use_fish!A:A,use_fish!J:J),0),_xlfn.IFNA(LOOKUP(T31,use_fish!A:A,use_fish!J:J),0),_xlfn.IFNA(LOOKUP(U31,use_fish!A:A,use_fish!J:J),0),_xlfn.IFNA(LOOKUP(V31,use_fish!A:A,use_fish!J:J),0),_xlfn.IFNA(LOOKUP(W31,use_fish!A:A,use_fish!J:J),0),)</f>
        <v>0</v>
      </c>
      <c r="K31" t="str">
        <f t="array" ref="K31">INDEX(use_fish!A:A,SMALL(IF(group!$L$2&amp;IF(ISBLANK($L$3),$L$3,"+"&amp;$L$3)=use_fish!G:G,ROW(use_fish!G:G),4^8),ROW(28:28)))&amp;""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76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J32" s="2">
        <f>SUM(_xlfn.IFNA(LOOKUP(Q32,use_fish!A:A,use_fish!J:J),0),_xlfn.IFNA(LOOKUP(R32,use_fish!A:A,use_fish!J:J),0),_xlfn.IFNA(LOOKUP(S32,use_fish!A:A,use_fish!J:J),0),_xlfn.IFNA(LOOKUP(T32,use_fish!A:A,use_fish!J:J),0),_xlfn.IFNA(LOOKUP(U32,use_fish!A:A,use_fish!J:J),0),_xlfn.IFNA(LOOKUP(V32,use_fish!A:A,use_fish!J:J),0),_xlfn.IFNA(LOOKUP(W32,use_fish!A:A,use_fish!J:J),0),)</f>
        <v>0</v>
      </c>
      <c r="Q32">
        <v>17</v>
      </c>
    </row>
    <row r="33" spans="1:17" x14ac:dyDescent="0.2">
      <c r="A33">
        <v>32</v>
      </c>
      <c r="B33">
        <v>1</v>
      </c>
      <c r="C33" t="s">
        <v>77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J33" s="2">
        <f>SUM(_xlfn.IFNA(LOOKUP(Q33,use_fish!A:A,use_fish!J:J),0),_xlfn.IFNA(LOOKUP(R33,use_fish!A:A,use_fish!J:J),0),_xlfn.IFNA(LOOKUP(S33,use_fish!A:A,use_fish!J:J),0),_xlfn.IFNA(LOOKUP(T33,use_fish!A:A,use_fish!J:J),0),_xlfn.IFNA(LOOKUP(U33,use_fish!A:A,use_fish!J:J),0),_xlfn.IFNA(LOOKUP(V33,use_fish!A:A,use_fish!J:J),0),_xlfn.IFNA(LOOKUP(W33,use_fish!A:A,use_fish!J:J),0),)</f>
        <v>0</v>
      </c>
      <c r="Q33">
        <v>18</v>
      </c>
    </row>
    <row r="34" spans="1:17" x14ac:dyDescent="0.2">
      <c r="A34">
        <v>33</v>
      </c>
      <c r="B34">
        <v>1</v>
      </c>
      <c r="C34" t="s">
        <v>78</v>
      </c>
      <c r="E34" t="s">
        <v>209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J34" s="2">
        <f>SUM(_xlfn.IFNA(LOOKUP(Q34,use_fish!A:A,use_fish!J:J),0),_xlfn.IFNA(LOOKUP(R34,use_fish!A:A,use_fish!J:J),0),_xlfn.IFNA(LOOKUP(S34,use_fish!A:A,use_fish!J:J),0),_xlfn.IFNA(LOOKUP(T34,use_fish!A:A,use_fish!J:J),0),_xlfn.IFNA(LOOKUP(U34,use_fish!A:A,use_fish!J:J),0),_xlfn.IFNA(LOOKUP(V34,use_fish!A:A,use_fish!J:J),0),_xlfn.IFNA(LOOKUP(W34,use_fish!A:A,use_fish!J:J),0),)</f>
        <v>0</v>
      </c>
      <c r="Q34">
        <v>19</v>
      </c>
    </row>
    <row r="35" spans="1:17" x14ac:dyDescent="0.2">
      <c r="A35">
        <v>34</v>
      </c>
      <c r="B35">
        <v>1</v>
      </c>
      <c r="C35" t="s">
        <v>79</v>
      </c>
      <c r="E35" t="s">
        <v>209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J35" s="2">
        <f>SUM(_xlfn.IFNA(LOOKUP(Q35,use_fish!A:A,use_fish!J:J),0),_xlfn.IFNA(LOOKUP(R35,use_fish!A:A,use_fish!J:J),0),_xlfn.IFNA(LOOKUP(S35,use_fish!A:A,use_fish!J:J),0),_xlfn.IFNA(LOOKUP(T35,use_fish!A:A,use_fish!J:J),0),_xlfn.IFNA(LOOKUP(U35,use_fish!A:A,use_fish!J:J),0),_xlfn.IFNA(LOOKUP(V35,use_fish!A:A,use_fish!J:J),0),_xlfn.IFNA(LOOKUP(W35,use_fish!A:A,use_fish!J:J),0),)</f>
        <v>0</v>
      </c>
      <c r="Q35">
        <v>20</v>
      </c>
    </row>
    <row r="36" spans="1:17" x14ac:dyDescent="0.2">
      <c r="A36">
        <v>35</v>
      </c>
      <c r="B36">
        <v>1</v>
      </c>
      <c r="C36" t="s">
        <v>80</v>
      </c>
      <c r="E36" t="s">
        <v>209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J36" s="2">
        <f>SUM(_xlfn.IFNA(LOOKUP(Q36,use_fish!A:A,use_fish!J:J),0),_xlfn.IFNA(LOOKUP(R36,use_fish!A:A,use_fish!J:J),0),_xlfn.IFNA(LOOKUP(S36,use_fish!A:A,use_fish!J:J),0),_xlfn.IFNA(LOOKUP(T36,use_fish!A:A,use_fish!J:J),0),_xlfn.IFNA(LOOKUP(U36,use_fish!A:A,use_fish!J:J),0),_xlfn.IFNA(LOOKUP(V36,use_fish!A:A,use_fish!J:J),0),_xlfn.IFNA(LOOKUP(W36,use_fish!A:A,use_fish!J:J),0),)</f>
        <v>0</v>
      </c>
      <c r="Q36">
        <v>21</v>
      </c>
    </row>
    <row r="37" spans="1:17" x14ac:dyDescent="0.2">
      <c r="A37">
        <v>36</v>
      </c>
      <c r="B37">
        <v>1</v>
      </c>
      <c r="C37" t="s">
        <v>81</v>
      </c>
      <c r="E37" t="s">
        <v>209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J37" s="2">
        <f>SUM(_xlfn.IFNA(LOOKUP(Q37,use_fish!A:A,use_fish!J:J),0),_xlfn.IFNA(LOOKUP(R37,use_fish!A:A,use_fish!J:J),0),_xlfn.IFNA(LOOKUP(S37,use_fish!A:A,use_fish!J:J),0),_xlfn.IFNA(LOOKUP(T37,use_fish!A:A,use_fish!J:J),0),_xlfn.IFNA(LOOKUP(U37,use_fish!A:A,use_fish!J:J),0),_xlfn.IFNA(LOOKUP(V37,use_fish!A:A,use_fish!J:J),0),_xlfn.IFNA(LOOKUP(W37,use_fish!A:A,use_fish!J:J),0),)</f>
        <v>0</v>
      </c>
      <c r="Q37">
        <v>22</v>
      </c>
    </row>
    <row r="38" spans="1:17" x14ac:dyDescent="0.2">
      <c r="A38">
        <v>37</v>
      </c>
      <c r="B38">
        <v>1</v>
      </c>
      <c r="C38" t="s">
        <v>82</v>
      </c>
      <c r="E38" t="s">
        <v>209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J38" s="2">
        <f>SUM(_xlfn.IFNA(LOOKUP(Q38,use_fish!A:A,use_fish!J:J),0),_xlfn.IFNA(LOOKUP(R38,use_fish!A:A,use_fish!J:J),0),_xlfn.IFNA(LOOKUP(S38,use_fish!A:A,use_fish!J:J),0),_xlfn.IFNA(LOOKUP(T38,use_fish!A:A,use_fish!J:J),0),_xlfn.IFNA(LOOKUP(U38,use_fish!A:A,use_fish!J:J),0),_xlfn.IFNA(LOOKUP(V38,use_fish!A:A,use_fish!J:J),0),_xlfn.IFNA(LOOKUP(W38,use_fish!A:A,use_fish!J:J),0),)</f>
        <v>0</v>
      </c>
      <c r="Q38">
        <v>23</v>
      </c>
    </row>
    <row r="39" spans="1:17" x14ac:dyDescent="0.2">
      <c r="A39">
        <v>38</v>
      </c>
      <c r="B39">
        <v>1</v>
      </c>
      <c r="C39" t="s">
        <v>83</v>
      </c>
      <c r="E39" t="s">
        <v>209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J39" s="2">
        <f>SUM(_xlfn.IFNA(LOOKUP(Q39,use_fish!A:A,use_fish!J:J),0),_xlfn.IFNA(LOOKUP(R39,use_fish!A:A,use_fish!J:J),0),_xlfn.IFNA(LOOKUP(S39,use_fish!A:A,use_fish!J:J),0),_xlfn.IFNA(LOOKUP(T39,use_fish!A:A,use_fish!J:J),0),_xlfn.IFNA(LOOKUP(U39,use_fish!A:A,use_fish!J:J),0),_xlfn.IFNA(LOOKUP(V39,use_fish!A:A,use_fish!J:J),0),_xlfn.IFNA(LOOKUP(W39,use_fish!A:A,use_fish!J:J),0),)</f>
        <v>0</v>
      </c>
      <c r="Q39">
        <v>24</v>
      </c>
    </row>
    <row r="40" spans="1:17" x14ac:dyDescent="0.2">
      <c r="A40">
        <v>39</v>
      </c>
      <c r="B40">
        <v>1</v>
      </c>
      <c r="C40" t="s">
        <v>84</v>
      </c>
      <c r="E40" t="s">
        <v>209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J40" s="2">
        <f>SUM(_xlfn.IFNA(LOOKUP(Q40,use_fish!A:A,use_fish!J:J),0),_xlfn.IFNA(LOOKUP(R40,use_fish!A:A,use_fish!J:J),0),_xlfn.IFNA(LOOKUP(S40,use_fish!A:A,use_fish!J:J),0),_xlfn.IFNA(LOOKUP(T40,use_fish!A:A,use_fish!J:J),0),_xlfn.IFNA(LOOKUP(U40,use_fish!A:A,use_fish!J:J),0),_xlfn.IFNA(LOOKUP(V40,use_fish!A:A,use_fish!J:J),0),_xlfn.IFNA(LOOKUP(W40,use_fish!A:A,use_fish!J:J),0),)</f>
        <v>0</v>
      </c>
      <c r="Q40">
        <v>25</v>
      </c>
    </row>
    <row r="41" spans="1:17" x14ac:dyDescent="0.2">
      <c r="A41">
        <v>40</v>
      </c>
      <c r="B41">
        <v>1</v>
      </c>
      <c r="C41" t="s">
        <v>85</v>
      </c>
      <c r="E41" t="s">
        <v>209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J41" s="2">
        <f>SUM(_xlfn.IFNA(LOOKUP(Q41,use_fish!A:A,use_fish!J:J),0),_xlfn.IFNA(LOOKUP(R41,use_fish!A:A,use_fish!J:J),0),_xlfn.IFNA(LOOKUP(S41,use_fish!A:A,use_fish!J:J),0),_xlfn.IFNA(LOOKUP(T41,use_fish!A:A,use_fish!J:J),0),_xlfn.IFNA(LOOKUP(U41,use_fish!A:A,use_fish!J:J),0),_xlfn.IFNA(LOOKUP(V41,use_fish!A:A,use_fish!J:J),0),_xlfn.IFNA(LOOKUP(W41,use_fish!A:A,use_fish!J:J),0),)</f>
        <v>0</v>
      </c>
      <c r="K41" t="str">
        <f t="array" ref="K41">INDEX(use_fish!A:A,SMALL(IF(group!$L$2&amp;IF(ISBLANK($L$3),$L$3,"+"&amp;$L$3)=use_fish!G:G,ROW(use_fish!G:G),4^8),ROW(38:38)))&amp;""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86</v>
      </c>
      <c r="E42" t="s">
        <v>209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J42" s="2">
        <f>SUM(_xlfn.IFNA(LOOKUP(Q42,use_fish!A:A,use_fish!J:J),0),_xlfn.IFNA(LOOKUP(R42,use_fish!A:A,use_fish!J:J),0),_xlfn.IFNA(LOOKUP(S42,use_fish!A:A,use_fish!J:J),0),_xlfn.IFNA(LOOKUP(T42,use_fish!A:A,use_fish!J:J),0),_xlfn.IFNA(LOOKUP(U42,use_fish!A:A,use_fish!J:J),0),_xlfn.IFNA(LOOKUP(V42,use_fish!A:A,use_fish!J:J),0),_xlfn.IFNA(LOOKUP(W42,use_fish!A:A,use_fish!J:J),0),)</f>
        <v>0</v>
      </c>
      <c r="K42" t="str">
        <f t="array" ref="K42">INDEX(use_fish!A:A,SMALL(IF(group!$L$2&amp;IF(ISBLANK($L$3),$L$3,"+"&amp;$L$3)=use_fish!G:G,ROW(use_fish!G:G),4^8),ROW(39:39)))&amp;""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87</v>
      </c>
      <c r="E43" t="s">
        <v>209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110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110</v>
      </c>
      <c r="J43" s="2">
        <f>SUM(_xlfn.IFNA(LOOKUP(Q43,use_fish!A:A,use_fish!J:J),0),_xlfn.IFNA(LOOKUP(R43,use_fish!A:A,use_fish!J:J),0),_xlfn.IFNA(LOOKUP(S43,use_fish!A:A,use_fish!J:J),0),_xlfn.IFNA(LOOKUP(T43,use_fish!A:A,use_fish!J:J),0),_xlfn.IFNA(LOOKUP(U43,use_fish!A:A,use_fish!J:J),0),_xlfn.IFNA(LOOKUP(V43,use_fish!A:A,use_fish!J:J),0),_xlfn.IFNA(LOOKUP(W43,use_fish!A:A,use_fish!J:J),0),)</f>
        <v>0</v>
      </c>
      <c r="K43" t="str">
        <f t="array" ref="K43">INDEX(use_fish!A:A,SMALL(IF(group!$L$2&amp;IF(ISBLANK($L$3),$L$3,"+"&amp;$L$3)=use_fish!G:G,ROW(use_fish!G:G),4^8),ROW(40:40)))&amp;""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88</v>
      </c>
      <c r="E44" t="s">
        <v>209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J44" s="2">
        <f>SUM(_xlfn.IFNA(LOOKUP(Q44,use_fish!A:A,use_fish!J:J),0),_xlfn.IFNA(LOOKUP(R44,use_fish!A:A,use_fish!J:J),0),_xlfn.IFNA(LOOKUP(S44,use_fish!A:A,use_fish!J:J),0),_xlfn.IFNA(LOOKUP(T44,use_fish!A:A,use_fish!J:J),0),_xlfn.IFNA(LOOKUP(U44,use_fish!A:A,use_fish!J:J),0),_xlfn.IFNA(LOOKUP(V44,use_fish!A:A,use_fish!J:J),0),_xlfn.IFNA(LOOKUP(W44,use_fish!A:A,use_fish!J:J),0),)</f>
        <v>0</v>
      </c>
      <c r="K44" t="str">
        <f t="array" ref="K44">INDEX(use_fish!A:A,SMALL(IF(group!$L$2&amp;IF(ISBLANK($L$3),$L$3,"+"&amp;$L$3)=use_fish!G:G,ROW(use_fish!G:G),4^8),ROW(41:41)))&amp;""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89</v>
      </c>
      <c r="E45" t="s">
        <v>209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J45" s="2">
        <f>SUM(_xlfn.IFNA(LOOKUP(Q45,use_fish!A:A,use_fish!J:J),0),_xlfn.IFNA(LOOKUP(R45,use_fish!A:A,use_fish!J:J),0),_xlfn.IFNA(LOOKUP(S45,use_fish!A:A,use_fish!J:J),0),_xlfn.IFNA(LOOKUP(T45,use_fish!A:A,use_fish!J:J),0),_xlfn.IFNA(LOOKUP(U45,use_fish!A:A,use_fish!J:J),0),_xlfn.IFNA(LOOKUP(V45,use_fish!A:A,use_fish!J:J),0),_xlfn.IFNA(LOOKUP(W45,use_fish!A:A,use_fish!J:J),0),)</f>
        <v>0</v>
      </c>
      <c r="Q45">
        <v>30</v>
      </c>
    </row>
    <row r="46" spans="1:17" x14ac:dyDescent="0.2">
      <c r="A46">
        <v>45</v>
      </c>
      <c r="B46">
        <v>1</v>
      </c>
      <c r="C46" t="s">
        <v>90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J46" s="2">
        <f>SUM(_xlfn.IFNA(LOOKUP(Q46,use_fish!A:A,use_fish!J:J),0),_xlfn.IFNA(LOOKUP(R46,use_fish!A:A,use_fish!J:J),0),_xlfn.IFNA(LOOKUP(S46,use_fish!A:A,use_fish!J:J),0),_xlfn.IFNA(LOOKUP(T46,use_fish!A:A,use_fish!J:J),0),_xlfn.IFNA(LOOKUP(U46,use_fish!A:A,use_fish!J:J),0),_xlfn.IFNA(LOOKUP(V46,use_fish!A:A,use_fish!J:J),0),_xlfn.IFNA(LOOKUP(W46,use_fish!A:A,use_fish!J:J),0),)</f>
        <v>0</v>
      </c>
      <c r="Q46">
        <v>31</v>
      </c>
    </row>
    <row r="47" spans="1:17" x14ac:dyDescent="0.2">
      <c r="A47">
        <v>46</v>
      </c>
      <c r="B47">
        <v>1</v>
      </c>
      <c r="C47" t="s">
        <v>91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J47" s="2">
        <f>SUM(_xlfn.IFNA(LOOKUP(Q47,use_fish!A:A,use_fish!J:J),0),_xlfn.IFNA(LOOKUP(R47,use_fish!A:A,use_fish!J:J),0),_xlfn.IFNA(LOOKUP(S47,use_fish!A:A,use_fish!J:J),0),_xlfn.IFNA(LOOKUP(T47,use_fish!A:A,use_fish!J:J),0),_xlfn.IFNA(LOOKUP(U47,use_fish!A:A,use_fish!J:J),0),_xlfn.IFNA(LOOKUP(V47,use_fish!A:A,use_fish!J:J),0),_xlfn.IFNA(LOOKUP(W47,use_fish!A:A,use_fish!J:J),0),)</f>
        <v>0</v>
      </c>
      <c r="Q47">
        <v>32</v>
      </c>
    </row>
    <row r="48" spans="1:17" x14ac:dyDescent="0.2">
      <c r="A48">
        <v>47</v>
      </c>
      <c r="B48">
        <v>1</v>
      </c>
      <c r="C48" t="s">
        <v>92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120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120</v>
      </c>
      <c r="J48" s="2">
        <f>SUM(_xlfn.IFNA(LOOKUP(Q48,use_fish!A:A,use_fish!J:J),0),_xlfn.IFNA(LOOKUP(R48,use_fish!A:A,use_fish!J:J),0),_xlfn.IFNA(LOOKUP(S48,use_fish!A:A,use_fish!J:J),0),_xlfn.IFNA(LOOKUP(T48,use_fish!A:A,use_fish!J:J),0),_xlfn.IFNA(LOOKUP(U48,use_fish!A:A,use_fish!J:J),0),_xlfn.IFNA(LOOKUP(V48,use_fish!A:A,use_fish!J:J),0),_xlfn.IFNA(LOOKUP(W48,use_fish!A:A,use_fish!J:J),0),)</f>
        <v>0</v>
      </c>
      <c r="Q48">
        <v>33</v>
      </c>
    </row>
    <row r="49" spans="1:17" x14ac:dyDescent="0.2">
      <c r="A49">
        <v>48</v>
      </c>
      <c r="B49">
        <v>1</v>
      </c>
      <c r="C49" t="s">
        <v>93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J49" s="2">
        <f>SUM(_xlfn.IFNA(LOOKUP(Q49,use_fish!A:A,use_fish!J:J),0),_xlfn.IFNA(LOOKUP(R49,use_fish!A:A,use_fish!J:J),0),_xlfn.IFNA(LOOKUP(S49,use_fish!A:A,use_fish!J:J),0),_xlfn.IFNA(LOOKUP(T49,use_fish!A:A,use_fish!J:J),0),_xlfn.IFNA(LOOKUP(U49,use_fish!A:A,use_fish!J:J),0),_xlfn.IFNA(LOOKUP(V49,use_fish!A:A,use_fish!J:J),0),_xlfn.IFNA(LOOKUP(W49,use_fish!A:A,use_fish!J:J),0),)</f>
        <v>0</v>
      </c>
      <c r="Q49">
        <v>34</v>
      </c>
    </row>
    <row r="50" spans="1:17" x14ac:dyDescent="0.2">
      <c r="A50">
        <v>49</v>
      </c>
      <c r="B50">
        <v>1</v>
      </c>
      <c r="C50" t="s">
        <v>94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J50" s="2">
        <f>SUM(_xlfn.IFNA(LOOKUP(Q50,use_fish!A:A,use_fish!J:J),0),_xlfn.IFNA(LOOKUP(R50,use_fish!A:A,use_fish!J:J),0),_xlfn.IFNA(LOOKUP(S50,use_fish!A:A,use_fish!J:J),0),_xlfn.IFNA(LOOKUP(T50,use_fish!A:A,use_fish!J:J),0),_xlfn.IFNA(LOOKUP(U50,use_fish!A:A,use_fish!J:J),0),_xlfn.IFNA(LOOKUP(V50,use_fish!A:A,use_fish!J:J),0),_xlfn.IFNA(LOOKUP(W50,use_fish!A:A,use_fish!J:J),0),)</f>
        <v>0</v>
      </c>
      <c r="Q50">
        <v>35</v>
      </c>
    </row>
    <row r="51" spans="1:17" x14ac:dyDescent="0.2">
      <c r="A51">
        <v>50</v>
      </c>
      <c r="B51">
        <v>1</v>
      </c>
      <c r="C51" t="s">
        <v>95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J51" s="2">
        <f>SUM(_xlfn.IFNA(LOOKUP(Q51,use_fish!A:A,use_fish!J:J),0),_xlfn.IFNA(LOOKUP(R51,use_fish!A:A,use_fish!J:J),0),_xlfn.IFNA(LOOKUP(S51,use_fish!A:A,use_fish!J:J),0),_xlfn.IFNA(LOOKUP(T51,use_fish!A:A,use_fish!J:J),0),_xlfn.IFNA(LOOKUP(U51,use_fish!A:A,use_fish!J:J),0),_xlfn.IFNA(LOOKUP(V51,use_fish!A:A,use_fish!J:J),0),_xlfn.IFNA(LOOKUP(W51,use_fish!A:A,use_fish!J:J),0),)</f>
        <v>0</v>
      </c>
      <c r="Q51">
        <v>36</v>
      </c>
    </row>
    <row r="52" spans="1:17" x14ac:dyDescent="0.2">
      <c r="A52">
        <v>51</v>
      </c>
      <c r="B52">
        <v>1</v>
      </c>
      <c r="C52" t="s">
        <v>96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J52" s="2">
        <f>SUM(_xlfn.IFNA(LOOKUP(Q52,use_fish!A:A,use_fish!J:J),0),_xlfn.IFNA(LOOKUP(R52,use_fish!A:A,use_fish!J:J),0),_xlfn.IFNA(LOOKUP(S52,use_fish!A:A,use_fish!J:J),0),_xlfn.IFNA(LOOKUP(T52,use_fish!A:A,use_fish!J:J),0),_xlfn.IFNA(LOOKUP(U52,use_fish!A:A,use_fish!J:J),0),_xlfn.IFNA(LOOKUP(V52,use_fish!A:A,use_fish!J:J),0),_xlfn.IFNA(LOOKUP(W52,use_fish!A:A,use_fish!J:J),0),)</f>
        <v>0</v>
      </c>
      <c r="Q52">
        <v>37</v>
      </c>
    </row>
    <row r="53" spans="1:17" x14ac:dyDescent="0.2">
      <c r="A53">
        <v>52</v>
      </c>
      <c r="B53">
        <v>1</v>
      </c>
      <c r="C53" t="s">
        <v>97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J53" s="2">
        <f>SUM(_xlfn.IFNA(LOOKUP(Q53,use_fish!A:A,use_fish!J:J),0),_xlfn.IFNA(LOOKUP(R53,use_fish!A:A,use_fish!J:J),0),_xlfn.IFNA(LOOKUP(S53,use_fish!A:A,use_fish!J:J),0),_xlfn.IFNA(LOOKUP(T53,use_fish!A:A,use_fish!J:J),0),_xlfn.IFNA(LOOKUP(U53,use_fish!A:A,use_fish!J:J),0),_xlfn.IFNA(LOOKUP(V53,use_fish!A:A,use_fish!J:J),0),_xlfn.IFNA(LOOKUP(W53,use_fish!A:A,use_fish!J:J),0),)</f>
        <v>0</v>
      </c>
      <c r="Q53">
        <v>38</v>
      </c>
    </row>
    <row r="54" spans="1:17" x14ac:dyDescent="0.2">
      <c r="A54">
        <v>53</v>
      </c>
      <c r="B54">
        <v>1</v>
      </c>
      <c r="C54" t="s">
        <v>98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J54" s="2">
        <f>SUM(_xlfn.IFNA(LOOKUP(Q54,use_fish!A:A,use_fish!J:J),0),_xlfn.IFNA(LOOKUP(R54,use_fish!A:A,use_fish!J:J),0),_xlfn.IFNA(LOOKUP(S54,use_fish!A:A,use_fish!J:J),0),_xlfn.IFNA(LOOKUP(T54,use_fish!A:A,use_fish!J:J),0),_xlfn.IFNA(LOOKUP(U54,use_fish!A:A,use_fish!J:J),0),_xlfn.IFNA(LOOKUP(V54,use_fish!A:A,use_fish!J:J),0),_xlfn.IFNA(LOOKUP(W54,use_fish!A:A,use_fish!J:J),0),)</f>
        <v>0</v>
      </c>
      <c r="Q54">
        <v>39</v>
      </c>
    </row>
    <row r="55" spans="1:17" x14ac:dyDescent="0.2">
      <c r="A55">
        <v>54</v>
      </c>
      <c r="B55">
        <v>1</v>
      </c>
      <c r="C55" t="s">
        <v>99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130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130</v>
      </c>
      <c r="J55" s="2">
        <f>SUM(_xlfn.IFNA(LOOKUP(Q55,use_fish!A:A,use_fish!J:J),0),_xlfn.IFNA(LOOKUP(R55,use_fish!A:A,use_fish!J:J),0),_xlfn.IFNA(LOOKUP(S55,use_fish!A:A,use_fish!J:J),0),_xlfn.IFNA(LOOKUP(T55,use_fish!A:A,use_fish!J:J),0),_xlfn.IFNA(LOOKUP(U55,use_fish!A:A,use_fish!J:J),0),_xlfn.IFNA(LOOKUP(V55,use_fish!A:A,use_fish!J:J),0),_xlfn.IFNA(LOOKUP(W55,use_fish!A:A,use_fish!J:J),0),)</f>
        <v>0</v>
      </c>
      <c r="Q55">
        <v>40</v>
      </c>
    </row>
    <row r="56" spans="1:17" x14ac:dyDescent="0.2">
      <c r="A56">
        <v>55</v>
      </c>
      <c r="B56">
        <v>1</v>
      </c>
      <c r="C56" t="s">
        <v>100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J56" s="2">
        <f>SUM(_xlfn.IFNA(LOOKUP(Q56,use_fish!A:A,use_fish!J:J),0),_xlfn.IFNA(LOOKUP(R56,use_fish!A:A,use_fish!J:J),0),_xlfn.IFNA(LOOKUP(S56,use_fish!A:A,use_fish!J:J),0),_xlfn.IFNA(LOOKUP(T56,use_fish!A:A,use_fish!J:J),0),_xlfn.IFNA(LOOKUP(U56,use_fish!A:A,use_fish!J:J),0),_xlfn.IFNA(LOOKUP(V56,use_fish!A:A,use_fish!J:J),0),_xlfn.IFNA(LOOKUP(W56,use_fish!A:A,use_fish!J:J),0),)</f>
        <v>0</v>
      </c>
      <c r="Q56">
        <v>41</v>
      </c>
    </row>
    <row r="57" spans="1:17" x14ac:dyDescent="0.2">
      <c r="A57">
        <v>56</v>
      </c>
      <c r="B57">
        <v>1</v>
      </c>
      <c r="C57" t="s">
        <v>101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J57" s="2">
        <f>SUM(_xlfn.IFNA(LOOKUP(Q57,use_fish!A:A,use_fish!J:J),0),_xlfn.IFNA(LOOKUP(R57,use_fish!A:A,use_fish!J:J),0),_xlfn.IFNA(LOOKUP(S57,use_fish!A:A,use_fish!J:J),0),_xlfn.IFNA(LOOKUP(T57,use_fish!A:A,use_fish!J:J),0),_xlfn.IFNA(LOOKUP(U57,use_fish!A:A,use_fish!J:J),0),_xlfn.IFNA(LOOKUP(V57,use_fish!A:A,use_fish!J:J),0),_xlfn.IFNA(LOOKUP(W57,use_fish!A:A,use_fish!J:J),0),)</f>
        <v>0</v>
      </c>
      <c r="Q57">
        <v>42</v>
      </c>
    </row>
    <row r="58" spans="1:17" x14ac:dyDescent="0.2">
      <c r="A58">
        <v>57</v>
      </c>
      <c r="B58">
        <v>1</v>
      </c>
      <c r="C58" t="s">
        <v>102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J58" s="2">
        <f>SUM(_xlfn.IFNA(LOOKUP(Q58,use_fish!A:A,use_fish!J:J),0),_xlfn.IFNA(LOOKUP(R58,use_fish!A:A,use_fish!J:J),0),_xlfn.IFNA(LOOKUP(S58,use_fish!A:A,use_fish!J:J),0),_xlfn.IFNA(LOOKUP(T58,use_fish!A:A,use_fish!J:J),0),_xlfn.IFNA(LOOKUP(U58,use_fish!A:A,use_fish!J:J),0),_xlfn.IFNA(LOOKUP(V58,use_fish!A:A,use_fish!J:J),0),_xlfn.IFNA(LOOKUP(W58,use_fish!A:A,use_fish!J:J),0),)</f>
        <v>0</v>
      </c>
      <c r="Q58">
        <v>43</v>
      </c>
    </row>
    <row r="59" spans="1:17" x14ac:dyDescent="0.2">
      <c r="A59">
        <v>58</v>
      </c>
      <c r="B59">
        <v>1</v>
      </c>
      <c r="C59" t="s">
        <v>103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J59" s="2">
        <f>SUM(_xlfn.IFNA(LOOKUP(Q59,use_fish!A:A,use_fish!J:J),0),_xlfn.IFNA(LOOKUP(R59,use_fish!A:A,use_fish!J:J),0),_xlfn.IFNA(LOOKUP(S59,use_fish!A:A,use_fish!J:J),0),_xlfn.IFNA(LOOKUP(T59,use_fish!A:A,use_fish!J:J),0),_xlfn.IFNA(LOOKUP(U59,use_fish!A:A,use_fish!J:J),0),_xlfn.IFNA(LOOKUP(V59,use_fish!A:A,use_fish!J:J),0),_xlfn.IFNA(LOOKUP(W59,use_fish!A:A,use_fish!J:J),0),)</f>
        <v>0</v>
      </c>
      <c r="Q59">
        <v>44</v>
      </c>
    </row>
    <row r="60" spans="1:17" x14ac:dyDescent="0.2">
      <c r="A60">
        <v>59</v>
      </c>
      <c r="B60">
        <v>1</v>
      </c>
      <c r="C60" t="s">
        <v>104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J60" s="2">
        <f>SUM(_xlfn.IFNA(LOOKUP(Q60,use_fish!A:A,use_fish!J:J),0),_xlfn.IFNA(LOOKUP(R60,use_fish!A:A,use_fish!J:J),0),_xlfn.IFNA(LOOKUP(S60,use_fish!A:A,use_fish!J:J),0),_xlfn.IFNA(LOOKUP(T60,use_fish!A:A,use_fish!J:J),0),_xlfn.IFNA(LOOKUP(U60,use_fish!A:A,use_fish!J:J),0),_xlfn.IFNA(LOOKUP(V60,use_fish!A:A,use_fish!J:J),0),_xlfn.IFNA(LOOKUP(W60,use_fish!A:A,use_fish!J:J),0),)</f>
        <v>0</v>
      </c>
      <c r="Q60">
        <v>45</v>
      </c>
    </row>
    <row r="61" spans="1:17" x14ac:dyDescent="0.2">
      <c r="A61">
        <v>60</v>
      </c>
      <c r="B61">
        <v>1</v>
      </c>
      <c r="C61" t="s">
        <v>105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J61" s="2">
        <f>SUM(_xlfn.IFNA(LOOKUP(Q61,use_fish!A:A,use_fish!J:J),0),_xlfn.IFNA(LOOKUP(R61,use_fish!A:A,use_fish!J:J),0),_xlfn.IFNA(LOOKUP(S61,use_fish!A:A,use_fish!J:J),0),_xlfn.IFNA(LOOKUP(T61,use_fish!A:A,use_fish!J:J),0),_xlfn.IFNA(LOOKUP(U61,use_fish!A:A,use_fish!J:J),0),_xlfn.IFNA(LOOKUP(V61,use_fish!A:A,use_fish!J:J),0),_xlfn.IFNA(LOOKUP(W61,use_fish!A:A,use_fish!J:J),0),)</f>
        <v>0</v>
      </c>
      <c r="Q61">
        <v>46</v>
      </c>
    </row>
    <row r="62" spans="1:17" x14ac:dyDescent="0.2">
      <c r="A62">
        <v>61</v>
      </c>
      <c r="B62">
        <v>1</v>
      </c>
      <c r="C62" t="s">
        <v>106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J62" s="2">
        <f>SUM(_xlfn.IFNA(LOOKUP(Q62,use_fish!A:A,use_fish!J:J),0),_xlfn.IFNA(LOOKUP(R62,use_fish!A:A,use_fish!J:J),0),_xlfn.IFNA(LOOKUP(S62,use_fish!A:A,use_fish!J:J),0),_xlfn.IFNA(LOOKUP(T62,use_fish!A:A,use_fish!J:J),0),_xlfn.IFNA(LOOKUP(U62,use_fish!A:A,use_fish!J:J),0),_xlfn.IFNA(LOOKUP(V62,use_fish!A:A,use_fish!J:J),0),_xlfn.IFNA(LOOKUP(W62,use_fish!A:A,use_fish!J:J),0),)</f>
        <v>0</v>
      </c>
      <c r="Q62">
        <v>47</v>
      </c>
    </row>
    <row r="63" spans="1:17" x14ac:dyDescent="0.2">
      <c r="A63">
        <v>62</v>
      </c>
      <c r="B63">
        <v>1</v>
      </c>
      <c r="C63" t="s">
        <v>107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J63" s="2">
        <f>SUM(_xlfn.IFNA(LOOKUP(Q63,use_fish!A:A,use_fish!J:J),0),_xlfn.IFNA(LOOKUP(R63,use_fish!A:A,use_fish!J:J),0),_xlfn.IFNA(LOOKUP(S63,use_fish!A:A,use_fish!J:J),0),_xlfn.IFNA(LOOKUP(T63,use_fish!A:A,use_fish!J:J),0),_xlfn.IFNA(LOOKUP(U63,use_fish!A:A,use_fish!J:J),0),_xlfn.IFNA(LOOKUP(V63,use_fish!A:A,use_fish!J:J),0),_xlfn.IFNA(LOOKUP(W63,use_fish!A:A,use_fish!J:J),0),)</f>
        <v>0</v>
      </c>
      <c r="Q63">
        <v>48</v>
      </c>
    </row>
    <row r="64" spans="1:17" x14ac:dyDescent="0.2">
      <c r="A64">
        <v>63</v>
      </c>
      <c r="B64">
        <v>1</v>
      </c>
      <c r="C64" t="s">
        <v>108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140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140</v>
      </c>
      <c r="J64" s="2">
        <f>SUM(_xlfn.IFNA(LOOKUP(Q64,use_fish!A:A,use_fish!J:J),0),_xlfn.IFNA(LOOKUP(R64,use_fish!A:A,use_fish!J:J),0),_xlfn.IFNA(LOOKUP(S64,use_fish!A:A,use_fish!J:J),0),_xlfn.IFNA(LOOKUP(T64,use_fish!A:A,use_fish!J:J),0),_xlfn.IFNA(LOOKUP(U64,use_fish!A:A,use_fish!J:J),0),_xlfn.IFNA(LOOKUP(V64,use_fish!A:A,use_fish!J:J),0),_xlfn.IFNA(LOOKUP(W64,use_fish!A:A,use_fish!J:J),0),)</f>
        <v>0</v>
      </c>
      <c r="Q64">
        <v>49</v>
      </c>
    </row>
    <row r="65" spans="1:17" x14ac:dyDescent="0.2">
      <c r="A65">
        <v>64</v>
      </c>
      <c r="B65">
        <v>1</v>
      </c>
      <c r="C65" t="s">
        <v>109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J65" s="2">
        <f>SUM(_xlfn.IFNA(LOOKUP(Q65,use_fish!A:A,use_fish!J:J),0),_xlfn.IFNA(LOOKUP(R65,use_fish!A:A,use_fish!J:J),0),_xlfn.IFNA(LOOKUP(S65,use_fish!A:A,use_fish!J:J),0),_xlfn.IFNA(LOOKUP(T65,use_fish!A:A,use_fish!J:J),0),_xlfn.IFNA(LOOKUP(U65,use_fish!A:A,use_fish!J:J),0),_xlfn.IFNA(LOOKUP(V65,use_fish!A:A,use_fish!J:J),0),_xlfn.IFNA(LOOKUP(W65,use_fish!A:A,use_fish!J:J),0),)</f>
        <v>0</v>
      </c>
      <c r="Q65">
        <v>50</v>
      </c>
    </row>
    <row r="66" spans="1:17" x14ac:dyDescent="0.2">
      <c r="A66">
        <v>65</v>
      </c>
      <c r="B66">
        <v>1</v>
      </c>
      <c r="C66" t="s">
        <v>110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J66" s="2">
        <f>SUM(_xlfn.IFNA(LOOKUP(Q66,use_fish!A:A,use_fish!J:J),0),_xlfn.IFNA(LOOKUP(R66,use_fish!A:A,use_fish!J:J),0),_xlfn.IFNA(LOOKUP(S66,use_fish!A:A,use_fish!J:J),0),_xlfn.IFNA(LOOKUP(T66,use_fish!A:A,use_fish!J:J),0),_xlfn.IFNA(LOOKUP(U66,use_fish!A:A,use_fish!J:J),0),_xlfn.IFNA(LOOKUP(V66,use_fish!A:A,use_fish!J:J),0),_xlfn.IFNA(LOOKUP(W66,use_fish!A:A,use_fish!J:J),0),)</f>
        <v>0</v>
      </c>
      <c r="Q66">
        <v>51</v>
      </c>
    </row>
    <row r="67" spans="1:17" x14ac:dyDescent="0.2">
      <c r="A67">
        <v>66</v>
      </c>
      <c r="B67">
        <v>1</v>
      </c>
      <c r="C67" t="s">
        <v>111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J67" s="2">
        <f>SUM(_xlfn.IFNA(LOOKUP(Q67,use_fish!A:A,use_fish!J:J),0),_xlfn.IFNA(LOOKUP(R67,use_fish!A:A,use_fish!J:J),0),_xlfn.IFNA(LOOKUP(S67,use_fish!A:A,use_fish!J:J),0),_xlfn.IFNA(LOOKUP(T67,use_fish!A:A,use_fish!J:J),0),_xlfn.IFNA(LOOKUP(U67,use_fish!A:A,use_fish!J:J),0),_xlfn.IFNA(LOOKUP(V67,use_fish!A:A,use_fish!J:J),0),_xlfn.IFNA(LOOKUP(W67,use_fish!A:A,use_fish!J:J),0),)</f>
        <v>0</v>
      </c>
      <c r="Q67">
        <v>52</v>
      </c>
    </row>
    <row r="68" spans="1:17" x14ac:dyDescent="0.2">
      <c r="A68">
        <v>67</v>
      </c>
      <c r="B68">
        <v>1</v>
      </c>
      <c r="C68" t="s">
        <v>112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J68" s="2">
        <f>SUM(_xlfn.IFNA(LOOKUP(Q68,use_fish!A:A,use_fish!J:J),0),_xlfn.IFNA(LOOKUP(R68,use_fish!A:A,use_fish!J:J),0),_xlfn.IFNA(LOOKUP(S68,use_fish!A:A,use_fish!J:J),0),_xlfn.IFNA(LOOKUP(T68,use_fish!A:A,use_fish!J:J),0),_xlfn.IFNA(LOOKUP(U68,use_fish!A:A,use_fish!J:J),0),_xlfn.IFNA(LOOKUP(V68,use_fish!A:A,use_fish!J:J),0),_xlfn.IFNA(LOOKUP(W68,use_fish!A:A,use_fish!J:J),0),)</f>
        <v>0</v>
      </c>
      <c r="Q68">
        <v>53</v>
      </c>
    </row>
    <row r="69" spans="1:17" x14ac:dyDescent="0.2">
      <c r="A69">
        <v>68</v>
      </c>
      <c r="B69">
        <v>1</v>
      </c>
      <c r="C69" t="s">
        <v>113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J69" s="2">
        <f>SUM(_xlfn.IFNA(LOOKUP(Q69,use_fish!A:A,use_fish!J:J),0),_xlfn.IFNA(LOOKUP(R69,use_fish!A:A,use_fish!J:J),0),_xlfn.IFNA(LOOKUP(S69,use_fish!A:A,use_fish!J:J),0),_xlfn.IFNA(LOOKUP(T69,use_fish!A:A,use_fish!J:J),0),_xlfn.IFNA(LOOKUP(U69,use_fish!A:A,use_fish!J:J),0),_xlfn.IFNA(LOOKUP(V69,use_fish!A:A,use_fish!J:J),0),_xlfn.IFNA(LOOKUP(W69,use_fish!A:A,use_fish!J:J),0),)</f>
        <v>0</v>
      </c>
      <c r="Q69">
        <v>54</v>
      </c>
    </row>
    <row r="70" spans="1:17" x14ac:dyDescent="0.2">
      <c r="A70">
        <v>69</v>
      </c>
      <c r="B70">
        <v>1</v>
      </c>
      <c r="C70" t="s">
        <v>114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J70" s="2">
        <f>SUM(_xlfn.IFNA(LOOKUP(Q70,use_fish!A:A,use_fish!J:J),0),_xlfn.IFNA(LOOKUP(R70,use_fish!A:A,use_fish!J:J),0),_xlfn.IFNA(LOOKUP(S70,use_fish!A:A,use_fish!J:J),0),_xlfn.IFNA(LOOKUP(T70,use_fish!A:A,use_fish!J:J),0),_xlfn.IFNA(LOOKUP(U70,use_fish!A:A,use_fish!J:J),0),_xlfn.IFNA(LOOKUP(V70,use_fish!A:A,use_fish!J:J),0),_xlfn.IFNA(LOOKUP(W70,use_fish!A:A,use_fish!J:J),0),)</f>
        <v>0</v>
      </c>
      <c r="Q70">
        <v>55</v>
      </c>
    </row>
    <row r="71" spans="1:17" x14ac:dyDescent="0.2">
      <c r="A71">
        <v>70</v>
      </c>
      <c r="B71">
        <v>1</v>
      </c>
      <c r="C71" t="s">
        <v>115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J71" s="2">
        <f>SUM(_xlfn.IFNA(LOOKUP(Q71,use_fish!A:A,use_fish!J:J),0),_xlfn.IFNA(LOOKUP(R71,use_fish!A:A,use_fish!J:J),0),_xlfn.IFNA(LOOKUP(S71,use_fish!A:A,use_fish!J:J),0),_xlfn.IFNA(LOOKUP(T71,use_fish!A:A,use_fish!J:J),0),_xlfn.IFNA(LOOKUP(U71,use_fish!A:A,use_fish!J:J),0),_xlfn.IFNA(LOOKUP(V71,use_fish!A:A,use_fish!J:J),0),_xlfn.IFNA(LOOKUP(W71,use_fish!A:A,use_fish!J:J),0),)</f>
        <v>0</v>
      </c>
      <c r="Q71">
        <v>56</v>
      </c>
    </row>
    <row r="72" spans="1:17" x14ac:dyDescent="0.2">
      <c r="A72">
        <v>71</v>
      </c>
      <c r="B72">
        <v>1</v>
      </c>
      <c r="C72" t="s">
        <v>116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J72" s="2">
        <f>SUM(_xlfn.IFNA(LOOKUP(Q72,use_fish!A:A,use_fish!J:J),0),_xlfn.IFNA(LOOKUP(R72,use_fish!A:A,use_fish!J:J),0),_xlfn.IFNA(LOOKUP(S72,use_fish!A:A,use_fish!J:J),0),_xlfn.IFNA(LOOKUP(T72,use_fish!A:A,use_fish!J:J),0),_xlfn.IFNA(LOOKUP(U72,use_fish!A:A,use_fish!J:J),0),_xlfn.IFNA(LOOKUP(V72,use_fish!A:A,use_fish!J:J),0),_xlfn.IFNA(LOOKUP(W72,use_fish!A:A,use_fish!J:J),0),)</f>
        <v>0</v>
      </c>
      <c r="Q72">
        <v>57</v>
      </c>
    </row>
    <row r="73" spans="1:17" x14ac:dyDescent="0.2">
      <c r="A73">
        <v>72</v>
      </c>
      <c r="B73">
        <v>1</v>
      </c>
      <c r="C73" t="s">
        <v>117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J73" s="2">
        <f>SUM(_xlfn.IFNA(LOOKUP(Q73,use_fish!A:A,use_fish!J:J),0),_xlfn.IFNA(LOOKUP(R73,use_fish!A:A,use_fish!J:J),0),_xlfn.IFNA(LOOKUP(S73,use_fish!A:A,use_fish!J:J),0),_xlfn.IFNA(LOOKUP(T73,use_fish!A:A,use_fish!J:J),0),_xlfn.IFNA(LOOKUP(U73,use_fish!A:A,use_fish!J:J),0),_xlfn.IFNA(LOOKUP(V73,use_fish!A:A,use_fish!J:J),0),_xlfn.IFNA(LOOKUP(W73,use_fish!A:A,use_fish!J:J),0),)</f>
        <v>0</v>
      </c>
      <c r="Q73">
        <v>58</v>
      </c>
    </row>
    <row r="74" spans="1:17" x14ac:dyDescent="0.2">
      <c r="A74">
        <v>73</v>
      </c>
      <c r="B74">
        <v>1</v>
      </c>
      <c r="C74" t="s">
        <v>118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150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150</v>
      </c>
      <c r="J74" s="2">
        <f>SUM(_xlfn.IFNA(LOOKUP(Q74,use_fish!A:A,use_fish!J:J),0),_xlfn.IFNA(LOOKUP(R74,use_fish!A:A,use_fish!J:J),0),_xlfn.IFNA(LOOKUP(S74,use_fish!A:A,use_fish!J:J),0),_xlfn.IFNA(LOOKUP(T74,use_fish!A:A,use_fish!J:J),0),_xlfn.IFNA(LOOKUP(U74,use_fish!A:A,use_fish!J:J),0),_xlfn.IFNA(LOOKUP(V74,use_fish!A:A,use_fish!J:J),0),_xlfn.IFNA(LOOKUP(W74,use_fish!A:A,use_fish!J:J),0),)</f>
        <v>0</v>
      </c>
      <c r="Q74">
        <v>59</v>
      </c>
    </row>
    <row r="75" spans="1:17" x14ac:dyDescent="0.2">
      <c r="A75">
        <v>74</v>
      </c>
      <c r="B75">
        <v>1</v>
      </c>
      <c r="C75" t="s">
        <v>119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J75" s="2">
        <f>SUM(_xlfn.IFNA(LOOKUP(Q75,use_fish!A:A,use_fish!J:J),0),_xlfn.IFNA(LOOKUP(R75,use_fish!A:A,use_fish!J:J),0),_xlfn.IFNA(LOOKUP(S75,use_fish!A:A,use_fish!J:J),0),_xlfn.IFNA(LOOKUP(T75,use_fish!A:A,use_fish!J:J),0),_xlfn.IFNA(LOOKUP(U75,use_fish!A:A,use_fish!J:J),0),_xlfn.IFNA(LOOKUP(V75,use_fish!A:A,use_fish!J:J),0),_xlfn.IFNA(LOOKUP(W75,use_fish!A:A,use_fish!J:J),0),)</f>
        <v>0</v>
      </c>
      <c r="K75" t="str">
        <f t="array" ref="K75">INDEX(use_fish!A:A,SMALL(IF(group!$L$2&amp;IF(ISBLANK($L$3),$L$3,"+"&amp;$L$3)=use_fish!G:G,ROW(use_fish!G:G),4^8),ROW(72:72)))&amp;""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120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J76" s="2">
        <f>SUM(_xlfn.IFNA(LOOKUP(Q76,use_fish!A:A,use_fish!J:J),0),_xlfn.IFNA(LOOKUP(R76,use_fish!A:A,use_fish!J:J),0),_xlfn.IFNA(LOOKUP(S76,use_fish!A:A,use_fish!J:J),0),_xlfn.IFNA(LOOKUP(T76,use_fish!A:A,use_fish!J:J),0),_xlfn.IFNA(LOOKUP(U76,use_fish!A:A,use_fish!J:J),0),_xlfn.IFNA(LOOKUP(V76,use_fish!A:A,use_fish!J:J),0),_xlfn.IFNA(LOOKUP(W76,use_fish!A:A,use_fish!J:J),0),)</f>
        <v>0</v>
      </c>
      <c r="K76" t="str">
        <f t="array" ref="K76">INDEX(use_fish!A:A,SMALL(IF(group!$L$2&amp;IF(ISBLANK($L$3),$L$3,"+"&amp;$L$3)=use_fish!G:G,ROW(use_fish!G:G),4^8),ROW(73:73)))&amp;""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121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J77" s="2">
        <f>SUM(_xlfn.IFNA(LOOKUP(Q77,use_fish!A:A,use_fish!J:J),0),_xlfn.IFNA(LOOKUP(R77,use_fish!A:A,use_fish!J:J),0),_xlfn.IFNA(LOOKUP(S77,use_fish!A:A,use_fish!J:J),0),_xlfn.IFNA(LOOKUP(T77,use_fish!A:A,use_fish!J:J),0),_xlfn.IFNA(LOOKUP(U77,use_fish!A:A,use_fish!J:J),0),_xlfn.IFNA(LOOKUP(V77,use_fish!A:A,use_fish!J:J),0),_xlfn.IFNA(LOOKUP(W77,use_fish!A:A,use_fish!J:J),0),)</f>
        <v>0</v>
      </c>
      <c r="K77" t="str">
        <f t="array" ref="K77">INDEX(use_fish!A:A,SMALL(IF(group!$L$2&amp;IF(ISBLANK($L$3),$L$3,"+"&amp;$L$3)=use_fish!G:G,ROW(use_fish!G:G),4^8),ROW(74:74)))&amp;""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122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J78" s="2">
        <f>SUM(_xlfn.IFNA(LOOKUP(Q78,use_fish!A:A,use_fish!J:J),0),_xlfn.IFNA(LOOKUP(R78,use_fish!A:A,use_fish!J:J),0),_xlfn.IFNA(LOOKUP(S78,use_fish!A:A,use_fish!J:J),0),_xlfn.IFNA(LOOKUP(T78,use_fish!A:A,use_fish!J:J),0),_xlfn.IFNA(LOOKUP(U78,use_fish!A:A,use_fish!J:J),0),_xlfn.IFNA(LOOKUP(V78,use_fish!A:A,use_fish!J:J),0),_xlfn.IFNA(LOOKUP(W78,use_fish!A:A,use_fish!J:J),0),)</f>
        <v>0</v>
      </c>
      <c r="Q78">
        <v>63</v>
      </c>
    </row>
    <row r="79" spans="1:17" x14ac:dyDescent="0.2">
      <c r="A79">
        <v>78</v>
      </c>
      <c r="B79">
        <v>1</v>
      </c>
      <c r="C79" t="s">
        <v>123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J79" s="2">
        <f>SUM(_xlfn.IFNA(LOOKUP(Q79,use_fish!A:A,use_fish!J:J),0),_xlfn.IFNA(LOOKUP(R79,use_fish!A:A,use_fish!J:J),0),_xlfn.IFNA(LOOKUP(S79,use_fish!A:A,use_fish!J:J),0),_xlfn.IFNA(LOOKUP(T79,use_fish!A:A,use_fish!J:J),0),_xlfn.IFNA(LOOKUP(U79,use_fish!A:A,use_fish!J:J),0),_xlfn.IFNA(LOOKUP(V79,use_fish!A:A,use_fish!J:J),0),_xlfn.IFNA(LOOKUP(W79,use_fish!A:A,use_fish!J:J),0),)</f>
        <v>0</v>
      </c>
      <c r="Q79">
        <v>64</v>
      </c>
    </row>
    <row r="80" spans="1:17" x14ac:dyDescent="0.2">
      <c r="A80">
        <v>79</v>
      </c>
      <c r="B80">
        <v>1</v>
      </c>
      <c r="C80" t="s">
        <v>124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J80" s="2">
        <f>SUM(_xlfn.IFNA(LOOKUP(Q80,use_fish!A:A,use_fish!J:J),0),_xlfn.IFNA(LOOKUP(R80,use_fish!A:A,use_fish!J:J),0),_xlfn.IFNA(LOOKUP(S80,use_fish!A:A,use_fish!J:J),0),_xlfn.IFNA(LOOKUP(T80,use_fish!A:A,use_fish!J:J),0),_xlfn.IFNA(LOOKUP(U80,use_fish!A:A,use_fish!J:J),0),_xlfn.IFNA(LOOKUP(V80,use_fish!A:A,use_fish!J:J),0),_xlfn.IFNA(LOOKUP(W80,use_fish!A:A,use_fish!J:J),0),)</f>
        <v>0</v>
      </c>
      <c r="Q80">
        <v>65</v>
      </c>
    </row>
    <row r="81" spans="1:17" x14ac:dyDescent="0.2">
      <c r="A81">
        <v>80</v>
      </c>
      <c r="B81">
        <v>1</v>
      </c>
      <c r="C81" t="s">
        <v>125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J81" s="2">
        <f>SUM(_xlfn.IFNA(LOOKUP(Q81,use_fish!A:A,use_fish!J:J),0),_xlfn.IFNA(LOOKUP(R81,use_fish!A:A,use_fish!J:J),0),_xlfn.IFNA(LOOKUP(S81,use_fish!A:A,use_fish!J:J),0),_xlfn.IFNA(LOOKUP(T81,use_fish!A:A,use_fish!J:J),0),_xlfn.IFNA(LOOKUP(U81,use_fish!A:A,use_fish!J:J),0),_xlfn.IFNA(LOOKUP(V81,use_fish!A:A,use_fish!J:J),0),_xlfn.IFNA(LOOKUP(W81,use_fish!A:A,use_fish!J:J),0),)</f>
        <v>0</v>
      </c>
      <c r="Q81">
        <v>66</v>
      </c>
    </row>
    <row r="82" spans="1:17" x14ac:dyDescent="0.2">
      <c r="A82">
        <v>81</v>
      </c>
      <c r="B82">
        <v>1</v>
      </c>
      <c r="C82" t="s">
        <v>126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J82" s="2">
        <f>SUM(_xlfn.IFNA(LOOKUP(Q82,use_fish!A:A,use_fish!J:J),0),_xlfn.IFNA(LOOKUP(R82,use_fish!A:A,use_fish!J:J),0),_xlfn.IFNA(LOOKUP(S82,use_fish!A:A,use_fish!J:J),0),_xlfn.IFNA(LOOKUP(T82,use_fish!A:A,use_fish!J:J),0),_xlfn.IFNA(LOOKUP(U82,use_fish!A:A,use_fish!J:J),0),_xlfn.IFNA(LOOKUP(V82,use_fish!A:A,use_fish!J:J),0),_xlfn.IFNA(LOOKUP(W82,use_fish!A:A,use_fish!J:J),0),)</f>
        <v>0</v>
      </c>
      <c r="Q82">
        <v>67</v>
      </c>
    </row>
    <row r="83" spans="1:17" x14ac:dyDescent="0.2">
      <c r="A83">
        <v>82</v>
      </c>
      <c r="B83">
        <v>1</v>
      </c>
      <c r="C83" t="s">
        <v>127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180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180</v>
      </c>
      <c r="J83" s="2">
        <f>SUM(_xlfn.IFNA(LOOKUP(Q83,use_fish!A:A,use_fish!J:J),0),_xlfn.IFNA(LOOKUP(R83,use_fish!A:A,use_fish!J:J),0),_xlfn.IFNA(LOOKUP(S83,use_fish!A:A,use_fish!J:J),0),_xlfn.IFNA(LOOKUP(T83,use_fish!A:A,use_fish!J:J),0),_xlfn.IFNA(LOOKUP(U83,use_fish!A:A,use_fish!J:J),0),_xlfn.IFNA(LOOKUP(V83,use_fish!A:A,use_fish!J:J),0),_xlfn.IFNA(LOOKUP(W83,use_fish!A:A,use_fish!J:J),0),)</f>
        <v>0</v>
      </c>
      <c r="Q83">
        <v>68</v>
      </c>
    </row>
    <row r="84" spans="1:17" x14ac:dyDescent="0.2">
      <c r="A84">
        <v>83</v>
      </c>
      <c r="B84">
        <v>1</v>
      </c>
      <c r="C84" t="s">
        <v>128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J84" s="2">
        <f>SUM(_xlfn.IFNA(LOOKUP(Q84,use_fish!A:A,use_fish!J:J),0),_xlfn.IFNA(LOOKUP(R84,use_fish!A:A,use_fish!J:J),0),_xlfn.IFNA(LOOKUP(S84,use_fish!A:A,use_fish!J:J),0),_xlfn.IFNA(LOOKUP(T84,use_fish!A:A,use_fish!J:J),0),_xlfn.IFNA(LOOKUP(U84,use_fish!A:A,use_fish!J:J),0),_xlfn.IFNA(LOOKUP(V84,use_fish!A:A,use_fish!J:J),0),_xlfn.IFNA(LOOKUP(W84,use_fish!A:A,use_fish!J:J),0),)</f>
        <v>0</v>
      </c>
      <c r="K84" t="str">
        <f t="array" ref="K84">INDEX(use_fish!A:A,SMALL(IF(group!$L$2&amp;IF(ISBLANK($L$3),$L$3,"+"&amp;$L$3)=use_fish!G:G,ROW(use_fish!G:G),4^8),ROW(81:81)))&amp;""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129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J85" s="2">
        <f>SUM(_xlfn.IFNA(LOOKUP(Q85,use_fish!A:A,use_fish!J:J),0),_xlfn.IFNA(LOOKUP(R85,use_fish!A:A,use_fish!J:J),0),_xlfn.IFNA(LOOKUP(S85,use_fish!A:A,use_fish!J:J),0),_xlfn.IFNA(LOOKUP(T85,use_fish!A:A,use_fish!J:J),0),_xlfn.IFNA(LOOKUP(U85,use_fish!A:A,use_fish!J:J),0),_xlfn.IFNA(LOOKUP(V85,use_fish!A:A,use_fish!J:J),0),_xlfn.IFNA(LOOKUP(W85,use_fish!A:A,use_fish!J:J),0),)</f>
        <v>0</v>
      </c>
      <c r="Q85">
        <v>70</v>
      </c>
    </row>
    <row r="86" spans="1:17" x14ac:dyDescent="0.2">
      <c r="A86">
        <v>85</v>
      </c>
      <c r="B86">
        <v>1</v>
      </c>
      <c r="C86" t="s">
        <v>130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J86" s="2">
        <f>SUM(_xlfn.IFNA(LOOKUP(Q86,use_fish!A:A,use_fish!J:J),0),_xlfn.IFNA(LOOKUP(R86,use_fish!A:A,use_fish!J:J),0),_xlfn.IFNA(LOOKUP(S86,use_fish!A:A,use_fish!J:J),0),_xlfn.IFNA(LOOKUP(T86,use_fish!A:A,use_fish!J:J),0),_xlfn.IFNA(LOOKUP(U86,use_fish!A:A,use_fish!J:J),0),_xlfn.IFNA(LOOKUP(V86,use_fish!A:A,use_fish!J:J),0),_xlfn.IFNA(LOOKUP(W86,use_fish!A:A,use_fish!J:J),0),)</f>
        <v>0</v>
      </c>
      <c r="Q86">
        <v>71</v>
      </c>
    </row>
    <row r="87" spans="1:17" x14ac:dyDescent="0.2">
      <c r="A87">
        <v>86</v>
      </c>
      <c r="B87">
        <v>1</v>
      </c>
      <c r="C87" t="s">
        <v>131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J87" s="2">
        <f>SUM(_xlfn.IFNA(LOOKUP(Q87,use_fish!A:A,use_fish!J:J),0),_xlfn.IFNA(LOOKUP(R87,use_fish!A:A,use_fish!J:J),0),_xlfn.IFNA(LOOKUP(S87,use_fish!A:A,use_fish!J:J),0),_xlfn.IFNA(LOOKUP(T87,use_fish!A:A,use_fish!J:J),0),_xlfn.IFNA(LOOKUP(U87,use_fish!A:A,use_fish!J:J),0),_xlfn.IFNA(LOOKUP(V87,use_fish!A:A,use_fish!J:J),0),_xlfn.IFNA(LOOKUP(W87,use_fish!A:A,use_fish!J:J),0),)</f>
        <v>0</v>
      </c>
      <c r="Q87">
        <v>72</v>
      </c>
    </row>
    <row r="88" spans="1:17" x14ac:dyDescent="0.2">
      <c r="A88">
        <v>87</v>
      </c>
      <c r="B88">
        <v>1</v>
      </c>
      <c r="C88" t="s">
        <v>132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J88" s="2">
        <f>SUM(_xlfn.IFNA(LOOKUP(Q88,use_fish!A:A,use_fish!J:J),0),_xlfn.IFNA(LOOKUP(R88,use_fish!A:A,use_fish!J:J),0),_xlfn.IFNA(LOOKUP(S88,use_fish!A:A,use_fish!J:J),0),_xlfn.IFNA(LOOKUP(T88,use_fish!A:A,use_fish!J:J),0),_xlfn.IFNA(LOOKUP(U88,use_fish!A:A,use_fish!J:J),0),_xlfn.IFNA(LOOKUP(V88,use_fish!A:A,use_fish!J:J),0),_xlfn.IFNA(LOOKUP(W88,use_fish!A:A,use_fish!J:J),0),)</f>
        <v>0</v>
      </c>
      <c r="Q88">
        <v>73</v>
      </c>
    </row>
    <row r="89" spans="1:17" x14ac:dyDescent="0.2">
      <c r="A89">
        <v>88</v>
      </c>
      <c r="B89">
        <v>1</v>
      </c>
      <c r="C89" t="s">
        <v>133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J89" s="2">
        <f>SUM(_xlfn.IFNA(LOOKUP(Q89,use_fish!A:A,use_fish!J:J),0),_xlfn.IFNA(LOOKUP(R89,use_fish!A:A,use_fish!J:J),0),_xlfn.IFNA(LOOKUP(S89,use_fish!A:A,use_fish!J:J),0),_xlfn.IFNA(LOOKUP(T89,use_fish!A:A,use_fish!J:J),0),_xlfn.IFNA(LOOKUP(U89,use_fish!A:A,use_fish!J:J),0),_xlfn.IFNA(LOOKUP(V89,use_fish!A:A,use_fish!J:J),0),_xlfn.IFNA(LOOKUP(W89,use_fish!A:A,use_fish!J:J),0),)</f>
        <v>0</v>
      </c>
      <c r="Q89">
        <v>74</v>
      </c>
    </row>
    <row r="90" spans="1:17" x14ac:dyDescent="0.2">
      <c r="A90">
        <v>89</v>
      </c>
      <c r="B90">
        <v>1</v>
      </c>
      <c r="C90" t="s">
        <v>134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J90" s="2">
        <f>SUM(_xlfn.IFNA(LOOKUP(Q90,use_fish!A:A,use_fish!J:J),0),_xlfn.IFNA(LOOKUP(R90,use_fish!A:A,use_fish!J:J),0),_xlfn.IFNA(LOOKUP(S90,use_fish!A:A,use_fish!J:J),0),_xlfn.IFNA(LOOKUP(T90,use_fish!A:A,use_fish!J:J),0),_xlfn.IFNA(LOOKUP(U90,use_fish!A:A,use_fish!J:J),0),_xlfn.IFNA(LOOKUP(V90,use_fish!A:A,use_fish!J:J),0),_xlfn.IFNA(LOOKUP(W90,use_fish!A:A,use_fish!J:J),0),)</f>
        <v>0</v>
      </c>
      <c r="Q90">
        <v>75</v>
      </c>
    </row>
    <row r="91" spans="1:17" x14ac:dyDescent="0.2">
      <c r="A91">
        <v>90</v>
      </c>
      <c r="B91">
        <v>1</v>
      </c>
      <c r="C91" t="s">
        <v>135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160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160</v>
      </c>
      <c r="J91" s="2">
        <f>SUM(_xlfn.IFNA(LOOKUP(Q91,use_fish!A:A,use_fish!J:J),0),_xlfn.IFNA(LOOKUP(R91,use_fish!A:A,use_fish!J:J),0),_xlfn.IFNA(LOOKUP(S91,use_fish!A:A,use_fish!J:J),0),_xlfn.IFNA(LOOKUP(T91,use_fish!A:A,use_fish!J:J),0),_xlfn.IFNA(LOOKUP(U91,use_fish!A:A,use_fish!J:J),0),_xlfn.IFNA(LOOKUP(V91,use_fish!A:A,use_fish!J:J),0),_xlfn.IFNA(LOOKUP(W91,use_fish!A:A,use_fish!J:J),0),)</f>
        <v>0</v>
      </c>
      <c r="Q91">
        <v>76</v>
      </c>
    </row>
    <row r="92" spans="1:17" x14ac:dyDescent="0.2">
      <c r="A92">
        <v>91</v>
      </c>
      <c r="B92">
        <v>1</v>
      </c>
      <c r="C92" t="s">
        <v>136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J92" s="2">
        <f>SUM(_xlfn.IFNA(LOOKUP(Q92,use_fish!A:A,use_fish!J:J),0),_xlfn.IFNA(LOOKUP(R92,use_fish!A:A,use_fish!J:J),0),_xlfn.IFNA(LOOKUP(S92,use_fish!A:A,use_fish!J:J),0),_xlfn.IFNA(LOOKUP(T92,use_fish!A:A,use_fish!J:J),0),_xlfn.IFNA(LOOKUP(U92,use_fish!A:A,use_fish!J:J),0),_xlfn.IFNA(LOOKUP(V92,use_fish!A:A,use_fish!J:J),0),_xlfn.IFNA(LOOKUP(W92,use_fish!A:A,use_fish!J:J),0),)</f>
        <v>0</v>
      </c>
      <c r="Q92">
        <v>77</v>
      </c>
    </row>
    <row r="93" spans="1:17" x14ac:dyDescent="0.2">
      <c r="A93">
        <v>92</v>
      </c>
      <c r="B93">
        <v>1</v>
      </c>
      <c r="C93" t="s">
        <v>137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J93" s="2">
        <f>SUM(_xlfn.IFNA(LOOKUP(Q93,use_fish!A:A,use_fish!J:J),0),_xlfn.IFNA(LOOKUP(R93,use_fish!A:A,use_fish!J:J),0),_xlfn.IFNA(LOOKUP(S93,use_fish!A:A,use_fish!J:J),0),_xlfn.IFNA(LOOKUP(T93,use_fish!A:A,use_fish!J:J),0),_xlfn.IFNA(LOOKUP(U93,use_fish!A:A,use_fish!J:J),0),_xlfn.IFNA(LOOKUP(V93,use_fish!A:A,use_fish!J:J),0),_xlfn.IFNA(LOOKUP(W93,use_fish!A:A,use_fish!J:J),0),)</f>
        <v>0</v>
      </c>
      <c r="Q93">
        <v>78</v>
      </c>
    </row>
    <row r="94" spans="1:17" x14ac:dyDescent="0.2">
      <c r="A94">
        <v>93</v>
      </c>
      <c r="B94">
        <v>1</v>
      </c>
      <c r="C94" t="s">
        <v>138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J94" s="2">
        <f>SUM(_xlfn.IFNA(LOOKUP(Q94,use_fish!A:A,use_fish!J:J),0),_xlfn.IFNA(LOOKUP(R94,use_fish!A:A,use_fish!J:J),0),_xlfn.IFNA(LOOKUP(S94,use_fish!A:A,use_fish!J:J),0),_xlfn.IFNA(LOOKUP(T94,use_fish!A:A,use_fish!J:J),0),_xlfn.IFNA(LOOKUP(U94,use_fish!A:A,use_fish!J:J),0),_xlfn.IFNA(LOOKUP(V94,use_fish!A:A,use_fish!J:J),0),_xlfn.IFNA(LOOKUP(W94,use_fish!A:A,use_fish!J:J),0),)</f>
        <v>0</v>
      </c>
      <c r="Q94">
        <v>79</v>
      </c>
    </row>
    <row r="95" spans="1:17" x14ac:dyDescent="0.2">
      <c r="A95">
        <v>94</v>
      </c>
      <c r="B95">
        <v>1</v>
      </c>
      <c r="C95" t="s">
        <v>139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J95" s="2">
        <f>SUM(_xlfn.IFNA(LOOKUP(Q95,use_fish!A:A,use_fish!J:J),0),_xlfn.IFNA(LOOKUP(R95,use_fish!A:A,use_fish!J:J),0),_xlfn.IFNA(LOOKUP(S95,use_fish!A:A,use_fish!J:J),0),_xlfn.IFNA(LOOKUP(T95,use_fish!A:A,use_fish!J:J),0),_xlfn.IFNA(LOOKUP(U95,use_fish!A:A,use_fish!J:J),0),_xlfn.IFNA(LOOKUP(V95,use_fish!A:A,use_fish!J:J),0),_xlfn.IFNA(LOOKUP(W95,use_fish!A:A,use_fish!J:J),0),)</f>
        <v>0</v>
      </c>
      <c r="Q95">
        <v>80</v>
      </c>
    </row>
    <row r="96" spans="1:17" x14ac:dyDescent="0.2">
      <c r="A96">
        <v>95</v>
      </c>
      <c r="B96">
        <v>1</v>
      </c>
      <c r="C96" t="s">
        <v>140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J96" s="2">
        <f>SUM(_xlfn.IFNA(LOOKUP(Q96,use_fish!A:A,use_fish!J:J),0),_xlfn.IFNA(LOOKUP(R96,use_fish!A:A,use_fish!J:J),0),_xlfn.IFNA(LOOKUP(S96,use_fish!A:A,use_fish!J:J),0),_xlfn.IFNA(LOOKUP(T96,use_fish!A:A,use_fish!J:J),0),_xlfn.IFNA(LOOKUP(U96,use_fish!A:A,use_fish!J:J),0),_xlfn.IFNA(LOOKUP(V96,use_fish!A:A,use_fish!J:J),0),_xlfn.IFNA(LOOKUP(W96,use_fish!A:A,use_fish!J:J),0),)</f>
        <v>0</v>
      </c>
      <c r="Q96">
        <v>81</v>
      </c>
    </row>
    <row r="97" spans="1:17" x14ac:dyDescent="0.2">
      <c r="A97">
        <v>96</v>
      </c>
      <c r="B97">
        <v>1</v>
      </c>
      <c r="C97" t="s">
        <v>141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J97" s="2">
        <f>SUM(_xlfn.IFNA(LOOKUP(Q97,use_fish!A:A,use_fish!J:J),0),_xlfn.IFNA(LOOKUP(R97,use_fish!A:A,use_fish!J:J),0),_xlfn.IFNA(LOOKUP(S97,use_fish!A:A,use_fish!J:J),0),_xlfn.IFNA(LOOKUP(T97,use_fish!A:A,use_fish!J:J),0),_xlfn.IFNA(LOOKUP(U97,use_fish!A:A,use_fish!J:J),0),_xlfn.IFNA(LOOKUP(V97,use_fish!A:A,use_fish!J:J),0),_xlfn.IFNA(LOOKUP(W97,use_fish!A:A,use_fish!J:J),0),)</f>
        <v>0</v>
      </c>
      <c r="Q97">
        <v>82</v>
      </c>
    </row>
    <row r="98" spans="1:17" x14ac:dyDescent="0.2">
      <c r="A98">
        <v>97</v>
      </c>
      <c r="B98">
        <v>1</v>
      </c>
      <c r="C98" t="s">
        <v>142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J98" s="2">
        <f>SUM(_xlfn.IFNA(LOOKUP(Q98,use_fish!A:A,use_fish!J:J),0),_xlfn.IFNA(LOOKUP(R98,use_fish!A:A,use_fish!J:J),0),_xlfn.IFNA(LOOKUP(S98,use_fish!A:A,use_fish!J:J),0),_xlfn.IFNA(LOOKUP(T98,use_fish!A:A,use_fish!J:J),0),_xlfn.IFNA(LOOKUP(U98,use_fish!A:A,use_fish!J:J),0),_xlfn.IFNA(LOOKUP(V98,use_fish!A:A,use_fish!J:J),0),_xlfn.IFNA(LOOKUP(W98,use_fish!A:A,use_fish!J:J),0),)</f>
        <v>0</v>
      </c>
      <c r="Q98">
        <v>83</v>
      </c>
    </row>
    <row r="99" spans="1:17" x14ac:dyDescent="0.2">
      <c r="A99">
        <v>98</v>
      </c>
      <c r="B99">
        <v>1</v>
      </c>
      <c r="C99" t="s">
        <v>143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J99" s="2">
        <f>SUM(_xlfn.IFNA(LOOKUP(Q99,use_fish!A:A,use_fish!J:J),0),_xlfn.IFNA(LOOKUP(R99,use_fish!A:A,use_fish!J:J),0),_xlfn.IFNA(LOOKUP(S99,use_fish!A:A,use_fish!J:J),0),_xlfn.IFNA(LOOKUP(T99,use_fish!A:A,use_fish!J:J),0),_xlfn.IFNA(LOOKUP(U99,use_fish!A:A,use_fish!J:J),0),_xlfn.IFNA(LOOKUP(V99,use_fish!A:A,use_fish!J:J),0),_xlfn.IFNA(LOOKUP(W99,use_fish!A:A,use_fish!J:J),0),)</f>
        <v>0</v>
      </c>
      <c r="Q99">
        <v>84</v>
      </c>
    </row>
    <row r="100" spans="1:17" x14ac:dyDescent="0.2">
      <c r="A100">
        <v>99</v>
      </c>
      <c r="B100">
        <v>1</v>
      </c>
      <c r="C100" t="s">
        <v>144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J100" s="2">
        <f>SUM(_xlfn.IFNA(LOOKUP(Q100,use_fish!A:A,use_fish!J:J),0),_xlfn.IFNA(LOOKUP(R100,use_fish!A:A,use_fish!J:J),0),_xlfn.IFNA(LOOKUP(S100,use_fish!A:A,use_fish!J:J),0),_xlfn.IFNA(LOOKUP(T100,use_fish!A:A,use_fish!J:J),0),_xlfn.IFNA(LOOKUP(U100,use_fish!A:A,use_fish!J:J),0),_xlfn.IFNA(LOOKUP(V100,use_fish!A:A,use_fish!J:J),0),_xlfn.IFNA(LOOKUP(W100,use_fish!A:A,use_fish!J:J),0),)</f>
        <v>0</v>
      </c>
      <c r="Q100">
        <v>85</v>
      </c>
    </row>
    <row r="101" spans="1:17" x14ac:dyDescent="0.2">
      <c r="A101">
        <v>100</v>
      </c>
      <c r="B101">
        <v>1</v>
      </c>
      <c r="C101" t="s">
        <v>145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180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180</v>
      </c>
      <c r="J101" s="2">
        <f>SUM(_xlfn.IFNA(LOOKUP(Q101,use_fish!A:A,use_fish!J:J),0),_xlfn.IFNA(LOOKUP(R101,use_fish!A:A,use_fish!J:J),0),_xlfn.IFNA(LOOKUP(S101,use_fish!A:A,use_fish!J:J),0),_xlfn.IFNA(LOOKUP(T101,use_fish!A:A,use_fish!J:J),0),_xlfn.IFNA(LOOKUP(U101,use_fish!A:A,use_fish!J:J),0),_xlfn.IFNA(LOOKUP(V101,use_fish!A:A,use_fish!J:J),0),_xlfn.IFNA(LOOKUP(W101,use_fish!A:A,use_fish!J:J),0),)</f>
        <v>0</v>
      </c>
      <c r="Q101">
        <v>86</v>
      </c>
    </row>
    <row r="102" spans="1:17" x14ac:dyDescent="0.2">
      <c r="A102">
        <v>101</v>
      </c>
      <c r="B102">
        <v>1</v>
      </c>
      <c r="C102" t="s">
        <v>146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J102" s="2">
        <f>SUM(_xlfn.IFNA(LOOKUP(Q102,use_fish!A:A,use_fish!J:J),0),_xlfn.IFNA(LOOKUP(R102,use_fish!A:A,use_fish!J:J),0),_xlfn.IFNA(LOOKUP(S102,use_fish!A:A,use_fish!J:J),0),_xlfn.IFNA(LOOKUP(T102,use_fish!A:A,use_fish!J:J),0),_xlfn.IFNA(LOOKUP(U102,use_fish!A:A,use_fish!J:J),0),_xlfn.IFNA(LOOKUP(V102,use_fish!A:A,use_fish!J:J),0),_xlfn.IFNA(LOOKUP(W102,use_fish!A:A,use_fish!J:J),0),)</f>
        <v>0</v>
      </c>
      <c r="Q102">
        <v>87</v>
      </c>
    </row>
    <row r="103" spans="1:17" x14ac:dyDescent="0.2">
      <c r="A103">
        <v>102</v>
      </c>
      <c r="B103">
        <v>1</v>
      </c>
      <c r="C103" t="s">
        <v>147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J103" s="2">
        <f>SUM(_xlfn.IFNA(LOOKUP(Q103,use_fish!A:A,use_fish!J:J),0),_xlfn.IFNA(LOOKUP(R103,use_fish!A:A,use_fish!J:J),0),_xlfn.IFNA(LOOKUP(S103,use_fish!A:A,use_fish!J:J),0),_xlfn.IFNA(LOOKUP(T103,use_fish!A:A,use_fish!J:J),0),_xlfn.IFNA(LOOKUP(U103,use_fish!A:A,use_fish!J:J),0),_xlfn.IFNA(LOOKUP(V103,use_fish!A:A,use_fish!J:J),0),_xlfn.IFNA(LOOKUP(W103,use_fish!A:A,use_fish!J:J),0),)</f>
        <v>0</v>
      </c>
      <c r="Q103">
        <v>88</v>
      </c>
    </row>
    <row r="104" spans="1:17" x14ac:dyDescent="0.2">
      <c r="A104">
        <v>103</v>
      </c>
      <c r="B104">
        <v>1</v>
      </c>
      <c r="C104" t="s">
        <v>148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J104" s="2">
        <f>SUM(_xlfn.IFNA(LOOKUP(Q104,use_fish!A:A,use_fish!J:J),0),_xlfn.IFNA(LOOKUP(R104,use_fish!A:A,use_fish!J:J),0),_xlfn.IFNA(LOOKUP(S104,use_fish!A:A,use_fish!J:J),0),_xlfn.IFNA(LOOKUP(T104,use_fish!A:A,use_fish!J:J),0),_xlfn.IFNA(LOOKUP(U104,use_fish!A:A,use_fish!J:J),0),_xlfn.IFNA(LOOKUP(V104,use_fish!A:A,use_fish!J:J),0),_xlfn.IFNA(LOOKUP(W104,use_fish!A:A,use_fish!J:J),0),)</f>
        <v>0</v>
      </c>
      <c r="Q104">
        <v>89</v>
      </c>
    </row>
    <row r="105" spans="1:17" x14ac:dyDescent="0.2">
      <c r="A105">
        <v>104</v>
      </c>
      <c r="B105">
        <v>1</v>
      </c>
      <c r="C105" t="s">
        <v>149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J105" s="2">
        <f>SUM(_xlfn.IFNA(LOOKUP(Q105,use_fish!A:A,use_fish!J:J),0),_xlfn.IFNA(LOOKUP(R105,use_fish!A:A,use_fish!J:J),0),_xlfn.IFNA(LOOKUP(S105,use_fish!A:A,use_fish!J:J),0),_xlfn.IFNA(LOOKUP(T105,use_fish!A:A,use_fish!J:J),0),_xlfn.IFNA(LOOKUP(U105,use_fish!A:A,use_fish!J:J),0),_xlfn.IFNA(LOOKUP(V105,use_fish!A:A,use_fish!J:J),0),_xlfn.IFNA(LOOKUP(W105,use_fish!A:A,use_fish!J:J),0),)</f>
        <v>0</v>
      </c>
      <c r="Q105">
        <v>90</v>
      </c>
    </row>
    <row r="106" spans="1:17" x14ac:dyDescent="0.2">
      <c r="A106">
        <v>105</v>
      </c>
      <c r="B106">
        <v>1</v>
      </c>
      <c r="C106" t="s">
        <v>150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J106" s="2">
        <f>SUM(_xlfn.IFNA(LOOKUP(Q106,use_fish!A:A,use_fish!J:J),0),_xlfn.IFNA(LOOKUP(R106,use_fish!A:A,use_fish!J:J),0),_xlfn.IFNA(LOOKUP(S106,use_fish!A:A,use_fish!J:J),0),_xlfn.IFNA(LOOKUP(T106,use_fish!A:A,use_fish!J:J),0),_xlfn.IFNA(LOOKUP(U106,use_fish!A:A,use_fish!J:J),0),_xlfn.IFNA(LOOKUP(V106,use_fish!A:A,use_fish!J:J),0),_xlfn.IFNA(LOOKUP(W106,use_fish!A:A,use_fish!J:J),0),)</f>
        <v>0</v>
      </c>
      <c r="Q106">
        <v>91</v>
      </c>
    </row>
    <row r="107" spans="1:17" x14ac:dyDescent="0.2">
      <c r="A107">
        <v>106</v>
      </c>
      <c r="B107">
        <v>1</v>
      </c>
      <c r="C107" t="s">
        <v>151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J107" s="2">
        <f>SUM(_xlfn.IFNA(LOOKUP(Q107,use_fish!A:A,use_fish!J:J),0),_xlfn.IFNA(LOOKUP(R107,use_fish!A:A,use_fish!J:J),0),_xlfn.IFNA(LOOKUP(S107,use_fish!A:A,use_fish!J:J),0),_xlfn.IFNA(LOOKUP(T107,use_fish!A:A,use_fish!J:J),0),_xlfn.IFNA(LOOKUP(U107,use_fish!A:A,use_fish!J:J),0),_xlfn.IFNA(LOOKUP(V107,use_fish!A:A,use_fish!J:J),0),_xlfn.IFNA(LOOKUP(W107,use_fish!A:A,use_fish!J:J),0),)</f>
        <v>0</v>
      </c>
      <c r="Q107">
        <v>92</v>
      </c>
    </row>
    <row r="108" spans="1:17" x14ac:dyDescent="0.2">
      <c r="A108">
        <v>107</v>
      </c>
      <c r="B108">
        <v>1</v>
      </c>
      <c r="C108" t="s">
        <v>152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J108" s="2">
        <f>SUM(_xlfn.IFNA(LOOKUP(Q108,use_fish!A:A,use_fish!J:J),0),_xlfn.IFNA(LOOKUP(R108,use_fish!A:A,use_fish!J:J),0),_xlfn.IFNA(LOOKUP(S108,use_fish!A:A,use_fish!J:J),0),_xlfn.IFNA(LOOKUP(T108,use_fish!A:A,use_fish!J:J),0),_xlfn.IFNA(LOOKUP(U108,use_fish!A:A,use_fish!J:J),0),_xlfn.IFNA(LOOKUP(V108,use_fish!A:A,use_fish!J:J),0),_xlfn.IFNA(LOOKUP(W108,use_fish!A:A,use_fish!J:J),0),)</f>
        <v>0</v>
      </c>
      <c r="Q108">
        <v>93</v>
      </c>
    </row>
    <row r="109" spans="1:17" x14ac:dyDescent="0.2">
      <c r="A109">
        <v>108</v>
      </c>
      <c r="B109">
        <v>1</v>
      </c>
      <c r="C109" t="s">
        <v>153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J109" s="2">
        <f>SUM(_xlfn.IFNA(LOOKUP(Q109,use_fish!A:A,use_fish!J:J),0),_xlfn.IFNA(LOOKUP(R109,use_fish!A:A,use_fish!J:J),0),_xlfn.IFNA(LOOKUP(S109,use_fish!A:A,use_fish!J:J),0),_xlfn.IFNA(LOOKUP(T109,use_fish!A:A,use_fish!J:J),0),_xlfn.IFNA(LOOKUP(U109,use_fish!A:A,use_fish!J:J),0),_xlfn.IFNA(LOOKUP(V109,use_fish!A:A,use_fish!J:J),0),_xlfn.IFNA(LOOKUP(W109,use_fish!A:A,use_fish!J:J),0),)</f>
        <v>0</v>
      </c>
      <c r="Q109">
        <v>94</v>
      </c>
    </row>
    <row r="110" spans="1:17" x14ac:dyDescent="0.2">
      <c r="A110">
        <v>109</v>
      </c>
      <c r="B110">
        <v>1</v>
      </c>
      <c r="C110" t="s">
        <v>154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J110" s="2">
        <f>SUM(_xlfn.IFNA(LOOKUP(Q110,use_fish!A:A,use_fish!J:J),0),_xlfn.IFNA(LOOKUP(R110,use_fish!A:A,use_fish!J:J),0),_xlfn.IFNA(LOOKUP(S110,use_fish!A:A,use_fish!J:J),0),_xlfn.IFNA(LOOKUP(T110,use_fish!A:A,use_fish!J:J),0),_xlfn.IFNA(LOOKUP(U110,use_fish!A:A,use_fish!J:J),0),_xlfn.IFNA(LOOKUP(V110,use_fish!A:A,use_fish!J:J),0),_xlfn.IFNA(LOOKUP(W110,use_fish!A:A,use_fish!J:J),0),)</f>
        <v>0</v>
      </c>
      <c r="Q110">
        <v>95</v>
      </c>
    </row>
    <row r="111" spans="1:17" x14ac:dyDescent="0.2">
      <c r="A111">
        <v>110</v>
      </c>
      <c r="B111">
        <v>1</v>
      </c>
      <c r="C111" t="s">
        <v>155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J111" s="2">
        <f>SUM(_xlfn.IFNA(LOOKUP(Q111,use_fish!A:A,use_fish!J:J),0),_xlfn.IFNA(LOOKUP(R111,use_fish!A:A,use_fish!J:J),0),_xlfn.IFNA(LOOKUP(S111,use_fish!A:A,use_fish!J:J),0),_xlfn.IFNA(LOOKUP(T111,use_fish!A:A,use_fish!J:J),0),_xlfn.IFNA(LOOKUP(U111,use_fish!A:A,use_fish!J:J),0),_xlfn.IFNA(LOOKUP(V111,use_fish!A:A,use_fish!J:J),0),_xlfn.IFNA(LOOKUP(W111,use_fish!A:A,use_fish!J:J),0),)</f>
        <v>0</v>
      </c>
      <c r="Q111">
        <v>96</v>
      </c>
    </row>
    <row r="112" spans="1:17" x14ac:dyDescent="0.2">
      <c r="A112">
        <v>111</v>
      </c>
      <c r="B112">
        <v>1</v>
      </c>
      <c r="C112" t="s">
        <v>156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J112" s="2">
        <f>SUM(_xlfn.IFNA(LOOKUP(Q112,use_fish!A:A,use_fish!J:J),0),_xlfn.IFNA(LOOKUP(R112,use_fish!A:A,use_fish!J:J),0),_xlfn.IFNA(LOOKUP(S112,use_fish!A:A,use_fish!J:J),0),_xlfn.IFNA(LOOKUP(T112,use_fish!A:A,use_fish!J:J),0),_xlfn.IFNA(LOOKUP(U112,use_fish!A:A,use_fish!J:J),0),_xlfn.IFNA(LOOKUP(V112,use_fish!A:A,use_fish!J:J),0),_xlfn.IFNA(LOOKUP(W112,use_fish!A:A,use_fish!J:J),0),)</f>
        <v>0</v>
      </c>
      <c r="Q112">
        <v>97</v>
      </c>
    </row>
    <row r="113" spans="1:20" x14ac:dyDescent="0.2">
      <c r="A113">
        <v>112</v>
      </c>
      <c r="B113">
        <v>1</v>
      </c>
      <c r="C113" t="s">
        <v>157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J113" s="2">
        <f>SUM(_xlfn.IFNA(LOOKUP(Q113,use_fish!A:A,use_fish!J:J),0),_xlfn.IFNA(LOOKUP(R113,use_fish!A:A,use_fish!J:J),0),_xlfn.IFNA(LOOKUP(S113,use_fish!A:A,use_fish!J:J),0),_xlfn.IFNA(LOOKUP(T113,use_fish!A:A,use_fish!J:J),0),_xlfn.IFNA(LOOKUP(U113,use_fish!A:A,use_fish!J:J),0),_xlfn.IFNA(LOOKUP(V113,use_fish!A:A,use_fish!J:J),0),_xlfn.IFNA(LOOKUP(W113,use_fish!A:A,use_fish!J:J),0),)</f>
        <v>0</v>
      </c>
      <c r="Q113">
        <v>98</v>
      </c>
    </row>
    <row r="114" spans="1:20" x14ac:dyDescent="0.2">
      <c r="A114">
        <v>113</v>
      </c>
      <c r="B114">
        <v>1</v>
      </c>
      <c r="C114" t="s">
        <v>158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J114" s="2">
        <f>SUM(_xlfn.IFNA(LOOKUP(Q114,use_fish!A:A,use_fish!J:J),0),_xlfn.IFNA(LOOKUP(R114,use_fish!A:A,use_fish!J:J),0),_xlfn.IFNA(LOOKUP(S114,use_fish!A:A,use_fish!J:J),0),_xlfn.IFNA(LOOKUP(T114,use_fish!A:A,use_fish!J:J),0),_xlfn.IFNA(LOOKUP(U114,use_fish!A:A,use_fish!J:J),0),_xlfn.IFNA(LOOKUP(V114,use_fish!A:A,use_fish!J:J),0),_xlfn.IFNA(LOOKUP(W114,use_fish!A:A,use_fish!J:J),0),)</f>
        <v>0</v>
      </c>
      <c r="Q114">
        <v>99</v>
      </c>
    </row>
    <row r="115" spans="1:20" x14ac:dyDescent="0.2">
      <c r="A115">
        <v>114</v>
      </c>
      <c r="B115">
        <v>1</v>
      </c>
      <c r="C115" t="s">
        <v>159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J115" s="2">
        <f>SUM(_xlfn.IFNA(LOOKUP(Q115,use_fish!A:A,use_fish!J:J),0),_xlfn.IFNA(LOOKUP(R115,use_fish!A:A,use_fish!J:J),0),_xlfn.IFNA(LOOKUP(S115,use_fish!A:A,use_fish!J:J),0),_xlfn.IFNA(LOOKUP(T115,use_fish!A:A,use_fish!J:J),0),_xlfn.IFNA(LOOKUP(U115,use_fish!A:A,use_fish!J:J),0),_xlfn.IFNA(LOOKUP(V115,use_fish!A:A,use_fish!J:J),0),_xlfn.IFNA(LOOKUP(W115,use_fish!A:A,use_fish!J:J),0),)</f>
        <v>0</v>
      </c>
      <c r="Q115">
        <v>100</v>
      </c>
    </row>
    <row r="116" spans="1:20" x14ac:dyDescent="0.2">
      <c r="A116">
        <v>115</v>
      </c>
      <c r="B116">
        <v>1</v>
      </c>
      <c r="C116" t="s">
        <v>160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J116" s="2">
        <f>SUM(_xlfn.IFNA(LOOKUP(Q116,use_fish!A:A,use_fish!J:J),0),_xlfn.IFNA(LOOKUP(R116,use_fish!A:A,use_fish!J:J),0),_xlfn.IFNA(LOOKUP(S116,use_fish!A:A,use_fish!J:J),0),_xlfn.IFNA(LOOKUP(T116,use_fish!A:A,use_fish!J:J),0),_xlfn.IFNA(LOOKUP(U116,use_fish!A:A,use_fish!J:J),0),_xlfn.IFNA(LOOKUP(V116,use_fish!A:A,use_fish!J:J),0),_xlfn.IFNA(LOOKUP(W116,use_fish!A:A,use_fish!J:J),0),)</f>
        <v>0</v>
      </c>
      <c r="Q116">
        <v>101</v>
      </c>
    </row>
    <row r="117" spans="1:20" x14ac:dyDescent="0.2">
      <c r="A117">
        <v>116</v>
      </c>
      <c r="B117">
        <v>3</v>
      </c>
      <c r="C117" t="s">
        <v>203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J117" s="2">
        <f>SUM(_xlfn.IFNA(LOOKUP(Q117,use_fish!A:A,use_fish!J:J),0),_xlfn.IFNA(LOOKUP(R117,use_fish!A:A,use_fish!J:J),0),_xlfn.IFNA(LOOKUP(S117,use_fish!A:A,use_fish!J:J),0),_xlfn.IFNA(LOOKUP(T117,use_fish!A:A,use_fish!J:J),0),_xlfn.IFNA(LOOKUP(U117,use_fish!A:A,use_fish!J:J),0),_xlfn.IFNA(LOOKUP(V117,use_fish!A:A,use_fish!J:J),0),_xlfn.IFNA(LOOKUP(W117,use_fish!A:A,use_fish!J:J),0),)</f>
        <v>0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204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J118" s="2">
        <f>SUM(_xlfn.IFNA(LOOKUP(Q118,use_fish!A:A,use_fish!J:J),0),_xlfn.IFNA(LOOKUP(R118,use_fish!A:A,use_fish!J:J),0),_xlfn.IFNA(LOOKUP(S118,use_fish!A:A,use_fish!J:J),0),_xlfn.IFNA(LOOKUP(T118,use_fish!A:A,use_fish!J:J),0),_xlfn.IFNA(LOOKUP(U118,use_fish!A:A,use_fish!J:J),0),_xlfn.IFNA(LOOKUP(V118,use_fish!A:A,use_fish!J:J),0),_xlfn.IFNA(LOOKUP(W118,use_fish!A:A,use_fish!J:J),0),)</f>
        <v>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205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J119" s="2">
        <f>SUM(_xlfn.IFNA(LOOKUP(Q119,use_fish!A:A,use_fish!J:J),0),_xlfn.IFNA(LOOKUP(R119,use_fish!A:A,use_fish!J:J),0),_xlfn.IFNA(LOOKUP(S119,use_fish!A:A,use_fish!J:J),0),_xlfn.IFNA(LOOKUP(T119,use_fish!A:A,use_fish!J:J),0),_xlfn.IFNA(LOOKUP(U119,use_fish!A:A,use_fish!J:J),0),_xlfn.IFNA(LOOKUP(V119,use_fish!A:A,use_fish!J:J),0),_xlfn.IFNA(LOOKUP(W119,use_fish!A:A,use_fish!J:J),0),)</f>
        <v>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206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J120" s="2">
        <f>SUM(_xlfn.IFNA(LOOKUP(Q120,use_fish!A:A,use_fish!J:J),0),_xlfn.IFNA(LOOKUP(R120,use_fish!A:A,use_fish!J:J),0),_xlfn.IFNA(LOOKUP(S120,use_fish!A:A,use_fish!J:J),0),_xlfn.IFNA(LOOKUP(T120,use_fish!A:A,use_fish!J:J),0),_xlfn.IFNA(LOOKUP(U120,use_fish!A:A,use_fish!J:J),0),_xlfn.IFNA(LOOKUP(V120,use_fish!A:A,use_fish!J:J),0),_xlfn.IFNA(LOOKUP(W120,use_fish!A:A,use_fish!J:J),0),)</f>
        <v>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207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J121" s="2">
        <f>SUM(_xlfn.IFNA(LOOKUP(Q121,use_fish!A:A,use_fish!J:J),0),_xlfn.IFNA(LOOKUP(R121,use_fish!A:A,use_fish!J:J),0),_xlfn.IFNA(LOOKUP(S121,use_fish!A:A,use_fish!J:J),0),_xlfn.IFNA(LOOKUP(T121,use_fish!A:A,use_fish!J:J),0),_xlfn.IFNA(LOOKUP(U121,use_fish!A:A,use_fish!J:J),0),_xlfn.IFNA(LOOKUP(V121,use_fish!A:A,use_fish!J:J),0),_xlfn.IFNA(LOOKUP(W121,use_fish!A:A,use_fish!J:J),0),)</f>
        <v>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208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J122" s="2">
        <f>SUM(_xlfn.IFNA(LOOKUP(Q122,use_fish!A:A,use_fish!J:J),0),_xlfn.IFNA(LOOKUP(R122,use_fish!A:A,use_fish!J:J),0),_xlfn.IFNA(LOOKUP(S122,use_fish!A:A,use_fish!J:J),0),_xlfn.IFNA(LOOKUP(T122,use_fish!A:A,use_fish!J:J),0),_xlfn.IFNA(LOOKUP(U122,use_fish!A:A,use_fish!J:J),0),_xlfn.IFNA(LOOKUP(V122,use_fish!A:A,use_fish!J:J),0),_xlfn.IFNA(LOOKUP(W122,use_fish!A:A,use_fish!J:J),0),)</f>
        <v>0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161</v>
      </c>
      <c r="G123" t="s">
        <v>162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J123" s="2">
        <f>SUM(_xlfn.IFNA(LOOKUP(Q123,use_fish!A:A,use_fish!J:J),0),_xlfn.IFNA(LOOKUP(R123,use_fish!A:A,use_fish!J:J),0),_xlfn.IFNA(LOOKUP(S123,use_fish!A:A,use_fish!J:J),0),_xlfn.IFNA(LOOKUP(T123,use_fish!A:A,use_fish!J:J),0),_xlfn.IFNA(LOOKUP(U123,use_fish!A:A,use_fish!J:J),0),_xlfn.IFNA(LOOKUP(V123,use_fish!A:A,use_fish!J:J),0),_xlfn.IFNA(LOOKUP(W123,use_fish!A:A,use_fish!J:J),0),)</f>
        <v>0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214</v>
      </c>
      <c r="G124" t="s">
        <v>163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J124" s="2">
        <f>SUM(_xlfn.IFNA(LOOKUP(Q124,use_fish!A:A,use_fish!J:J),0),_xlfn.IFNA(LOOKUP(R124,use_fish!A:A,use_fish!J:J),0),_xlfn.IFNA(LOOKUP(S124,use_fish!A:A,use_fish!J:J),0),_xlfn.IFNA(LOOKUP(T124,use_fish!A:A,use_fish!J:J),0),_xlfn.IFNA(LOOKUP(U124,use_fish!A:A,use_fish!J:J),0),_xlfn.IFNA(LOOKUP(V124,use_fish!A:A,use_fish!J:J),0),_xlfn.IFNA(LOOKUP(W124,use_fish!A:A,use_fish!J:J),0),)</f>
        <v>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215</v>
      </c>
      <c r="G125" t="s">
        <v>164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J125" s="2">
        <f>SUM(_xlfn.IFNA(LOOKUP(Q125,use_fish!A:A,use_fish!J:J),0),_xlfn.IFNA(LOOKUP(R125,use_fish!A:A,use_fish!J:J),0),_xlfn.IFNA(LOOKUP(S125,use_fish!A:A,use_fish!J:J),0),_xlfn.IFNA(LOOKUP(T125,use_fish!A:A,use_fish!J:J),0),_xlfn.IFNA(LOOKUP(U125,use_fish!A:A,use_fish!J:J),0),_xlfn.IFNA(LOOKUP(V125,use_fish!A:A,use_fish!J:J),0),_xlfn.IFNA(LOOKUP(W125,use_fish!A:A,use_fish!J:J),0),)</f>
        <v>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216</v>
      </c>
      <c r="G126" t="s">
        <v>165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J126" s="2">
        <f>SUM(_xlfn.IFNA(LOOKUP(Q126,use_fish!A:A,use_fish!J:J),0),_xlfn.IFNA(LOOKUP(R126,use_fish!A:A,use_fish!J:J),0),_xlfn.IFNA(LOOKUP(S126,use_fish!A:A,use_fish!J:J),0),_xlfn.IFNA(LOOKUP(T126,use_fish!A:A,use_fish!J:J),0),_xlfn.IFNA(LOOKUP(U126,use_fish!A:A,use_fish!J:J),0),_xlfn.IFNA(LOOKUP(V126,use_fish!A:A,use_fish!J:J),0),_xlfn.IFNA(LOOKUP(W126,use_fish!A:A,use_fish!J:J),0),)</f>
        <v>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217</v>
      </c>
      <c r="G127" t="s">
        <v>164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J127" s="2">
        <f>SUM(_xlfn.IFNA(LOOKUP(Q127,use_fish!A:A,use_fish!J:J),0),_xlfn.IFNA(LOOKUP(R127,use_fish!A:A,use_fish!J:J),0),_xlfn.IFNA(LOOKUP(S127,use_fish!A:A,use_fish!J:J),0),_xlfn.IFNA(LOOKUP(T127,use_fish!A:A,use_fish!J:J),0),_xlfn.IFNA(LOOKUP(U127,use_fish!A:A,use_fish!J:J),0),_xlfn.IFNA(LOOKUP(V127,use_fish!A:A,use_fish!J:J),0),_xlfn.IFNA(LOOKUP(W127,use_fish!A:A,use_fish!J:J),0),)</f>
        <v>0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218</v>
      </c>
      <c r="G128" t="s">
        <v>166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J128" s="2">
        <f>SUM(_xlfn.IFNA(LOOKUP(Q128,use_fish!A:A,use_fish!J:J),0),_xlfn.IFNA(LOOKUP(R128,use_fish!A:A,use_fish!J:J),0),_xlfn.IFNA(LOOKUP(S128,use_fish!A:A,use_fish!J:J),0),_xlfn.IFNA(LOOKUP(T128,use_fish!A:A,use_fish!J:J),0),_xlfn.IFNA(LOOKUP(U128,use_fish!A:A,use_fish!J:J),0),_xlfn.IFNA(LOOKUP(V128,use_fish!A:A,use_fish!J:J),0),_xlfn.IFNA(LOOKUP(W128,use_fish!A:A,use_fish!J:J),0),)</f>
        <v>0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219</v>
      </c>
      <c r="G129" t="s">
        <v>167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J129" s="2">
        <f>SUM(_xlfn.IFNA(LOOKUP(Q129,use_fish!A:A,use_fish!J:J),0),_xlfn.IFNA(LOOKUP(R129,use_fish!A:A,use_fish!J:J),0),_xlfn.IFNA(LOOKUP(S129,use_fish!A:A,use_fish!J:J),0),_xlfn.IFNA(LOOKUP(T129,use_fish!A:A,use_fish!J:J),0),_xlfn.IFNA(LOOKUP(U129,use_fish!A:A,use_fish!J:J),0),_xlfn.IFNA(LOOKUP(V129,use_fish!A:A,use_fish!J:J),0),_xlfn.IFNA(LOOKUP(W129,use_fish!A:A,use_fish!J:J),0),)</f>
        <v>0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222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J130" s="2">
        <f>SUM(_xlfn.IFNA(LOOKUP(Q130,use_fish!A:A,use_fish!J:J),0),_xlfn.IFNA(LOOKUP(R130,use_fish!A:A,use_fish!J:J),0),_xlfn.IFNA(LOOKUP(S130,use_fish!A:A,use_fish!J:J),0),_xlfn.IFNA(LOOKUP(T130,use_fish!A:A,use_fish!J:J),0),_xlfn.IFNA(LOOKUP(U130,use_fish!A:A,use_fish!J:J),0),_xlfn.IFNA(LOOKUP(V130,use_fish!A:A,use_fish!J:J),0),_xlfn.IFNA(LOOKUP(W130,use_fish!A:A,use_fish!J:J),0),)</f>
        <v>0</v>
      </c>
      <c r="Q130">
        <v>102</v>
      </c>
    </row>
    <row r="131" spans="1:20" x14ac:dyDescent="0.2">
      <c r="A131">
        <v>130</v>
      </c>
      <c r="B131">
        <v>1</v>
      </c>
      <c r="C131" t="s">
        <v>223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J131" s="2">
        <f>SUM(_xlfn.IFNA(LOOKUP(Q131,use_fish!A:A,use_fish!J:J),0),_xlfn.IFNA(LOOKUP(R131,use_fish!A:A,use_fish!J:J),0),_xlfn.IFNA(LOOKUP(S131,use_fish!A:A,use_fish!J:J),0),_xlfn.IFNA(LOOKUP(T131,use_fish!A:A,use_fish!J:J),0),_xlfn.IFNA(LOOKUP(U131,use_fish!A:A,use_fish!J:J),0),_xlfn.IFNA(LOOKUP(V131,use_fish!A:A,use_fish!J:J),0),_xlfn.IFNA(LOOKUP(W131,use_fish!A:A,use_fish!J:J),0),)</f>
        <v>0</v>
      </c>
      <c r="Q131">
        <v>103</v>
      </c>
    </row>
    <row r="132" spans="1:20" x14ac:dyDescent="0.2">
      <c r="A132">
        <v>131</v>
      </c>
      <c r="B132">
        <v>1</v>
      </c>
      <c r="C132" t="s">
        <v>224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J132" s="2">
        <f>SUM(_xlfn.IFNA(LOOKUP(Q132,use_fish!A:A,use_fish!J:J),0),_xlfn.IFNA(LOOKUP(R132,use_fish!A:A,use_fish!J:J),0),_xlfn.IFNA(LOOKUP(S132,use_fish!A:A,use_fish!J:J),0),_xlfn.IFNA(LOOKUP(T132,use_fish!A:A,use_fish!J:J),0),_xlfn.IFNA(LOOKUP(U132,use_fish!A:A,use_fish!J:J),0),_xlfn.IFNA(LOOKUP(V132,use_fish!A:A,use_fish!J:J),0),_xlfn.IFNA(LOOKUP(W132,use_fish!A:A,use_fish!J:J),0),)</f>
        <v>0</v>
      </c>
      <c r="Q132">
        <v>104</v>
      </c>
    </row>
    <row r="133" spans="1:20" x14ac:dyDescent="0.2">
      <c r="A133">
        <v>132</v>
      </c>
      <c r="B133">
        <v>1</v>
      </c>
      <c r="C133" t="s">
        <v>225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J133" s="2">
        <f>SUM(_xlfn.IFNA(LOOKUP(Q133,use_fish!A:A,use_fish!J:J),0),_xlfn.IFNA(LOOKUP(R133,use_fish!A:A,use_fish!J:J),0),_xlfn.IFNA(LOOKUP(S133,use_fish!A:A,use_fish!J:J),0),_xlfn.IFNA(LOOKUP(T133,use_fish!A:A,use_fish!J:J),0),_xlfn.IFNA(LOOKUP(U133,use_fish!A:A,use_fish!J:J),0),_xlfn.IFNA(LOOKUP(V133,use_fish!A:A,use_fish!J:J),0),_xlfn.IFNA(LOOKUP(W133,use_fish!A:A,use_fish!J:J),0),)</f>
        <v>0</v>
      </c>
      <c r="Q133">
        <v>105</v>
      </c>
    </row>
    <row r="134" spans="1:20" x14ac:dyDescent="0.2">
      <c r="A134">
        <v>133</v>
      </c>
      <c r="B134">
        <v>1</v>
      </c>
      <c r="C134" t="s">
        <v>226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J134" s="2">
        <f>SUM(_xlfn.IFNA(LOOKUP(Q134,use_fish!A:A,use_fish!J:J),0),_xlfn.IFNA(LOOKUP(R134,use_fish!A:A,use_fish!J:J),0),_xlfn.IFNA(LOOKUP(S134,use_fish!A:A,use_fish!J:J),0),_xlfn.IFNA(LOOKUP(T134,use_fish!A:A,use_fish!J:J),0),_xlfn.IFNA(LOOKUP(U134,use_fish!A:A,use_fish!J:J),0),_xlfn.IFNA(LOOKUP(V134,use_fish!A:A,use_fish!J:J),0),_xlfn.IFNA(LOOKUP(W134,use_fish!A:A,use_fish!J:J),0),)</f>
        <v>0</v>
      </c>
      <c r="Q134">
        <v>106</v>
      </c>
    </row>
    <row r="135" spans="1:20" x14ac:dyDescent="0.2">
      <c r="A135">
        <v>134</v>
      </c>
      <c r="B135">
        <v>1</v>
      </c>
      <c r="C135" t="s">
        <v>227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J135" s="2">
        <f>SUM(_xlfn.IFNA(LOOKUP(Q135,use_fish!A:A,use_fish!J:J),0),_xlfn.IFNA(LOOKUP(R135,use_fish!A:A,use_fish!J:J),0),_xlfn.IFNA(LOOKUP(S135,use_fish!A:A,use_fish!J:J),0),_xlfn.IFNA(LOOKUP(T135,use_fish!A:A,use_fish!J:J),0),_xlfn.IFNA(LOOKUP(U135,use_fish!A:A,use_fish!J:J),0),_xlfn.IFNA(LOOKUP(V135,use_fish!A:A,use_fish!J:J),0),_xlfn.IFNA(LOOKUP(W135,use_fish!A:A,use_fish!J:J),0),)</f>
        <v>0</v>
      </c>
      <c r="Q135">
        <v>107</v>
      </c>
    </row>
    <row r="136" spans="1:20" x14ac:dyDescent="0.2">
      <c r="A136">
        <v>135</v>
      </c>
      <c r="B136">
        <v>1</v>
      </c>
      <c r="C136" t="s">
        <v>228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J136" s="2">
        <f>SUM(_xlfn.IFNA(LOOKUP(Q136,use_fish!A:A,use_fish!J:J),0),_xlfn.IFNA(LOOKUP(R136,use_fish!A:A,use_fish!J:J),0),_xlfn.IFNA(LOOKUP(S136,use_fish!A:A,use_fish!J:J),0),_xlfn.IFNA(LOOKUP(T136,use_fish!A:A,use_fish!J:J),0),_xlfn.IFNA(LOOKUP(U136,use_fish!A:A,use_fish!J:J),0),_xlfn.IFNA(LOOKUP(V136,use_fish!A:A,use_fish!J:J),0),_xlfn.IFNA(LOOKUP(W136,use_fish!A:A,use_fish!J:J),0),)</f>
        <v>0</v>
      </c>
      <c r="Q136">
        <v>108</v>
      </c>
    </row>
    <row r="137" spans="1:20" x14ac:dyDescent="0.2">
      <c r="A137">
        <v>136</v>
      </c>
      <c r="B137">
        <v>1</v>
      </c>
      <c r="C137" t="s">
        <v>229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J137" s="2">
        <f>SUM(_xlfn.IFNA(LOOKUP(Q137,use_fish!A:A,use_fish!J:J),0),_xlfn.IFNA(LOOKUP(R137,use_fish!A:A,use_fish!J:J),0),_xlfn.IFNA(LOOKUP(S137,use_fish!A:A,use_fish!J:J),0),_xlfn.IFNA(LOOKUP(T137,use_fish!A:A,use_fish!J:J),0),_xlfn.IFNA(LOOKUP(U137,use_fish!A:A,use_fish!J:J),0),_xlfn.IFNA(LOOKUP(V137,use_fish!A:A,use_fish!J:J),0),_xlfn.IFNA(LOOKUP(W137,use_fish!A:A,use_fish!J:J),0),)</f>
        <v>0</v>
      </c>
      <c r="Q137">
        <v>109</v>
      </c>
    </row>
    <row r="138" spans="1:20" x14ac:dyDescent="0.2">
      <c r="A138">
        <v>137</v>
      </c>
      <c r="B138">
        <v>1</v>
      </c>
      <c r="C138" t="s">
        <v>230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J138" s="2">
        <f>SUM(_xlfn.IFNA(LOOKUP(Q138,use_fish!A:A,use_fish!J:J),0),_xlfn.IFNA(LOOKUP(R138,use_fish!A:A,use_fish!J:J),0),_xlfn.IFNA(LOOKUP(S138,use_fish!A:A,use_fish!J:J),0),_xlfn.IFNA(LOOKUP(T138,use_fish!A:A,use_fish!J:J),0),_xlfn.IFNA(LOOKUP(U138,use_fish!A:A,use_fish!J:J),0),_xlfn.IFNA(LOOKUP(V138,use_fish!A:A,use_fish!J:J),0),_xlfn.IFNA(LOOKUP(W138,use_fish!A:A,use_fish!J:J),0),)</f>
        <v>0</v>
      </c>
      <c r="Q138">
        <v>110</v>
      </c>
    </row>
    <row r="139" spans="1:20" x14ac:dyDescent="0.2">
      <c r="A139">
        <v>138</v>
      </c>
      <c r="B139">
        <v>1</v>
      </c>
      <c r="C139" t="s">
        <v>231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J139" s="2">
        <f>SUM(_xlfn.IFNA(LOOKUP(Q139,use_fish!A:A,use_fish!J:J),0),_xlfn.IFNA(LOOKUP(R139,use_fish!A:A,use_fish!J:J),0),_xlfn.IFNA(LOOKUP(S139,use_fish!A:A,use_fish!J:J),0),_xlfn.IFNA(LOOKUP(T139,use_fish!A:A,use_fish!J:J),0),_xlfn.IFNA(LOOKUP(U139,use_fish!A:A,use_fish!J:J),0),_xlfn.IFNA(LOOKUP(V139,use_fish!A:A,use_fish!J:J),0),_xlfn.IFNA(LOOKUP(W139,use_fish!A:A,use_fish!J:J),0),)</f>
        <v>0</v>
      </c>
      <c r="Q139">
        <v>111</v>
      </c>
    </row>
    <row r="140" spans="1:20" x14ac:dyDescent="0.2">
      <c r="A140">
        <v>139</v>
      </c>
      <c r="B140">
        <v>1</v>
      </c>
      <c r="C140" t="s">
        <v>232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J140" s="2">
        <f>SUM(_xlfn.IFNA(LOOKUP(Q140,use_fish!A:A,use_fish!J:J),0),_xlfn.IFNA(LOOKUP(R140,use_fish!A:A,use_fish!J:J),0),_xlfn.IFNA(LOOKUP(S140,use_fish!A:A,use_fish!J:J),0),_xlfn.IFNA(LOOKUP(T140,use_fish!A:A,use_fish!J:J),0),_xlfn.IFNA(LOOKUP(U140,use_fish!A:A,use_fish!J:J),0),_xlfn.IFNA(LOOKUP(V140,use_fish!A:A,use_fish!J:J),0),_xlfn.IFNA(LOOKUP(W140,use_fish!A:A,use_fish!J:J),0),)</f>
        <v>0</v>
      </c>
      <c r="Q140">
        <v>112</v>
      </c>
    </row>
    <row r="141" spans="1:20" x14ac:dyDescent="0.2">
      <c r="A141">
        <v>140</v>
      </c>
      <c r="B141">
        <v>1</v>
      </c>
      <c r="C141" t="s">
        <v>233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J141" s="2">
        <f>SUM(_xlfn.IFNA(LOOKUP(Q141,use_fish!A:A,use_fish!J:J),0),_xlfn.IFNA(LOOKUP(R141,use_fish!A:A,use_fish!J:J),0),_xlfn.IFNA(LOOKUP(S141,use_fish!A:A,use_fish!J:J),0),_xlfn.IFNA(LOOKUP(T141,use_fish!A:A,use_fish!J:J),0),_xlfn.IFNA(LOOKUP(U141,use_fish!A:A,use_fish!J:J),0),_xlfn.IFNA(LOOKUP(V141,use_fish!A:A,use_fish!J:J),0),_xlfn.IFNA(LOOKUP(W141,use_fish!A:A,use_fish!J:J),0),)</f>
        <v>0</v>
      </c>
      <c r="Q141">
        <v>113</v>
      </c>
    </row>
    <row r="142" spans="1:20" x14ac:dyDescent="0.2">
      <c r="A142">
        <v>141</v>
      </c>
      <c r="B142">
        <v>1</v>
      </c>
      <c r="C142" t="s">
        <v>234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J142" s="2">
        <f>SUM(_xlfn.IFNA(LOOKUP(Q142,use_fish!A:A,use_fish!J:J),0),_xlfn.IFNA(LOOKUP(R142,use_fish!A:A,use_fish!J:J),0),_xlfn.IFNA(LOOKUP(S142,use_fish!A:A,use_fish!J:J),0),_xlfn.IFNA(LOOKUP(T142,use_fish!A:A,use_fish!J:J),0),_xlfn.IFNA(LOOKUP(U142,use_fish!A:A,use_fish!J:J),0),_xlfn.IFNA(LOOKUP(V142,use_fish!A:A,use_fish!J:J),0),_xlfn.IFNA(LOOKUP(W142,use_fish!A:A,use_fish!J:J),0),)</f>
        <v>0</v>
      </c>
      <c r="Q142">
        <v>114</v>
      </c>
    </row>
    <row r="143" spans="1:20" x14ac:dyDescent="0.2">
      <c r="A143">
        <v>142</v>
      </c>
      <c r="B143">
        <v>1</v>
      </c>
      <c r="C143" t="s">
        <v>235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J143" s="2">
        <f>SUM(_xlfn.IFNA(LOOKUP(Q143,use_fish!A:A,use_fish!J:J),0),_xlfn.IFNA(LOOKUP(R143,use_fish!A:A,use_fish!J:J),0),_xlfn.IFNA(LOOKUP(S143,use_fish!A:A,use_fish!J:J),0),_xlfn.IFNA(LOOKUP(T143,use_fish!A:A,use_fish!J:J),0),_xlfn.IFNA(LOOKUP(U143,use_fish!A:A,use_fish!J:J),0),_xlfn.IFNA(LOOKUP(V143,use_fish!A:A,use_fish!J:J),0),_xlfn.IFNA(LOOKUP(W143,use_fish!A:A,use_fish!J:J),0),)</f>
        <v>0</v>
      </c>
      <c r="Q143">
        <v>115</v>
      </c>
    </row>
    <row r="144" spans="1:20" x14ac:dyDescent="0.2">
      <c r="A144">
        <v>143</v>
      </c>
      <c r="B144">
        <v>1</v>
      </c>
      <c r="C144" t="s">
        <v>236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J144" s="2">
        <f>SUM(_xlfn.IFNA(LOOKUP(Q144,use_fish!A:A,use_fish!J:J),0),_xlfn.IFNA(LOOKUP(R144,use_fish!A:A,use_fish!J:J),0),_xlfn.IFNA(LOOKUP(S144,use_fish!A:A,use_fish!J:J),0),_xlfn.IFNA(LOOKUP(T144,use_fish!A:A,use_fish!J:J),0),_xlfn.IFNA(LOOKUP(U144,use_fish!A:A,use_fish!J:J),0),_xlfn.IFNA(LOOKUP(V144,use_fish!A:A,use_fish!J:J),0),_xlfn.IFNA(LOOKUP(W144,use_fish!A:A,use_fish!J:J),0),)</f>
        <v>0</v>
      </c>
      <c r="Q144">
        <v>116</v>
      </c>
    </row>
    <row r="145" spans="1:17" x14ac:dyDescent="0.2">
      <c r="A145">
        <v>144</v>
      </c>
      <c r="B145">
        <v>1</v>
      </c>
      <c r="C145" t="s">
        <v>237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J145" s="2">
        <f>SUM(_xlfn.IFNA(LOOKUP(Q145,use_fish!A:A,use_fish!J:J),0),_xlfn.IFNA(LOOKUP(R145,use_fish!A:A,use_fish!J:J),0),_xlfn.IFNA(LOOKUP(S145,use_fish!A:A,use_fish!J:J),0),_xlfn.IFNA(LOOKUP(T145,use_fish!A:A,use_fish!J:J),0),_xlfn.IFNA(LOOKUP(U145,use_fish!A:A,use_fish!J:J),0),_xlfn.IFNA(LOOKUP(V145,use_fish!A:A,use_fish!J:J),0),_xlfn.IFNA(LOOKUP(W145,use_fish!A:A,use_fish!J:J),0),)</f>
        <v>0</v>
      </c>
      <c r="Q145">
        <v>117</v>
      </c>
    </row>
    <row r="146" spans="1:17" x14ac:dyDescent="0.2">
      <c r="A146">
        <v>145</v>
      </c>
      <c r="B146">
        <v>1</v>
      </c>
      <c r="C146" t="s">
        <v>267</v>
      </c>
      <c r="H146">
        <v>540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0</v>
      </c>
      <c r="J146" s="2">
        <f>SUM(_xlfn.IFNA(LOOKUP(Q146,use_fish!A:A,use_fish!J:J),0),_xlfn.IFNA(LOOKUP(R146,use_fish!A:A,use_fish!J:J),0),_xlfn.IFNA(LOOKUP(S146,use_fish!A:A,use_fish!J:J),0),_xlfn.IFNA(LOOKUP(T146,use_fish!A:A,use_fish!J:J),0),_xlfn.IFNA(LOOKUP(U146,use_fish!A:A,use_fish!J:J),0),_xlfn.IFNA(LOOKUP(V146,use_fish!A:A,use_fish!J:J),0),_xlfn.IFNA(LOOKUP(W146,use_fish!A:A,use_fish!J:J),0),)</f>
        <v>0</v>
      </c>
      <c r="K146" t="s">
        <v>249</v>
      </c>
      <c r="Q146">
        <v>118</v>
      </c>
    </row>
    <row r="147" spans="1:17" x14ac:dyDescent="0.2">
      <c r="A147">
        <v>146</v>
      </c>
      <c r="B147">
        <v>1</v>
      </c>
      <c r="C147" t="s">
        <v>268</v>
      </c>
      <c r="H147">
        <v>540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0</v>
      </c>
      <c r="J147" s="2">
        <f>SUM(_xlfn.IFNA(LOOKUP(Q147,use_fish!A:A,use_fish!J:J),0),_xlfn.IFNA(LOOKUP(R147,use_fish!A:A,use_fish!J:J),0),_xlfn.IFNA(LOOKUP(S147,use_fish!A:A,use_fish!J:J),0),_xlfn.IFNA(LOOKUP(T147,use_fish!A:A,use_fish!J:J),0),_xlfn.IFNA(LOOKUP(U147,use_fish!A:A,use_fish!J:J),0),_xlfn.IFNA(LOOKUP(V147,use_fish!A:A,use_fish!J:J),0),_xlfn.IFNA(LOOKUP(W147,use_fish!A:A,use_fish!J:J),0),)</f>
        <v>0</v>
      </c>
      <c r="K147" t="s">
        <v>48</v>
      </c>
      <c r="Q147">
        <v>119</v>
      </c>
    </row>
    <row r="148" spans="1:17" x14ac:dyDescent="0.2">
      <c r="A148">
        <v>147</v>
      </c>
      <c r="B148">
        <v>1</v>
      </c>
      <c r="C148" t="s">
        <v>269</v>
      </c>
      <c r="H148">
        <v>540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0</v>
      </c>
      <c r="J148" s="2">
        <f>SUM(_xlfn.IFNA(LOOKUP(Q148,use_fish!A:A,use_fish!J:J),0),_xlfn.IFNA(LOOKUP(R148,use_fish!A:A,use_fish!J:J),0),_xlfn.IFNA(LOOKUP(S148,use_fish!A:A,use_fish!J:J),0),_xlfn.IFNA(LOOKUP(T148,use_fish!A:A,use_fish!J:J),0),_xlfn.IFNA(LOOKUP(U148,use_fish!A:A,use_fish!J:J),0),_xlfn.IFNA(LOOKUP(V148,use_fish!A:A,use_fish!J:J),0),_xlfn.IFNA(LOOKUP(W148,use_fish!A:A,use_fish!J:J),0),)</f>
        <v>0</v>
      </c>
      <c r="K148" t="s">
        <v>48</v>
      </c>
      <c r="Q148">
        <v>120</v>
      </c>
    </row>
    <row r="149" spans="1:17" x14ac:dyDescent="0.2">
      <c r="A149">
        <v>148</v>
      </c>
      <c r="B149">
        <v>1</v>
      </c>
      <c r="C149" t="s">
        <v>274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J149" s="2">
        <f>SUM(_xlfn.IFNA(LOOKUP(Q149,use_fish!A:A,use_fish!J:J),0),_xlfn.IFNA(LOOKUP(R149,use_fish!A:A,use_fish!J:J),0),_xlfn.IFNA(LOOKUP(S149,use_fish!A:A,use_fish!J:J),0),_xlfn.IFNA(LOOKUP(T149,use_fish!A:A,use_fish!J:J),0),_xlfn.IFNA(LOOKUP(U149,use_fish!A:A,use_fish!J:J),0),_xlfn.IFNA(LOOKUP(V149,use_fish!A:A,use_fish!J:J),0),_xlfn.IFNA(LOOKUP(W149,use_fish!A:A,use_fish!J:J),0),)</f>
        <v>0</v>
      </c>
      <c r="Q149">
        <v>121</v>
      </c>
    </row>
    <row r="150" spans="1:17" x14ac:dyDescent="0.2">
      <c r="A150">
        <v>149</v>
      </c>
      <c r="B150">
        <v>1</v>
      </c>
      <c r="C150" t="s">
        <v>340</v>
      </c>
      <c r="H150" s="2" t="s">
        <v>370</v>
      </c>
      <c r="I150" s="2" t="s">
        <v>367</v>
      </c>
      <c r="J150" s="2">
        <f>SUM(_xlfn.IFNA(LOOKUP(Q150,use_fish!A:A,use_fish!J:J),0),_xlfn.IFNA(LOOKUP(R150,use_fish!A:A,use_fish!J:J),0),_xlfn.IFNA(LOOKUP(S150,use_fish!A:A,use_fish!J:J),0),_xlfn.IFNA(LOOKUP(T150,use_fish!A:A,use_fish!J:J),0),_xlfn.IFNA(LOOKUP(U150,use_fish!A:A,use_fish!J:J),0),_xlfn.IFNA(LOOKUP(V150,use_fish!A:A,use_fish!J:J),0),_xlfn.IFNA(LOOKUP(W150,use_fish!A:A,use_fish!J:J),0),)</f>
        <v>0</v>
      </c>
      <c r="Q150">
        <v>123</v>
      </c>
    </row>
    <row r="151" spans="1:17" x14ac:dyDescent="0.2">
      <c r="A151">
        <v>150</v>
      </c>
      <c r="B151">
        <v>1</v>
      </c>
      <c r="C151" t="s">
        <v>347</v>
      </c>
      <c r="E151" t="s">
        <v>365</v>
      </c>
      <c r="H151">
        <f>SUM(_xlfn.IFNA(LOOKUP(Q151,use_fish!A:A,use_fish!D:D),0),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)</f>
        <v>151</v>
      </c>
      <c r="I151">
        <f>SUM(_xlfn.IFNA(LOOKUP(Q151,use_fish!A:A,use_fish!H:H),0),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)</f>
        <v>151</v>
      </c>
      <c r="J151" s="2">
        <f>SUM(_xlfn.IFNA(LOOKUP(Q151,use_fish!A:A,use_fish!J:J),0),_xlfn.IFNA(LOOKUP(R151,use_fish!A:A,use_fish!J:J),0),_xlfn.IFNA(LOOKUP(S151,use_fish!A:A,use_fish!J:J),0),_xlfn.IFNA(LOOKUP(T151,use_fish!A:A,use_fish!J:J),0),_xlfn.IFNA(LOOKUP(U151,use_fish!A:A,use_fish!J:J),0),_xlfn.IFNA(LOOKUP(V151,use_fish!A:A,use_fish!J:J),0),_xlfn.IFNA(LOOKUP(W151,use_fish!A:A,use_fish!J:J),0),)</f>
        <v>0</v>
      </c>
      <c r="Q151">
        <v>124</v>
      </c>
    </row>
    <row r="152" spans="1:17" x14ac:dyDescent="0.2">
      <c r="A152">
        <v>151</v>
      </c>
      <c r="B152">
        <v>1</v>
      </c>
      <c r="C152" t="s">
        <v>348</v>
      </c>
      <c r="E152" t="s">
        <v>365</v>
      </c>
      <c r="H152">
        <f>SUM(_xlfn.IFNA(LOOKUP(Q152,use_fish!A:A,use_fish!D:D),0),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)</f>
        <v>200</v>
      </c>
      <c r="I152">
        <f>SUM(_xlfn.IFNA(LOOKUP(Q152,use_fish!A:A,use_fish!H:H),0),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)</f>
        <v>200</v>
      </c>
      <c r="J152" s="2">
        <f>SUM(_xlfn.IFNA(LOOKUP(Q152,use_fish!A:A,use_fish!J:J),0),_xlfn.IFNA(LOOKUP(R152,use_fish!A:A,use_fish!J:J),0),_xlfn.IFNA(LOOKUP(S152,use_fish!A:A,use_fish!J:J),0),_xlfn.IFNA(LOOKUP(T152,use_fish!A:A,use_fish!J:J),0),_xlfn.IFNA(LOOKUP(U152,use_fish!A:A,use_fish!J:J),0),_xlfn.IFNA(LOOKUP(V152,use_fish!A:A,use_fish!J:J),0),_xlfn.IFNA(LOOKUP(W152,use_fish!A:A,use_fish!J:J),0),)</f>
        <v>0</v>
      </c>
      <c r="Q152">
        <v>125</v>
      </c>
    </row>
    <row r="153" spans="1:17" x14ac:dyDescent="0.2">
      <c r="A153">
        <v>152</v>
      </c>
      <c r="B153">
        <v>1</v>
      </c>
      <c r="C153" t="s">
        <v>349</v>
      </c>
      <c r="E153" t="s">
        <v>365</v>
      </c>
      <c r="H153">
        <f>SUM(_xlfn.IFNA(LOOKUP(Q153,use_fish!A:A,use_fish!D:D),0),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)</f>
        <v>210</v>
      </c>
      <c r="I153">
        <f>SUM(_xlfn.IFNA(LOOKUP(Q153,use_fish!A:A,use_fish!H:H),0),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)</f>
        <v>210</v>
      </c>
      <c r="J153" s="2">
        <f>SUM(_xlfn.IFNA(LOOKUP(Q153,use_fish!A:A,use_fish!J:J),0),_xlfn.IFNA(LOOKUP(R153,use_fish!A:A,use_fish!J:J),0),_xlfn.IFNA(LOOKUP(S153,use_fish!A:A,use_fish!J:J),0),_xlfn.IFNA(LOOKUP(T153,use_fish!A:A,use_fish!J:J),0),_xlfn.IFNA(LOOKUP(U153,use_fish!A:A,use_fish!J:J),0),_xlfn.IFNA(LOOKUP(V153,use_fish!A:A,use_fish!J:J),0),_xlfn.IFNA(LOOKUP(W153,use_fish!A:A,use_fish!J:J),0),)</f>
        <v>0</v>
      </c>
      <c r="Q153">
        <v>126</v>
      </c>
    </row>
    <row r="154" spans="1:17" x14ac:dyDescent="0.2">
      <c r="A154">
        <v>153</v>
      </c>
      <c r="B154">
        <v>1</v>
      </c>
      <c r="C154" t="s">
        <v>350</v>
      </c>
      <c r="E154" t="s">
        <v>365</v>
      </c>
      <c r="H154">
        <f>SUM(_xlfn.IFNA(LOOKUP(Q154,use_fish!A:A,use_fish!D:D),0),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)</f>
        <v>220</v>
      </c>
      <c r="I154">
        <f>SUM(_xlfn.IFNA(LOOKUP(Q154,use_fish!A:A,use_fish!H:H),0),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)</f>
        <v>220</v>
      </c>
      <c r="J154" s="2">
        <f>SUM(_xlfn.IFNA(LOOKUP(Q154,use_fish!A:A,use_fish!J:J),0),_xlfn.IFNA(LOOKUP(R154,use_fish!A:A,use_fish!J:J),0),_xlfn.IFNA(LOOKUP(S154,use_fish!A:A,use_fish!J:J),0),_xlfn.IFNA(LOOKUP(T154,use_fish!A:A,use_fish!J:J),0),_xlfn.IFNA(LOOKUP(U154,use_fish!A:A,use_fish!J:J),0),_xlfn.IFNA(LOOKUP(V154,use_fish!A:A,use_fish!J:J),0),_xlfn.IFNA(LOOKUP(W154,use_fish!A:A,use_fish!J:J),0),)</f>
        <v>0</v>
      </c>
      <c r="Q154">
        <v>127</v>
      </c>
    </row>
    <row r="155" spans="1:17" x14ac:dyDescent="0.2">
      <c r="A155">
        <v>154</v>
      </c>
      <c r="B155">
        <v>1</v>
      </c>
      <c r="C155" t="s">
        <v>351</v>
      </c>
      <c r="E155" t="s">
        <v>365</v>
      </c>
      <c r="H155">
        <f>SUM(_xlfn.IFNA(LOOKUP(Q155,use_fish!A:A,use_fish!D:D),0),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)</f>
        <v>250</v>
      </c>
      <c r="I155">
        <f>SUM(_xlfn.IFNA(LOOKUP(Q155,use_fish!A:A,use_fish!H:H),0),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)</f>
        <v>250</v>
      </c>
      <c r="J155" s="2">
        <f>SUM(_xlfn.IFNA(LOOKUP(Q155,use_fish!A:A,use_fish!J:J),0),_xlfn.IFNA(LOOKUP(R155,use_fish!A:A,use_fish!J:J),0),_xlfn.IFNA(LOOKUP(S155,use_fish!A:A,use_fish!J:J),0),_xlfn.IFNA(LOOKUP(T155,use_fish!A:A,use_fish!J:J),0),_xlfn.IFNA(LOOKUP(U155,use_fish!A:A,use_fish!J:J),0),_xlfn.IFNA(LOOKUP(V155,use_fish!A:A,use_fish!J:J),0),_xlfn.IFNA(LOOKUP(W155,use_fish!A:A,use_fish!J:J),0),)</f>
        <v>0</v>
      </c>
      <c r="Q155">
        <v>128</v>
      </c>
    </row>
    <row r="156" spans="1:17" x14ac:dyDescent="0.2">
      <c r="A156">
        <v>155</v>
      </c>
      <c r="B156">
        <v>1</v>
      </c>
      <c r="C156" t="s">
        <v>352</v>
      </c>
      <c r="E156" t="s">
        <v>365</v>
      </c>
      <c r="H156">
        <f>SUM(_xlfn.IFNA(LOOKUP(Q156,use_fish!A:A,use_fish!D:D),0),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)</f>
        <v>83</v>
      </c>
      <c r="I156">
        <f>SUM(_xlfn.IFNA(LOOKUP(Q156,use_fish!A:A,use_fish!H:H),0),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)</f>
        <v>83</v>
      </c>
      <c r="J156" s="2">
        <f>SUM(_xlfn.IFNA(LOOKUP(Q156,use_fish!A:A,use_fish!J:J),0),_xlfn.IFNA(LOOKUP(R156,use_fish!A:A,use_fish!J:J),0),_xlfn.IFNA(LOOKUP(S156,use_fish!A:A,use_fish!J:J),0),_xlfn.IFNA(LOOKUP(T156,use_fish!A:A,use_fish!J:J),0),_xlfn.IFNA(LOOKUP(U156,use_fish!A:A,use_fish!J:J),0),_xlfn.IFNA(LOOKUP(V156,use_fish!A:A,use_fish!J:J),0),_xlfn.IFNA(LOOKUP(W156,use_fish!A:A,use_fish!J:J),0),)</f>
        <v>0</v>
      </c>
      <c r="Q156">
        <v>129</v>
      </c>
    </row>
    <row r="157" spans="1:17" x14ac:dyDescent="0.2">
      <c r="A157">
        <v>156</v>
      </c>
      <c r="B157">
        <v>1</v>
      </c>
      <c r="C157" t="s">
        <v>353</v>
      </c>
      <c r="E157" t="s">
        <v>365</v>
      </c>
      <c r="H157">
        <f>SUM(_xlfn.IFNA(LOOKUP(Q157,use_fish!A:A,use_fish!D:D),0),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)</f>
        <v>93</v>
      </c>
      <c r="I157">
        <f>SUM(_xlfn.IFNA(LOOKUP(Q157,use_fish!A:A,use_fish!H:H),0),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)</f>
        <v>93</v>
      </c>
      <c r="J157" s="2">
        <f>SUM(_xlfn.IFNA(LOOKUP(Q157,use_fish!A:A,use_fish!J:J),0),_xlfn.IFNA(LOOKUP(R157,use_fish!A:A,use_fish!J:J),0),_xlfn.IFNA(LOOKUP(S157,use_fish!A:A,use_fish!J:J),0),_xlfn.IFNA(LOOKUP(T157,use_fish!A:A,use_fish!J:J),0),_xlfn.IFNA(LOOKUP(U157,use_fish!A:A,use_fish!J:J),0),_xlfn.IFNA(LOOKUP(V157,use_fish!A:A,use_fish!J:J),0),_xlfn.IFNA(LOOKUP(W157,use_fish!A:A,use_fish!J:J),0),)</f>
        <v>0</v>
      </c>
      <c r="Q157">
        <v>130</v>
      </c>
    </row>
    <row r="158" spans="1:17" x14ac:dyDescent="0.2">
      <c r="A158">
        <v>157</v>
      </c>
      <c r="B158">
        <v>1</v>
      </c>
      <c r="C158" t="s">
        <v>354</v>
      </c>
      <c r="E158" t="s">
        <v>365</v>
      </c>
      <c r="H158">
        <f>SUM(_xlfn.IFNA(LOOKUP(Q158,use_fish!A:A,use_fish!D:D),0),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)</f>
        <v>103</v>
      </c>
      <c r="I158">
        <f>SUM(_xlfn.IFNA(LOOKUP(Q158,use_fish!A:A,use_fish!H:H),0),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)</f>
        <v>103</v>
      </c>
      <c r="J158" s="2">
        <f>SUM(_xlfn.IFNA(LOOKUP(Q158,use_fish!A:A,use_fish!J:J),0),_xlfn.IFNA(LOOKUP(R158,use_fish!A:A,use_fish!J:J),0),_xlfn.IFNA(LOOKUP(S158,use_fish!A:A,use_fish!J:J),0),_xlfn.IFNA(LOOKUP(T158,use_fish!A:A,use_fish!J:J),0),_xlfn.IFNA(LOOKUP(U158,use_fish!A:A,use_fish!J:J),0),_xlfn.IFNA(LOOKUP(V158,use_fish!A:A,use_fish!J:J),0),_xlfn.IFNA(LOOKUP(W158,use_fish!A:A,use_fish!J:J),0),)</f>
        <v>0</v>
      </c>
      <c r="Q158">
        <v>131</v>
      </c>
    </row>
    <row r="159" spans="1:17" x14ac:dyDescent="0.2">
      <c r="A159">
        <v>158</v>
      </c>
      <c r="B159">
        <v>1</v>
      </c>
      <c r="C159" t="s">
        <v>355</v>
      </c>
      <c r="E159" t="s">
        <v>365</v>
      </c>
      <c r="H159">
        <f>SUM(_xlfn.IFNA(LOOKUP(Q159,use_fish!A:A,use_fish!D:D),0),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)</f>
        <v>113</v>
      </c>
      <c r="I159">
        <f>SUM(_xlfn.IFNA(LOOKUP(Q159,use_fish!A:A,use_fish!H:H),0),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)</f>
        <v>113</v>
      </c>
      <c r="J159" s="2">
        <f>SUM(_xlfn.IFNA(LOOKUP(Q159,use_fish!A:A,use_fish!J:J),0),_xlfn.IFNA(LOOKUP(R159,use_fish!A:A,use_fish!J:J),0),_xlfn.IFNA(LOOKUP(S159,use_fish!A:A,use_fish!J:J),0),_xlfn.IFNA(LOOKUP(T159,use_fish!A:A,use_fish!J:J),0),_xlfn.IFNA(LOOKUP(U159,use_fish!A:A,use_fish!J:J),0),_xlfn.IFNA(LOOKUP(V159,use_fish!A:A,use_fish!J:J),0),_xlfn.IFNA(LOOKUP(W159,use_fish!A:A,use_fish!J:J),0),)</f>
        <v>0</v>
      </c>
      <c r="Q159">
        <v>132</v>
      </c>
    </row>
    <row r="160" spans="1:17" x14ac:dyDescent="0.2">
      <c r="A160">
        <v>159</v>
      </c>
      <c r="B160">
        <v>1</v>
      </c>
      <c r="C160" t="s">
        <v>356</v>
      </c>
      <c r="E160" t="s">
        <v>365</v>
      </c>
      <c r="H160">
        <f>SUM(_xlfn.IFNA(LOOKUP(Q160,use_fish!A:A,use_fish!D:D),0),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)</f>
        <v>123</v>
      </c>
      <c r="I160">
        <f>SUM(_xlfn.IFNA(LOOKUP(Q160,use_fish!A:A,use_fish!H:H),0),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)</f>
        <v>123</v>
      </c>
      <c r="J160" s="2">
        <f>SUM(_xlfn.IFNA(LOOKUP(Q160,use_fish!A:A,use_fish!J:J),0),_xlfn.IFNA(LOOKUP(R160,use_fish!A:A,use_fish!J:J),0),_xlfn.IFNA(LOOKUP(S160,use_fish!A:A,use_fish!J:J),0),_xlfn.IFNA(LOOKUP(T160,use_fish!A:A,use_fish!J:J),0),_xlfn.IFNA(LOOKUP(U160,use_fish!A:A,use_fish!J:J),0),_xlfn.IFNA(LOOKUP(V160,use_fish!A:A,use_fish!J:J),0),_xlfn.IFNA(LOOKUP(W160,use_fish!A:A,use_fish!J:J),0),)</f>
        <v>0</v>
      </c>
      <c r="Q160">
        <v>133</v>
      </c>
    </row>
    <row r="161" spans="1:17" x14ac:dyDescent="0.2">
      <c r="A161">
        <v>160</v>
      </c>
      <c r="B161">
        <v>1</v>
      </c>
      <c r="C161" t="s">
        <v>357</v>
      </c>
      <c r="E161" t="s">
        <v>365</v>
      </c>
      <c r="H161">
        <f>SUM(_xlfn.IFNA(LOOKUP(Q161,use_fish!A:A,use_fish!D:D),0),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)</f>
        <v>133</v>
      </c>
      <c r="I161">
        <f>SUM(_xlfn.IFNA(LOOKUP(Q161,use_fish!A:A,use_fish!H:H),0),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)</f>
        <v>133</v>
      </c>
      <c r="J161" s="2">
        <f>SUM(_xlfn.IFNA(LOOKUP(Q161,use_fish!A:A,use_fish!J:J),0),_xlfn.IFNA(LOOKUP(R161,use_fish!A:A,use_fish!J:J),0),_xlfn.IFNA(LOOKUP(S161,use_fish!A:A,use_fish!J:J),0),_xlfn.IFNA(LOOKUP(T161,use_fish!A:A,use_fish!J:J),0),_xlfn.IFNA(LOOKUP(U161,use_fish!A:A,use_fish!J:J),0),_xlfn.IFNA(LOOKUP(V161,use_fish!A:A,use_fish!J:J),0),_xlfn.IFNA(LOOKUP(W161,use_fish!A:A,use_fish!J:J),0),)</f>
        <v>0</v>
      </c>
      <c r="Q161">
        <v>134</v>
      </c>
    </row>
    <row r="162" spans="1:17" x14ac:dyDescent="0.2">
      <c r="A162">
        <v>161</v>
      </c>
      <c r="B162">
        <v>1</v>
      </c>
      <c r="C162" t="s">
        <v>358</v>
      </c>
      <c r="E162" t="s">
        <v>365</v>
      </c>
      <c r="H162">
        <f>SUM(_xlfn.IFNA(LOOKUP(Q162,use_fish!A:A,use_fish!D:D),0),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)</f>
        <v>163</v>
      </c>
      <c r="I162">
        <f>SUM(_xlfn.IFNA(LOOKUP(Q162,use_fish!A:A,use_fish!H:H),0),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)</f>
        <v>163</v>
      </c>
      <c r="J162" s="2">
        <f>SUM(_xlfn.IFNA(LOOKUP(Q162,use_fish!A:A,use_fish!J:J),0),_xlfn.IFNA(LOOKUP(R162,use_fish!A:A,use_fish!J:J),0),_xlfn.IFNA(LOOKUP(S162,use_fish!A:A,use_fish!J:J),0),_xlfn.IFNA(LOOKUP(T162,use_fish!A:A,use_fish!J:J),0),_xlfn.IFNA(LOOKUP(U162,use_fish!A:A,use_fish!J:J),0),_xlfn.IFNA(LOOKUP(V162,use_fish!A:A,use_fish!J:J),0),_xlfn.IFNA(LOOKUP(W162,use_fish!A:A,use_fish!J:J),0),)</f>
        <v>0</v>
      </c>
      <c r="Q162">
        <v>135</v>
      </c>
    </row>
    <row r="163" spans="1:17" x14ac:dyDescent="0.2">
      <c r="A163">
        <v>162</v>
      </c>
      <c r="B163">
        <v>1</v>
      </c>
      <c r="C163" t="s">
        <v>359</v>
      </c>
      <c r="H163">
        <f>SUM(_xlfn.IFNA(LOOKUP(Q163,use_fish!A:A,use_fish!D:D),0),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)</f>
        <v>40</v>
      </c>
      <c r="I163">
        <f>SUM(_xlfn.IFNA(LOOKUP(Q163,use_fish!A:A,use_fish!H:H),0),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)</f>
        <v>40</v>
      </c>
      <c r="J163" s="2">
        <f>SUM(_xlfn.IFNA(LOOKUP(Q163,use_fish!A:A,use_fish!J:J),0),_xlfn.IFNA(LOOKUP(R163,use_fish!A:A,use_fish!J:J),0),_xlfn.IFNA(LOOKUP(S163,use_fish!A:A,use_fish!J:J),0),_xlfn.IFNA(LOOKUP(T163,use_fish!A:A,use_fish!J:J),0),_xlfn.IFNA(LOOKUP(U163,use_fish!A:A,use_fish!J:J),0),_xlfn.IFNA(LOOKUP(V163,use_fish!A:A,use_fish!J:J),0),_xlfn.IFNA(LOOKUP(W163,use_fish!A:A,use_fish!J:J),0),)</f>
        <v>0</v>
      </c>
      <c r="Q163">
        <v>136</v>
      </c>
    </row>
    <row r="164" spans="1:17" x14ac:dyDescent="0.2">
      <c r="A164">
        <v>163</v>
      </c>
      <c r="B164">
        <v>1</v>
      </c>
      <c r="C164" t="s">
        <v>360</v>
      </c>
      <c r="H164">
        <f>SUM(_xlfn.IFNA(LOOKUP(Q164,use_fish!A:A,use_fish!D:D),0),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)</f>
        <v>50</v>
      </c>
      <c r="I164">
        <f>SUM(_xlfn.IFNA(LOOKUP(Q164,use_fish!A:A,use_fish!H:H),0),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)</f>
        <v>50</v>
      </c>
      <c r="J164" s="2">
        <f>SUM(_xlfn.IFNA(LOOKUP(Q164,use_fish!A:A,use_fish!J:J),0),_xlfn.IFNA(LOOKUP(R164,use_fish!A:A,use_fish!J:J),0),_xlfn.IFNA(LOOKUP(S164,use_fish!A:A,use_fish!J:J),0),_xlfn.IFNA(LOOKUP(T164,use_fish!A:A,use_fish!J:J),0),_xlfn.IFNA(LOOKUP(U164,use_fish!A:A,use_fish!J:J),0),_xlfn.IFNA(LOOKUP(V164,use_fish!A:A,use_fish!J:J),0),_xlfn.IFNA(LOOKUP(W164,use_fish!A:A,use_fish!J:J),0),)</f>
        <v>0</v>
      </c>
      <c r="Q164">
        <v>137</v>
      </c>
    </row>
    <row r="165" spans="1:17" x14ac:dyDescent="0.2">
      <c r="A165">
        <v>164</v>
      </c>
      <c r="B165">
        <v>1</v>
      </c>
      <c r="C165" t="s">
        <v>361</v>
      </c>
      <c r="H165">
        <f>SUM(_xlfn.IFNA(LOOKUP(Q165,use_fish!A:A,use_fish!D:D),0),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)</f>
        <v>60</v>
      </c>
      <c r="I165">
        <f>SUM(_xlfn.IFNA(LOOKUP(Q165,use_fish!A:A,use_fish!H:H),0),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)</f>
        <v>60</v>
      </c>
      <c r="J165" s="2">
        <f>SUM(_xlfn.IFNA(LOOKUP(Q165,use_fish!A:A,use_fish!J:J),0),_xlfn.IFNA(LOOKUP(R165,use_fish!A:A,use_fish!J:J),0),_xlfn.IFNA(LOOKUP(S165,use_fish!A:A,use_fish!J:J),0),_xlfn.IFNA(LOOKUP(T165,use_fish!A:A,use_fish!J:J),0),_xlfn.IFNA(LOOKUP(U165,use_fish!A:A,use_fish!J:J),0),_xlfn.IFNA(LOOKUP(V165,use_fish!A:A,use_fish!J:J),0),_xlfn.IFNA(LOOKUP(W165,use_fish!A:A,use_fish!J:J),0),)</f>
        <v>0</v>
      </c>
      <c r="Q165">
        <v>138</v>
      </c>
    </row>
    <row r="166" spans="1:17" x14ac:dyDescent="0.2">
      <c r="A166">
        <v>165</v>
      </c>
      <c r="B166">
        <v>1</v>
      </c>
      <c r="C166" t="s">
        <v>362</v>
      </c>
      <c r="H166">
        <f>SUM(_xlfn.IFNA(LOOKUP(Q166,use_fish!A:A,use_fish!D:D),0),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)</f>
        <v>70</v>
      </c>
      <c r="I166">
        <f>SUM(_xlfn.IFNA(LOOKUP(Q166,use_fish!A:A,use_fish!H:H),0),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)</f>
        <v>70</v>
      </c>
      <c r="J166" s="2">
        <f>SUM(_xlfn.IFNA(LOOKUP(Q166,use_fish!A:A,use_fish!J:J),0),_xlfn.IFNA(LOOKUP(R166,use_fish!A:A,use_fish!J:J),0),_xlfn.IFNA(LOOKUP(S166,use_fish!A:A,use_fish!J:J),0),_xlfn.IFNA(LOOKUP(T166,use_fish!A:A,use_fish!J:J),0),_xlfn.IFNA(LOOKUP(U166,use_fish!A:A,use_fish!J:J),0),_xlfn.IFNA(LOOKUP(V166,use_fish!A:A,use_fish!J:J),0),_xlfn.IFNA(LOOKUP(W166,use_fish!A:A,use_fish!J:J),0),)</f>
        <v>0</v>
      </c>
      <c r="Q166">
        <v>139</v>
      </c>
    </row>
    <row r="167" spans="1:17" x14ac:dyDescent="0.2">
      <c r="A167">
        <v>166</v>
      </c>
      <c r="B167">
        <v>1</v>
      </c>
      <c r="C167" t="s">
        <v>363</v>
      </c>
      <c r="H167">
        <f>SUM(_xlfn.IFNA(LOOKUP(Q167,use_fish!A:A,use_fish!D:D),0),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)</f>
        <v>100</v>
      </c>
      <c r="I167">
        <f>SUM(_xlfn.IFNA(LOOKUP(Q167,use_fish!A:A,use_fish!H:H),0),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)</f>
        <v>100</v>
      </c>
      <c r="J167" s="2">
        <f>SUM(_xlfn.IFNA(LOOKUP(Q167,use_fish!A:A,use_fish!J:J),0),_xlfn.IFNA(LOOKUP(R167,use_fish!A:A,use_fish!J:J),0),_xlfn.IFNA(LOOKUP(S167,use_fish!A:A,use_fish!J:J),0),_xlfn.IFNA(LOOKUP(T167,use_fish!A:A,use_fish!J:J),0),_xlfn.IFNA(LOOKUP(U167,use_fish!A:A,use_fish!J:J),0),_xlfn.IFNA(LOOKUP(V167,use_fish!A:A,use_fish!J:J),0),_xlfn.IFNA(LOOKUP(W167,use_fish!A:A,use_fish!J:J),0),)</f>
        <v>0</v>
      </c>
      <c r="Q167">
        <v>140</v>
      </c>
    </row>
    <row r="168" spans="1:17" x14ac:dyDescent="0.2">
      <c r="A168">
        <v>167</v>
      </c>
      <c r="B168">
        <v>1</v>
      </c>
      <c r="C168" t="s">
        <v>375</v>
      </c>
      <c r="H168">
        <f>SUM(_xlfn.IFNA(LOOKUP(Q168,use_fish!A:A,use_fish!D:D),0),_xlfn.IFNA(LOOKUP(R168,use_fish!A:A,use_fish!D:D),0),_xlfn.IFNA(LOOKUP(S168,use_fish!A:A,use_fish!D:D),0),_xlfn.IFNA(LOOKUP(T168,use_fish!A:A,use_fish!D:D),0),_xlfn.IFNA(LOOKUP(U168,use_fish!A:A,use_fish!D:D),0),_xlfn.IFNA(LOOKUP(V168,use_fish!A:A,use_fish!D:D),0),_xlfn.IFNA(LOOKUP(W168,use_fish!A:A,use_fish!D:D),0),)</f>
        <v>75</v>
      </c>
      <c r="I168">
        <f>SUM(_xlfn.IFNA(LOOKUP(Q168,use_fish!A:A,use_fish!H:H),0),_xlfn.IFNA(LOOKUP(R168,use_fish!A:A,use_fish!H:H),0),_xlfn.IFNA(LOOKUP(S168,use_fish!A:A,use_fish!H:H),0),_xlfn.IFNA(LOOKUP(T168,use_fish!A:A,use_fish!H:H),0),_xlfn.IFNA(LOOKUP(U168,use_fish!A:A,use_fish!H:H),0),_xlfn.IFNA(LOOKUP(V168,use_fish!A:A,use_fish!H:H),0),_xlfn.IFNA(LOOKUP(W168,use_fish!A:A,use_fish!H:H),0),)</f>
        <v>75</v>
      </c>
      <c r="J168" s="2">
        <f>SUM(_xlfn.IFNA(LOOKUP(Q168,use_fish!A:A,use_fish!J:J),0),_xlfn.IFNA(LOOKUP(R168,use_fish!A:A,use_fish!J:J),0),_xlfn.IFNA(LOOKUP(S168,use_fish!A:A,use_fish!J:J),0),_xlfn.IFNA(LOOKUP(T168,use_fish!A:A,use_fish!J:J),0),_xlfn.IFNA(LOOKUP(U168,use_fish!A:A,use_fish!J:J),0),_xlfn.IFNA(LOOKUP(V168,use_fish!A:A,use_fish!J:J),0),_xlfn.IFNA(LOOKUP(W168,use_fish!A:A,use_fish!J:J),0),)</f>
        <v>0</v>
      </c>
      <c r="Q168">
        <v>141</v>
      </c>
    </row>
    <row r="169" spans="1:17" x14ac:dyDescent="0.2">
      <c r="A169">
        <v>168</v>
      </c>
      <c r="B169">
        <v>1</v>
      </c>
      <c r="C169" t="s">
        <v>377</v>
      </c>
      <c r="H169">
        <f>SUM(_xlfn.IFNA(LOOKUP(Q169,use_fish!A:A,use_fish!D:D),0),_xlfn.IFNA(LOOKUP(R169,use_fish!A:A,use_fish!D:D),0),_xlfn.IFNA(LOOKUP(S169,use_fish!A:A,use_fish!D:D),0),_xlfn.IFNA(LOOKUP(T169,use_fish!A:A,use_fish!D:D),0),_xlfn.IFNA(LOOKUP(U169,use_fish!A:A,use_fish!D:D),0),_xlfn.IFNA(LOOKUP(V169,use_fish!A:A,use_fish!D:D),0),_xlfn.IFNA(LOOKUP(W169,use_fish!A:A,use_fish!D:D),0),)</f>
        <v>175</v>
      </c>
      <c r="I169">
        <f>SUM(_xlfn.IFNA(LOOKUP(Q169,use_fish!A:A,use_fish!H:H),0),_xlfn.IFNA(LOOKUP(R169,use_fish!A:A,use_fish!H:H),0),_xlfn.IFNA(LOOKUP(S169,use_fish!A:A,use_fish!H:H),0),_xlfn.IFNA(LOOKUP(T169,use_fish!A:A,use_fish!H:H),0),_xlfn.IFNA(LOOKUP(U169,use_fish!A:A,use_fish!H:H),0),_xlfn.IFNA(LOOKUP(V169,use_fish!A:A,use_fish!H:H),0),_xlfn.IFNA(LOOKUP(W169,use_fish!A:A,use_fish!H:H),0),)</f>
        <v>175</v>
      </c>
      <c r="J169" s="2">
        <f>SUM(_xlfn.IFNA(LOOKUP(Q169,use_fish!A:A,use_fish!J:J),0),_xlfn.IFNA(LOOKUP(R169,use_fish!A:A,use_fish!J:J),0),_xlfn.IFNA(LOOKUP(S169,use_fish!A:A,use_fish!J:J),0),_xlfn.IFNA(LOOKUP(T169,use_fish!A:A,use_fish!J:J),0),_xlfn.IFNA(LOOKUP(U169,use_fish!A:A,use_fish!J:J),0),_xlfn.IFNA(LOOKUP(V169,use_fish!A:A,use_fish!J:J),0),_xlfn.IFNA(LOOKUP(W169,use_fish!A:A,use_fish!J:J),0),)</f>
        <v>0</v>
      </c>
      <c r="Q169">
        <v>142</v>
      </c>
    </row>
    <row r="170" spans="1:17" x14ac:dyDescent="0.2">
      <c r="A170">
        <v>169</v>
      </c>
      <c r="B170">
        <v>1</v>
      </c>
      <c r="C170" t="s">
        <v>381</v>
      </c>
      <c r="H170">
        <f>SUM(_xlfn.IFNA(LOOKUP(Q170,use_fish!A:A,use_fish!D:D),0),_xlfn.IFNA(LOOKUP(R170,use_fish!A:A,use_fish!D:D),0),_xlfn.IFNA(LOOKUP(S170,use_fish!A:A,use_fish!D:D),0),_xlfn.IFNA(LOOKUP(T170,use_fish!A:A,use_fish!D:D),0),_xlfn.IFNA(LOOKUP(U170,use_fish!A:A,use_fish!D:D),0),_xlfn.IFNA(LOOKUP(V170,use_fish!A:A,use_fish!D:D),0),_xlfn.IFNA(LOOKUP(W170,use_fish!A:A,use_fish!D:D),0),)</f>
        <v>275</v>
      </c>
      <c r="I170">
        <f>SUM(_xlfn.IFNA(LOOKUP(Q170,use_fish!A:A,use_fish!H:H),0),_xlfn.IFNA(LOOKUP(R170,use_fish!A:A,use_fish!H:H),0),_xlfn.IFNA(LOOKUP(S170,use_fish!A:A,use_fish!H:H),0),_xlfn.IFNA(LOOKUP(T170,use_fish!A:A,use_fish!H:H),0),_xlfn.IFNA(LOOKUP(U170,use_fish!A:A,use_fish!H:H),0),_xlfn.IFNA(LOOKUP(V170,use_fish!A:A,use_fish!H:H),0),_xlfn.IFNA(LOOKUP(W170,use_fish!A:A,use_fish!H:H),0),)</f>
        <v>275</v>
      </c>
      <c r="J170" s="2">
        <f>SUM(_xlfn.IFNA(LOOKUP(Q170,use_fish!A:A,use_fish!J:J),0),_xlfn.IFNA(LOOKUP(R170,use_fish!A:A,use_fish!J:J),0),_xlfn.IFNA(LOOKUP(S170,use_fish!A:A,use_fish!J:J),0),_xlfn.IFNA(LOOKUP(T170,use_fish!A:A,use_fish!J:J),0),_xlfn.IFNA(LOOKUP(U170,use_fish!A:A,use_fish!J:J),0),_xlfn.IFNA(LOOKUP(V170,use_fish!A:A,use_fish!J:J),0),_xlfn.IFNA(LOOKUP(W170,use_fish!A:A,use_fish!J:J),0),)</f>
        <v>0</v>
      </c>
      <c r="Q170">
        <v>143</v>
      </c>
    </row>
    <row r="171" spans="1:17" x14ac:dyDescent="0.2">
      <c r="A171">
        <v>170</v>
      </c>
      <c r="B171">
        <v>1</v>
      </c>
      <c r="C171" t="s">
        <v>382</v>
      </c>
      <c r="H171">
        <f>SUM(_xlfn.IFNA(LOOKUP(Q171,use_fish!A:A,use_fish!D:D),0),_xlfn.IFNA(LOOKUP(R171,use_fish!A:A,use_fish!D:D),0),_xlfn.IFNA(LOOKUP(S171,use_fish!A:A,use_fish!D:D),0),_xlfn.IFNA(LOOKUP(T171,use_fish!A:A,use_fish!D:D),0),_xlfn.IFNA(LOOKUP(U171,use_fish!A:A,use_fish!D:D),0),_xlfn.IFNA(LOOKUP(V171,use_fish!A:A,use_fish!D:D),0),_xlfn.IFNA(LOOKUP(W171,use_fish!A:A,use_fish!D:D),0),)</f>
        <v>425</v>
      </c>
      <c r="I171">
        <f>SUM(_xlfn.IFNA(LOOKUP(Q171,use_fish!A:A,use_fish!H:H),0),_xlfn.IFNA(LOOKUP(R171,use_fish!A:A,use_fish!H:H),0),_xlfn.IFNA(LOOKUP(S171,use_fish!A:A,use_fish!H:H),0),_xlfn.IFNA(LOOKUP(T171,use_fish!A:A,use_fish!H:H),0),_xlfn.IFNA(LOOKUP(U171,use_fish!A:A,use_fish!H:H),0),_xlfn.IFNA(LOOKUP(V171,use_fish!A:A,use_fish!H:H),0),_xlfn.IFNA(LOOKUP(W171,use_fish!A:A,use_fish!H:H),0),)</f>
        <v>425</v>
      </c>
      <c r="J171" s="2">
        <f>SUM(_xlfn.IFNA(LOOKUP(Q171,use_fish!A:A,use_fish!J:J),0),_xlfn.IFNA(LOOKUP(R171,use_fish!A:A,use_fish!J:J),0),_xlfn.IFNA(LOOKUP(S171,use_fish!A:A,use_fish!J:J),0),_xlfn.IFNA(LOOKUP(T171,use_fish!A:A,use_fish!J:J),0),_xlfn.IFNA(LOOKUP(U171,use_fish!A:A,use_fish!J:J),0),_xlfn.IFNA(LOOKUP(V171,use_fish!A:A,use_fish!J:J),0),_xlfn.IFNA(LOOKUP(W171,use_fish!A:A,use_fish!J:J),0),)</f>
        <v>0</v>
      </c>
      <c r="Q171">
        <v>144</v>
      </c>
    </row>
    <row r="172" spans="1:17" x14ac:dyDescent="0.2">
      <c r="A172">
        <v>171</v>
      </c>
      <c r="B172">
        <v>1</v>
      </c>
      <c r="C172" t="s">
        <v>392</v>
      </c>
      <c r="H172">
        <f>SUM(_xlfn.IFNA(LOOKUP(Q172,use_fish!A:A,use_fish!D:D),0),_xlfn.IFNA(LOOKUP(R172,use_fish!A:A,use_fish!D:D),0),_xlfn.IFNA(LOOKUP(S172,use_fish!A:A,use_fish!D:D),0),_xlfn.IFNA(LOOKUP(T172,use_fish!A:A,use_fish!D:D),0),_xlfn.IFNA(LOOKUP(U172,use_fish!A:A,use_fish!D:D),0),_xlfn.IFNA(LOOKUP(V172,use_fish!A:A,use_fish!D:D),0),_xlfn.IFNA(LOOKUP(W172,use_fish!A:A,use_fish!D:D),0),)</f>
        <v>75</v>
      </c>
      <c r="I172">
        <f>SUM(_xlfn.IFNA(LOOKUP(Q172,use_fish!A:A,use_fish!H:H),0),_xlfn.IFNA(LOOKUP(R172,use_fish!A:A,use_fish!H:H),0),_xlfn.IFNA(LOOKUP(S172,use_fish!A:A,use_fish!H:H),0),_xlfn.IFNA(LOOKUP(T172,use_fish!A:A,use_fish!H:H),0),_xlfn.IFNA(LOOKUP(U172,use_fish!A:A,use_fish!H:H),0),_xlfn.IFNA(LOOKUP(V172,use_fish!A:A,use_fish!H:H),0),_xlfn.IFNA(LOOKUP(W172,use_fish!A:A,use_fish!H:H),0),)</f>
        <v>75</v>
      </c>
      <c r="J172" s="2">
        <f>SUM(_xlfn.IFNA(LOOKUP(Q172,use_fish!A:A,use_fish!J:J),0),_xlfn.IFNA(LOOKUP(R172,use_fish!A:A,use_fish!J:J),0),_xlfn.IFNA(LOOKUP(S172,use_fish!A:A,use_fish!J:J),0),_xlfn.IFNA(LOOKUP(T172,use_fish!A:A,use_fish!J:J),0),_xlfn.IFNA(LOOKUP(U172,use_fish!A:A,use_fish!J:J),0),_xlfn.IFNA(LOOKUP(V172,use_fish!A:A,use_fish!J:J),0),_xlfn.IFNA(LOOKUP(W172,use_fish!A:A,use_fish!J:J),0),)</f>
        <v>0</v>
      </c>
      <c r="Q172">
        <v>145</v>
      </c>
    </row>
    <row r="173" spans="1:17" x14ac:dyDescent="0.2">
      <c r="A173">
        <v>172</v>
      </c>
      <c r="B173">
        <v>1</v>
      </c>
      <c r="C173" t="s">
        <v>393</v>
      </c>
      <c r="H173">
        <f>SUM(_xlfn.IFNA(LOOKUP(Q173,use_fish!A:A,use_fish!D:D),0),_xlfn.IFNA(LOOKUP(R173,use_fish!A:A,use_fish!D:D),0),_xlfn.IFNA(LOOKUP(S173,use_fish!A:A,use_fish!D:D),0),_xlfn.IFNA(LOOKUP(T173,use_fish!A:A,use_fish!D:D),0),_xlfn.IFNA(LOOKUP(U173,use_fish!A:A,use_fish!D:D),0),_xlfn.IFNA(LOOKUP(V173,use_fish!A:A,use_fish!D:D),0),_xlfn.IFNA(LOOKUP(W173,use_fish!A:A,use_fish!D:D),0),)</f>
        <v>175</v>
      </c>
      <c r="I173">
        <f>SUM(_xlfn.IFNA(LOOKUP(Q173,use_fish!A:A,use_fish!H:H),0),_xlfn.IFNA(LOOKUP(R173,use_fish!A:A,use_fish!H:H),0),_xlfn.IFNA(LOOKUP(S173,use_fish!A:A,use_fish!H:H),0),_xlfn.IFNA(LOOKUP(T173,use_fish!A:A,use_fish!H:H),0),_xlfn.IFNA(LOOKUP(U173,use_fish!A:A,use_fish!H:H),0),_xlfn.IFNA(LOOKUP(V173,use_fish!A:A,use_fish!H:H),0),_xlfn.IFNA(LOOKUP(W173,use_fish!A:A,use_fish!H:H),0),)</f>
        <v>175</v>
      </c>
      <c r="J173" s="2">
        <f>SUM(_xlfn.IFNA(LOOKUP(Q173,use_fish!A:A,use_fish!J:J),0),_xlfn.IFNA(LOOKUP(R173,use_fish!A:A,use_fish!J:J),0),_xlfn.IFNA(LOOKUP(S173,use_fish!A:A,use_fish!J:J),0),_xlfn.IFNA(LOOKUP(T173,use_fish!A:A,use_fish!J:J),0),_xlfn.IFNA(LOOKUP(U173,use_fish!A:A,use_fish!J:J),0),_xlfn.IFNA(LOOKUP(V173,use_fish!A:A,use_fish!J:J),0),_xlfn.IFNA(LOOKUP(W173,use_fish!A:A,use_fish!J:J),0),)</f>
        <v>0</v>
      </c>
      <c r="Q173">
        <v>146</v>
      </c>
    </row>
    <row r="174" spans="1:17" x14ac:dyDescent="0.2">
      <c r="A174">
        <v>173</v>
      </c>
      <c r="B174">
        <v>1</v>
      </c>
      <c r="C174" t="s">
        <v>394</v>
      </c>
      <c r="H174">
        <f>SUM(_xlfn.IFNA(LOOKUP(Q174,use_fish!A:A,use_fish!D:D),0),_xlfn.IFNA(LOOKUP(R174,use_fish!A:A,use_fish!D:D),0),_xlfn.IFNA(LOOKUP(S174,use_fish!A:A,use_fish!D:D),0),_xlfn.IFNA(LOOKUP(T174,use_fish!A:A,use_fish!D:D),0),_xlfn.IFNA(LOOKUP(U174,use_fish!A:A,use_fish!D:D),0),_xlfn.IFNA(LOOKUP(V174,use_fish!A:A,use_fish!D:D),0),_xlfn.IFNA(LOOKUP(W174,use_fish!A:A,use_fish!D:D),0),)</f>
        <v>275</v>
      </c>
      <c r="I174">
        <f>SUM(_xlfn.IFNA(LOOKUP(Q174,use_fish!A:A,use_fish!H:H),0),_xlfn.IFNA(LOOKUP(R174,use_fish!A:A,use_fish!H:H),0),_xlfn.IFNA(LOOKUP(S174,use_fish!A:A,use_fish!H:H),0),_xlfn.IFNA(LOOKUP(T174,use_fish!A:A,use_fish!H:H),0),_xlfn.IFNA(LOOKUP(U174,use_fish!A:A,use_fish!H:H),0),_xlfn.IFNA(LOOKUP(V174,use_fish!A:A,use_fish!H:H),0),_xlfn.IFNA(LOOKUP(W174,use_fish!A:A,use_fish!H:H),0),)</f>
        <v>275</v>
      </c>
      <c r="J174" s="2">
        <f>SUM(_xlfn.IFNA(LOOKUP(Q174,use_fish!A:A,use_fish!J:J),0),_xlfn.IFNA(LOOKUP(R174,use_fish!A:A,use_fish!J:J),0),_xlfn.IFNA(LOOKUP(S174,use_fish!A:A,use_fish!J:J),0),_xlfn.IFNA(LOOKUP(T174,use_fish!A:A,use_fish!J:J),0),_xlfn.IFNA(LOOKUP(U174,use_fish!A:A,use_fish!J:J),0),_xlfn.IFNA(LOOKUP(V174,use_fish!A:A,use_fish!J:J),0),_xlfn.IFNA(LOOKUP(W174,use_fish!A:A,use_fish!J:J),0),)</f>
        <v>0</v>
      </c>
      <c r="Q174">
        <v>147</v>
      </c>
    </row>
    <row r="175" spans="1:17" x14ac:dyDescent="0.2">
      <c r="A175">
        <v>174</v>
      </c>
      <c r="B175">
        <v>1</v>
      </c>
      <c r="C175" t="s">
        <v>395</v>
      </c>
      <c r="H175">
        <f>SUM(_xlfn.IFNA(LOOKUP(Q175,use_fish!A:A,use_fish!D:D),0),_xlfn.IFNA(LOOKUP(R175,use_fish!A:A,use_fish!D:D),0),_xlfn.IFNA(LOOKUP(S175,use_fish!A:A,use_fish!D:D),0),_xlfn.IFNA(LOOKUP(T175,use_fish!A:A,use_fish!D:D),0),_xlfn.IFNA(LOOKUP(U175,use_fish!A:A,use_fish!D:D),0),_xlfn.IFNA(LOOKUP(V175,use_fish!A:A,use_fish!D:D),0),_xlfn.IFNA(LOOKUP(W175,use_fish!A:A,use_fish!D:D),0),)</f>
        <v>425</v>
      </c>
      <c r="I175">
        <f>SUM(_xlfn.IFNA(LOOKUP(Q175,use_fish!A:A,use_fish!H:H),0),_xlfn.IFNA(LOOKUP(R175,use_fish!A:A,use_fish!H:H),0),_xlfn.IFNA(LOOKUP(S175,use_fish!A:A,use_fish!H:H),0),_xlfn.IFNA(LOOKUP(T175,use_fish!A:A,use_fish!H:H),0),_xlfn.IFNA(LOOKUP(U175,use_fish!A:A,use_fish!H:H),0),_xlfn.IFNA(LOOKUP(V175,use_fish!A:A,use_fish!H:H),0),_xlfn.IFNA(LOOKUP(W175,use_fish!A:A,use_fish!H:H),0),)</f>
        <v>425</v>
      </c>
      <c r="J175" s="2">
        <f>SUM(_xlfn.IFNA(LOOKUP(Q175,use_fish!A:A,use_fish!J:J),0),_xlfn.IFNA(LOOKUP(R175,use_fish!A:A,use_fish!J:J),0),_xlfn.IFNA(LOOKUP(S175,use_fish!A:A,use_fish!J:J),0),_xlfn.IFNA(LOOKUP(T175,use_fish!A:A,use_fish!J:J),0),_xlfn.IFNA(LOOKUP(U175,use_fish!A:A,use_fish!J:J),0),_xlfn.IFNA(LOOKUP(V175,use_fish!A:A,use_fish!J:J),0),_xlfn.IFNA(LOOKUP(W175,use_fish!A:A,use_fish!J:J),0),)</f>
        <v>0</v>
      </c>
      <c r="Q175">
        <v>148</v>
      </c>
    </row>
    <row r="176" spans="1:17" x14ac:dyDescent="0.2">
      <c r="A176">
        <v>175</v>
      </c>
      <c r="B176">
        <v>1</v>
      </c>
      <c r="C176" t="s">
        <v>401</v>
      </c>
      <c r="H176">
        <f>SUM(_xlfn.IFNA(LOOKUP(Q176,use_fish!A:A,use_fish!D:D),0),_xlfn.IFNA(LOOKUP(R176,use_fish!A:A,use_fish!D:D),0),_xlfn.IFNA(LOOKUP(S176,use_fish!A:A,use_fish!D:D),0),_xlfn.IFNA(LOOKUP(T176,use_fish!A:A,use_fish!D:D),0),_xlfn.IFNA(LOOKUP(U176,use_fish!A:A,use_fish!D:D),0),_xlfn.IFNA(LOOKUP(V176,use_fish!A:A,use_fish!D:D),0),_xlfn.IFNA(LOOKUP(W176,use_fish!A:A,use_fish!D:D),0),)</f>
        <v>75</v>
      </c>
      <c r="I176">
        <f>SUM(_xlfn.IFNA(LOOKUP(Q176,use_fish!A:A,use_fish!H:H),0),_xlfn.IFNA(LOOKUP(R176,use_fish!A:A,use_fish!H:H),0),_xlfn.IFNA(LOOKUP(S176,use_fish!A:A,use_fish!H:H),0),_xlfn.IFNA(LOOKUP(T176,use_fish!A:A,use_fish!H:H),0),_xlfn.IFNA(LOOKUP(U176,use_fish!A:A,use_fish!H:H),0),_xlfn.IFNA(LOOKUP(V176,use_fish!A:A,use_fish!H:H),0),_xlfn.IFNA(LOOKUP(W176,use_fish!A:A,use_fish!H:H),0),)</f>
        <v>75</v>
      </c>
      <c r="J176" s="2">
        <f>SUM(_xlfn.IFNA(LOOKUP(Q176,use_fish!A:A,use_fish!J:J),0),_xlfn.IFNA(LOOKUP(R176,use_fish!A:A,use_fish!J:J),0),_xlfn.IFNA(LOOKUP(S176,use_fish!A:A,use_fish!J:J),0),_xlfn.IFNA(LOOKUP(T176,use_fish!A:A,use_fish!J:J),0),_xlfn.IFNA(LOOKUP(U176,use_fish!A:A,use_fish!J:J),0),_xlfn.IFNA(LOOKUP(V176,use_fish!A:A,use_fish!J:J),0),_xlfn.IFNA(LOOKUP(W176,use_fish!A:A,use_fish!J:J),0),)</f>
        <v>0</v>
      </c>
      <c r="Q176" s="15">
        <v>149</v>
      </c>
    </row>
    <row r="177" spans="1:17" x14ac:dyDescent="0.2">
      <c r="A177">
        <v>176</v>
      </c>
      <c r="B177">
        <v>1</v>
      </c>
      <c r="C177" t="s">
        <v>402</v>
      </c>
      <c r="H177">
        <f>SUM(_xlfn.IFNA(LOOKUP(Q177,use_fish!A:A,use_fish!D:D),0),_xlfn.IFNA(LOOKUP(R177,use_fish!A:A,use_fish!D:D),0),_xlfn.IFNA(LOOKUP(S177,use_fish!A:A,use_fish!D:D),0),_xlfn.IFNA(LOOKUP(T177,use_fish!A:A,use_fish!D:D),0),_xlfn.IFNA(LOOKUP(U177,use_fish!A:A,use_fish!D:D),0),_xlfn.IFNA(LOOKUP(V177,use_fish!A:A,use_fish!D:D),0),_xlfn.IFNA(LOOKUP(W177,use_fish!A:A,use_fish!D:D),0),)</f>
        <v>150</v>
      </c>
      <c r="I177">
        <f>SUM(_xlfn.IFNA(LOOKUP(Q177,use_fish!A:A,use_fish!H:H),0),_xlfn.IFNA(LOOKUP(R177,use_fish!A:A,use_fish!H:H),0),_xlfn.IFNA(LOOKUP(S177,use_fish!A:A,use_fish!H:H),0),_xlfn.IFNA(LOOKUP(T177,use_fish!A:A,use_fish!H:H),0),_xlfn.IFNA(LOOKUP(U177,use_fish!A:A,use_fish!H:H),0),_xlfn.IFNA(LOOKUP(V177,use_fish!A:A,use_fish!H:H),0),_xlfn.IFNA(LOOKUP(W177,use_fish!A:A,use_fish!H:H),0),)</f>
        <v>150</v>
      </c>
      <c r="J177" s="2">
        <f>SUM(_xlfn.IFNA(LOOKUP(Q177,use_fish!A:A,use_fish!J:J),0),_xlfn.IFNA(LOOKUP(R177,use_fish!A:A,use_fish!J:J),0),_xlfn.IFNA(LOOKUP(S177,use_fish!A:A,use_fish!J:J),0),_xlfn.IFNA(LOOKUP(T177,use_fish!A:A,use_fish!J:J),0),_xlfn.IFNA(LOOKUP(U177,use_fish!A:A,use_fish!J:J),0),_xlfn.IFNA(LOOKUP(V177,use_fish!A:A,use_fish!J:J),0),_xlfn.IFNA(LOOKUP(W177,use_fish!A:A,use_fish!J:J),0),)</f>
        <v>0</v>
      </c>
      <c r="Q177" s="15">
        <v>150</v>
      </c>
    </row>
    <row r="178" spans="1:17" x14ac:dyDescent="0.2">
      <c r="A178">
        <v>177</v>
      </c>
      <c r="B178">
        <v>1</v>
      </c>
      <c r="C178" t="s">
        <v>403</v>
      </c>
      <c r="H178">
        <f>SUM(_xlfn.IFNA(LOOKUP(Q178,use_fish!A:A,use_fish!D:D),0),_xlfn.IFNA(LOOKUP(R178,use_fish!A:A,use_fish!D:D),0),_xlfn.IFNA(LOOKUP(S178,use_fish!A:A,use_fish!D:D),0),_xlfn.IFNA(LOOKUP(T178,use_fish!A:A,use_fish!D:D),0),_xlfn.IFNA(LOOKUP(U178,use_fish!A:A,use_fish!D:D),0),_xlfn.IFNA(LOOKUP(V178,use_fish!A:A,use_fish!D:D),0),_xlfn.IFNA(LOOKUP(W178,use_fish!A:A,use_fish!D:D),0),)</f>
        <v>250</v>
      </c>
      <c r="I178">
        <f>SUM(_xlfn.IFNA(LOOKUP(Q178,use_fish!A:A,use_fish!H:H),0),_xlfn.IFNA(LOOKUP(R178,use_fish!A:A,use_fish!H:H),0),_xlfn.IFNA(LOOKUP(S178,use_fish!A:A,use_fish!H:H),0),_xlfn.IFNA(LOOKUP(T178,use_fish!A:A,use_fish!H:H),0),_xlfn.IFNA(LOOKUP(U178,use_fish!A:A,use_fish!H:H),0),_xlfn.IFNA(LOOKUP(V178,use_fish!A:A,use_fish!H:H),0),_xlfn.IFNA(LOOKUP(W178,use_fish!A:A,use_fish!H:H),0),)</f>
        <v>250</v>
      </c>
      <c r="J178" s="2">
        <f>SUM(_xlfn.IFNA(LOOKUP(Q178,use_fish!A:A,use_fish!J:J),0),_xlfn.IFNA(LOOKUP(R178,use_fish!A:A,use_fish!J:J),0),_xlfn.IFNA(LOOKUP(S178,use_fish!A:A,use_fish!J:J),0),_xlfn.IFNA(LOOKUP(T178,use_fish!A:A,use_fish!J:J),0),_xlfn.IFNA(LOOKUP(U178,use_fish!A:A,use_fish!J:J),0),_xlfn.IFNA(LOOKUP(V178,use_fish!A:A,use_fish!J:J),0),_xlfn.IFNA(LOOKUP(W178,use_fish!A:A,use_fish!J:J),0),)</f>
        <v>0</v>
      </c>
      <c r="Q178" s="15">
        <v>151</v>
      </c>
    </row>
    <row r="179" spans="1:17" x14ac:dyDescent="0.2">
      <c r="A179">
        <v>178</v>
      </c>
      <c r="B179">
        <v>1</v>
      </c>
      <c r="C179" t="s">
        <v>404</v>
      </c>
      <c r="H179">
        <f>SUM(_xlfn.IFNA(LOOKUP(Q179,use_fish!A:A,use_fish!D:D),0),_xlfn.IFNA(LOOKUP(R179,use_fish!A:A,use_fish!D:D),0),_xlfn.IFNA(LOOKUP(S179,use_fish!A:A,use_fish!D:D),0),_xlfn.IFNA(LOOKUP(T179,use_fish!A:A,use_fish!D:D),0),_xlfn.IFNA(LOOKUP(U179,use_fish!A:A,use_fish!D:D),0),_xlfn.IFNA(LOOKUP(V179,use_fish!A:A,use_fish!D:D),0),_xlfn.IFNA(LOOKUP(W179,use_fish!A:A,use_fish!D:D),0),)</f>
        <v>20</v>
      </c>
      <c r="I179">
        <f>SUM(_xlfn.IFNA(LOOKUP(Q179,use_fish!A:A,use_fish!H:H),0),_xlfn.IFNA(LOOKUP(R179,use_fish!A:A,use_fish!H:H),0),_xlfn.IFNA(LOOKUP(S179,use_fish!A:A,use_fish!H:H),0),_xlfn.IFNA(LOOKUP(T179,use_fish!A:A,use_fish!H:H),0),_xlfn.IFNA(LOOKUP(U179,use_fish!A:A,use_fish!H:H),0),_xlfn.IFNA(LOOKUP(V179,use_fish!A:A,use_fish!H:H),0),_xlfn.IFNA(LOOKUP(W179,use_fish!A:A,use_fish!H:H),0),)</f>
        <v>20</v>
      </c>
      <c r="J179" s="2">
        <f>SUM(_xlfn.IFNA(LOOKUP(Q179,use_fish!A:A,use_fish!J:J),0),_xlfn.IFNA(LOOKUP(R179,use_fish!A:A,use_fish!J:J),0),_xlfn.IFNA(LOOKUP(S179,use_fish!A:A,use_fish!J:J),0),_xlfn.IFNA(LOOKUP(T179,use_fish!A:A,use_fish!J:J),0),_xlfn.IFNA(LOOKUP(U179,use_fish!A:A,use_fish!J:J),0),_xlfn.IFNA(LOOKUP(V179,use_fish!A:A,use_fish!J:J),0),_xlfn.IFNA(LOOKUP(W179,use_fish!A:A,use_fish!J:J),0),)</f>
        <v>0</v>
      </c>
      <c r="Q179" s="15">
        <v>152</v>
      </c>
    </row>
    <row r="180" spans="1:17" x14ac:dyDescent="0.2">
      <c r="A180">
        <v>179</v>
      </c>
      <c r="B180">
        <v>1</v>
      </c>
      <c r="C180" t="s">
        <v>405</v>
      </c>
      <c r="H180">
        <f>SUM(_xlfn.IFNA(LOOKUP(Q180,use_fish!A:A,use_fish!D:D),0),_xlfn.IFNA(LOOKUP(R180,use_fish!A:A,use_fish!D:D),0),_xlfn.IFNA(LOOKUP(S180,use_fish!A:A,use_fish!D:D),0),_xlfn.IFNA(LOOKUP(T180,use_fish!A:A,use_fish!D:D),0),_xlfn.IFNA(LOOKUP(U180,use_fish!A:A,use_fish!D:D),0),_xlfn.IFNA(LOOKUP(V180,use_fish!A:A,use_fish!D:D),0),_xlfn.IFNA(LOOKUP(W180,use_fish!A:A,use_fish!D:D),0),)</f>
        <v>25</v>
      </c>
      <c r="I180">
        <f>SUM(_xlfn.IFNA(LOOKUP(Q180,use_fish!A:A,use_fish!H:H),0),_xlfn.IFNA(LOOKUP(R180,use_fish!A:A,use_fish!H:H),0),_xlfn.IFNA(LOOKUP(S180,use_fish!A:A,use_fish!H:H),0),_xlfn.IFNA(LOOKUP(T180,use_fish!A:A,use_fish!H:H),0),_xlfn.IFNA(LOOKUP(U180,use_fish!A:A,use_fish!H:H),0),_xlfn.IFNA(LOOKUP(V180,use_fish!A:A,use_fish!H:H),0),_xlfn.IFNA(LOOKUP(W180,use_fish!A:A,use_fish!H:H),0),)</f>
        <v>25</v>
      </c>
      <c r="J180" s="2">
        <f>SUM(_xlfn.IFNA(LOOKUP(Q180,use_fish!A:A,use_fish!J:J),0),_xlfn.IFNA(LOOKUP(R180,use_fish!A:A,use_fish!J:J),0),_xlfn.IFNA(LOOKUP(S180,use_fish!A:A,use_fish!J:J),0),_xlfn.IFNA(LOOKUP(T180,use_fish!A:A,use_fish!J:J),0),_xlfn.IFNA(LOOKUP(U180,use_fish!A:A,use_fish!J:J),0),_xlfn.IFNA(LOOKUP(V180,use_fish!A:A,use_fish!J:J),0),_xlfn.IFNA(LOOKUP(W180,use_fish!A:A,use_fish!J:J),0),)</f>
        <v>0</v>
      </c>
      <c r="Q180" s="15">
        <v>153</v>
      </c>
    </row>
    <row r="181" spans="1:17" x14ac:dyDescent="0.2">
      <c r="A181">
        <v>180</v>
      </c>
      <c r="B181">
        <v>1</v>
      </c>
      <c r="C181" t="s">
        <v>406</v>
      </c>
      <c r="H181">
        <f>SUM(_xlfn.IFNA(LOOKUP(Q181,use_fish!A:A,use_fish!D:D),0),_xlfn.IFNA(LOOKUP(R181,use_fish!A:A,use_fish!D:D),0),_xlfn.IFNA(LOOKUP(S181,use_fish!A:A,use_fish!D:D),0),_xlfn.IFNA(LOOKUP(T181,use_fish!A:A,use_fish!D:D),0),_xlfn.IFNA(LOOKUP(U181,use_fish!A:A,use_fish!D:D),0),_xlfn.IFNA(LOOKUP(V181,use_fish!A:A,use_fish!D:D),0),_xlfn.IFNA(LOOKUP(W181,use_fish!A:A,use_fish!D:D),0),)</f>
        <v>35</v>
      </c>
      <c r="I181">
        <f>SUM(_xlfn.IFNA(LOOKUP(Q181,use_fish!A:A,use_fish!H:H),0),_xlfn.IFNA(LOOKUP(R181,use_fish!A:A,use_fish!H:H),0),_xlfn.IFNA(LOOKUP(S181,use_fish!A:A,use_fish!H:H),0),_xlfn.IFNA(LOOKUP(T181,use_fish!A:A,use_fish!H:H),0),_xlfn.IFNA(LOOKUP(U181,use_fish!A:A,use_fish!H:H),0),_xlfn.IFNA(LOOKUP(V181,use_fish!A:A,use_fish!H:H),0),_xlfn.IFNA(LOOKUP(W181,use_fish!A:A,use_fish!H:H),0),)</f>
        <v>35</v>
      </c>
      <c r="J181" s="2">
        <f>SUM(_xlfn.IFNA(LOOKUP(Q181,use_fish!A:A,use_fish!J:J),0),_xlfn.IFNA(LOOKUP(R181,use_fish!A:A,use_fish!J:J),0),_xlfn.IFNA(LOOKUP(S181,use_fish!A:A,use_fish!J:J),0),_xlfn.IFNA(LOOKUP(T181,use_fish!A:A,use_fish!J:J),0),_xlfn.IFNA(LOOKUP(U181,use_fish!A:A,use_fish!J:J),0),_xlfn.IFNA(LOOKUP(V181,use_fish!A:A,use_fish!J:J),0),_xlfn.IFNA(LOOKUP(W181,use_fish!A:A,use_fish!J:J),0),)</f>
        <v>0</v>
      </c>
      <c r="Q181" s="15">
        <v>154</v>
      </c>
    </row>
    <row r="182" spans="1:17" x14ac:dyDescent="0.2">
      <c r="A182">
        <v>181</v>
      </c>
      <c r="B182">
        <v>1</v>
      </c>
      <c r="C182" t="s">
        <v>407</v>
      </c>
      <c r="H182">
        <f>SUM(_xlfn.IFNA(LOOKUP(Q182,use_fish!A:A,use_fish!D:D),0),_xlfn.IFNA(LOOKUP(R182,use_fish!A:A,use_fish!D:D),0),_xlfn.IFNA(LOOKUP(S182,use_fish!A:A,use_fish!D:D),0),_xlfn.IFNA(LOOKUP(T182,use_fish!A:A,use_fish!D:D),0),_xlfn.IFNA(LOOKUP(U182,use_fish!A:A,use_fish!D:D),0),_xlfn.IFNA(LOOKUP(V182,use_fish!A:A,use_fish!D:D),0),_xlfn.IFNA(LOOKUP(W182,use_fish!A:A,use_fish!D:D),0),)</f>
        <v>45</v>
      </c>
      <c r="I182">
        <f>SUM(_xlfn.IFNA(LOOKUP(Q182,use_fish!A:A,use_fish!H:H),0),_xlfn.IFNA(LOOKUP(R182,use_fish!A:A,use_fish!H:H),0),_xlfn.IFNA(LOOKUP(S182,use_fish!A:A,use_fish!H:H),0),_xlfn.IFNA(LOOKUP(T182,use_fish!A:A,use_fish!H:H),0),_xlfn.IFNA(LOOKUP(U182,use_fish!A:A,use_fish!H:H),0),_xlfn.IFNA(LOOKUP(V182,use_fish!A:A,use_fish!H:H),0),_xlfn.IFNA(LOOKUP(W182,use_fish!A:A,use_fish!H:H),0),)</f>
        <v>45</v>
      </c>
      <c r="J182" s="2">
        <f>SUM(_xlfn.IFNA(LOOKUP(Q182,use_fish!A:A,use_fish!J:J),0),_xlfn.IFNA(LOOKUP(R182,use_fish!A:A,use_fish!J:J),0),_xlfn.IFNA(LOOKUP(S182,use_fish!A:A,use_fish!J:J),0),_xlfn.IFNA(LOOKUP(T182,use_fish!A:A,use_fish!J:J),0),_xlfn.IFNA(LOOKUP(U182,use_fish!A:A,use_fish!J:J),0),_xlfn.IFNA(LOOKUP(V182,use_fish!A:A,use_fish!J:J),0),_xlfn.IFNA(LOOKUP(W182,use_fish!A:A,use_fish!J:J),0),)</f>
        <v>0</v>
      </c>
      <c r="Q182" s="15">
        <v>155</v>
      </c>
    </row>
    <row r="183" spans="1:17" x14ac:dyDescent="0.2">
      <c r="A183">
        <v>182</v>
      </c>
      <c r="B183">
        <v>1</v>
      </c>
      <c r="C183" t="s">
        <v>408</v>
      </c>
      <c r="H183">
        <f>SUM(_xlfn.IFNA(LOOKUP(Q183,use_fish!A:A,use_fish!D:D),0),_xlfn.IFNA(LOOKUP(R183,use_fish!A:A,use_fish!D:D),0),_xlfn.IFNA(LOOKUP(S183,use_fish!A:A,use_fish!D:D),0),_xlfn.IFNA(LOOKUP(T183,use_fish!A:A,use_fish!D:D),0),_xlfn.IFNA(LOOKUP(U183,use_fish!A:A,use_fish!D:D),0),_xlfn.IFNA(LOOKUP(V183,use_fish!A:A,use_fish!D:D),0),_xlfn.IFNA(LOOKUP(W183,use_fish!A:A,use_fish!D:D),0),)</f>
        <v>55</v>
      </c>
      <c r="I183">
        <f>SUM(_xlfn.IFNA(LOOKUP(Q183,use_fish!A:A,use_fish!H:H),0),_xlfn.IFNA(LOOKUP(R183,use_fish!A:A,use_fish!H:H),0),_xlfn.IFNA(LOOKUP(S183,use_fish!A:A,use_fish!H:H),0),_xlfn.IFNA(LOOKUP(T183,use_fish!A:A,use_fish!H:H),0),_xlfn.IFNA(LOOKUP(U183,use_fish!A:A,use_fish!H:H),0),_xlfn.IFNA(LOOKUP(V183,use_fish!A:A,use_fish!H:H),0),_xlfn.IFNA(LOOKUP(W183,use_fish!A:A,use_fish!H:H),0),)</f>
        <v>55</v>
      </c>
      <c r="J183" s="2">
        <f>SUM(_xlfn.IFNA(LOOKUP(Q183,use_fish!A:A,use_fish!J:J),0),_xlfn.IFNA(LOOKUP(R183,use_fish!A:A,use_fish!J:J),0),_xlfn.IFNA(LOOKUP(S183,use_fish!A:A,use_fish!J:J),0),_xlfn.IFNA(LOOKUP(T183,use_fish!A:A,use_fish!J:J),0),_xlfn.IFNA(LOOKUP(U183,use_fish!A:A,use_fish!J:J),0),_xlfn.IFNA(LOOKUP(V183,use_fish!A:A,use_fish!J:J),0),_xlfn.IFNA(LOOKUP(W183,use_fish!A:A,use_fish!J:J),0),)</f>
        <v>0</v>
      </c>
      <c r="Q183" s="15">
        <v>156</v>
      </c>
    </row>
  </sheetData>
  <autoFilter ref="I1:I129"/>
  <dataConsolidate/>
  <phoneticPr fontId="1" type="noConversion"/>
  <conditionalFormatting sqref="I184:I1048576 I1:I149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45 H149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0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50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0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84:J1048576 K1 K146:K148 J2:J149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51:J171">
    <cfRule type="iconSet" priority="5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1:H183">
    <cfRule type="iconSet" priority="5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1:I183">
    <cfRule type="iconSet" priority="6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72:J183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activity!$I$2:$I$10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57"/>
  <sheetViews>
    <sheetView workbookViewId="0">
      <pane ySplit="1" topLeftCell="A134" activePane="bottomLeft" state="frozen"/>
      <selection pane="bottomLeft" activeCell="J151" sqref="J151:J157"/>
    </sheetView>
  </sheetViews>
  <sheetFormatPr defaultColWidth="8.875"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625" customWidth="1"/>
    <col min="9" max="9" width="19" customWidth="1"/>
    <col min="13" max="13" width="8.75" bestFit="1" customWidth="1"/>
  </cols>
  <sheetData>
    <row r="1" spans="1:13" ht="67.5" x14ac:dyDescent="0.2">
      <c r="A1" s="1" t="s">
        <v>26</v>
      </c>
      <c r="B1" s="1" t="s">
        <v>27</v>
      </c>
      <c r="C1" s="1" t="s">
        <v>21</v>
      </c>
      <c r="D1" s="1" t="s">
        <v>277</v>
      </c>
      <c r="E1" s="1" t="s">
        <v>0</v>
      </c>
      <c r="F1" s="1" t="s">
        <v>29</v>
      </c>
      <c r="G1" s="1" t="s">
        <v>23</v>
      </c>
      <c r="H1" s="9" t="s">
        <v>283</v>
      </c>
      <c r="I1" s="9" t="s">
        <v>278</v>
      </c>
      <c r="J1" s="9" t="s">
        <v>286</v>
      </c>
      <c r="K1" s="9" t="s">
        <v>317</v>
      </c>
      <c r="L1" s="9" t="s">
        <v>318</v>
      </c>
      <c r="M1" s="9" t="s">
        <v>341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28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LOOKUP(use_fish!B2,base_fish!A:A,base_fish!G:G)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28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LOOKUP(use_fish!B3,base_fish!A:A,base_fish!G:G)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19" si="2">1/D4</f>
        <v>0.2</v>
      </c>
      <c r="F4" s="2" t="s">
        <v>28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LOOKUP(use_fish!B4,base_fish!A:A,base_fish!G:G)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28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LOOKUP(use_fish!B5,base_fish!A:A,base_fish!G:G)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28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LOOKUP(use_fish!B6,base_fish!A:A,base_fish!G:G)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28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LOOKUP(use_fish!B7,base_fish!A:A,base_fish!G:G)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28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LOOKUP(use_fish!B8,base_fish!A:A,base_fish!G:G)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28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LOOKUP(use_fish!B9,base_fish!A:A,base_fish!G:G)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28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LOOKUP(use_fish!B10,base_fish!A:A,base_fish!G:G)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28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LOOKUP(use_fish!B11,base_fish!A:A,base_fish!G:G)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28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LOOKUP(use_fish!B12,base_fish!A:A,base_fish!G:G)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28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LOOKUP(use_fish!B13,base_fish!A:A,base_fish!G:G)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28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LOOKUP(use_fish!B14,base_fish!A:A,base_fish!G:G)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28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LOOKUP(use_fish!B15,base_fish!A:A,base_fish!G:G)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28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LOOKUP(use_fish!B16,base_fish!A:A,base_fish!G:G)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28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LOOKUP(use_fish!B17,base_fish!A:A,base_fish!G:G)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28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LOOKUP(use_fish!B18,base_fish!A:A,base_fish!G:G)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28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LOOKUP(use_fish!B19,base_fish!A:A,base_fish!G:G)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ref="E20:E36" si="3">1/D20</f>
        <v>1.2048192771084338E-2</v>
      </c>
      <c r="F20" s="2" t="s">
        <v>28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LOOKUP(use_fish!B20,base_fish!A:A,base_fish!G:G)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3"/>
        <v>1.2048192771084338E-2</v>
      </c>
      <c r="F21" s="2" t="s">
        <v>28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LOOKUP(use_fish!B21,base_fish!A:A,base_fish!G:G)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3"/>
        <v>1.4285714285714285E-2</v>
      </c>
      <c r="F22" s="2" t="s">
        <v>28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LOOKUP(use_fish!B22,base_fish!A:A,base_fish!G:G)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3"/>
        <v>1.4285714285714285E-2</v>
      </c>
      <c r="F23" s="2" t="s">
        <v>28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LOOKUP(use_fish!B23,base_fish!A:A,base_fish!G:G)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3"/>
        <v>1.4285714285714285E-2</v>
      </c>
      <c r="F24" s="2" t="s">
        <v>28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LOOKUP(use_fish!B24,base_fish!A:A,base_fish!G:G)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si="3"/>
        <v>1.0752688172043012E-2</v>
      </c>
      <c r="F25" s="2" t="s">
        <v>28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LOOKUP(use_fish!B25,base_fish!A:A,base_fish!G:G)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3"/>
        <v>1.0752688172043012E-2</v>
      </c>
      <c r="F26" s="2" t="s">
        <v>28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LOOKUP(use_fish!B26,base_fish!A:A,base_fish!G:G)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3"/>
        <v>1.2500000000000001E-2</v>
      </c>
      <c r="F27" s="2" t="s">
        <v>28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LOOKUP(use_fish!B27,base_fish!A:A,base_fish!G:G)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3"/>
        <v>1.2500000000000001E-2</v>
      </c>
      <c r="F28" s="2" t="s">
        <v>28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LOOKUP(use_fish!B28,base_fish!A:A,base_fish!G:G)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17</v>
      </c>
      <c r="D29" s="2">
        <f>LOOKUP(use_fish!B29,base_fish!A:A,base_fish!C:C)+_xlfn.IFNA(INDEX(activity!F:F,MATCH(use_fish!C29,activity!A:A,0)),0)</f>
        <v>110</v>
      </c>
      <c r="E29" s="2">
        <f t="shared" si="3"/>
        <v>9.0909090909090905E-3</v>
      </c>
      <c r="F29" s="2" t="s">
        <v>28</v>
      </c>
      <c r="G29" s="5" t="str">
        <f>INDEX(base_fish!E:E,MATCH(use_fish!B29,base_fish!A:A,0))&amp;_xlfn.IFNA("+"&amp;INDEX(activity!G:G,MATCH(use_fish!C29,activity!A:A,0)),"")</f>
        <v>红杉鱼+贝壳</v>
      </c>
      <c r="H29" s="2">
        <f>LOOKUP(use_fish!B29,base_fish!A:A,base_fish!F:F)+_xlfn.IFNA(INDEX(activity!F:F,MATCH(use_fish!C29,activity!A:A,0)),0)</f>
        <v>110</v>
      </c>
      <c r="I29">
        <v>1</v>
      </c>
      <c r="J29">
        <f>LOOKUP(use_fish!B29,base_fish!A:A,base_fish!G:G)</f>
        <v>0</v>
      </c>
      <c r="K29">
        <f t="shared" si="0"/>
        <v>110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si="3"/>
        <v>9.7087378640776691E-3</v>
      </c>
      <c r="F30" s="2" t="s">
        <v>28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LOOKUP(use_fish!B30,base_fish!A:A,base_fish!G:G)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3"/>
        <v>9.7087378640776691E-3</v>
      </c>
      <c r="F31" s="2" t="s">
        <v>28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LOOKUP(use_fish!B31,base_fish!A:A,base_fish!G:G)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3"/>
        <v>1.1111111111111112E-2</v>
      </c>
      <c r="F32" s="2" t="s">
        <v>28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LOOKUP(use_fish!B32,base_fish!A:A,base_fish!G:G)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3"/>
        <v>1.1111111111111112E-2</v>
      </c>
      <c r="F33" s="2" t="s">
        <v>28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LOOKUP(use_fish!B33,base_fish!A:A,base_fish!G:G)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17</v>
      </c>
      <c r="D34" s="2">
        <f>LOOKUP(use_fish!B34,base_fish!A:A,base_fish!C:C)+_xlfn.IFNA(INDEX(activity!F:F,MATCH(use_fish!C34,activity!A:A,0)),0)</f>
        <v>120</v>
      </c>
      <c r="E34" s="2">
        <f t="shared" si="3"/>
        <v>8.3333333333333332E-3</v>
      </c>
      <c r="F34" s="2" t="s">
        <v>28</v>
      </c>
      <c r="G34" s="5" t="str">
        <f>INDEX(base_fish!E:E,MATCH(use_fish!B34,base_fish!A:A,0))&amp;_xlfn.IFNA("+"&amp;INDEX(activity!G:G,MATCH(use_fish!C34,activity!A:A,0)),"")</f>
        <v>海龟+贝壳</v>
      </c>
      <c r="H34" s="2">
        <f>LOOKUP(use_fish!B34,base_fish!A:A,base_fish!F:F)+_xlfn.IFNA(INDEX(activity!F:F,MATCH(use_fish!C34,activity!A:A,0)),0)</f>
        <v>120</v>
      </c>
      <c r="I34">
        <v>1</v>
      </c>
      <c r="J34">
        <f>LOOKUP(use_fish!B34,base_fish!A:A,base_fish!G:G)</f>
        <v>0</v>
      </c>
      <c r="K34">
        <f t="shared" si="0"/>
        <v>120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si="3"/>
        <v>2.5000000000000001E-2</v>
      </c>
      <c r="F35" s="2" t="s">
        <v>28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LOOKUP(use_fish!B35,base_fish!A:A,base_fish!G:G)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3"/>
        <v>2.5000000000000001E-2</v>
      </c>
      <c r="F36" s="2" t="s">
        <v>28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LOOKUP(use_fish!B36,base_fish!A:A,base_fish!G:G)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ref="E37:E42" si="4">1/D37</f>
        <v>8.8495575221238937E-3</v>
      </c>
      <c r="F37" s="2" t="s">
        <v>28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LOOKUP(use_fish!B37,base_fish!A:A,base_fish!G:G)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4"/>
        <v>8.8495575221238937E-3</v>
      </c>
      <c r="F38" s="2" t="s">
        <v>28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LOOKUP(use_fish!B38,base_fish!A:A,base_fish!G:G)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4"/>
        <v>0.01</v>
      </c>
      <c r="F39" s="2" t="s">
        <v>28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LOOKUP(use_fish!B39,base_fish!A:A,base_fish!G:G)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4"/>
        <v>0.01</v>
      </c>
      <c r="F40" s="2" t="s">
        <v>28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LOOKUP(use_fish!B40,base_fish!A:A,base_fish!G:G)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17</v>
      </c>
      <c r="D41" s="2">
        <f>LOOKUP(use_fish!B41,base_fish!A:A,base_fish!C:C)+_xlfn.IFNA(INDEX(activity!F:F,MATCH(use_fish!C41,activity!A:A,0)),0)</f>
        <v>130</v>
      </c>
      <c r="E41" s="2">
        <f t="shared" si="4"/>
        <v>7.6923076923076927E-3</v>
      </c>
      <c r="F41" s="2" t="s">
        <v>28</v>
      </c>
      <c r="G41" s="5" t="str">
        <f>INDEX(base_fish!E:E,MATCH(use_fish!B41,base_fish!A:A,0))&amp;_xlfn.IFNA("+"&amp;INDEX(activity!G:G,MATCH(use_fish!C41,activity!A:A,0)),"")</f>
        <v>灯笼鱼+贝壳</v>
      </c>
      <c r="H41" s="2">
        <f>LOOKUP(use_fish!B41,base_fish!A:A,base_fish!F:F)+_xlfn.IFNA(INDEX(activity!F:F,MATCH(use_fish!C41,activity!A:A,0)),0)</f>
        <v>130</v>
      </c>
      <c r="I41">
        <v>1</v>
      </c>
      <c r="J41">
        <f>LOOKUP(use_fish!B41,base_fish!A:A,base_fish!G:G)</f>
        <v>0</v>
      </c>
      <c r="K41">
        <f t="shared" si="0"/>
        <v>130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4"/>
        <v>0.02</v>
      </c>
      <c r="F42" s="2" t="s">
        <v>28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LOOKUP(use_fish!B42,base_fish!A:A,base_fish!G:G)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>1/D43</f>
        <v>0.02</v>
      </c>
      <c r="F43" s="2" t="s">
        <v>28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LOOKUP(use_fish!B43,base_fish!A:A,base_fish!G:G)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>1/D44</f>
        <v>1.2500000000000001E-2</v>
      </c>
      <c r="F44" s="2" t="s">
        <v>28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LOOKUP(use_fish!B44,base_fish!A:A,base_fish!G:G)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>1/D45</f>
        <v>1.4285714285714285E-2</v>
      </c>
      <c r="F45" s="2" t="s">
        <v>28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LOOKUP(use_fish!B45,base_fish!A:A,base_fish!G:G)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5">1/D46</f>
        <v>8.130081300813009E-3</v>
      </c>
      <c r="F46" s="2" t="s">
        <v>28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LOOKUP(use_fish!B46,base_fish!A:A,base_fish!G:G)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5"/>
        <v>8.130081300813009E-3</v>
      </c>
      <c r="F47" s="2" t="s">
        <v>28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LOOKUP(use_fish!B47,base_fish!A:A,base_fish!G:G)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5"/>
        <v>9.0909090909090905E-3</v>
      </c>
      <c r="F48" s="2" t="s">
        <v>28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LOOKUP(use_fish!B48,base_fish!A:A,base_fish!G:G)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5"/>
        <v>9.0909090909090905E-3</v>
      </c>
      <c r="F49" s="2" t="s">
        <v>28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LOOKUP(use_fish!B49,base_fish!A:A,base_fish!G:G)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17</v>
      </c>
      <c r="D50" s="2">
        <f>LOOKUP(use_fish!B50,base_fish!A:A,base_fish!C:C)+_xlfn.IFNA(INDEX(activity!F:F,MATCH(use_fish!C50,activity!A:A,0)),0)</f>
        <v>140</v>
      </c>
      <c r="E50" s="2">
        <f t="shared" si="5"/>
        <v>7.1428571428571426E-3</v>
      </c>
      <c r="F50" s="2" t="s">
        <v>28</v>
      </c>
      <c r="G50" s="5" t="str">
        <f>INDEX(base_fish!E:E,MATCH(use_fish!B50,base_fish!A:A,0))&amp;_xlfn.IFNA("+"&amp;INDEX(activity!G:G,MATCH(use_fish!C50,activity!A:A,0)),"")</f>
        <v>魔鬼鱼+贝壳</v>
      </c>
      <c r="H50" s="2">
        <f>LOOKUP(use_fish!B50,base_fish!A:A,base_fish!F:F)+_xlfn.IFNA(INDEX(activity!F:F,MATCH(use_fish!C50,activity!A:A,0)),0)</f>
        <v>140</v>
      </c>
      <c r="I50">
        <v>1</v>
      </c>
      <c r="J50">
        <f>LOOKUP(use_fish!B50,base_fish!A:A,base_fish!G:G)</f>
        <v>0</v>
      </c>
      <c r="K50">
        <f t="shared" si="0"/>
        <v>140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5"/>
        <v>1.6666666666666666E-2</v>
      </c>
      <c r="F51" s="2" t="s">
        <v>28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LOOKUP(use_fish!B51,base_fish!A:A,base_fish!G:G)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>1/D52</f>
        <v>1.6666666666666666E-2</v>
      </c>
      <c r="F52" s="2" t="s">
        <v>28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LOOKUP(use_fish!B52,base_fish!A:A,base_fish!G:G)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>1/D53</f>
        <v>1.6666666666666666E-2</v>
      </c>
      <c r="F53" s="2" t="s">
        <v>28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LOOKUP(use_fish!B53,base_fish!A:A,base_fish!G:G)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>1/D54</f>
        <v>1.1111111111111112E-2</v>
      </c>
      <c r="F54" s="2" t="s">
        <v>28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LOOKUP(use_fish!B54,base_fish!A:A,base_fish!G:G)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>1/D55</f>
        <v>1.2500000000000001E-2</v>
      </c>
      <c r="F55" s="2" t="s">
        <v>28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LOOKUP(use_fish!B55,base_fish!A:A,base_fish!G:G)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62" si="6">1/D56</f>
        <v>7.5187969924812026E-3</v>
      </c>
      <c r="F56" s="2" t="s">
        <v>28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LOOKUP(use_fish!B56,base_fish!A:A,base_fish!G:G)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6"/>
        <v>7.5187969924812026E-3</v>
      </c>
      <c r="F57" s="2" t="s">
        <v>28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LOOKUP(use_fish!B57,base_fish!A:A,base_fish!G:G)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6"/>
        <v>8.3333333333333332E-3</v>
      </c>
      <c r="F58" s="2" t="s">
        <v>28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LOOKUP(use_fish!B58,base_fish!A:A,base_fish!G:G)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6"/>
        <v>8.3333333333333332E-3</v>
      </c>
      <c r="F59" s="2" t="s">
        <v>28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LOOKUP(use_fish!B59,base_fish!A:A,base_fish!G:G)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17</v>
      </c>
      <c r="D60" s="2">
        <f>LOOKUP(use_fish!B60,base_fish!A:A,base_fish!C:C)+_xlfn.IFNA(INDEX(activity!F:F,MATCH(use_fish!C60,activity!A:A,0)),0)</f>
        <v>150</v>
      </c>
      <c r="E60" s="2">
        <f t="shared" si="6"/>
        <v>6.6666666666666671E-3</v>
      </c>
      <c r="F60" s="2" t="s">
        <v>28</v>
      </c>
      <c r="G60" s="5" t="str">
        <f>INDEX(base_fish!E:E,MATCH(use_fish!B60,base_fish!A:A,0))&amp;_xlfn.IFNA("+"&amp;INDEX(activity!G:G,MATCH(use_fish!C60,activity!A:A,0)),"")</f>
        <v>大白鲨+贝壳</v>
      </c>
      <c r="H60" s="2">
        <f>LOOKUP(use_fish!B60,base_fish!A:A,base_fish!F:F)+_xlfn.IFNA(INDEX(activity!F:F,MATCH(use_fish!C60,activity!A:A,0)),0)</f>
        <v>150</v>
      </c>
      <c r="I60">
        <v>1</v>
      </c>
      <c r="J60">
        <f>LOOKUP(use_fish!B60,base_fish!A:A,base_fish!G:G)</f>
        <v>0</v>
      </c>
      <c r="K60">
        <f t="shared" si="0"/>
        <v>150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6"/>
        <v>1.4285714285714285E-2</v>
      </c>
      <c r="F61" s="2" t="s">
        <v>28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LOOKUP(use_fish!B61,base_fish!A:A,base_fish!G:G)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6"/>
        <v>1.4285714285714285E-2</v>
      </c>
      <c r="F62" s="2" t="s">
        <v>28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LOOKUP(use_fish!B62,base_fish!A:A,base_fish!G:G)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ref="E63:E72" si="7">1/D63</f>
        <v>1.4285714285714285E-2</v>
      </c>
      <c r="F63" s="2" t="s">
        <v>28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LOOKUP(use_fish!B63,base_fish!A:A,base_fish!G:G)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7"/>
        <v>1.4285714285714285E-2</v>
      </c>
      <c r="F64" s="2" t="s">
        <v>28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LOOKUP(use_fish!B64,base_fish!A:A,base_fish!G:G)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si="7"/>
        <v>6.1349693251533744E-3</v>
      </c>
      <c r="F65" s="2" t="s">
        <v>28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LOOKUP(use_fish!B65,base_fish!A:A,base_fish!G:G)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7"/>
        <v>6.1349693251533744E-3</v>
      </c>
      <c r="F66" s="2" t="s">
        <v>28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LOOKUP(use_fish!B66,base_fish!A:A,base_fish!G:G)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7"/>
        <v>6.6666666666666671E-3</v>
      </c>
      <c r="F67" s="2" t="s">
        <v>28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LOOKUP(use_fish!B67,base_fish!A:A,base_fish!G:G)</f>
        <v>0</v>
      </c>
      <c r="K67">
        <f t="shared" ref="K67:K122" si="8">H67</f>
        <v>150</v>
      </c>
      <c r="L67">
        <v>1</v>
      </c>
      <c r="M67">
        <f t="shared" ref="M67:M123" si="9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7"/>
        <v>6.6666666666666671E-3</v>
      </c>
      <c r="F68" s="2" t="s">
        <v>28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LOOKUP(use_fish!B68,base_fish!A:A,base_fish!G:G)</f>
        <v>0</v>
      </c>
      <c r="K68">
        <f t="shared" si="8"/>
        <v>150</v>
      </c>
      <c r="L68">
        <v>1</v>
      </c>
      <c r="M68">
        <f t="shared" si="9"/>
        <v>0</v>
      </c>
    </row>
    <row r="69" spans="1:13" x14ac:dyDescent="0.2">
      <c r="A69" s="3">
        <v>68</v>
      </c>
      <c r="B69" s="3">
        <v>12</v>
      </c>
      <c r="C69" s="3">
        <v>17</v>
      </c>
      <c r="D69" s="2">
        <f>LOOKUP(use_fish!B69,base_fish!A:A,base_fish!C:C)+_xlfn.IFNA(INDEX(activity!F:F,MATCH(use_fish!C69,activity!A:A,0)),0)</f>
        <v>180</v>
      </c>
      <c r="E69" s="2">
        <f t="shared" si="7"/>
        <v>5.5555555555555558E-3</v>
      </c>
      <c r="F69" s="2" t="s">
        <v>28</v>
      </c>
      <c r="G69" s="5" t="str">
        <f>INDEX(base_fish!E:E,MATCH(use_fish!B69,base_fish!A:A,0))&amp;_xlfn.IFNA("+"&amp;INDEX(activity!G:G,MATCH(use_fish!C69,activity!A:A,0)),"")</f>
        <v>锤头鲨+贝壳</v>
      </c>
      <c r="H69" s="2">
        <f>LOOKUP(use_fish!B69,base_fish!A:A,base_fish!F:F)+_xlfn.IFNA(INDEX(activity!F:F,MATCH(use_fish!C69,activity!A:A,0)),0)</f>
        <v>180</v>
      </c>
      <c r="I69">
        <v>1</v>
      </c>
      <c r="J69">
        <f>LOOKUP(use_fish!B69,base_fish!A:A,base_fish!G:G)</f>
        <v>0</v>
      </c>
      <c r="K69">
        <f t="shared" si="8"/>
        <v>180</v>
      </c>
      <c r="L69">
        <v>1</v>
      </c>
      <c r="M69">
        <f t="shared" si="9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7"/>
        <v>0.01</v>
      </c>
      <c r="F70" s="2" t="s">
        <v>28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LOOKUP(use_fish!B70,base_fish!A:A,base_fish!G:G)</f>
        <v>0</v>
      </c>
      <c r="K70">
        <f t="shared" si="8"/>
        <v>100</v>
      </c>
      <c r="L70">
        <v>1</v>
      </c>
      <c r="M70">
        <f t="shared" si="9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7"/>
        <v>0.01</v>
      </c>
      <c r="F71" s="2" t="s">
        <v>28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LOOKUP(use_fish!B71,base_fish!A:A,base_fish!G:G)</f>
        <v>0</v>
      </c>
      <c r="K71">
        <f t="shared" si="8"/>
        <v>100</v>
      </c>
      <c r="L71">
        <v>1</v>
      </c>
      <c r="M71">
        <f t="shared" si="9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7"/>
        <v>0.01</v>
      </c>
      <c r="F72" s="2" t="s">
        <v>28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LOOKUP(use_fish!B72,base_fish!A:A,base_fish!G:G)</f>
        <v>0</v>
      </c>
      <c r="K72">
        <f t="shared" si="8"/>
        <v>100</v>
      </c>
      <c r="L72">
        <v>1</v>
      </c>
      <c r="M72">
        <f t="shared" si="9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ref="E73:E79" si="10">1/D73</f>
        <v>6.993006993006993E-3</v>
      </c>
      <c r="F73" s="2" t="s">
        <v>28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LOOKUP(use_fish!B73,base_fish!A:A,base_fish!G:G)</f>
        <v>0</v>
      </c>
      <c r="K73">
        <f t="shared" si="8"/>
        <v>143</v>
      </c>
      <c r="L73">
        <v>1</v>
      </c>
      <c r="M73">
        <f t="shared" si="9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10"/>
        <v>6.993006993006993E-3</v>
      </c>
      <c r="F74" s="2" t="s">
        <v>28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LOOKUP(use_fish!B74,base_fish!A:A,base_fish!G:G)</f>
        <v>0</v>
      </c>
      <c r="K74">
        <f t="shared" si="8"/>
        <v>143</v>
      </c>
      <c r="L74">
        <v>1</v>
      </c>
      <c r="M74">
        <f t="shared" si="9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10"/>
        <v>7.6923076923076927E-3</v>
      </c>
      <c r="F75" s="2" t="s">
        <v>28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LOOKUP(use_fish!B75,base_fish!A:A,base_fish!G:G)</f>
        <v>0</v>
      </c>
      <c r="K75">
        <f t="shared" si="8"/>
        <v>130</v>
      </c>
      <c r="L75">
        <v>1</v>
      </c>
      <c r="M75">
        <f t="shared" si="9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10"/>
        <v>7.6923076923076927E-3</v>
      </c>
      <c r="F76" s="2" t="s">
        <v>28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LOOKUP(use_fish!B76,base_fish!A:A,base_fish!G:G)</f>
        <v>0</v>
      </c>
      <c r="K76">
        <f t="shared" si="8"/>
        <v>130</v>
      </c>
      <c r="L76">
        <v>1</v>
      </c>
      <c r="M76">
        <f t="shared" si="9"/>
        <v>0</v>
      </c>
    </row>
    <row r="77" spans="1:13" x14ac:dyDescent="0.2">
      <c r="A77" s="3">
        <v>76</v>
      </c>
      <c r="B77" s="3">
        <v>14</v>
      </c>
      <c r="C77" s="3">
        <v>17</v>
      </c>
      <c r="D77" s="2">
        <f>LOOKUP(use_fish!B77,base_fish!A:A,base_fish!C:C)+_xlfn.IFNA(INDEX(activity!F:F,MATCH(use_fish!C77,activity!A:A,0)),0)</f>
        <v>160</v>
      </c>
      <c r="E77" s="2">
        <f t="shared" si="10"/>
        <v>6.2500000000000003E-3</v>
      </c>
      <c r="F77" s="2" t="s">
        <v>28</v>
      </c>
      <c r="G77" s="5" t="str">
        <f>INDEX(base_fish!E:E,MATCH(use_fish!B77,base_fish!A:A,0))&amp;_xlfn.IFNA("+"&amp;INDEX(activity!G:G,MATCH(use_fish!C77,activity!A:A,0)),"")</f>
        <v>黄金海龟+贝壳</v>
      </c>
      <c r="H77" s="2">
        <f>LOOKUP(use_fish!B77,base_fish!A:A,base_fish!F:F)+_xlfn.IFNA(INDEX(activity!F:F,MATCH(use_fish!C77,activity!A:A,0)),0)</f>
        <v>160</v>
      </c>
      <c r="I77">
        <v>1</v>
      </c>
      <c r="J77">
        <f>LOOKUP(use_fish!B77,base_fish!A:A,base_fish!G:G)</f>
        <v>0</v>
      </c>
      <c r="K77">
        <f t="shared" si="8"/>
        <v>160</v>
      </c>
      <c r="L77">
        <v>1</v>
      </c>
      <c r="M77">
        <f t="shared" si="9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10"/>
        <v>1.2500000000000001E-2</v>
      </c>
      <c r="F78" s="2" t="s">
        <v>28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LOOKUP(use_fish!B78,base_fish!A:A,base_fish!G:G)</f>
        <v>0</v>
      </c>
      <c r="K78">
        <f t="shared" si="8"/>
        <v>80</v>
      </c>
      <c r="L78">
        <v>1</v>
      </c>
      <c r="M78">
        <f t="shared" si="9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10"/>
        <v>1.2500000000000001E-2</v>
      </c>
      <c r="F79" s="2" t="s">
        <v>28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LOOKUP(use_fish!B79,base_fish!A:A,base_fish!G:G)</f>
        <v>0</v>
      </c>
      <c r="K79">
        <f t="shared" si="8"/>
        <v>80</v>
      </c>
      <c r="L79">
        <v>1</v>
      </c>
      <c r="M79">
        <f t="shared" si="9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>1/D80</f>
        <v>1.2500000000000001E-2</v>
      </c>
      <c r="F80" s="2" t="s">
        <v>28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LOOKUP(use_fish!B80,base_fish!A:A,base_fish!G:G)</f>
        <v>0</v>
      </c>
      <c r="K80">
        <f t="shared" si="8"/>
        <v>80</v>
      </c>
      <c r="L80">
        <v>1</v>
      </c>
      <c r="M80">
        <f t="shared" si="9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>1/D81</f>
        <v>9.0909090909090905E-3</v>
      </c>
      <c r="F81" s="2" t="s">
        <v>28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LOOKUP(use_fish!B81,base_fish!A:A,base_fish!G:G)</f>
        <v>0</v>
      </c>
      <c r="K81">
        <f t="shared" si="8"/>
        <v>110</v>
      </c>
      <c r="L81">
        <v>1</v>
      </c>
      <c r="M81">
        <f t="shared" si="9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>1/D82</f>
        <v>0.01</v>
      </c>
      <c r="F82" s="2" t="s">
        <v>28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LOOKUP(use_fish!B82,base_fish!A:A,base_fish!G:G)</f>
        <v>0</v>
      </c>
      <c r="K82">
        <f t="shared" si="8"/>
        <v>100</v>
      </c>
      <c r="L82">
        <v>1</v>
      </c>
      <c r="M82">
        <f t="shared" si="9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ref="E83:E88" si="11">1/D83</f>
        <v>6.1349693251533744E-3</v>
      </c>
      <c r="F83" s="2" t="s">
        <v>28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LOOKUP(use_fish!B83,base_fish!A:A,base_fish!G:G)</f>
        <v>0</v>
      </c>
      <c r="K83">
        <f t="shared" si="8"/>
        <v>163</v>
      </c>
      <c r="L83">
        <v>1</v>
      </c>
      <c r="M83">
        <f t="shared" si="9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11"/>
        <v>6.1349693251533744E-3</v>
      </c>
      <c r="F84" s="2" t="s">
        <v>28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LOOKUP(use_fish!B84,base_fish!A:A,base_fish!G:G)</f>
        <v>0</v>
      </c>
      <c r="K84">
        <f t="shared" si="8"/>
        <v>163</v>
      </c>
      <c r="L84">
        <v>1</v>
      </c>
      <c r="M84">
        <f t="shared" si="9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11"/>
        <v>6.6666666666666671E-3</v>
      </c>
      <c r="F85" s="2" t="s">
        <v>28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LOOKUP(use_fish!B85,base_fish!A:A,base_fish!G:G)</f>
        <v>0</v>
      </c>
      <c r="K85">
        <f t="shared" si="8"/>
        <v>150</v>
      </c>
      <c r="L85">
        <v>1</v>
      </c>
      <c r="M85">
        <f t="shared" si="9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11"/>
        <v>6.6666666666666671E-3</v>
      </c>
      <c r="F86" s="2" t="s">
        <v>28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LOOKUP(use_fish!B86,base_fish!A:A,base_fish!G:G)</f>
        <v>0</v>
      </c>
      <c r="K86">
        <f t="shared" si="8"/>
        <v>150</v>
      </c>
      <c r="L86">
        <v>1</v>
      </c>
      <c r="M86">
        <f t="shared" si="9"/>
        <v>0</v>
      </c>
    </row>
    <row r="87" spans="1:13" x14ac:dyDescent="0.2">
      <c r="A87" s="3">
        <v>86</v>
      </c>
      <c r="B87" s="3">
        <v>15</v>
      </c>
      <c r="C87" s="3">
        <v>17</v>
      </c>
      <c r="D87" s="2">
        <f>LOOKUP(use_fish!B87,base_fish!A:A,base_fish!C:C)+_xlfn.IFNA(INDEX(activity!F:F,MATCH(use_fish!C87,activity!A:A,0)),0)</f>
        <v>180</v>
      </c>
      <c r="E87" s="2">
        <f t="shared" si="11"/>
        <v>5.5555555555555558E-3</v>
      </c>
      <c r="F87" s="2" t="s">
        <v>28</v>
      </c>
      <c r="G87" s="5" t="str">
        <f>INDEX(base_fish!E:E,MATCH(use_fish!B87,base_fish!A:A,0))&amp;_xlfn.IFNA("+"&amp;INDEX(activity!G:G,MATCH(use_fish!C87,activity!A:A,0)),"")</f>
        <v>黄金灯笼鱼+贝壳</v>
      </c>
      <c r="H87" s="2">
        <f>LOOKUP(use_fish!B87,base_fish!A:A,base_fish!F:F)+_xlfn.IFNA(INDEX(activity!F:F,MATCH(use_fish!C87,activity!A:A,0)),0)</f>
        <v>180</v>
      </c>
      <c r="I87">
        <v>1</v>
      </c>
      <c r="J87">
        <f>LOOKUP(use_fish!B87,base_fish!A:A,base_fish!G:G)</f>
        <v>0</v>
      </c>
      <c r="K87">
        <f t="shared" si="8"/>
        <v>180</v>
      </c>
      <c r="L87">
        <v>1</v>
      </c>
      <c r="M87">
        <f t="shared" si="9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11"/>
        <v>0.01</v>
      </c>
      <c r="F88" s="2" t="s">
        <v>28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LOOKUP(use_fish!B88,base_fish!A:A,base_fish!G:G)</f>
        <v>0</v>
      </c>
      <c r="K88">
        <f t="shared" si="8"/>
        <v>100</v>
      </c>
      <c r="L88">
        <v>1</v>
      </c>
      <c r="M88">
        <f t="shared" si="9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>1/D89</f>
        <v>0.01</v>
      </c>
      <c r="F89" s="2" t="s">
        <v>28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LOOKUP(use_fish!B89,base_fish!A:A,base_fish!G:G)</f>
        <v>0</v>
      </c>
      <c r="K89">
        <f t="shared" si="8"/>
        <v>100</v>
      </c>
      <c r="L89">
        <v>1</v>
      </c>
      <c r="M89">
        <f t="shared" si="9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>1/D90</f>
        <v>0.01</v>
      </c>
      <c r="F90" s="2" t="s">
        <v>28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LOOKUP(use_fish!B90,base_fish!A:A,base_fish!G:G)</f>
        <v>0</v>
      </c>
      <c r="K90">
        <f t="shared" si="8"/>
        <v>100</v>
      </c>
      <c r="L90">
        <v>1</v>
      </c>
      <c r="M90">
        <f t="shared" si="9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>1/D91</f>
        <v>7.6923076923076927E-3</v>
      </c>
      <c r="F91" s="2" t="s">
        <v>28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LOOKUP(use_fish!B91,base_fish!A:A,base_fish!G:G)</f>
        <v>0</v>
      </c>
      <c r="K91">
        <f t="shared" si="8"/>
        <v>130</v>
      </c>
      <c r="L91">
        <v>1</v>
      </c>
      <c r="M91">
        <f t="shared" si="9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>1/D92</f>
        <v>8.3333333333333332E-3</v>
      </c>
      <c r="F92" s="2" t="s">
        <v>28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LOOKUP(use_fish!B92,base_fish!A:A,base_fish!G:G)</f>
        <v>0</v>
      </c>
      <c r="K92">
        <f t="shared" si="8"/>
        <v>120</v>
      </c>
      <c r="L92">
        <v>1</v>
      </c>
      <c r="M92">
        <f t="shared" si="9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ref="E93:E99" si="12">1/D93</f>
        <v>5.4644808743169399E-3</v>
      </c>
      <c r="F93" s="2" t="s">
        <v>28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LOOKUP(use_fish!B93,base_fish!A:A,base_fish!G:G)</f>
        <v>0</v>
      </c>
      <c r="K93">
        <f t="shared" si="8"/>
        <v>183</v>
      </c>
      <c r="L93">
        <v>1</v>
      </c>
      <c r="M93">
        <f t="shared" si="9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12"/>
        <v>5.4644808743169399E-3</v>
      </c>
      <c r="F94" s="2" t="s">
        <v>28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LOOKUP(use_fish!B94,base_fish!A:A,base_fish!G:G)</f>
        <v>0</v>
      </c>
      <c r="K94">
        <f t="shared" si="8"/>
        <v>183</v>
      </c>
      <c r="L94">
        <v>1</v>
      </c>
      <c r="M94">
        <f t="shared" si="9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12"/>
        <v>5.8823529411764705E-3</v>
      </c>
      <c r="F95" s="2" t="s">
        <v>28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LOOKUP(use_fish!B95,base_fish!A:A,base_fish!G:G)</f>
        <v>0</v>
      </c>
      <c r="K95">
        <f t="shared" si="8"/>
        <v>170</v>
      </c>
      <c r="L95">
        <v>1</v>
      </c>
      <c r="M95">
        <f t="shared" si="9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12"/>
        <v>5.8823529411764705E-3</v>
      </c>
      <c r="F96" s="2" t="s">
        <v>28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LOOKUP(use_fish!B96,base_fish!A:A,base_fish!G:G)</f>
        <v>0</v>
      </c>
      <c r="K96">
        <f t="shared" si="8"/>
        <v>170</v>
      </c>
      <c r="L96">
        <v>1</v>
      </c>
      <c r="M96">
        <f t="shared" si="9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12"/>
        <v>5.8823529411764705E-3</v>
      </c>
      <c r="F97" s="2" t="s">
        <v>28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LOOKUP(use_fish!B97,base_fish!A:A,base_fish!G:G)</f>
        <v>0</v>
      </c>
      <c r="K97">
        <f t="shared" si="8"/>
        <v>170</v>
      </c>
      <c r="L97">
        <v>1</v>
      </c>
      <c r="M97">
        <f t="shared" si="9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12"/>
        <v>8.3333333333333332E-3</v>
      </c>
      <c r="F98" s="2" t="s">
        <v>28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LOOKUP(use_fish!B98,base_fish!A:A,base_fish!G:G)</f>
        <v>0</v>
      </c>
      <c r="K98">
        <f t="shared" si="8"/>
        <v>120</v>
      </c>
      <c r="L98">
        <v>1</v>
      </c>
      <c r="M98">
        <f t="shared" si="9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12"/>
        <v>8.3333333333333332E-3</v>
      </c>
      <c r="F99" s="2" t="s">
        <v>28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LOOKUP(use_fish!B99,base_fish!A:A,base_fish!G:G)</f>
        <v>0</v>
      </c>
      <c r="K99">
        <f t="shared" si="8"/>
        <v>120</v>
      </c>
      <c r="L99">
        <v>1</v>
      </c>
      <c r="M99">
        <f t="shared" si="9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>1/D100</f>
        <v>8.3333333333333332E-3</v>
      </c>
      <c r="F100" s="2" t="s">
        <v>28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LOOKUP(use_fish!B100,base_fish!A:A,base_fish!G:G)</f>
        <v>0</v>
      </c>
      <c r="K100">
        <f t="shared" si="8"/>
        <v>120</v>
      </c>
      <c r="L100">
        <v>1</v>
      </c>
      <c r="M100">
        <f t="shared" si="9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>1/D101</f>
        <v>6.6666666666666671E-3</v>
      </c>
      <c r="F101" s="2" t="s">
        <v>28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LOOKUP(use_fish!B101,base_fish!A:A,base_fish!G:G)</f>
        <v>0</v>
      </c>
      <c r="K101">
        <f t="shared" si="8"/>
        <v>150</v>
      </c>
      <c r="L101">
        <v>1</v>
      </c>
      <c r="M101">
        <f t="shared" si="9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>1/D102</f>
        <v>7.1428571428571426E-3</v>
      </c>
      <c r="F102" s="2" t="s">
        <v>28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LOOKUP(use_fish!B102,base_fish!A:A,base_fish!G:G)</f>
        <v>0</v>
      </c>
      <c r="K102">
        <f t="shared" si="8"/>
        <v>140</v>
      </c>
      <c r="L102">
        <v>1</v>
      </c>
      <c r="M102">
        <f t="shared" si="9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ref="E103:E112" si="13">1/D103</f>
        <v>0.16666666666666666</v>
      </c>
      <c r="F103" s="2" t="s">
        <v>28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LOOKUP(use_fish!B103,base_fish!A:A,base_fish!G:G)</f>
        <v>0</v>
      </c>
      <c r="K103">
        <f t="shared" si="8"/>
        <v>6</v>
      </c>
      <c r="L103">
        <v>1</v>
      </c>
      <c r="M103">
        <f t="shared" si="9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13"/>
        <v>0.1111111111111111</v>
      </c>
      <c r="F104" s="2" t="s">
        <v>28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LOOKUP(use_fish!B104,base_fish!A:A,base_fish!G:G)</f>
        <v>0</v>
      </c>
      <c r="K104">
        <f t="shared" si="8"/>
        <v>9</v>
      </c>
      <c r="L104">
        <v>1</v>
      </c>
      <c r="M104">
        <f t="shared" si="9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13"/>
        <v>6.25E-2</v>
      </c>
      <c r="F105" s="2" t="s">
        <v>28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LOOKUP(use_fish!B105,base_fish!A:A,base_fish!G:G)</f>
        <v>0</v>
      </c>
      <c r="K105">
        <f t="shared" si="8"/>
        <v>16</v>
      </c>
      <c r="L105">
        <v>1</v>
      </c>
      <c r="M105">
        <f t="shared" si="9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13"/>
        <v>4.7619047619047616E-2</v>
      </c>
      <c r="F106" s="2" t="s">
        <v>28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LOOKUP(use_fish!B106,base_fish!A:A,base_fish!G:G)</f>
        <v>0</v>
      </c>
      <c r="K106">
        <f t="shared" si="8"/>
        <v>21</v>
      </c>
      <c r="L106">
        <v>1</v>
      </c>
      <c r="M106">
        <f t="shared" si="9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13"/>
        <v>3.2258064516129031E-2</v>
      </c>
      <c r="F107" s="2" t="s">
        <v>28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LOOKUP(use_fish!B107,base_fish!A:A,base_fish!G:G)</f>
        <v>0</v>
      </c>
      <c r="K107">
        <f t="shared" si="8"/>
        <v>31</v>
      </c>
      <c r="L107">
        <v>1</v>
      </c>
      <c r="M107">
        <f t="shared" si="9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13"/>
        <v>2.4390243902439025E-2</v>
      </c>
      <c r="F108" s="2" t="s">
        <v>28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LOOKUP(use_fish!B108,base_fish!A:A,base_fish!G:G)</f>
        <v>0</v>
      </c>
      <c r="K108">
        <f t="shared" si="8"/>
        <v>41</v>
      </c>
      <c r="L108">
        <v>1</v>
      </c>
      <c r="M108">
        <f t="shared" si="9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13"/>
        <v>1.9607843137254902E-2</v>
      </c>
      <c r="F109" s="2" t="s">
        <v>28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LOOKUP(use_fish!B109,base_fish!A:A,base_fish!G:G)</f>
        <v>0</v>
      </c>
      <c r="K109">
        <f t="shared" si="8"/>
        <v>51</v>
      </c>
      <c r="L109">
        <v>1</v>
      </c>
      <c r="M109">
        <f t="shared" si="9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13"/>
        <v>1.6393442622950821E-2</v>
      </c>
      <c r="F110" s="2" t="s">
        <v>28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LOOKUP(use_fish!B110,base_fish!A:A,base_fish!G:G)</f>
        <v>0</v>
      </c>
      <c r="K110">
        <f t="shared" si="8"/>
        <v>61</v>
      </c>
      <c r="L110">
        <v>1</v>
      </c>
      <c r="M110">
        <f t="shared" si="9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13"/>
        <v>0.16666666666666666</v>
      </c>
      <c r="F111" s="2" t="s">
        <v>28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LOOKUP(use_fish!B111,base_fish!A:A,base_fish!G:G)</f>
        <v>0</v>
      </c>
      <c r="K111">
        <f t="shared" si="8"/>
        <v>6</v>
      </c>
      <c r="L111">
        <v>1</v>
      </c>
      <c r="M111">
        <f t="shared" si="9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13"/>
        <v>0.1111111111111111</v>
      </c>
      <c r="F112" s="2" t="s">
        <v>28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LOOKUP(use_fish!B112,base_fish!A:A,base_fish!G:G)</f>
        <v>0</v>
      </c>
      <c r="K112">
        <f t="shared" si="8"/>
        <v>9</v>
      </c>
      <c r="L112">
        <v>1</v>
      </c>
      <c r="M112">
        <f t="shared" si="9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ref="E113:E118" si="14">1/D113</f>
        <v>6.25E-2</v>
      </c>
      <c r="F113" s="2" t="s">
        <v>28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LOOKUP(use_fish!B113,base_fish!A:A,base_fish!G:G)</f>
        <v>0</v>
      </c>
      <c r="K113">
        <f t="shared" si="8"/>
        <v>16</v>
      </c>
      <c r="L113">
        <v>1</v>
      </c>
      <c r="M113">
        <f t="shared" si="9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14"/>
        <v>4.7619047619047616E-2</v>
      </c>
      <c r="F114" s="2" t="s">
        <v>28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LOOKUP(use_fish!B114,base_fish!A:A,base_fish!G:G)</f>
        <v>0</v>
      </c>
      <c r="K114">
        <f t="shared" si="8"/>
        <v>21</v>
      </c>
      <c r="L114">
        <v>1</v>
      </c>
      <c r="M114">
        <f t="shared" si="9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14"/>
        <v>3.2258064516129031E-2</v>
      </c>
      <c r="F115" s="2" t="s">
        <v>28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LOOKUP(use_fish!B115,base_fish!A:A,base_fish!G:G)</f>
        <v>0</v>
      </c>
      <c r="K115">
        <f t="shared" si="8"/>
        <v>31</v>
      </c>
      <c r="L115">
        <v>1</v>
      </c>
      <c r="M115">
        <f t="shared" si="9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14"/>
        <v>2.4390243902439025E-2</v>
      </c>
      <c r="F116" s="2" t="s">
        <v>28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LOOKUP(use_fish!B116,base_fish!A:A,base_fish!G:G)</f>
        <v>0</v>
      </c>
      <c r="K116">
        <f>H116</f>
        <v>41</v>
      </c>
      <c r="L116">
        <v>1</v>
      </c>
      <c r="M116">
        <f t="shared" si="9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14"/>
        <v>1.9607843137254902E-2</v>
      </c>
      <c r="F117" s="2" t="s">
        <v>28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LOOKUP(use_fish!B117,base_fish!A:A,base_fish!G:G)</f>
        <v>0</v>
      </c>
      <c r="K117">
        <f t="shared" si="8"/>
        <v>51</v>
      </c>
      <c r="L117">
        <v>1</v>
      </c>
      <c r="M117">
        <f t="shared" si="9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14"/>
        <v>1.6393442622950821E-2</v>
      </c>
      <c r="F118" s="2" t="s">
        <v>28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LOOKUP(use_fish!B118,base_fish!A:A,base_fish!G:G)</f>
        <v>0</v>
      </c>
      <c r="K118">
        <f t="shared" si="8"/>
        <v>61</v>
      </c>
      <c r="L118">
        <v>1</v>
      </c>
      <c r="M118">
        <f t="shared" si="9"/>
        <v>0</v>
      </c>
    </row>
    <row r="119" spans="1:13" x14ac:dyDescent="0.2">
      <c r="A119" s="3">
        <v>118</v>
      </c>
      <c r="B119" s="3">
        <v>19</v>
      </c>
      <c r="C119" s="3">
        <v>1</v>
      </c>
      <c r="D119">
        <v>500000</v>
      </c>
      <c r="E119" s="2">
        <f t="shared" ref="E119:E122" si="15">1/D119</f>
        <v>1.9999999999999999E-6</v>
      </c>
      <c r="F119" s="2" t="s">
        <v>289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v>0</v>
      </c>
      <c r="I119">
        <v>3</v>
      </c>
      <c r="J119">
        <f>LOOKUP(use_fish!B119,base_fish!A:A,base_fish!G:G)</f>
        <v>0</v>
      </c>
      <c r="K119">
        <f t="shared" si="8"/>
        <v>0</v>
      </c>
      <c r="L119">
        <v>1</v>
      </c>
      <c r="M119">
        <f t="shared" si="9"/>
        <v>0</v>
      </c>
    </row>
    <row r="120" spans="1:13" x14ac:dyDescent="0.2">
      <c r="A120" s="3">
        <v>119</v>
      </c>
      <c r="B120" s="3">
        <v>19</v>
      </c>
      <c r="C120" s="3">
        <v>2</v>
      </c>
      <c r="D120">
        <v>5000000</v>
      </c>
      <c r="E120" s="2">
        <f t="shared" si="15"/>
        <v>1.9999999999999999E-7</v>
      </c>
      <c r="F120" s="2" t="s">
        <v>289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v>0</v>
      </c>
      <c r="I120">
        <v>3</v>
      </c>
      <c r="J120">
        <f>LOOKUP(use_fish!B120,base_fish!A:A,base_fish!G:G)</f>
        <v>0</v>
      </c>
      <c r="K120">
        <f t="shared" si="8"/>
        <v>0</v>
      </c>
      <c r="L120">
        <v>1</v>
      </c>
      <c r="M120">
        <f t="shared" si="9"/>
        <v>0</v>
      </c>
    </row>
    <row r="121" spans="1:13" x14ac:dyDescent="0.2">
      <c r="A121" s="3">
        <v>120</v>
      </c>
      <c r="B121" s="3">
        <v>19</v>
      </c>
      <c r="C121" s="3">
        <v>3</v>
      </c>
      <c r="D121">
        <v>50000000</v>
      </c>
      <c r="E121" s="2">
        <f t="shared" si="15"/>
        <v>2E-8</v>
      </c>
      <c r="F121" s="2" t="s">
        <v>289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v>0</v>
      </c>
      <c r="I121">
        <v>3</v>
      </c>
      <c r="J121">
        <f>LOOKUP(use_fish!B121,base_fish!A:A,base_fish!G:G)</f>
        <v>0</v>
      </c>
      <c r="K121">
        <f t="shared" si="8"/>
        <v>0</v>
      </c>
      <c r="L121">
        <v>1</v>
      </c>
      <c r="M121">
        <f t="shared" si="9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LOOKUP(use_fish!B122,base_fish!A:A,base_fish!C:C)+_xlfn.IFNA(INDEX(activity!F:F,MATCH(use_fish!C122,activity!A:A,0)),0)</f>
        <v>500</v>
      </c>
      <c r="E122" s="2">
        <f t="shared" si="15"/>
        <v>2E-3</v>
      </c>
      <c r="F122" s="2" t="s">
        <v>28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LOOKUP(use_fish!B122,base_fish!A:A,base_fish!F:F)+_xlfn.IFNA(INDEX(activity!F:F,MATCH(use_fish!C122,activity!A:A,0)),0)</f>
        <v>500</v>
      </c>
      <c r="I122">
        <v>1</v>
      </c>
      <c r="J122">
        <f>LOOKUP(use_fish!B122,base_fish!A:A,base_fish!G:G)</f>
        <v>0</v>
      </c>
      <c r="K122">
        <f t="shared" si="8"/>
        <v>500</v>
      </c>
      <c r="L122">
        <v>1</v>
      </c>
      <c r="M122">
        <v>1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28</v>
      </c>
      <c r="G123" t="s">
        <v>295</v>
      </c>
      <c r="H123" s="2">
        <v>0</v>
      </c>
      <c r="I123" s="2">
        <v>3</v>
      </c>
      <c r="J123" s="2">
        <v>0</v>
      </c>
      <c r="K123" s="2">
        <v>0</v>
      </c>
      <c r="L123">
        <v>1</v>
      </c>
      <c r="M123">
        <f t="shared" si="9"/>
        <v>0</v>
      </c>
    </row>
    <row r="124" spans="1:13" x14ac:dyDescent="0.2">
      <c r="A124" s="3">
        <v>123</v>
      </c>
      <c r="B124" s="3">
        <v>28</v>
      </c>
      <c r="C124" s="3"/>
      <c r="D124" s="2" t="s">
        <v>366</v>
      </c>
      <c r="E124" s="2" t="s">
        <v>369</v>
      </c>
      <c r="F124" s="2" t="s">
        <v>28</v>
      </c>
      <c r="G124" t="s">
        <v>339</v>
      </c>
      <c r="H124" s="2" t="s">
        <v>368</v>
      </c>
      <c r="I124" s="2">
        <v>1</v>
      </c>
      <c r="J124" s="2">
        <v>0</v>
      </c>
      <c r="K124" s="2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1</v>
      </c>
      <c r="C125" s="3">
        <v>19</v>
      </c>
      <c r="D125" s="2">
        <f>LOOKUP(use_fish!B125,base_fish!A:A,base_fish!C:C)+_xlfn.IFNA(INDEX(activity!F:F,MATCH(use_fish!C125,activity!A:A,0)),0)</f>
        <v>151</v>
      </c>
      <c r="E125" s="2">
        <f t="shared" ref="E125:E136" si="16">1/D125</f>
        <v>6.6225165562913907E-3</v>
      </c>
      <c r="F125" s="2" t="s">
        <v>28</v>
      </c>
      <c r="G125" s="5" t="str">
        <f>INDEX(base_fish!E:E,MATCH(use_fish!B125,base_fish!A:A,0))&amp;_xlfn.IFNA("+"&amp;INDEX(activity!G:G,MATCH(use_fish!C125,activity!A:A,0)),"")</f>
        <v>小黄鱼+钻头弹</v>
      </c>
      <c r="H125" s="2">
        <f>LOOKUP(use_fish!B125,base_fish!A:A,base_fish!F:F)+_xlfn.IFNA(INDEX(activity!F:F,MATCH(use_fish!C125,activity!A:A,0)),0)</f>
        <v>151</v>
      </c>
      <c r="I125">
        <v>1</v>
      </c>
      <c r="J125">
        <f>LOOKUP(use_fish!B125,base_fish!A:A,base_fish!G:G)</f>
        <v>0</v>
      </c>
      <c r="K125">
        <f t="shared" ref="K125:K136" si="17">H125</f>
        <v>151</v>
      </c>
      <c r="L125">
        <v>1</v>
      </c>
      <c r="M125">
        <v>1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200</v>
      </c>
      <c r="E126" s="2">
        <f t="shared" si="16"/>
        <v>5.0000000000000001E-3</v>
      </c>
      <c r="F126" s="2" t="s">
        <v>28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200</v>
      </c>
      <c r="I126">
        <v>1</v>
      </c>
      <c r="J126">
        <f>LOOKUP(use_fish!B126,base_fish!A:A,base_fish!G:G)</f>
        <v>0</v>
      </c>
      <c r="K126">
        <f t="shared" si="17"/>
        <v>200</v>
      </c>
      <c r="L126">
        <v>1</v>
      </c>
      <c r="M126">
        <v>1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210</v>
      </c>
      <c r="E127" s="2">
        <f t="shared" si="16"/>
        <v>4.7619047619047623E-3</v>
      </c>
      <c r="F127" s="2" t="s">
        <v>28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210</v>
      </c>
      <c r="I127">
        <v>1</v>
      </c>
      <c r="J127">
        <f>LOOKUP(use_fish!B127,base_fish!A:A,base_fish!G:G)</f>
        <v>0</v>
      </c>
      <c r="K127">
        <f t="shared" si="17"/>
        <v>210</v>
      </c>
      <c r="L127">
        <v>1</v>
      </c>
      <c r="M127">
        <v>1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220</v>
      </c>
      <c r="E128" s="2">
        <f t="shared" si="16"/>
        <v>4.5454545454545452E-3</v>
      </c>
      <c r="F128" s="2" t="s">
        <v>28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220</v>
      </c>
      <c r="I128">
        <v>1</v>
      </c>
      <c r="J128">
        <f>LOOKUP(use_fish!B128,base_fish!A:A,base_fish!G:G)</f>
        <v>0</v>
      </c>
      <c r="K128">
        <f t="shared" si="17"/>
        <v>220</v>
      </c>
      <c r="L128">
        <v>1</v>
      </c>
      <c r="M128">
        <v>1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250</v>
      </c>
      <c r="E129" s="2">
        <f t="shared" si="16"/>
        <v>4.0000000000000001E-3</v>
      </c>
      <c r="F129" s="2" t="s">
        <v>28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250</v>
      </c>
      <c r="I129">
        <v>1</v>
      </c>
      <c r="J129">
        <f>LOOKUP(use_fish!B129,base_fish!A:A,base_fish!G:G)</f>
        <v>0</v>
      </c>
      <c r="K129">
        <f t="shared" si="17"/>
        <v>250</v>
      </c>
      <c r="L129">
        <v>1</v>
      </c>
      <c r="M129">
        <v>1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6"/>
        <v>1.2048192771084338E-2</v>
      </c>
      <c r="F130" s="2" t="s">
        <v>28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LOOKUP(use_fish!B130,base_fish!A:A,base_fish!G:G)</f>
        <v>0</v>
      </c>
      <c r="K130">
        <f t="shared" si="17"/>
        <v>83</v>
      </c>
      <c r="L130">
        <v>1</v>
      </c>
      <c r="M130"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6"/>
        <v>1.0752688172043012E-2</v>
      </c>
      <c r="F131" s="2" t="s">
        <v>28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LOOKUP(use_fish!B131,base_fish!A:A,base_fish!G:G)</f>
        <v>0</v>
      </c>
      <c r="K131">
        <f t="shared" si="17"/>
        <v>93</v>
      </c>
      <c r="L131">
        <v>1</v>
      </c>
      <c r="M131"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6"/>
        <v>9.7087378640776691E-3</v>
      </c>
      <c r="F132" s="2" t="s">
        <v>28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LOOKUP(use_fish!B132,base_fish!A:A,base_fish!G:G)</f>
        <v>0</v>
      </c>
      <c r="K132">
        <f t="shared" si="17"/>
        <v>103</v>
      </c>
      <c r="L132">
        <v>1</v>
      </c>
      <c r="M132"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6"/>
        <v>8.8495575221238937E-3</v>
      </c>
      <c r="F133" s="2" t="s">
        <v>28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LOOKUP(use_fish!B133,base_fish!A:A,base_fish!G:G)</f>
        <v>0</v>
      </c>
      <c r="K133">
        <f t="shared" si="17"/>
        <v>113</v>
      </c>
      <c r="L133">
        <v>1</v>
      </c>
      <c r="M133"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6"/>
        <v>8.130081300813009E-3</v>
      </c>
      <c r="F134" s="2" t="s">
        <v>28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LOOKUP(use_fish!B134,base_fish!A:A,base_fish!G:G)</f>
        <v>0</v>
      </c>
      <c r="K134">
        <f t="shared" si="17"/>
        <v>123</v>
      </c>
      <c r="L134">
        <v>1</v>
      </c>
      <c r="M134"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6"/>
        <v>7.5187969924812026E-3</v>
      </c>
      <c r="F135" s="2" t="s">
        <v>28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LOOKUP(use_fish!B135,base_fish!A:A,base_fish!G:G)</f>
        <v>0</v>
      </c>
      <c r="K135">
        <f t="shared" si="17"/>
        <v>133</v>
      </c>
      <c r="L135">
        <v>1</v>
      </c>
      <c r="M135"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6"/>
        <v>6.1349693251533744E-3</v>
      </c>
      <c r="F136" s="2" t="s">
        <v>28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LOOKUP(use_fish!B136,base_fish!A:A,base_fish!G:G)</f>
        <v>0</v>
      </c>
      <c r="K136">
        <f t="shared" si="17"/>
        <v>163</v>
      </c>
      <c r="L136">
        <v>1</v>
      </c>
      <c r="M136"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ref="E137:E143" si="18">1/D137</f>
        <v>2.5000000000000001E-2</v>
      </c>
      <c r="F137" s="2" t="s">
        <v>28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LOOKUP(use_fish!B137,base_fish!A:A,base_fish!G:G)</f>
        <v>0</v>
      </c>
      <c r="K137">
        <f t="shared" ref="K137:K141" si="19">H137</f>
        <v>40</v>
      </c>
      <c r="L137">
        <v>1</v>
      </c>
      <c r="M137">
        <v>1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8"/>
        <v>0.02</v>
      </c>
      <c r="F138" s="2" t="s">
        <v>28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LOOKUP(use_fish!B138,base_fish!A:A,base_fish!G:G)</f>
        <v>0</v>
      </c>
      <c r="K138">
        <f t="shared" si="19"/>
        <v>50</v>
      </c>
      <c r="L138">
        <v>1</v>
      </c>
      <c r="M138">
        <v>1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8"/>
        <v>1.6666666666666666E-2</v>
      </c>
      <c r="F139" s="2" t="s">
        <v>28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LOOKUP(use_fish!B139,base_fish!A:A,base_fish!G:G)</f>
        <v>0</v>
      </c>
      <c r="K139">
        <f t="shared" si="19"/>
        <v>60</v>
      </c>
      <c r="L139">
        <v>1</v>
      </c>
      <c r="M139">
        <v>1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8"/>
        <v>1.4285714285714285E-2</v>
      </c>
      <c r="F140" s="2" t="s">
        <v>28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LOOKUP(use_fish!B140,base_fish!A:A,base_fish!G:G)</f>
        <v>0</v>
      </c>
      <c r="K140">
        <f t="shared" si="19"/>
        <v>70</v>
      </c>
      <c r="L140">
        <v>1</v>
      </c>
      <c r="M140">
        <v>1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8"/>
        <v>0.01</v>
      </c>
      <c r="F141" s="2" t="s">
        <v>28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LOOKUP(use_fish!B141,base_fish!A:A,base_fish!G:G)</f>
        <v>0</v>
      </c>
      <c r="K141">
        <f t="shared" si="19"/>
        <v>100</v>
      </c>
      <c r="L141">
        <v>1</v>
      </c>
      <c r="M141">
        <v>1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f>LOOKUP(use_fish!B142,base_fish!A:A,base_fish!C:C)+_xlfn.IFNA(INDEX(activity!F:F,MATCH(use_fish!C142,activity!A:A,0)),0)</f>
        <v>75</v>
      </c>
      <c r="E142" s="2">
        <f t="shared" si="18"/>
        <v>1.3333333333333334E-2</v>
      </c>
      <c r="F142" s="2" t="s">
        <v>28</v>
      </c>
      <c r="G142" s="5" t="str">
        <f>INDEX(base_fish!E:E,MATCH(use_fish!B142,base_fish!A:A,0))&amp;_xlfn.IFNA("+"&amp;INDEX(activity!G:G,MATCH(use_fish!C142,activity!A:A,0)),"")</f>
        <v>财神+财神</v>
      </c>
      <c r="H142" s="2">
        <f>LOOKUP(use_fish!B142,base_fish!A:A,base_fish!F:F)+_xlfn.IFNA(INDEX(activity!F:F,MATCH(use_fish!C142,activity!A:A,0)),0)</f>
        <v>75</v>
      </c>
      <c r="I142">
        <v>1</v>
      </c>
      <c r="J142">
        <f>LOOKUP(use_fish!B142,base_fish!A:A,base_fish!G:G)</f>
        <v>0</v>
      </c>
      <c r="K142">
        <v>50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f>LOOKUP(use_fish!B143,base_fish!A:A,base_fish!C:C)+_xlfn.IFNA(INDEX(activity!F:F,MATCH(use_fish!C143,activity!A:A,0)),0)</f>
        <v>175</v>
      </c>
      <c r="E143" s="2">
        <f t="shared" si="18"/>
        <v>5.7142857142857143E-3</v>
      </c>
      <c r="F143" s="2" t="s">
        <v>28</v>
      </c>
      <c r="G143" s="5" t="str">
        <f>INDEX(base_fish!E:E,MATCH(use_fish!B143,base_fish!A:A,0))&amp;_xlfn.IFNA("+"&amp;INDEX(activity!G:G,MATCH(use_fish!C143,activity!A:A,0)),"")</f>
        <v>财神+财神</v>
      </c>
      <c r="H143" s="2">
        <f>LOOKUP(use_fish!B143,base_fish!A:A,base_fish!F:F)+_xlfn.IFNA(INDEX(activity!F:F,MATCH(use_fish!C143,activity!A:A,0)),0)</f>
        <v>175</v>
      </c>
      <c r="I143">
        <v>1</v>
      </c>
      <c r="J143">
        <f>LOOKUP(use_fish!B143,base_fish!A:A,base_fish!G:G)</f>
        <v>0</v>
      </c>
      <c r="K143">
        <v>50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f>LOOKUP(use_fish!B144,base_fish!A:A,base_fish!C:C)+_xlfn.IFNA(INDEX(activity!F:F,MATCH(use_fish!C144,activity!A:A,0)),0)</f>
        <v>275</v>
      </c>
      <c r="E144" s="2">
        <f t="shared" ref="E144:E145" si="20">1/D144</f>
        <v>3.6363636363636364E-3</v>
      </c>
      <c r="F144" s="2" t="s">
        <v>28</v>
      </c>
      <c r="G144" s="5" t="str">
        <f>INDEX(base_fish!E:E,MATCH(use_fish!B144,base_fish!A:A,0))&amp;_xlfn.IFNA("+"&amp;INDEX(activity!G:G,MATCH(use_fish!C144,activity!A:A,0)),"")</f>
        <v>财神+财神</v>
      </c>
      <c r="H144" s="2">
        <f>LOOKUP(use_fish!B144,base_fish!A:A,base_fish!F:F)+_xlfn.IFNA(INDEX(activity!F:F,MATCH(use_fish!C144,activity!A:A,0)),0)</f>
        <v>275</v>
      </c>
      <c r="I144">
        <v>1</v>
      </c>
      <c r="J144">
        <f>LOOKUP(use_fish!B144,base_fish!A:A,base_fish!G:G)</f>
        <v>0</v>
      </c>
      <c r="K144">
        <v>50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f>LOOKUP(use_fish!B145,base_fish!A:A,base_fish!C:C)+_xlfn.IFNA(INDEX(activity!F:F,MATCH(use_fish!C145,activity!A:A,0)),0)</f>
        <v>425</v>
      </c>
      <c r="E145" s="2">
        <f t="shared" si="20"/>
        <v>2.352941176470588E-3</v>
      </c>
      <c r="F145" s="2" t="s">
        <v>28</v>
      </c>
      <c r="G145" s="5" t="str">
        <f>INDEX(base_fish!E:E,MATCH(use_fish!B145,base_fish!A:A,0))&amp;_xlfn.IFNA("+"&amp;INDEX(activity!G:G,MATCH(use_fish!C145,activity!A:A,0)),"")</f>
        <v>财神+财神</v>
      </c>
      <c r="H145" s="2">
        <f>LOOKUP(use_fish!B145,base_fish!A:A,base_fish!F:F)+_xlfn.IFNA(INDEX(activity!F:F,MATCH(use_fish!C145,activity!A:A,0)),0)</f>
        <v>425</v>
      </c>
      <c r="I145">
        <v>1</v>
      </c>
      <c r="J145">
        <f>LOOKUP(use_fish!B145,base_fish!A:A,base_fish!G:G)</f>
        <v>0</v>
      </c>
      <c r="K145">
        <v>50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f>LOOKUP(use_fish!B146,base_fish!A:A,base_fish!C:C)+_xlfn.IFNA(INDEX(activity!F:F,MATCH(use_fish!C146,activity!A:A,0)),0)</f>
        <v>75</v>
      </c>
      <c r="E146" s="2">
        <f t="shared" ref="E146:E157" si="21">1/D146</f>
        <v>1.3333333333333334E-2</v>
      </c>
      <c r="F146" s="2" t="s">
        <v>28</v>
      </c>
      <c r="G146" s="5" t="str">
        <f>INDEX(base_fish!E:E,MATCH(use_fish!B146,base_fish!A:A,0))&amp;_xlfn.IFNA("+"&amp;INDEX(activity!G:G,MATCH(use_fish!C146,activity!A:A,0)),"")</f>
        <v>亲嘴鱼+财神</v>
      </c>
      <c r="H146" s="2">
        <f>LOOKUP(use_fish!B146,base_fish!A:A,base_fish!F:F)+_xlfn.IFNA(INDEX(activity!F:F,MATCH(use_fish!C146,activity!A:A,0)),0)</f>
        <v>75</v>
      </c>
      <c r="I146">
        <v>1</v>
      </c>
      <c r="J146">
        <f>LOOKUP(use_fish!B146,base_fish!A:A,base_fish!G:G)</f>
        <v>0</v>
      </c>
      <c r="K146">
        <v>50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f>LOOKUP(use_fish!B147,base_fish!A:A,base_fish!C:C)+_xlfn.IFNA(INDEX(activity!F:F,MATCH(use_fish!C147,activity!A:A,0)),0)</f>
        <v>175</v>
      </c>
      <c r="E147" s="2">
        <f t="shared" si="21"/>
        <v>5.7142857142857143E-3</v>
      </c>
      <c r="F147" s="2" t="s">
        <v>28</v>
      </c>
      <c r="G147" s="5" t="str">
        <f>INDEX(base_fish!E:E,MATCH(use_fish!B147,base_fish!A:A,0))&amp;_xlfn.IFNA("+"&amp;INDEX(activity!G:G,MATCH(use_fish!C147,activity!A:A,0)),"")</f>
        <v>亲嘴鱼+财神</v>
      </c>
      <c r="H147" s="2">
        <f>LOOKUP(use_fish!B147,base_fish!A:A,base_fish!F:F)+_xlfn.IFNA(INDEX(activity!F:F,MATCH(use_fish!C147,activity!A:A,0)),0)</f>
        <v>175</v>
      </c>
      <c r="I147">
        <v>1</v>
      </c>
      <c r="J147">
        <f>LOOKUP(use_fish!B147,base_fish!A:A,base_fish!G:G)</f>
        <v>0</v>
      </c>
      <c r="K147">
        <v>50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f>LOOKUP(use_fish!B148,base_fish!A:A,base_fish!C:C)+_xlfn.IFNA(INDEX(activity!F:F,MATCH(use_fish!C148,activity!A:A,0)),0)</f>
        <v>275</v>
      </c>
      <c r="E148" s="2">
        <f t="shared" si="21"/>
        <v>3.6363636363636364E-3</v>
      </c>
      <c r="F148" s="2" t="s">
        <v>28</v>
      </c>
      <c r="G148" s="5" t="str">
        <f>INDEX(base_fish!E:E,MATCH(use_fish!B148,base_fish!A:A,0))&amp;_xlfn.IFNA("+"&amp;INDEX(activity!G:G,MATCH(use_fish!C148,activity!A:A,0)),"")</f>
        <v>亲嘴鱼+财神</v>
      </c>
      <c r="H148" s="2">
        <f>LOOKUP(use_fish!B148,base_fish!A:A,base_fish!F:F)+_xlfn.IFNA(INDEX(activity!F:F,MATCH(use_fish!C148,activity!A:A,0)),0)</f>
        <v>275</v>
      </c>
      <c r="I148">
        <v>1</v>
      </c>
      <c r="J148">
        <f>LOOKUP(use_fish!B148,base_fish!A:A,base_fish!G:G)</f>
        <v>0</v>
      </c>
      <c r="K148">
        <v>50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f>LOOKUP(use_fish!B149,base_fish!A:A,base_fish!C:C)+_xlfn.IFNA(INDEX(activity!F:F,MATCH(use_fish!C149,activity!A:A,0)),0)</f>
        <v>425</v>
      </c>
      <c r="E149" s="2">
        <f t="shared" si="21"/>
        <v>2.352941176470588E-3</v>
      </c>
      <c r="F149" s="2" t="s">
        <v>28</v>
      </c>
      <c r="G149" s="5" t="str">
        <f>INDEX(base_fish!E:E,MATCH(use_fish!B149,base_fish!A:A,0))&amp;_xlfn.IFNA("+"&amp;INDEX(activity!G:G,MATCH(use_fish!C149,activity!A:A,0)),"")</f>
        <v>亲嘴鱼+财神</v>
      </c>
      <c r="H149" s="2">
        <f>LOOKUP(use_fish!B149,base_fish!A:A,base_fish!F:F)+_xlfn.IFNA(INDEX(activity!F:F,MATCH(use_fish!C149,activity!A:A,0)),0)</f>
        <v>425</v>
      </c>
      <c r="I149">
        <v>1</v>
      </c>
      <c r="J149">
        <f>LOOKUP(use_fish!B149,base_fish!A:A,base_fish!G:G)</f>
        <v>0</v>
      </c>
      <c r="K149">
        <v>50</v>
      </c>
      <c r="L149">
        <v>1</v>
      </c>
      <c r="M149">
        <v>1</v>
      </c>
    </row>
    <row r="150" spans="1:13" x14ac:dyDescent="0.2">
      <c r="A150" s="3">
        <v>149</v>
      </c>
      <c r="B150" s="3">
        <v>31</v>
      </c>
      <c r="C150" s="3">
        <v>27</v>
      </c>
      <c r="D150" s="2">
        <f>LOOKUP(use_fish!B150,base_fish!A:A,base_fish!C:C)+_xlfn.IFNA(INDEX(activity!F:F,MATCH(use_fish!C150,activity!A:A,0)),0)</f>
        <v>75</v>
      </c>
      <c r="E150" s="2">
        <f t="shared" si="21"/>
        <v>1.3333333333333334E-2</v>
      </c>
      <c r="F150" s="2" t="s">
        <v>28</v>
      </c>
      <c r="G150" s="5" t="str">
        <f>INDEX(base_fish!E:E,MATCH(use_fish!B150,base_fish!A:A,0))&amp;_xlfn.IFNA("+"&amp;INDEX(activity!G:G,MATCH(use_fish!C150,activity!A:A,0)),"")</f>
        <v>星星鱼+临时活动</v>
      </c>
      <c r="H150" s="2">
        <f>LOOKUP(use_fish!B150,base_fish!A:A,base_fish!F:F)+_xlfn.IFNA(INDEX(activity!F:F,MATCH(use_fish!C150,activity!A:A,0)),0)</f>
        <v>75</v>
      </c>
      <c r="I150">
        <v>1</v>
      </c>
      <c r="J150">
        <f>LOOKUP(use_fish!B150,base_fish!A:A,base_fish!G:G)</f>
        <v>0</v>
      </c>
      <c r="K150">
        <v>75</v>
      </c>
      <c r="L150">
        <v>1</v>
      </c>
      <c r="M150">
        <v>1</v>
      </c>
    </row>
    <row r="151" spans="1:13" x14ac:dyDescent="0.2">
      <c r="A151" s="3">
        <v>150</v>
      </c>
      <c r="B151" s="3">
        <v>31</v>
      </c>
      <c r="C151" s="3">
        <v>28</v>
      </c>
      <c r="D151" s="2">
        <f>LOOKUP(use_fish!B151,base_fish!A:A,base_fish!C:C)+_xlfn.IFNA(INDEX(activity!F:F,MATCH(use_fish!C151,activity!A:A,0)),0)</f>
        <v>150</v>
      </c>
      <c r="E151" s="2">
        <f t="shared" si="21"/>
        <v>6.6666666666666671E-3</v>
      </c>
      <c r="F151" s="2" t="s">
        <v>28</v>
      </c>
      <c r="G151" s="5" t="str">
        <f>INDEX(base_fish!E:E,MATCH(use_fish!B151,base_fish!A:A,0))&amp;_xlfn.IFNA("+"&amp;INDEX(activity!G:G,MATCH(use_fish!C151,activity!A:A,0)),"")</f>
        <v>星星鱼+临时活动</v>
      </c>
      <c r="H151" s="2">
        <f>LOOKUP(use_fish!B151,base_fish!A:A,base_fish!F:F)+_xlfn.IFNA(INDEX(activity!F:F,MATCH(use_fish!C151,activity!A:A,0)),0)</f>
        <v>150</v>
      </c>
      <c r="I151">
        <v>1</v>
      </c>
      <c r="J151">
        <f>LOOKUP(use_fish!B151,base_fish!A:A,base_fish!G:G)</f>
        <v>0</v>
      </c>
      <c r="K151">
        <v>150</v>
      </c>
      <c r="L151">
        <v>1</v>
      </c>
      <c r="M151">
        <v>1</v>
      </c>
    </row>
    <row r="152" spans="1:13" x14ac:dyDescent="0.2">
      <c r="A152" s="3">
        <v>151</v>
      </c>
      <c r="B152" s="3">
        <v>31</v>
      </c>
      <c r="C152" s="3">
        <v>29</v>
      </c>
      <c r="D152" s="2">
        <f>LOOKUP(use_fish!B152,base_fish!A:A,base_fish!C:C)+_xlfn.IFNA(INDEX(activity!F:F,MATCH(use_fish!C152,activity!A:A,0)),0)</f>
        <v>250</v>
      </c>
      <c r="E152" s="2">
        <f t="shared" si="21"/>
        <v>4.0000000000000001E-3</v>
      </c>
      <c r="F152" s="2" t="s">
        <v>28</v>
      </c>
      <c r="G152" s="5" t="str">
        <f>INDEX(base_fish!E:E,MATCH(use_fish!B152,base_fish!A:A,0))&amp;_xlfn.IFNA("+"&amp;INDEX(activity!G:G,MATCH(use_fish!C152,activity!A:A,0)),"")</f>
        <v>星星鱼+临时活动</v>
      </c>
      <c r="H152" s="2">
        <f>LOOKUP(use_fish!B152,base_fish!A:A,base_fish!F:F)+_xlfn.IFNA(INDEX(activity!F:F,MATCH(use_fish!C152,activity!A:A,0)),0)</f>
        <v>250</v>
      </c>
      <c r="I152">
        <v>1</v>
      </c>
      <c r="J152">
        <f>LOOKUP(use_fish!B152,base_fish!A:A,base_fish!G:G)</f>
        <v>0</v>
      </c>
      <c r="K152">
        <v>250</v>
      </c>
      <c r="L152">
        <v>1</v>
      </c>
      <c r="M152">
        <v>1</v>
      </c>
    </row>
    <row r="153" spans="1:13" x14ac:dyDescent="0.2">
      <c r="A153" s="3">
        <v>152</v>
      </c>
      <c r="B153" s="3">
        <v>5</v>
      </c>
      <c r="C153" s="3">
        <v>30</v>
      </c>
      <c r="D153" s="2">
        <f>LOOKUP(use_fish!B153,base_fish!A:A,base_fish!C:C)+_xlfn.IFNA(INDEX(activity!F:F,MATCH(use_fish!C153,activity!A:A,0)),0)</f>
        <v>20</v>
      </c>
      <c r="E153" s="2">
        <f t="shared" si="21"/>
        <v>0.05</v>
      </c>
      <c r="F153" s="2" t="s">
        <v>28</v>
      </c>
      <c r="G153" s="5" t="str">
        <f>INDEX(base_fish!E:E,MATCH(use_fish!B153,base_fish!A:A,0))&amp;_xlfn.IFNA("+"&amp;INDEX(activity!G:G,MATCH(use_fish!C153,activity!A:A,0)),"")</f>
        <v>小丑鱼+临时活动</v>
      </c>
      <c r="H153" s="2">
        <f>LOOKUP(use_fish!B153,base_fish!A:A,base_fish!F:F)+_xlfn.IFNA(INDEX(activity!F:F,MATCH(use_fish!C153,activity!A:A,0)),0)</f>
        <v>20</v>
      </c>
      <c r="I153">
        <v>1</v>
      </c>
      <c r="J153">
        <f>LOOKUP(use_fish!B153,base_fish!A:A,base_fish!G:G)</f>
        <v>0</v>
      </c>
      <c r="K153">
        <v>20</v>
      </c>
      <c r="L153">
        <v>1</v>
      </c>
      <c r="M153">
        <v>1</v>
      </c>
    </row>
    <row r="154" spans="1:13" x14ac:dyDescent="0.2">
      <c r="A154" s="3">
        <v>153</v>
      </c>
      <c r="B154" s="3">
        <v>6</v>
      </c>
      <c r="C154" s="3">
        <v>30</v>
      </c>
      <c r="D154" s="2">
        <f>LOOKUP(use_fish!B154,base_fish!A:A,base_fish!C:C)+_xlfn.IFNA(INDEX(activity!F:F,MATCH(use_fish!C154,activity!A:A,0)),0)</f>
        <v>25</v>
      </c>
      <c r="E154" s="2">
        <f t="shared" si="21"/>
        <v>0.04</v>
      </c>
      <c r="F154" s="2" t="s">
        <v>28</v>
      </c>
      <c r="G154" s="5" t="str">
        <f>INDEX(base_fish!E:E,MATCH(use_fish!B154,base_fish!A:A,0))&amp;_xlfn.IFNA("+"&amp;INDEX(activity!G:G,MATCH(use_fish!C154,activity!A:A,0)),"")</f>
        <v>蓝灯鱼+临时活动</v>
      </c>
      <c r="H154" s="2">
        <f>LOOKUP(use_fish!B154,base_fish!A:A,base_fish!F:F)+_xlfn.IFNA(INDEX(activity!F:F,MATCH(use_fish!C154,activity!A:A,0)),0)</f>
        <v>25</v>
      </c>
      <c r="I154">
        <v>1</v>
      </c>
      <c r="J154">
        <f>LOOKUP(use_fish!B154,base_fish!A:A,base_fish!G:G)</f>
        <v>0</v>
      </c>
      <c r="K154">
        <v>25</v>
      </c>
      <c r="L154">
        <v>1</v>
      </c>
      <c r="M154">
        <v>1</v>
      </c>
    </row>
    <row r="155" spans="1:13" x14ac:dyDescent="0.2">
      <c r="A155" s="3">
        <v>154</v>
      </c>
      <c r="B155" s="3">
        <v>7</v>
      </c>
      <c r="C155" s="3">
        <v>30</v>
      </c>
      <c r="D155" s="2">
        <f>LOOKUP(use_fish!B155,base_fish!A:A,base_fish!C:C)+_xlfn.IFNA(INDEX(activity!F:F,MATCH(use_fish!C155,activity!A:A,0)),0)</f>
        <v>35</v>
      </c>
      <c r="E155" s="2">
        <f t="shared" si="21"/>
        <v>2.8571428571428571E-2</v>
      </c>
      <c r="F155" s="2" t="s">
        <v>28</v>
      </c>
      <c r="G155" s="5" t="str">
        <f>INDEX(base_fish!E:E,MATCH(use_fish!B155,base_fish!A:A,0))&amp;_xlfn.IFNA("+"&amp;INDEX(activity!G:G,MATCH(use_fish!C155,activity!A:A,0)),"")</f>
        <v>红杉鱼+临时活动</v>
      </c>
      <c r="H155" s="2">
        <f>LOOKUP(use_fish!B155,base_fish!A:A,base_fish!F:F)+_xlfn.IFNA(INDEX(activity!F:F,MATCH(use_fish!C155,activity!A:A,0)),0)</f>
        <v>35</v>
      </c>
      <c r="I155">
        <v>1</v>
      </c>
      <c r="J155">
        <f>LOOKUP(use_fish!B155,base_fish!A:A,base_fish!G:G)</f>
        <v>0</v>
      </c>
      <c r="K155">
        <v>35</v>
      </c>
      <c r="L155">
        <v>1</v>
      </c>
      <c r="M155">
        <v>1</v>
      </c>
    </row>
    <row r="156" spans="1:13" x14ac:dyDescent="0.2">
      <c r="A156" s="3">
        <v>155</v>
      </c>
      <c r="B156" s="3">
        <v>8</v>
      </c>
      <c r="C156" s="3">
        <v>30</v>
      </c>
      <c r="D156" s="2">
        <f>LOOKUP(use_fish!B156,base_fish!A:A,base_fish!C:C)+_xlfn.IFNA(INDEX(activity!F:F,MATCH(use_fish!C156,activity!A:A,0)),0)</f>
        <v>45</v>
      </c>
      <c r="E156" s="2">
        <f t="shared" si="21"/>
        <v>2.2222222222222223E-2</v>
      </c>
      <c r="F156" s="2" t="s">
        <v>28</v>
      </c>
      <c r="G156" s="5" t="str">
        <f>INDEX(base_fish!E:E,MATCH(use_fish!B156,base_fish!A:A,0))&amp;_xlfn.IFNA("+"&amp;INDEX(activity!G:G,MATCH(use_fish!C156,activity!A:A,0)),"")</f>
        <v>海龟+临时活动</v>
      </c>
      <c r="H156" s="2">
        <f>LOOKUP(use_fish!B156,base_fish!A:A,base_fish!F:F)+_xlfn.IFNA(INDEX(activity!F:F,MATCH(use_fish!C156,activity!A:A,0)),0)</f>
        <v>45</v>
      </c>
      <c r="I156">
        <v>1</v>
      </c>
      <c r="J156">
        <f>LOOKUP(use_fish!B156,base_fish!A:A,base_fish!G:G)</f>
        <v>0</v>
      </c>
      <c r="K156">
        <v>45</v>
      </c>
      <c r="L156">
        <v>1</v>
      </c>
      <c r="M156">
        <v>1</v>
      </c>
    </row>
    <row r="157" spans="1:13" x14ac:dyDescent="0.2">
      <c r="A157" s="3">
        <v>156</v>
      </c>
      <c r="B157" s="3">
        <v>9</v>
      </c>
      <c r="C157" s="3">
        <v>30</v>
      </c>
      <c r="D157" s="2">
        <f>LOOKUP(use_fish!B157,base_fish!A:A,base_fish!C:C)+_xlfn.IFNA(INDEX(activity!F:F,MATCH(use_fish!C157,activity!A:A,0)),0)</f>
        <v>55</v>
      </c>
      <c r="E157" s="2">
        <f t="shared" si="21"/>
        <v>1.8181818181818181E-2</v>
      </c>
      <c r="F157" s="2" t="s">
        <v>28</v>
      </c>
      <c r="G157" s="5" t="str">
        <f>INDEX(base_fish!E:E,MATCH(use_fish!B157,base_fish!A:A,0))&amp;_xlfn.IFNA("+"&amp;INDEX(activity!G:G,MATCH(use_fish!C157,activity!A:A,0)),"")</f>
        <v>灯笼鱼+临时活动</v>
      </c>
      <c r="H157" s="2">
        <f>LOOKUP(use_fish!B157,base_fish!A:A,base_fish!F:F)+_xlfn.IFNA(INDEX(activity!F:F,MATCH(use_fish!C157,activity!A:A,0)),0)</f>
        <v>55</v>
      </c>
      <c r="I157">
        <v>1</v>
      </c>
      <c r="J157">
        <f>LOOKUP(use_fish!B157,base_fish!A:A,base_fish!G:G)</f>
        <v>0</v>
      </c>
      <c r="K157">
        <v>55</v>
      </c>
      <c r="L157">
        <v>1</v>
      </c>
      <c r="M157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1"/>
  <sheetViews>
    <sheetView topLeftCell="A7" workbookViewId="0">
      <selection activeCell="A26" sqref="A26:G31"/>
    </sheetView>
  </sheetViews>
  <sheetFormatPr defaultColWidth="8.625" defaultRowHeight="14.25" x14ac:dyDescent="0.2"/>
  <cols>
    <col min="2" max="2" width="13" customWidth="1"/>
    <col min="3" max="3" width="11.375" customWidth="1"/>
    <col min="4" max="5" width="16.125" customWidth="1"/>
    <col min="6" max="7" width="15.125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325</v>
      </c>
      <c r="F1" s="1" t="s">
        <v>38</v>
      </c>
      <c r="G1" s="1" t="s">
        <v>53</v>
      </c>
      <c r="H1" s="1" t="s">
        <v>2</v>
      </c>
      <c r="I1" s="1" t="s">
        <v>2</v>
      </c>
      <c r="K1" s="1" t="s">
        <v>182</v>
      </c>
    </row>
    <row r="2" spans="1:11" x14ac:dyDescent="0.2">
      <c r="A2">
        <v>1</v>
      </c>
      <c r="B2">
        <v>1</v>
      </c>
      <c r="C2" t="s">
        <v>210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54</v>
      </c>
      <c r="K2" t="s">
        <v>247</v>
      </c>
    </row>
    <row r="3" spans="1:11" x14ac:dyDescent="0.2">
      <c r="A3">
        <v>2</v>
      </c>
      <c r="B3">
        <v>2</v>
      </c>
      <c r="C3" t="s">
        <v>220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55</v>
      </c>
      <c r="K3" s="7">
        <v>0.1</v>
      </c>
    </row>
    <row r="4" spans="1:11" x14ac:dyDescent="0.2">
      <c r="A4">
        <v>3</v>
      </c>
      <c r="B4">
        <v>3</v>
      </c>
      <c r="C4" t="s">
        <v>220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56</v>
      </c>
    </row>
    <row r="5" spans="1:11" x14ac:dyDescent="0.2">
      <c r="A5">
        <v>4</v>
      </c>
      <c r="B5">
        <v>4</v>
      </c>
      <c r="C5" t="s">
        <v>170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57</v>
      </c>
    </row>
    <row r="6" spans="1:11" x14ac:dyDescent="0.2">
      <c r="A6">
        <v>5</v>
      </c>
      <c r="B6">
        <v>5</v>
      </c>
      <c r="C6" t="s">
        <v>171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58</v>
      </c>
    </row>
    <row r="7" spans="1:11" x14ac:dyDescent="0.2">
      <c r="A7">
        <v>6</v>
      </c>
      <c r="B7">
        <v>4</v>
      </c>
      <c r="C7" t="s">
        <v>172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59</v>
      </c>
    </row>
    <row r="8" spans="1:11" x14ac:dyDescent="0.2">
      <c r="A8">
        <v>7</v>
      </c>
      <c r="B8">
        <v>1</v>
      </c>
      <c r="C8" t="s">
        <v>169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60</v>
      </c>
    </row>
    <row r="9" spans="1:11" x14ac:dyDescent="0.2">
      <c r="A9">
        <v>8</v>
      </c>
      <c r="B9">
        <v>4</v>
      </c>
      <c r="C9" t="s">
        <v>211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61</v>
      </c>
    </row>
    <row r="10" spans="1:11" x14ac:dyDescent="0.2">
      <c r="A10">
        <v>9</v>
      </c>
      <c r="B10">
        <v>5</v>
      </c>
      <c r="C10" t="s">
        <v>212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275</v>
      </c>
    </row>
    <row r="11" spans="1:11" x14ac:dyDescent="0.2">
      <c r="A11">
        <v>10</v>
      </c>
      <c r="B11">
        <v>5</v>
      </c>
      <c r="C11" t="s">
        <v>173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246</v>
      </c>
    </row>
    <row r="12" spans="1:11" x14ac:dyDescent="0.2">
      <c r="A12">
        <v>11</v>
      </c>
      <c r="B12">
        <v>7</v>
      </c>
      <c r="C12" t="s">
        <v>52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282</v>
      </c>
    </row>
    <row r="13" spans="1:11" x14ac:dyDescent="0.2">
      <c r="A13">
        <v>12</v>
      </c>
      <c r="B13">
        <v>7</v>
      </c>
      <c r="C13" t="s">
        <v>62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342</v>
      </c>
    </row>
    <row r="14" spans="1:11" x14ac:dyDescent="0.2">
      <c r="A14">
        <v>13</v>
      </c>
      <c r="B14">
        <v>8</v>
      </c>
      <c r="C14" t="s">
        <v>48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343</v>
      </c>
    </row>
    <row r="15" spans="1:11" x14ac:dyDescent="0.2">
      <c r="A15">
        <v>14</v>
      </c>
      <c r="B15">
        <v>8</v>
      </c>
      <c r="C15" t="s">
        <v>62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371</v>
      </c>
    </row>
    <row r="16" spans="1:11" x14ac:dyDescent="0.2">
      <c r="A16">
        <v>15</v>
      </c>
      <c r="B16">
        <v>9</v>
      </c>
      <c r="C16" t="s">
        <v>221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26</v>
      </c>
      <c r="I16" t="s">
        <v>384</v>
      </c>
    </row>
    <row r="17" spans="1:9" x14ac:dyDescent="0.2">
      <c r="A17">
        <v>16</v>
      </c>
      <c r="B17">
        <v>9</v>
      </c>
      <c r="C17" t="s">
        <v>221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27</v>
      </c>
      <c r="I17" t="s">
        <v>385</v>
      </c>
    </row>
    <row r="18" spans="1:9" x14ac:dyDescent="0.2">
      <c r="A18">
        <v>17</v>
      </c>
      <c r="B18">
        <v>10</v>
      </c>
      <c r="C18" s="8" t="s">
        <v>294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9" x14ac:dyDescent="0.2">
      <c r="A19">
        <v>18</v>
      </c>
      <c r="B19">
        <v>18</v>
      </c>
      <c r="C19" t="s">
        <v>372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9" x14ac:dyDescent="0.2">
      <c r="A20">
        <v>19</v>
      </c>
      <c r="B20">
        <v>17</v>
      </c>
      <c r="C20" t="s">
        <v>373</v>
      </c>
      <c r="D20" s="4">
        <v>1</v>
      </c>
      <c r="E20" s="4">
        <v>0</v>
      </c>
      <c r="F20">
        <v>150</v>
      </c>
      <c r="G20" t="str">
        <f t="shared" si="0"/>
        <v>钻头弹</v>
      </c>
    </row>
    <row r="21" spans="1:9" x14ac:dyDescent="0.2">
      <c r="A21">
        <v>20</v>
      </c>
      <c r="B21">
        <v>19</v>
      </c>
      <c r="C21" t="s">
        <v>48</v>
      </c>
      <c r="D21" s="4">
        <v>1</v>
      </c>
      <c r="E21" s="4">
        <v>1</v>
      </c>
      <c r="F21">
        <v>0</v>
      </c>
      <c r="G21" t="str">
        <f t="shared" si="0"/>
        <v>神灯</v>
      </c>
    </row>
    <row r="22" spans="1:9" x14ac:dyDescent="0.2">
      <c r="A22">
        <v>21</v>
      </c>
      <c r="B22">
        <v>20</v>
      </c>
      <c r="C22" s="12" t="s">
        <v>378</v>
      </c>
      <c r="D22" s="4">
        <v>0</v>
      </c>
      <c r="E22" s="4">
        <v>0</v>
      </c>
      <c r="F22">
        <v>25</v>
      </c>
      <c r="G22" t="s">
        <v>376</v>
      </c>
    </row>
    <row r="23" spans="1:9" x14ac:dyDescent="0.2">
      <c r="A23">
        <v>22</v>
      </c>
      <c r="B23">
        <v>20</v>
      </c>
      <c r="C23" s="12" t="s">
        <v>379</v>
      </c>
      <c r="D23" s="4">
        <v>0</v>
      </c>
      <c r="E23" s="4">
        <v>0</v>
      </c>
      <c r="F23">
        <v>125</v>
      </c>
      <c r="G23" t="s">
        <v>376</v>
      </c>
    </row>
    <row r="24" spans="1:9" x14ac:dyDescent="0.2">
      <c r="A24">
        <v>23</v>
      </c>
      <c r="B24">
        <v>20</v>
      </c>
      <c r="C24" s="12" t="s">
        <v>380</v>
      </c>
      <c r="D24" s="4">
        <v>0</v>
      </c>
      <c r="E24" s="4">
        <v>0</v>
      </c>
      <c r="F24">
        <v>225</v>
      </c>
      <c r="G24" t="s">
        <v>376</v>
      </c>
    </row>
    <row r="25" spans="1:9" x14ac:dyDescent="0.2">
      <c r="A25">
        <v>24</v>
      </c>
      <c r="B25">
        <v>20</v>
      </c>
      <c r="C25" s="12" t="s">
        <v>383</v>
      </c>
      <c r="D25" s="4">
        <v>0</v>
      </c>
      <c r="E25" s="4">
        <v>0</v>
      </c>
      <c r="F25">
        <v>375</v>
      </c>
      <c r="G25" t="s">
        <v>376</v>
      </c>
    </row>
    <row r="26" spans="1:9" x14ac:dyDescent="0.2">
      <c r="A26">
        <v>25</v>
      </c>
      <c r="B26">
        <v>26</v>
      </c>
      <c r="C26" t="s">
        <v>389</v>
      </c>
      <c r="D26" s="4">
        <v>1</v>
      </c>
      <c r="E26" s="4">
        <v>1</v>
      </c>
      <c r="F26">
        <v>200</v>
      </c>
      <c r="G26" t="s">
        <v>387</v>
      </c>
    </row>
    <row r="27" spans="1:9" x14ac:dyDescent="0.2">
      <c r="A27">
        <v>26</v>
      </c>
      <c r="B27">
        <v>27</v>
      </c>
      <c r="C27" t="s">
        <v>390</v>
      </c>
      <c r="D27" s="4">
        <v>1</v>
      </c>
      <c r="E27" s="4">
        <v>1</v>
      </c>
      <c r="F27">
        <v>500</v>
      </c>
      <c r="G27" t="s">
        <v>386</v>
      </c>
    </row>
    <row r="28" spans="1:9" x14ac:dyDescent="0.2">
      <c r="A28">
        <v>27</v>
      </c>
      <c r="B28" s="13">
        <v>9</v>
      </c>
      <c r="C28" s="13" t="s">
        <v>397</v>
      </c>
      <c r="D28" s="14">
        <v>0</v>
      </c>
      <c r="E28" s="14">
        <v>1</v>
      </c>
      <c r="F28" s="13">
        <v>75</v>
      </c>
      <c r="G28" s="13" t="s">
        <v>288</v>
      </c>
    </row>
    <row r="29" spans="1:9" x14ac:dyDescent="0.2">
      <c r="A29">
        <v>28</v>
      </c>
      <c r="B29" s="13">
        <v>9</v>
      </c>
      <c r="C29" s="13" t="s">
        <v>398</v>
      </c>
      <c r="D29" s="14">
        <v>0</v>
      </c>
      <c r="E29" s="14">
        <v>1</v>
      </c>
      <c r="F29" s="13">
        <v>150</v>
      </c>
      <c r="G29" s="13" t="s">
        <v>288</v>
      </c>
    </row>
    <row r="30" spans="1:9" x14ac:dyDescent="0.2">
      <c r="A30">
        <v>29</v>
      </c>
      <c r="B30" s="13">
        <v>9</v>
      </c>
      <c r="C30" s="13" t="s">
        <v>399</v>
      </c>
      <c r="D30" s="14">
        <v>0</v>
      </c>
      <c r="E30" s="14">
        <v>1</v>
      </c>
      <c r="F30" s="13">
        <v>250</v>
      </c>
      <c r="G30" s="13" t="s">
        <v>288</v>
      </c>
    </row>
    <row r="31" spans="1:9" x14ac:dyDescent="0.2">
      <c r="A31">
        <v>30</v>
      </c>
      <c r="B31" s="13">
        <v>9</v>
      </c>
      <c r="C31" s="13" t="s">
        <v>400</v>
      </c>
      <c r="D31" s="14">
        <v>1</v>
      </c>
      <c r="E31" s="14">
        <v>1</v>
      </c>
      <c r="F31" s="13">
        <v>5</v>
      </c>
      <c r="G31" s="13" t="s">
        <v>288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F15" sqref="F15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290</v>
      </c>
      <c r="C1" s="1" t="s">
        <v>291</v>
      </c>
      <c r="D1" s="1" t="s">
        <v>292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32"/>
  <sheetViews>
    <sheetView zoomScaleNormal="100" workbookViewId="0">
      <selection activeCell="A32" sqref="A32:XFD3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1" style="2" customWidth="1"/>
    <col min="4" max="4" width="8.625" style="2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22</v>
      </c>
      <c r="B1" s="1" t="s">
        <v>20</v>
      </c>
      <c r="C1" s="1" t="s">
        <v>276</v>
      </c>
      <c r="D1" s="1" t="s">
        <v>0</v>
      </c>
      <c r="E1" s="1" t="s">
        <v>7</v>
      </c>
      <c r="F1" s="1" t="s">
        <v>284</v>
      </c>
      <c r="G1" s="10" t="s">
        <v>285</v>
      </c>
    </row>
    <row r="2" spans="1:7" x14ac:dyDescent="0.2">
      <c r="A2" s="2">
        <v>1</v>
      </c>
      <c r="B2" s="2">
        <v>1</v>
      </c>
      <c r="C2" s="2">
        <v>1</v>
      </c>
      <c r="D2" s="2">
        <f>IF(C2,1/C2,0)</f>
        <v>1</v>
      </c>
      <c r="E2" s="5" t="s">
        <v>8</v>
      </c>
      <c r="F2" s="2">
        <f>C2</f>
        <v>1</v>
      </c>
      <c r="G2" s="2">
        <v>0</v>
      </c>
    </row>
    <row r="3" spans="1:7" x14ac:dyDescent="0.2">
      <c r="A3" s="2">
        <v>2</v>
      </c>
      <c r="B3" s="2">
        <v>1</v>
      </c>
      <c r="C3" s="2">
        <v>2</v>
      </c>
      <c r="D3" s="2">
        <f t="shared" ref="D3:D28" si="0">IF(C3,1/C3,0)</f>
        <v>0.5</v>
      </c>
      <c r="E3" s="5" t="s">
        <v>190</v>
      </c>
      <c r="F3" s="2">
        <f t="shared" ref="F3:F28" si="1">C3</f>
        <v>2</v>
      </c>
      <c r="G3" s="2">
        <v>0</v>
      </c>
    </row>
    <row r="4" spans="1:7" x14ac:dyDescent="0.2">
      <c r="A4" s="2">
        <v>3</v>
      </c>
      <c r="B4" s="2">
        <v>1</v>
      </c>
      <c r="C4" s="2">
        <v>5</v>
      </c>
      <c r="D4" s="2">
        <f t="shared" si="0"/>
        <v>0.2</v>
      </c>
      <c r="E4" s="5" t="s">
        <v>191</v>
      </c>
      <c r="F4" s="2">
        <f t="shared" si="1"/>
        <v>5</v>
      </c>
      <c r="G4" s="2">
        <v>0</v>
      </c>
    </row>
    <row r="5" spans="1:7" x14ac:dyDescent="0.2">
      <c r="A5" s="2">
        <v>4</v>
      </c>
      <c r="B5" s="2">
        <v>1</v>
      </c>
      <c r="C5" s="2">
        <v>8</v>
      </c>
      <c r="D5" s="2">
        <f t="shared" si="0"/>
        <v>0.125</v>
      </c>
      <c r="E5" s="5" t="s">
        <v>192</v>
      </c>
      <c r="F5" s="2">
        <f t="shared" si="1"/>
        <v>8</v>
      </c>
      <c r="G5" s="2">
        <v>0</v>
      </c>
    </row>
    <row r="6" spans="1:7" x14ac:dyDescent="0.2">
      <c r="A6" s="2">
        <v>5</v>
      </c>
      <c r="B6" s="2">
        <v>1</v>
      </c>
      <c r="C6" s="2">
        <v>15</v>
      </c>
      <c r="D6" s="2">
        <f t="shared" si="0"/>
        <v>6.6666666666666666E-2</v>
      </c>
      <c r="E6" s="5" t="s">
        <v>9</v>
      </c>
      <c r="F6" s="2">
        <f t="shared" si="1"/>
        <v>15</v>
      </c>
      <c r="G6" s="2">
        <v>0</v>
      </c>
    </row>
    <row r="7" spans="1:7" x14ac:dyDescent="0.2">
      <c r="A7" s="2">
        <v>6</v>
      </c>
      <c r="B7" s="2">
        <v>1</v>
      </c>
      <c r="C7" s="2">
        <v>20</v>
      </c>
      <c r="D7" s="2">
        <f t="shared" si="0"/>
        <v>0.05</v>
      </c>
      <c r="E7" s="5" t="s">
        <v>193</v>
      </c>
      <c r="F7" s="2">
        <f t="shared" si="1"/>
        <v>20</v>
      </c>
      <c r="G7" s="2">
        <v>0</v>
      </c>
    </row>
    <row r="8" spans="1:7" x14ac:dyDescent="0.2">
      <c r="A8" s="2">
        <v>7</v>
      </c>
      <c r="B8" s="2">
        <v>1</v>
      </c>
      <c r="C8" s="2">
        <v>30</v>
      </c>
      <c r="D8" s="2">
        <f t="shared" si="0"/>
        <v>3.3333333333333333E-2</v>
      </c>
      <c r="E8" s="5" t="s">
        <v>10</v>
      </c>
      <c r="F8" s="2">
        <f t="shared" si="1"/>
        <v>30</v>
      </c>
      <c r="G8" s="2">
        <v>0</v>
      </c>
    </row>
    <row r="9" spans="1:7" x14ac:dyDescent="0.2">
      <c r="A9" s="2">
        <v>8</v>
      </c>
      <c r="B9" s="2">
        <v>1</v>
      </c>
      <c r="C9" s="2">
        <v>40</v>
      </c>
      <c r="D9" s="2">
        <f t="shared" si="0"/>
        <v>2.5000000000000001E-2</v>
      </c>
      <c r="E9" s="5" t="s">
        <v>194</v>
      </c>
      <c r="F9" s="2">
        <f t="shared" si="1"/>
        <v>40</v>
      </c>
      <c r="G9" s="2">
        <v>0</v>
      </c>
    </row>
    <row r="10" spans="1:7" x14ac:dyDescent="0.2">
      <c r="A10" s="2">
        <v>9</v>
      </c>
      <c r="B10" s="2">
        <v>1</v>
      </c>
      <c r="C10" s="2">
        <v>50</v>
      </c>
      <c r="D10" s="2">
        <f t="shared" si="0"/>
        <v>0.02</v>
      </c>
      <c r="E10" s="5" t="s">
        <v>11</v>
      </c>
      <c r="F10" s="2">
        <f t="shared" si="1"/>
        <v>50</v>
      </c>
      <c r="G10" s="2">
        <v>0</v>
      </c>
    </row>
    <row r="11" spans="1:7" x14ac:dyDescent="0.2">
      <c r="A11" s="2">
        <v>10</v>
      </c>
      <c r="B11" s="2">
        <v>2</v>
      </c>
      <c r="C11" s="2">
        <v>60</v>
      </c>
      <c r="D11" s="2">
        <f t="shared" si="0"/>
        <v>1.6666666666666666E-2</v>
      </c>
      <c r="E11" s="5" t="s">
        <v>12</v>
      </c>
      <c r="F11" s="2">
        <f t="shared" si="1"/>
        <v>60</v>
      </c>
      <c r="G11" s="2">
        <v>0</v>
      </c>
    </row>
    <row r="12" spans="1:7" x14ac:dyDescent="0.2">
      <c r="A12" s="2">
        <v>11</v>
      </c>
      <c r="B12" s="2">
        <v>2</v>
      </c>
      <c r="C12" s="2">
        <v>70</v>
      </c>
      <c r="D12" s="2">
        <f t="shared" si="0"/>
        <v>1.4285714285714285E-2</v>
      </c>
      <c r="E12" s="5" t="s">
        <v>195</v>
      </c>
      <c r="F12" s="2">
        <f t="shared" si="1"/>
        <v>70</v>
      </c>
      <c r="G12" s="2">
        <v>0</v>
      </c>
    </row>
    <row r="13" spans="1:7" x14ac:dyDescent="0.2">
      <c r="A13" s="2">
        <v>12</v>
      </c>
      <c r="B13" s="2">
        <v>2</v>
      </c>
      <c r="C13" s="2">
        <v>100</v>
      </c>
      <c r="D13" s="2">
        <f t="shared" si="0"/>
        <v>0.01</v>
      </c>
      <c r="E13" s="5" t="s">
        <v>13</v>
      </c>
      <c r="F13" s="2">
        <f t="shared" si="1"/>
        <v>100</v>
      </c>
      <c r="G13" s="2">
        <v>0</v>
      </c>
    </row>
    <row r="14" spans="1:7" x14ac:dyDescent="0.2">
      <c r="A14" s="2">
        <v>13</v>
      </c>
      <c r="B14" s="2">
        <v>2</v>
      </c>
      <c r="C14" s="2">
        <v>150</v>
      </c>
      <c r="D14" s="2">
        <f t="shared" si="0"/>
        <v>6.6666666666666671E-3</v>
      </c>
      <c r="E14" s="5" t="s">
        <v>196</v>
      </c>
      <c r="F14" s="2">
        <f t="shared" si="1"/>
        <v>150</v>
      </c>
      <c r="G14" s="2">
        <v>0</v>
      </c>
    </row>
    <row r="15" spans="1:7" x14ac:dyDescent="0.2">
      <c r="A15" s="2">
        <v>14</v>
      </c>
      <c r="B15" s="2">
        <v>2</v>
      </c>
      <c r="C15" s="2">
        <v>80</v>
      </c>
      <c r="D15" s="2">
        <f t="shared" si="0"/>
        <v>1.2500000000000001E-2</v>
      </c>
      <c r="E15" s="5" t="s">
        <v>197</v>
      </c>
      <c r="F15" s="2">
        <f t="shared" si="1"/>
        <v>80</v>
      </c>
      <c r="G15" s="2">
        <v>0</v>
      </c>
    </row>
    <row r="16" spans="1:7" x14ac:dyDescent="0.2">
      <c r="A16" s="2">
        <v>15</v>
      </c>
      <c r="B16" s="2">
        <v>2</v>
      </c>
      <c r="C16" s="2">
        <v>100</v>
      </c>
      <c r="D16" s="2">
        <f t="shared" si="0"/>
        <v>0.01</v>
      </c>
      <c r="E16" s="5" t="s">
        <v>198</v>
      </c>
      <c r="F16" s="2">
        <f t="shared" si="1"/>
        <v>100</v>
      </c>
      <c r="G16" s="2">
        <v>0</v>
      </c>
    </row>
    <row r="17" spans="1:7" x14ac:dyDescent="0.2">
      <c r="A17" s="2">
        <v>16</v>
      </c>
      <c r="B17" s="2">
        <v>3</v>
      </c>
      <c r="C17" s="2">
        <v>120</v>
      </c>
      <c r="D17" s="2">
        <f t="shared" si="0"/>
        <v>8.3333333333333332E-3</v>
      </c>
      <c r="E17" s="5" t="s">
        <v>199</v>
      </c>
      <c r="F17" s="2">
        <f t="shared" si="1"/>
        <v>120</v>
      </c>
      <c r="G17" s="2">
        <v>0</v>
      </c>
    </row>
    <row r="18" spans="1:7" x14ac:dyDescent="0.2">
      <c r="A18" s="2">
        <v>17</v>
      </c>
      <c r="B18" s="2">
        <v>3</v>
      </c>
      <c r="C18" s="2">
        <v>140</v>
      </c>
      <c r="D18" s="2">
        <f t="shared" si="0"/>
        <v>7.1428571428571426E-3</v>
      </c>
      <c r="E18" s="5" t="s">
        <v>200</v>
      </c>
      <c r="F18" s="2">
        <f t="shared" si="1"/>
        <v>140</v>
      </c>
      <c r="G18" s="2">
        <v>0</v>
      </c>
    </row>
    <row r="19" spans="1:7" x14ac:dyDescent="0.2">
      <c r="A19" s="2">
        <v>18</v>
      </c>
      <c r="B19" s="2">
        <v>3</v>
      </c>
      <c r="C19" s="2">
        <v>200</v>
      </c>
      <c r="D19" s="2">
        <f t="shared" si="0"/>
        <v>5.0000000000000001E-3</v>
      </c>
      <c r="E19" s="5" t="s">
        <v>201</v>
      </c>
      <c r="F19" s="2">
        <f t="shared" si="1"/>
        <v>200</v>
      </c>
      <c r="G19" s="2">
        <v>0</v>
      </c>
    </row>
    <row r="20" spans="1:7" x14ac:dyDescent="0.2">
      <c r="A20" s="2">
        <v>19</v>
      </c>
      <c r="B20" s="2">
        <v>4</v>
      </c>
      <c r="C20" s="2">
        <v>0</v>
      </c>
      <c r="D20" s="2">
        <f t="shared" si="0"/>
        <v>0</v>
      </c>
      <c r="E20" s="5" t="s">
        <v>266</v>
      </c>
      <c r="F20" s="2">
        <f t="shared" si="1"/>
        <v>0</v>
      </c>
      <c r="G20" s="2">
        <v>0</v>
      </c>
    </row>
    <row r="21" spans="1:7" x14ac:dyDescent="0.2">
      <c r="A21" s="2">
        <v>20</v>
      </c>
      <c r="B21" s="2">
        <v>3</v>
      </c>
      <c r="C21" s="2">
        <v>500</v>
      </c>
      <c r="D21" s="2">
        <f t="shared" si="0"/>
        <v>2E-3</v>
      </c>
      <c r="E21" s="5" t="s">
        <v>273</v>
      </c>
      <c r="F21" s="2">
        <f t="shared" si="1"/>
        <v>500</v>
      </c>
      <c r="G21" s="2">
        <v>0</v>
      </c>
    </row>
    <row r="22" spans="1:7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293</v>
      </c>
      <c r="F22" s="2">
        <f t="shared" si="1"/>
        <v>0</v>
      </c>
      <c r="G22" s="2">
        <v>0</v>
      </c>
    </row>
    <row r="23" spans="1:7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319</v>
      </c>
      <c r="F23" s="2">
        <f t="shared" si="1"/>
        <v>50</v>
      </c>
      <c r="G23" s="2">
        <v>0</v>
      </c>
    </row>
    <row r="24" spans="1:7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320</v>
      </c>
      <c r="F24" s="2">
        <f t="shared" si="1"/>
        <v>50</v>
      </c>
      <c r="G24" s="2">
        <v>0</v>
      </c>
    </row>
    <row r="25" spans="1:7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321</v>
      </c>
      <c r="F25" s="2">
        <f t="shared" si="1"/>
        <v>50</v>
      </c>
      <c r="G25" s="2">
        <v>0</v>
      </c>
    </row>
    <row r="26" spans="1:7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322</v>
      </c>
      <c r="F26" s="2">
        <f t="shared" si="1"/>
        <v>50</v>
      </c>
      <c r="G26" s="2">
        <v>0</v>
      </c>
    </row>
    <row r="27" spans="1:7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323</v>
      </c>
      <c r="F27" s="2">
        <f t="shared" si="1"/>
        <v>100</v>
      </c>
      <c r="G27" s="2">
        <v>0</v>
      </c>
    </row>
    <row r="28" spans="1:7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324</v>
      </c>
      <c r="F28" s="2">
        <f t="shared" si="1"/>
        <v>50</v>
      </c>
      <c r="G28" s="2">
        <v>0</v>
      </c>
    </row>
    <row r="29" spans="1:7" x14ac:dyDescent="0.2">
      <c r="A29" s="2">
        <v>28</v>
      </c>
      <c r="B29" s="2">
        <v>3</v>
      </c>
      <c r="C29" s="2" t="s">
        <v>366</v>
      </c>
      <c r="D29" s="2" t="s">
        <v>369</v>
      </c>
      <c r="E29" s="2" t="s">
        <v>338</v>
      </c>
      <c r="F29" s="2" t="s">
        <v>368</v>
      </c>
      <c r="G29" s="2">
        <v>0</v>
      </c>
    </row>
    <row r="30" spans="1:7" x14ac:dyDescent="0.2">
      <c r="A30" s="2">
        <v>29</v>
      </c>
      <c r="B30" s="2">
        <v>6</v>
      </c>
      <c r="C30" s="2">
        <v>50</v>
      </c>
      <c r="D30" s="2">
        <f t="shared" ref="D30:D32" si="2">IF(C30,1/C30,0)</f>
        <v>0.02</v>
      </c>
      <c r="E30" s="2" t="s">
        <v>374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391</v>
      </c>
      <c r="F31" s="2">
        <v>50</v>
      </c>
      <c r="G31" s="2">
        <v>0</v>
      </c>
    </row>
    <row r="32" spans="1:7" x14ac:dyDescent="0.2">
      <c r="A32" s="2">
        <v>31</v>
      </c>
      <c r="B32" s="2">
        <v>6</v>
      </c>
      <c r="C32" s="2">
        <v>0</v>
      </c>
      <c r="D32" s="2">
        <f t="shared" si="2"/>
        <v>0</v>
      </c>
      <c r="E32" s="2" t="s">
        <v>396</v>
      </c>
      <c r="F32" s="2">
        <v>0</v>
      </c>
      <c r="G32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59"/>
  <sheetViews>
    <sheetView topLeftCell="A37" workbookViewId="0">
      <selection activeCell="A59" sqref="A59:B5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181</v>
      </c>
      <c r="C1" s="1" t="s">
        <v>25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H24" sqref="H24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30</v>
      </c>
      <c r="B1" s="1" t="s">
        <v>37</v>
      </c>
      <c r="C1" s="1" t="s">
        <v>39</v>
      </c>
      <c r="D1" s="1" t="s">
        <v>213</v>
      </c>
    </row>
    <row r="2" spans="1:4" x14ac:dyDescent="0.2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H21" sqref="H21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40</v>
      </c>
      <c r="B1" s="1" t="s">
        <v>41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24</v>
      </c>
      <c r="B1" s="1" t="s">
        <v>183</v>
      </c>
      <c r="C1" s="1" t="s">
        <v>184</v>
      </c>
      <c r="D1" s="1" t="s">
        <v>185</v>
      </c>
      <c r="XFD1" s="1"/>
    </row>
    <row r="2" spans="1:4 16384:16384" x14ac:dyDescent="0.2">
      <c r="A2">
        <v>1</v>
      </c>
      <c r="B2" t="s">
        <v>186</v>
      </c>
      <c r="C2">
        <v>10</v>
      </c>
      <c r="D2">
        <v>0</v>
      </c>
    </row>
    <row r="3" spans="1:4 16384:16384" x14ac:dyDescent="0.2">
      <c r="A3">
        <v>2</v>
      </c>
      <c r="B3" t="s">
        <v>187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B2" sqref="B2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250</v>
      </c>
      <c r="B1" s="1" t="s">
        <v>251</v>
      </c>
      <c r="C1" s="1" t="s">
        <v>182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252</v>
      </c>
      <c r="C2" s="2"/>
    </row>
    <row r="3" spans="1:10 16384:16384" x14ac:dyDescent="0.2">
      <c r="A3" s="2">
        <v>2</v>
      </c>
      <c r="B3" s="2" t="s">
        <v>279</v>
      </c>
      <c r="C3" s="2" t="s">
        <v>253</v>
      </c>
    </row>
    <row r="4" spans="1:10 16384:16384" x14ac:dyDescent="0.2">
      <c r="A4" s="2">
        <v>3</v>
      </c>
      <c r="B4" s="2" t="s">
        <v>280</v>
      </c>
      <c r="C4" s="2" t="s">
        <v>254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255</v>
      </c>
      <c r="B1" s="1" t="s">
        <v>256</v>
      </c>
      <c r="C1" s="1" t="s">
        <v>257</v>
      </c>
      <c r="D1" s="1" t="s">
        <v>258</v>
      </c>
      <c r="E1" s="1" t="s">
        <v>259</v>
      </c>
      <c r="F1" s="1" t="s">
        <v>260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261</v>
      </c>
      <c r="D2" s="2">
        <v>0</v>
      </c>
      <c r="E2" s="2"/>
      <c r="F2" t="s">
        <v>262</v>
      </c>
    </row>
    <row r="3" spans="1:10 16384:16384" ht="39" customHeight="1" x14ac:dyDescent="0.2">
      <c r="A3" s="2">
        <v>2</v>
      </c>
      <c r="B3" s="2">
        <v>1</v>
      </c>
      <c r="C3" s="2" t="s">
        <v>263</v>
      </c>
      <c r="D3" s="2">
        <v>1</v>
      </c>
      <c r="E3" s="2" t="s">
        <v>271</v>
      </c>
      <c r="F3" t="s">
        <v>337</v>
      </c>
    </row>
    <row r="4" spans="1:10 16384:16384" ht="63.75" customHeight="1" x14ac:dyDescent="0.2">
      <c r="A4" s="2">
        <v>3</v>
      </c>
      <c r="B4" s="2">
        <v>1</v>
      </c>
      <c r="C4" s="2" t="s">
        <v>264</v>
      </c>
      <c r="D4" s="2">
        <v>0</v>
      </c>
      <c r="E4" s="4" t="s">
        <v>270</v>
      </c>
      <c r="F4" t="s">
        <v>265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326</v>
      </c>
      <c r="B1" s="1" t="s">
        <v>327</v>
      </c>
      <c r="C1" s="1" t="s">
        <v>328</v>
      </c>
      <c r="D1" s="1" t="s">
        <v>329</v>
      </c>
      <c r="E1" s="1" t="s">
        <v>330</v>
      </c>
      <c r="F1" s="1" t="s">
        <v>331</v>
      </c>
      <c r="G1" s="1" t="s">
        <v>332</v>
      </c>
      <c r="H1" s="1" t="s">
        <v>333</v>
      </c>
      <c r="I1" s="1" t="s">
        <v>334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335</v>
      </c>
      <c r="B1" t="s">
        <v>336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2"/>
  <sheetViews>
    <sheetView workbookViewId="0">
      <selection sqref="A1:C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388</v>
      </c>
      <c r="B1" s="1" t="s">
        <v>344</v>
      </c>
      <c r="C1" t="s">
        <v>345</v>
      </c>
    </row>
    <row r="2" spans="1:3" x14ac:dyDescent="0.2">
      <c r="A2">
        <v>1</v>
      </c>
      <c r="B2" t="s">
        <v>364</v>
      </c>
      <c r="C2" t="s">
        <v>346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2020-09-22T01:35:27Z</dcterms:modified>
</cp:coreProperties>
</file>