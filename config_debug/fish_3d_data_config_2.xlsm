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4" activeTab="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I61" i="7"/>
  <c r="I64" i="7"/>
  <c r="H64" i="7"/>
  <c r="J2" i="7"/>
  <c r="E48" i="14" l="1"/>
  <c r="H61" i="7" s="1"/>
  <c r="E49" i="14"/>
  <c r="H62" i="7" s="1"/>
  <c r="E50" i="14"/>
  <c r="H63" i="7" s="1"/>
  <c r="H25" i="14" l="1"/>
  <c r="H26" i="14"/>
  <c r="H27" i="14"/>
  <c r="H28" i="14"/>
  <c r="I26" i="14"/>
  <c r="E26" i="14"/>
  <c r="J40" i="7"/>
  <c r="L25" i="14"/>
  <c r="J39" i="7"/>
  <c r="F26" i="1"/>
  <c r="D26" i="1"/>
  <c r="F26" i="14" l="1"/>
  <c r="H40" i="7"/>
  <c r="L26" i="14"/>
  <c r="I40" i="7"/>
  <c r="G36" i="5"/>
  <c r="F51" i="1" l="1"/>
  <c r="D51" i="1"/>
  <c r="E47" i="14" l="1"/>
  <c r="F7" i="1" l="1"/>
  <c r="D7" i="1"/>
  <c r="I7" i="14"/>
  <c r="L7" i="14" s="1"/>
  <c r="I8" i="14"/>
  <c r="F7" i="14"/>
  <c r="I67" i="7" l="1"/>
  <c r="I8" i="7"/>
  <c r="D39" i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I47" i="14" s="1"/>
  <c r="F48" i="1"/>
  <c r="F49" i="1"/>
  <c r="I49" i="14" s="1"/>
  <c r="I62" i="7" s="1"/>
  <c r="F50" i="1"/>
  <c r="I50" i="14" s="1"/>
  <c r="I63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H26" i="7" l="1"/>
  <c r="H30" i="7"/>
  <c r="H11" i="7"/>
  <c r="H12" i="7"/>
  <c r="H24" i="7"/>
  <c r="H28" i="7"/>
  <c r="H25" i="7"/>
  <c r="H17" i="7"/>
  <c r="H10" i="7"/>
  <c r="I9" i="7"/>
  <c r="I15" i="7"/>
  <c r="L10" i="14"/>
  <c r="I10" i="7"/>
  <c r="I16" i="7"/>
  <c r="H23" i="7"/>
  <c r="H27" i="7"/>
  <c r="H22" i="7"/>
  <c r="H9" i="7"/>
  <c r="F24" i="14"/>
  <c r="L24" i="14"/>
  <c r="L9" i="14"/>
  <c r="F10" i="14"/>
  <c r="F9" i="14"/>
  <c r="F38" i="1"/>
  <c r="D38" i="1"/>
  <c r="E8" i="14" l="1"/>
  <c r="H67" i="7" l="1"/>
  <c r="H16" i="7"/>
  <c r="H8" i="7"/>
  <c r="H15" i="7"/>
  <c r="F32" i="1"/>
  <c r="F33" i="1"/>
  <c r="F34" i="1"/>
  <c r="F36" i="1"/>
  <c r="F37" i="1"/>
  <c r="D37" i="1"/>
  <c r="D36" i="1" l="1"/>
  <c r="G32" i="5" l="1"/>
  <c r="G30" i="5"/>
  <c r="H32" i="14" s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F28" i="14"/>
  <c r="K28" i="14"/>
  <c r="I29" i="14"/>
  <c r="F31" i="1"/>
  <c r="I31" i="14" s="1"/>
  <c r="I45" i="7" s="1"/>
  <c r="I32" i="14"/>
  <c r="I46" i="7" s="1"/>
  <c r="G20" i="5"/>
  <c r="G21" i="5"/>
  <c r="H48" i="14" s="1"/>
  <c r="G19" i="5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H21" i="7" l="1"/>
  <c r="H66" i="7"/>
  <c r="H14" i="7"/>
  <c r="I30" i="7"/>
  <c r="F33" i="14"/>
  <c r="H47" i="7"/>
  <c r="F35" i="14"/>
  <c r="H49" i="7"/>
  <c r="F37" i="14"/>
  <c r="H51" i="7"/>
  <c r="F39" i="14"/>
  <c r="H53" i="7"/>
  <c r="F41" i="14"/>
  <c r="H55" i="7"/>
  <c r="F43" i="14"/>
  <c r="H57" i="7"/>
  <c r="F45" i="14"/>
  <c r="H59" i="7"/>
  <c r="I27" i="7"/>
  <c r="I17" i="7"/>
  <c r="H20" i="7"/>
  <c r="H65" i="7"/>
  <c r="H13" i="7"/>
  <c r="H18" i="7"/>
  <c r="L15" i="14"/>
  <c r="I29" i="7"/>
  <c r="L30" i="14"/>
  <c r="I44" i="7"/>
  <c r="I11" i="7"/>
  <c r="I12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3" i="7"/>
  <c r="H7" i="7"/>
  <c r="H2" i="7"/>
  <c r="H4" i="7"/>
  <c r="H5" i="7"/>
  <c r="H6" i="7"/>
  <c r="L17" i="14"/>
  <c r="I31" i="7"/>
  <c r="L29" i="14"/>
  <c r="I43" i="7"/>
  <c r="H20" i="14"/>
  <c r="H30" i="14"/>
  <c r="L19" i="14"/>
  <c r="F50" i="14"/>
  <c r="I43" i="14"/>
  <c r="I39" i="14"/>
  <c r="I53" i="7" s="1"/>
  <c r="I20" i="14"/>
  <c r="I34" i="7" s="1"/>
  <c r="I41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I22" i="7" s="1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58" i="7" s="1"/>
  <c r="I37" i="14"/>
  <c r="I51" i="7" s="1"/>
  <c r="I42" i="14"/>
  <c r="I56" i="7" s="1"/>
  <c r="I35" i="14"/>
  <c r="I49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L18" i="14" l="1"/>
  <c r="I32" i="7"/>
  <c r="L41" i="14"/>
  <c r="I55" i="7"/>
  <c r="I19" i="7"/>
  <c r="I66" i="7"/>
  <c r="I21" i="7"/>
  <c r="I14" i="7"/>
  <c r="I13" i="7"/>
  <c r="I18" i="7"/>
  <c r="I65" i="7"/>
  <c r="I20" i="7"/>
  <c r="L36" i="14"/>
  <c r="I50" i="7"/>
  <c r="I26" i="7"/>
  <c r="L38" i="14"/>
  <c r="I52" i="7"/>
  <c r="I5" i="7"/>
  <c r="I6" i="7"/>
  <c r="I3" i="7"/>
  <c r="I7" i="7"/>
  <c r="I4" i="7"/>
  <c r="I2" i="7"/>
  <c r="L43" i="14"/>
  <c r="I57" i="7"/>
  <c r="L14" i="14"/>
  <c r="I25" i="7"/>
  <c r="I24" i="7"/>
  <c r="I28" i="7"/>
  <c r="I23" i="7"/>
  <c r="L23" i="14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<sst xmlns="http://schemas.openxmlformats.org/spreadsheetml/2006/main" count="474" uniqueCount="363">
  <si>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</si>
  <si>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</si>
  <si>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</si>
  <si>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</si>
  <si>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</si>
  <si>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</si>
  <si>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</si>
  <si>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</si>
  <si>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</si>
  <si>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</si>
  <si>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</si>
  <si>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</si>
  <si>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</si>
  <si>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</si>
  <si>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</si>
  <si>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</si>
  <si>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</si>
  <si>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</si>
  <si>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</si>
  <si>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</si>
  <si>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</si>
  <si>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</si>
  <si>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</si>
  <si>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</si>
  <si>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</si>
  <si>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</si>
  <si>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</si>
  <si>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</si>
  <si>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</si>
  <si>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</si>
  <si>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</si>
  <si>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</si>
  <si>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</si>
  <si>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</si>
  <si>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</si>
  <si>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</si>
  <si>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</si>
  <si>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</si>
  <si>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</si>
  <si>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</si>
  <si>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</si>
  <si>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</si>
  <si>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</si>
  <si>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</si>
  <si>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</si>
  <si>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</si>
  <si>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</si>
  <si>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</si>
  <si>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</si>
  <si>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</si>
  <si>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</si>
  <si>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</si>
  <si>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</si>
  <si>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</si>
  <si>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</si>
  <si>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</si>
  <si>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</si>
  <si>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</si>
  <si>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</si>
  <si>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</si>
  <si>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</si>
  <si>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</si>
  <si>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</si>
  <si>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</si>
  <si>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</si>
  <si>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</si>
  <si>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</si>
  <si>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</si>
  <si>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</si>
  <si>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</si>
  <si>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</si>
  <si>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</si>
  <si>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</si>
  <si>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</si>
  <si>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</si>
  <si>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</si>
  <si>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</si>
  <si>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</si>
  <si>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</si>
  <si>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</si>
  <si>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</si>
  <si>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</si>
  <si>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</si>
  <si>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</si>
  <si>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</si>
  <si>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</si>
  <si>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</si>
  <si>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</si>
  <si>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</si>
  <si>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</si>
  <si>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</si>
  <si>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</si>
  <si>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</si>
  <si>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</si>
  <si>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</si>
  <si>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</si>
  <si>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</si>
  <si>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</si>
  <si>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</si>
  <si>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</si>
  <si>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</si>
  <si>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</si>
  <si>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</si>
  <si>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</si>
  <si>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</si>
  <si>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</si>
  <si>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</si>
  <si>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</si>
  <si>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</si>
  <si>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</si>
  <si>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</si>
  <si>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</si>
  <si>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</si>
  <si>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</si>
  <si>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</si>
  <si>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</si>
  <si>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</si>
  <si>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</si>
  <si>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</si>
  <si>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</si>
  <si>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</si>
  <si>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</si>
  <si>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</si>
  <si>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</si>
  <si>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</si>
  <si>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</si>
  <si>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</si>
  <si>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</si>
  <si>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</si>
  <si>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</si>
  <si>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</si>
  <si>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</si>
  <si>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</si>
  <si>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</si>
  <si>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</si>
  <si>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</si>
  <si>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</si>
  <si>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</si>
  <si>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</si>
  <si>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</si>
  <si>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</si>
  <si>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</si>
  <si>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</si>
  <si>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</si>
  <si>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</si>
  <si>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</si>
  <si>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</si>
  <si>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60,90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</si>
  <si>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</si>
  <si>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</si>
  <si>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</si>
  <si>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</si>
  <si>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</si>
  <si>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</si>
  <si>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</si>
  <si>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</si>
  <si>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</si>
  <si>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</si>
  <si>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</si>
  <si>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</si>
  <si>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</si>
  <si>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</si>
  <si>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</si>
  <si>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</si>
  <si>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</si>
  <si>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</si>
  <si>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</si>
  <si>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</si>
  <si>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</si>
  <si>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</si>
  <si>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</si>
  <si>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</si>
  <si>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</si>
  <si>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</si>
  <si>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</si>
  <si>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</si>
  <si>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</si>
  <si>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</si>
  <si>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</si>
  <si>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</si>
  <si>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</si>
  <si>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</si>
  <si>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</si>
  <si>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</si>
  <si>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</si>
  <si>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</si>
  <si>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</si>
  <si>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</si>
  <si>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</si>
  <si>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</si>
  <si>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</si>
  <si>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</si>
  <si>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</si>
  <si>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</si>
  <si>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</si>
  <si>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</si>
  <si>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</si>
  <si>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</si>
  <si>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</si>
  <si>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</si>
  <si>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</si>
  <si>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</si>
  <si>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</si>
  <si>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</si>
  <si>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</si>
  <si>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</si>
  <si>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</si>
  <si>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</si>
  <si>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</si>
  <si>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</si>
  <si>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</si>
  <si>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</si>
  <si>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</si>
  <si>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</si>
  <si>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</si>
  <si>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</si>
  <si>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</si>
  <si>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</si>
  <si>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</si>
  <si>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</si>
  <si>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100,</t>
    <phoneticPr fontId="1" type="noConversion"/>
  </si>
  <si>
    <t>100,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</si>
  <si>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</si>
  <si>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</si>
  <si>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</si>
  <si>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</si>
  <si>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</si>
  <si>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</si>
  <si>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</si>
  <si>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</si>
  <si>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</si>
  <si>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</si>
  <si>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</si>
  <si>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</si>
  <si>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</si>
  <si>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</si>
  <si>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</si>
  <si>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</si>
  <si>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</si>
  <si>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</si>
  <si>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</si>
  <si>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</si>
  <si>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</si>
  <si>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</si>
  <si>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</si>
  <si>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</si>
  <si>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</si>
  <si>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</si>
  <si>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</si>
  <si>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</si>
  <si>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</si>
  <si>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</si>
  <si>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</si>
  <si>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</si>
  <si>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</si>
  <si>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</si>
  <si>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</si>
  <si>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</si>
  <si>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</si>
  <si>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</si>
  <si>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</si>
  <si>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</si>
  <si>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</si>
  <si>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</si>
  <si>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</si>
  <si>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</si>
  <si>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</si>
  <si>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</si>
  <si>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</si>
  <si>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</si>
  <si>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</si>
  <si>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400,500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</si>
  <si>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</si>
  <si>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</si>
  <si>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</si>
  <si>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</si>
  <si>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</si>
  <si>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</si>
  <si>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</si>
  <si>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</si>
  <si>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</si>
  <si>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</si>
  <si>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</si>
  <si>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</si>
  <si>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</si>
  <si>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</si>
  <si>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</si>
  <si>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</si>
  <si>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</si>
  <si>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</si>
  <si>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</si>
  <si>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</si>
  <si>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</si>
  <si>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</si>
  <si>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</si>
  <si>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</si>
  <si>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</si>
  <si>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</si>
  <si>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</si>
  <si>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</si>
  <si>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</si>
  <si>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</si>
  <si>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</si>
  <si>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</si>
  <si>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</si>
  <si>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</si>
  <si>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</si>
  <si>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</si>
  <si>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</si>
  <si>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</si>
  <si>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</si>
  <si>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</si>
  <si>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</si>
  <si>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</si>
  <si>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</si>
  <si>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</si>
  <si>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</si>
  <si>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</si>
  <si>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</si>
  <si>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</si>
  <si>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</si>
  <si>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</si>
  <si>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</si>
  <si>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</si>
  <si>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11,11,11,11,11,</t>
    <phoneticPr fontId="1" type="noConversion"/>
  </si>
  <si>
    <t>10,10,10,10,10,</t>
    <phoneticPr fontId="1" type="noConversion"/>
  </si>
  <si>
    <t>9,9,9,9,9,</t>
    <phoneticPr fontId="1" type="noConversion"/>
  </si>
  <si>
    <t>24,7,6,28,4,75,17,</t>
    <phoneticPr fontId="1" type="noConversion"/>
  </si>
  <si>
    <t>4,11,19,5,34,26,76,</t>
    <phoneticPr fontId="1" type="noConversion"/>
  </si>
  <si>
    <t>39,12,35,16,15,29,5,</t>
    <phoneticPr fontId="1" type="noConversion"/>
  </si>
  <si>
    <t>吞噬天下</t>
    <phoneticPr fontId="1" type="noConversion"/>
  </si>
  <si>
    <t>200,</t>
    <phoneticPr fontId="1" type="noConversion"/>
  </si>
  <si>
    <t>7,7,7,7,7,</t>
    <phoneticPr fontId="1" type="noConversion"/>
  </si>
  <si>
    <t>6,6,6,6,6,</t>
    <phoneticPr fontId="1" type="noConversion"/>
  </si>
  <si>
    <t>77,39,12,35,15,</t>
    <phoneticPr fontId="1" type="noConversion"/>
  </si>
  <si>
    <t>26,24,6,28,4,</t>
    <phoneticPr fontId="1" type="noConversion"/>
  </si>
  <si>
    <t>0,300</t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</si>
  <si>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</si>
  <si>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</si>
  <si>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</si>
  <si>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</si>
  <si>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</si>
  <si>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</si>
  <si>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</si>
  <si>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</si>
  <si>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</si>
  <si>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</si>
  <si>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</si>
  <si>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</si>
  <si>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</si>
  <si>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</si>
  <si>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</si>
  <si>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1,500,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</si>
  <si>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</si>
  <si>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</si>
  <si>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</si>
  <si>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50,50,50,50,100,</t>
    <phoneticPr fontId="1" type="noConversion"/>
  </si>
  <si>
    <t>50,50,50,50,100,</t>
    <phoneticPr fontId="1" type="noConversion"/>
  </si>
  <si>
    <t>4,40,60,80,120,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</si>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</sst>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232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210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212</v>
      </c>
      <c r="M1" s="8" t="s">
        <v>227</v>
      </c>
    </row>
    <row r="2" spans="1:13" x14ac:dyDescent="0.2">
      <c r="A2" s="2">
        <v>1</v>
      </c>
      <c r="B2" s="2" t="s">
        <v>274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213</v>
      </c>
      <c r="C3" s="2">
        <v>1</v>
      </c>
      <c r="D3" t="s">
        <v>211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213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213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213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213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213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338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273</v>
      </c>
      <c r="C10" s="2">
        <v>1</v>
      </c>
      <c r="D10" t="s">
        <v>232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321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abSelected="1" workbookViewId="0">
      <pane ySplit="1" topLeftCell="A15" activePane="bottomLeft" state="frozen"/>
      <selection pane="bottomLeft" activeCell="K47" sqref="K47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275</v>
      </c>
      <c r="B1" s="1" t="s">
        <v>276</v>
      </c>
      <c r="C1" s="1" t="s">
        <v>277</v>
      </c>
      <c r="D1" s="1" t="s">
        <v>278</v>
      </c>
      <c r="E1" s="1" t="s">
        <v>279</v>
      </c>
      <c r="F1" s="1" t="s">
        <v>280</v>
      </c>
      <c r="G1" s="1" t="s">
        <v>281</v>
      </c>
      <c r="H1" s="1" t="s">
        <v>97</v>
      </c>
      <c r="I1" s="1" t="s">
        <v>282</v>
      </c>
      <c r="J1" s="9" t="s">
        <v>105</v>
      </c>
      <c r="K1" s="1" t="s">
        <v>283</v>
      </c>
      <c r="L1" s="1" t="s">
        <v>50</v>
      </c>
      <c r="Q1" s="1" t="s">
        <v>284</v>
      </c>
      <c r="R1" s="1" t="s">
        <v>284</v>
      </c>
      <c r="S1" s="1" t="s">
        <v>284</v>
      </c>
      <c r="T1" s="1" t="s">
        <v>284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285</v>
      </c>
      <c r="D2" s="29" t="s">
        <v>162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162</v>
      </c>
      <c r="D3" s="29" t="s">
        <v>162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265</v>
      </c>
      <c r="D4" s="29" t="s">
        <v>162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224</v>
      </c>
      <c r="D5" s="29" t="s">
        <v>162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225</v>
      </c>
      <c r="D6" s="29" t="s">
        <v>162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333</v>
      </c>
      <c r="G7" s="45" t="s">
        <v>334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332</v>
      </c>
      <c r="G8" s="45" t="s">
        <v>335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163</v>
      </c>
      <c r="D9" s="29" t="s">
        <v>162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286</v>
      </c>
      <c r="D10" s="29" t="s">
        <v>287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288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266</v>
      </c>
      <c r="D12" s="29" t="s">
        <v>162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171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289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290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291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292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171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293</v>
      </c>
      <c r="G19" s="41" t="s">
        <v>294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295</v>
      </c>
      <c r="G20" s="41" t="s">
        <v>172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296</v>
      </c>
      <c r="G21" s="41" t="s">
        <v>297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298</v>
      </c>
      <c r="G22" s="41" t="s">
        <v>216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299</v>
      </c>
      <c r="G23" s="21" t="s">
        <v>272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300</v>
      </c>
      <c r="G24" s="21" t="s">
        <v>173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301</v>
      </c>
      <c r="G25" s="21" t="s">
        <v>174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302</v>
      </c>
      <c r="G26" s="21" t="s">
        <v>303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304</v>
      </c>
      <c r="G27" s="41" t="s">
        <v>305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306</v>
      </c>
      <c r="G28" s="41" t="s">
        <v>307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308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309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310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164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165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311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166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167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312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168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313</v>
      </c>
      <c r="H39" s="19" t="s">
        <v>315</v>
      </c>
      <c r="I39" s="19" t="s">
        <v>263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314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169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316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317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318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150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150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319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100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100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176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125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125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175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177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178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179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180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181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182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183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184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185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186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187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188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189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320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600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190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191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192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326</v>
      </c>
      <c r="G65" s="45" t="s">
        <v>327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325</v>
      </c>
      <c r="G66" s="45" t="s">
        <v>329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324</v>
      </c>
      <c r="G67" s="46" t="s">
        <v>328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7:H38 H40:H64 H2:H25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" activePane="bottomLeft" state="frozen"/>
      <selection pane="bottomLeft" activeCell="K31" sqref="K31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214</v>
      </c>
      <c r="C1" s="1" t="s">
        <v>11</v>
      </c>
      <c r="D1" s="1" t="s">
        <v>337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201</v>
      </c>
      <c r="O1" s="8" t="s">
        <v>212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2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3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342</v>
      </c>
      <c r="E21" s="19">
        <f>LOOKUP(use_fish!B21,base_fish!A:A,base_fish!C:C)+_xlfn.IFNA(INDEX(activity!F:F,MATCH(use_fish!C21,activity!A:A,0)),0)</f>
        <v>80</v>
      </c>
      <c r="F21" s="19">
        <f t="shared" si="2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3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342</v>
      </c>
      <c r="E22" s="19">
        <f>LOOKUP(use_fish!B22,base_fish!A:A,base_fish!C:C)+_xlfn.IFNA(INDEX(activity!F:F,MATCH(use_fish!C22,activity!A:A,0)),0)</f>
        <v>80</v>
      </c>
      <c r="F22" s="19">
        <f t="shared" si="2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3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342</v>
      </c>
      <c r="E23" s="19">
        <f>LOOKUP(use_fish!B23,base_fish!A:A,base_fish!C:C)+_xlfn.IFNA(INDEX(activity!F:F,MATCH(use_fish!C23,activity!A:A,0)),0)</f>
        <v>120</v>
      </c>
      <c r="F23" s="19">
        <f t="shared" si="2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3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342</v>
      </c>
      <c r="E24" s="19">
        <f>LOOKUP(use_fish!B24,base_fish!A:A,base_fish!C:C)+_xlfn.IFNA(INDEX(activity!F:F,MATCH(use_fish!C24,activity!A:A,0)),0)</f>
        <v>140</v>
      </c>
      <c r="F24" s="19">
        <f t="shared" si="2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3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356</v>
      </c>
      <c r="F25" s="19" t="s">
        <v>263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357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355</v>
      </c>
      <c r="E26" s="19">
        <f>LOOKUP(use_fish!B26,base_fish!A:A,base_fish!C:C)+_xlfn.IFNA(INDEX(activity!F:F,MATCH(use_fish!C26,activity!A:A,0)),0)</f>
        <v>150</v>
      </c>
      <c r="F26" s="19">
        <f t="shared" si="2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3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342</v>
      </c>
      <c r="E27" s="19">
        <f>LOOKUP(use_fish!B27,base_fish!A:A,base_fish!C:C)+_xlfn.IFNA(INDEX(activity!F:F,MATCH(use_fish!C27,activity!A:A,0)),0)</f>
        <v>180</v>
      </c>
      <c r="F27" s="19">
        <f t="shared" si="2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3"/>
        <v>180</v>
      </c>
      <c r="M27" s="21">
        <v>1</v>
      </c>
      <c r="N27" s="21">
        <v>0</v>
      </c>
      <c r="O27" s="21">
        <v>1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342</v>
      </c>
      <c r="E28" s="19">
        <f>LOOKUP(use_fish!B28,base_fish!A:A,base_fish!C:C)+_xlfn.IFNA(INDEX(activity!F:F,MATCH(use_fish!C28,activity!A:A,0)),0)</f>
        <v>200</v>
      </c>
      <c r="F28" s="19">
        <f t="shared" si="2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3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4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5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150</v>
      </c>
      <c r="F30" s="23">
        <f t="shared" si="4"/>
        <v>6.6666666666666671E-3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150</v>
      </c>
      <c r="J30" s="25">
        <v>1</v>
      </c>
      <c r="K30" s="25">
        <f>LOOKUP(use_fish!B30,base_fish!A:A,base_fish!G:G)</f>
        <v>0</v>
      </c>
      <c r="L30" s="25">
        <f t="shared" si="5"/>
        <v>150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100</v>
      </c>
      <c r="F31" s="23">
        <f t="shared" si="4"/>
        <v>0.01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100</v>
      </c>
      <c r="J31" s="25">
        <v>1</v>
      </c>
      <c r="K31" s="25">
        <f>LOOKUP(use_fish!B31,base_fish!A:A,base_fish!G:G)</f>
        <v>0</v>
      </c>
      <c r="L31" s="25">
        <f t="shared" si="5"/>
        <v>100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125</v>
      </c>
      <c r="F32" s="23">
        <f t="shared" si="4"/>
        <v>8.0000000000000002E-3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125</v>
      </c>
      <c r="J32" s="25">
        <v>1</v>
      </c>
      <c r="K32" s="25">
        <f>LOOKUP(use_fish!B32,base_fish!A:A,base_fish!G:G)</f>
        <v>0</v>
      </c>
      <c r="L32" s="25">
        <f t="shared" si="5"/>
        <v>125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6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7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6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7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6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7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6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7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6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7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336</v>
      </c>
      <c r="E38" s="23">
        <f>LOOKUP(use_fish!B38,base_fish!A:A,base_fish!C:C)+_xlfn.IFNA(INDEX(activity!F:F,MATCH(use_fish!C38,activity!A:A,0)),0)</f>
        <v>200</v>
      </c>
      <c r="F38" s="23">
        <f t="shared" si="6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7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359</v>
      </c>
      <c r="E39" s="32">
        <f>LOOKUP(use_fish!B39,base_fish!A:A,base_fish!C:C)+_xlfn.IFNA(INDEX(activity!F:F,MATCH(use_fish!C39,activity!A:A,0)),0)</f>
        <v>200</v>
      </c>
      <c r="F39" s="32">
        <f t="shared" si="6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7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359</v>
      </c>
      <c r="E40" s="32">
        <f>LOOKUP(use_fish!B40,base_fish!A:A,base_fish!C:C)+_xlfn.IFNA(INDEX(activity!F:F,MATCH(use_fish!C40,activity!A:A,0)),0)</f>
        <v>100</v>
      </c>
      <c r="F40" s="32">
        <f t="shared" ref="F40:F45" si="8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9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359</v>
      </c>
      <c r="E41" s="32">
        <f>LOOKUP(use_fish!B41,base_fish!A:A,base_fish!C:C)+_xlfn.IFNA(INDEX(activity!F:F,MATCH(use_fish!C41,activity!A:A,0)),0)</f>
        <v>500</v>
      </c>
      <c r="F41" s="32">
        <f t="shared" si="8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9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359</v>
      </c>
      <c r="E42" s="32">
        <f>LOOKUP(use_fish!B42,base_fish!A:A,base_fish!C:C)+_xlfn.IFNA(INDEX(activity!F:F,MATCH(use_fish!C42,activity!A:A,0)),0)</f>
        <v>300</v>
      </c>
      <c r="F42" s="32">
        <f t="shared" si="8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9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8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9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359</v>
      </c>
      <c r="E44" s="32">
        <f>LOOKUP(use_fish!B44,base_fish!A:A,base_fish!C:C)+_xlfn.IFNA(INDEX(activity!F:F,MATCH(use_fish!C44,activity!A:A,0)),0)</f>
        <v>400</v>
      </c>
      <c r="F44" s="32">
        <f t="shared" si="8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9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8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9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0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1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361</v>
      </c>
      <c r="E47" s="36">
        <f>LOOKUP(use_fish!B47,base_fish!A:A,base_fish!C:C)+_xlfn.IFNA(INDEX(activity!F:F,MATCH(use_fish!C47,activity!A:A,0)),0)</f>
        <v>300</v>
      </c>
      <c r="F47" s="36">
        <f t="shared" si="10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1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336</v>
      </c>
      <c r="E48" s="36">
        <f>LOOKUP(use_fish!B48,base_fish!A:A,base_fish!C:C)+_xlfn.IFNA(INDEX(activity!F:F,MATCH(use_fish!C48,activity!A:A,0)),0)</f>
        <v>400</v>
      </c>
      <c r="F48" s="36">
        <f t="shared" si="10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600</v>
      </c>
      <c r="J48" s="35">
        <v>1</v>
      </c>
      <c r="K48" s="35">
        <f>LOOKUP(use_fish!B48,base_fish!A:A,base_fish!G:G)</f>
        <v>0</v>
      </c>
      <c r="L48" s="35">
        <f t="shared" si="11"/>
        <v>600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360</v>
      </c>
      <c r="E49" s="36">
        <f>LOOKUP(use_fish!B49,base_fish!A:A,base_fish!C:C)+_xlfn.IFNA(INDEX(activity!F:F,MATCH(use_fish!C49,activity!A:A,0)),0)</f>
        <v>500</v>
      </c>
      <c r="F49" s="36">
        <f t="shared" si="10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1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362</v>
      </c>
      <c r="E50" s="36">
        <f>LOOKUP(use_fish!B50,base_fish!A:A,base_fish!C:C)+_xlfn.IFNA(INDEX(activity!F:F,MATCH(use_fish!C50,activity!A:A,0)),0)</f>
        <v>600</v>
      </c>
      <c r="F50" s="36">
        <f t="shared" si="10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1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344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4" workbookViewId="0">
      <selection activeCell="A18" sqref="A1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170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267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268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341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193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194</v>
      </c>
    </row>
    <row r="18" spans="1:9" x14ac:dyDescent="0.2">
      <c r="A18">
        <v>17</v>
      </c>
      <c r="B18">
        <v>10</v>
      </c>
      <c r="C18" s="7" t="s">
        <v>339</v>
      </c>
      <c r="D18" s="4">
        <v>0</v>
      </c>
      <c r="E18" s="4">
        <v>0</v>
      </c>
      <c r="F18">
        <v>150</v>
      </c>
      <c r="G18" t="s">
        <v>340</v>
      </c>
      <c r="H18">
        <v>22</v>
      </c>
      <c r="I18" t="s">
        <v>202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206</v>
      </c>
    </row>
    <row r="20" spans="1:9" x14ac:dyDescent="0.2">
      <c r="A20">
        <v>19</v>
      </c>
      <c r="B20">
        <v>17</v>
      </c>
      <c r="C20" t="s">
        <v>147</v>
      </c>
      <c r="D20" s="4">
        <v>0</v>
      </c>
      <c r="E20" s="4">
        <v>0</v>
      </c>
      <c r="F20">
        <v>150</v>
      </c>
      <c r="G20" t="str">
        <f t="shared" si="0"/>
        <v>钻头弹</v>
      </c>
      <c r="H20">
        <v>24</v>
      </c>
      <c r="I20" t="s">
        <v>207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208</v>
      </c>
    </row>
    <row r="22" spans="1:9" x14ac:dyDescent="0.2">
      <c r="A22">
        <v>21</v>
      </c>
      <c r="B22">
        <v>20</v>
      </c>
      <c r="C22" s="11" t="s">
        <v>203</v>
      </c>
      <c r="D22" s="4">
        <v>0</v>
      </c>
      <c r="E22" s="4">
        <v>0</v>
      </c>
      <c r="F22">
        <v>50</v>
      </c>
      <c r="G22" t="s">
        <v>228</v>
      </c>
      <c r="H22">
        <v>26</v>
      </c>
      <c r="I22" t="s">
        <v>222</v>
      </c>
    </row>
    <row r="23" spans="1:9" x14ac:dyDescent="0.2">
      <c r="A23">
        <v>22</v>
      </c>
      <c r="B23">
        <v>20</v>
      </c>
      <c r="C23" s="11" t="s">
        <v>148</v>
      </c>
      <c r="D23" s="4">
        <v>0</v>
      </c>
      <c r="E23" s="4">
        <v>0</v>
      </c>
      <c r="F23">
        <v>150</v>
      </c>
      <c r="G23" t="s">
        <v>229</v>
      </c>
      <c r="H23">
        <v>27</v>
      </c>
      <c r="I23" t="s">
        <v>223</v>
      </c>
    </row>
    <row r="24" spans="1:9" x14ac:dyDescent="0.2">
      <c r="A24">
        <v>23</v>
      </c>
      <c r="B24">
        <v>20</v>
      </c>
      <c r="C24" s="11" t="s">
        <v>149</v>
      </c>
      <c r="D24" s="4">
        <v>0</v>
      </c>
      <c r="E24" s="4">
        <v>0</v>
      </c>
      <c r="F24">
        <v>250</v>
      </c>
      <c r="G24" t="s">
        <v>230</v>
      </c>
      <c r="H24">
        <v>28</v>
      </c>
      <c r="I24" t="s">
        <v>219</v>
      </c>
    </row>
    <row r="25" spans="1:9" x14ac:dyDescent="0.2">
      <c r="A25">
        <v>24</v>
      </c>
      <c r="B25">
        <v>20</v>
      </c>
      <c r="C25" s="11" t="s">
        <v>150</v>
      </c>
      <c r="D25" s="4">
        <v>0</v>
      </c>
      <c r="E25" s="4">
        <v>0</v>
      </c>
      <c r="F25">
        <v>450</v>
      </c>
      <c r="G25" t="s">
        <v>231</v>
      </c>
      <c r="H25">
        <v>29</v>
      </c>
      <c r="I25" t="s">
        <v>218</v>
      </c>
    </row>
    <row r="26" spans="1:9" x14ac:dyDescent="0.2">
      <c r="A26">
        <v>25</v>
      </c>
      <c r="B26">
        <v>21</v>
      </c>
      <c r="C26" s="11" t="s">
        <v>195</v>
      </c>
      <c r="D26" s="4">
        <v>0</v>
      </c>
      <c r="E26" s="4">
        <v>0</v>
      </c>
      <c r="F26">
        <v>10</v>
      </c>
      <c r="G26" t="s">
        <v>198</v>
      </c>
      <c r="H26">
        <v>30</v>
      </c>
      <c r="I26" t="s">
        <v>330</v>
      </c>
    </row>
    <row r="27" spans="1:9" x14ac:dyDescent="0.2">
      <c r="A27">
        <v>26</v>
      </c>
      <c r="B27">
        <v>21</v>
      </c>
      <c r="C27" s="11" t="s">
        <v>196</v>
      </c>
      <c r="D27" s="4">
        <v>0</v>
      </c>
      <c r="E27" s="4">
        <v>0</v>
      </c>
      <c r="F27">
        <v>50</v>
      </c>
      <c r="G27" t="s">
        <v>199</v>
      </c>
      <c r="H27">
        <v>31</v>
      </c>
      <c r="I27" t="s">
        <v>345</v>
      </c>
    </row>
    <row r="28" spans="1:9" x14ac:dyDescent="0.2">
      <c r="A28">
        <v>27</v>
      </c>
      <c r="B28">
        <v>21</v>
      </c>
      <c r="C28" s="11" t="s">
        <v>197</v>
      </c>
      <c r="D28" s="4">
        <v>0</v>
      </c>
      <c r="E28" s="4">
        <v>0</v>
      </c>
      <c r="F28">
        <v>100</v>
      </c>
      <c r="G28" t="s">
        <v>200</v>
      </c>
      <c r="H28">
        <v>32</v>
      </c>
      <c r="I28" t="s">
        <v>346</v>
      </c>
    </row>
    <row r="29" spans="1:9" x14ac:dyDescent="0.2">
      <c r="A29">
        <v>28</v>
      </c>
      <c r="B29">
        <v>22</v>
      </c>
      <c r="C29" s="11" t="s">
        <v>205</v>
      </c>
      <c r="D29" s="4">
        <v>0</v>
      </c>
      <c r="E29" s="4">
        <v>0</v>
      </c>
      <c r="F29">
        <v>100</v>
      </c>
      <c r="G29" t="s">
        <v>204</v>
      </c>
      <c r="H29">
        <v>33</v>
      </c>
      <c r="I29" t="s">
        <v>347</v>
      </c>
    </row>
    <row r="30" spans="1:9" x14ac:dyDescent="0.2">
      <c r="A30">
        <v>29</v>
      </c>
      <c r="B30">
        <v>23</v>
      </c>
      <c r="C30" t="s">
        <v>226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271</v>
      </c>
      <c r="D31" s="4">
        <v>0</v>
      </c>
      <c r="E31" s="4">
        <v>0</v>
      </c>
      <c r="F31">
        <v>500</v>
      </c>
      <c r="G31" t="s">
        <v>270</v>
      </c>
    </row>
    <row r="32" spans="1:9" x14ac:dyDescent="0.2">
      <c r="A32">
        <v>31</v>
      </c>
      <c r="B32">
        <v>25</v>
      </c>
      <c r="C32" t="s">
        <v>215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220</v>
      </c>
      <c r="D33" s="4">
        <v>0</v>
      </c>
      <c r="E33" s="4">
        <v>0</v>
      </c>
      <c r="F33">
        <v>100</v>
      </c>
      <c r="G33" t="s">
        <v>217</v>
      </c>
    </row>
    <row r="34" spans="1:7" x14ac:dyDescent="0.2">
      <c r="A34">
        <v>33</v>
      </c>
      <c r="B34">
        <v>29</v>
      </c>
      <c r="C34" t="s">
        <v>221</v>
      </c>
      <c r="D34" s="4">
        <v>0</v>
      </c>
      <c r="E34" s="4">
        <v>0</v>
      </c>
      <c r="F34">
        <v>100</v>
      </c>
      <c r="G34" t="s">
        <v>218</v>
      </c>
    </row>
    <row r="35" spans="1:7" x14ac:dyDescent="0.2">
      <c r="A35">
        <v>34</v>
      </c>
      <c r="B35">
        <v>30</v>
      </c>
      <c r="C35" s="11" t="s">
        <v>331</v>
      </c>
      <c r="D35" s="4">
        <v>0</v>
      </c>
      <c r="E35" s="4">
        <v>0</v>
      </c>
      <c r="F35">
        <v>200</v>
      </c>
      <c r="G35" t="s">
        <v>330</v>
      </c>
    </row>
    <row r="36" spans="1:7" x14ac:dyDescent="0.2">
      <c r="A36">
        <v>35</v>
      </c>
      <c r="B36">
        <v>31</v>
      </c>
      <c r="C36" t="s">
        <v>358</v>
      </c>
      <c r="D36" s="4">
        <v>0</v>
      </c>
      <c r="E36" s="4">
        <v>0</v>
      </c>
      <c r="F36">
        <v>300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352</v>
      </c>
      <c r="D37" s="4">
        <v>0</v>
      </c>
      <c r="E37" s="4">
        <v>0</v>
      </c>
      <c r="F37">
        <v>500</v>
      </c>
      <c r="G37" t="s">
        <v>348</v>
      </c>
    </row>
    <row r="38" spans="1:7" x14ac:dyDescent="0.2">
      <c r="A38">
        <v>37</v>
      </c>
      <c r="B38">
        <v>33</v>
      </c>
      <c r="C38" t="s">
        <v>349</v>
      </c>
      <c r="D38" s="4">
        <v>0</v>
      </c>
      <c r="E38" s="4">
        <v>0</v>
      </c>
      <c r="F38">
        <v>500</v>
      </c>
      <c r="G38" t="s">
        <v>350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L20" sqref="L20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234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235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236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237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152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238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239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240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241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242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243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151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244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245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246</v>
      </c>
      <c r="F17" s="15">
        <f t="shared" si="1"/>
        <v>35</v>
      </c>
      <c r="G17" s="15">
        <v>0</v>
      </c>
      <c r="H17" s="15" t="s">
        <v>209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153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264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247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248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249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353</v>
      </c>
      <c r="D25" s="15" t="s">
        <v>354</v>
      </c>
      <c r="E25" s="17" t="s">
        <v>250</v>
      </c>
      <c r="F25" s="15" t="s">
        <v>353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155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154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251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158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157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159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161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269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156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252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253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254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233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160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255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323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256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257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258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259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260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155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322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261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262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343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351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2020-05-26T06:31:04Z</dcterms:modified>
</cp:coreProperties>
</file>