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I61" i="7"/>
  <c r="I64" i="7"/>
  <c r="H64" i="7"/>
  <c r="J2" i="7"/>
  <c r="E48" i="14" l="1"/>
  <c r="H61" i="7" s="1"/>
  <c r="E49" i="14"/>
  <c r="H62" i="7" s="1"/>
  <c r="E50" i="14"/>
  <c r="H63" i="7" s="1"/>
  <c r="H25" i="14" l="1"/>
  <c r="H26" i="14"/>
  <c r="H27" i="14"/>
  <c r="H28" i="14"/>
  <c r="I26" i="14"/>
  <c r="E26" i="14"/>
  <c r="J40" i="7"/>
  <c r="L25" i="14"/>
  <c r="J39" i="7"/>
  <c r="F26" i="1"/>
  <c r="D26" i="1"/>
  <c r="F26" i="14" l="1"/>
  <c r="H40" i="7"/>
  <c r="L26" i="14"/>
  <c r="I40" i="7"/>
  <c r="G36" i="5"/>
  <c r="F51" i="1" l="1"/>
  <c r="D51" i="1"/>
  <c r="E47" i="14" l="1"/>
  <c r="F7" i="1" l="1"/>
  <c r="D7" i="1"/>
  <c r="I7" i="14"/>
  <c r="L7" i="14" s="1"/>
  <c r="I8" i="14"/>
  <c r="F7" i="14"/>
  <c r="I67" i="7" l="1"/>
  <c r="I8" i="7"/>
  <c r="D39" i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F48" i="1"/>
  <c r="F49" i="1"/>
  <c r="I49" i="14" s="1"/>
  <c r="I62" i="7" s="1"/>
  <c r="F50" i="1"/>
  <c r="I50" i="14" s="1"/>
  <c r="I63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H26" i="7" l="1"/>
  <c r="H30" i="7"/>
  <c r="H11" i="7"/>
  <c r="H12" i="7"/>
  <c r="H24" i="7"/>
  <c r="H28" i="7"/>
  <c r="H25" i="7"/>
  <c r="H17" i="7"/>
  <c r="H10" i="7"/>
  <c r="I9" i="7"/>
  <c r="I15" i="7"/>
  <c r="L10" i="14"/>
  <c r="I10" i="7"/>
  <c r="I16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H21" i="7" l="1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<sst xmlns="http://schemas.openxmlformats.org/spreadsheetml/2006/main" count="480" uniqueCount="368">
  <si>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</si>
  <si>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</si>
  <si>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</si>
  <si>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</si>
  <si>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</si>
  <si>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</si>
  <si>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</si>
  <si>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</si>
  <si>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</si>
  <si>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</si>
  <si>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</si>
  <si>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</si>
  <si>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</si>
  <si>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</si>
  <si>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</si>
  <si>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</si>
  <si>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</si>
  <si>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</si>
  <si>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</si>
  <si>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</si>
  <si>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</si>
  <si>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</si>
  <si>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</si>
  <si>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</si>
  <si>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</si>
  <si>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</si>
  <si>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</si>
  <si>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</si>
  <si>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</si>
  <si>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</si>
  <si>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</si>
  <si>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</si>
  <si>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</si>
  <si>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</si>
  <si>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</si>
  <si>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</si>
  <si>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</si>
  <si>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</si>
  <si>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</si>
  <si>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</si>
  <si>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</si>
  <si>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</si>
  <si>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</si>
  <si>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</si>
  <si>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</si>
  <si>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</si>
  <si>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</si>
  <si>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</si>
  <si>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</si>
  <si>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</si>
  <si>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</si>
  <si>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</si>
  <si>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</si>
  <si>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</si>
  <si>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</si>
  <si>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</si>
  <si>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</si>
  <si>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</si>
  <si>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</si>
  <si>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</si>
  <si>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</si>
  <si>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</si>
  <si>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</si>
  <si>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</si>
  <si>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</si>
  <si>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</si>
  <si>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</si>
  <si>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</si>
  <si>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</si>
  <si>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</si>
  <si>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</si>
  <si>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</si>
  <si>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</si>
  <si>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</si>
  <si>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</si>
  <si>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</si>
  <si>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</si>
  <si>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</si>
  <si>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</si>
  <si>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</si>
  <si>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</si>
  <si>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</si>
  <si>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</si>
  <si>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</si>
  <si>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</si>
  <si>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</si>
  <si>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</si>
  <si>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</si>
  <si>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</si>
  <si>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</si>
  <si>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</si>
  <si>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</si>
  <si>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</si>
  <si>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</si>
  <si>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</si>
  <si>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</si>
  <si>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</si>
  <si>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</si>
  <si>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</si>
  <si>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</si>
  <si>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</si>
  <si>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</si>
  <si>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</si>
  <si>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</si>
  <si>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</si>
  <si>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</si>
  <si>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</si>
  <si>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</si>
  <si>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</si>
  <si>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</si>
  <si>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</si>
  <si>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</si>
  <si>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</si>
  <si>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</si>
  <si>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</si>
  <si>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</si>
  <si>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</si>
  <si>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</si>
  <si>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</si>
  <si>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</si>
  <si>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</si>
  <si>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</si>
  <si>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</si>
  <si>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</si>
  <si>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</si>
  <si>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</si>
  <si>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</si>
  <si>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</si>
  <si>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</si>
  <si>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</si>
  <si>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</si>
  <si>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</si>
  <si>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</si>
  <si>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</si>
  <si>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</si>
  <si>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</si>
  <si>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</si>
  <si>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</si>
  <si>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</si>
  <si>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</si>
  <si>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</si>
  <si>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</si>
  <si>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</si>
  <si>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</si>
  <si>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</si>
  <si>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</si>
  <si>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</si>
  <si>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</si>
  <si>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</si>
  <si>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</si>
  <si>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</si>
  <si>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</si>
  <si>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</si>
  <si>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</si>
  <si>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</si>
  <si>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</si>
  <si>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</si>
  <si>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</si>
  <si>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</si>
  <si>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</si>
  <si>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</si>
  <si>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</si>
  <si>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</si>
  <si>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</si>
  <si>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</si>
  <si>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</si>
  <si>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</si>
  <si>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</si>
  <si>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</si>
  <si>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</si>
  <si>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</si>
  <si>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</si>
  <si>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</si>
  <si>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</si>
  <si>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</si>
  <si>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</si>
  <si>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</si>
  <si>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</si>
  <si>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</si>
  <si>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</si>
  <si>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</si>
  <si>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</si>
  <si>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</si>
  <si>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</si>
  <si>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</si>
  <si>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</si>
  <si>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</si>
  <si>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</si>
  <si>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</si>
  <si>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</si>
  <si>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</si>
  <si>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</si>
  <si>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</si>
  <si>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</si>
  <si>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</si>
  <si>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</si>
  <si>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</si>
  <si>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</si>
  <si>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</si>
  <si>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</si>
  <si>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</si>
  <si>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</si>
  <si>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</si>
  <si>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</si>
  <si>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</si>
  <si>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</si>
  <si>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</si>
  <si>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</si>
  <si>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</si>
  <si>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</si>
  <si>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</si>
  <si>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</si>
  <si>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</si>
  <si>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</si>
  <si>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</si>
  <si>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</si>
  <si>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</si>
  <si>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</si>
  <si>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</si>
  <si>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</si>
  <si>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</si>
  <si>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</si>
  <si>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</si>
  <si>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</si>
  <si>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</si>
  <si>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</si>
  <si>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</si>
  <si>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</si>
  <si>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</si>
  <si>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</si>
  <si>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</si>
  <si>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</si>
  <si>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</si>
  <si>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</si>
  <si>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</si>
  <si>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</si>
  <si>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</si>
  <si>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</si>
  <si>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</si>
  <si>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</si>
  <si>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</si>
  <si>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</si>
  <si>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</si>
  <si>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</si>
  <si>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</si>
  <si>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</si>
  <si>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</si>
  <si>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</si>
  <si>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</si>
  <si>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</si>
  <si>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</si>
  <si>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</si>
  <si>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</si>
  <si>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</si>
  <si>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</si>
  <si>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</si>
  <si>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</si>
  <si>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</si>
  <si>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</si>
  <si>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</si>
  <si>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</si>
  <si>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</si>
  <si>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</si>
  <si>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</si>
  <si>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</si>
  <si>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</si>
  <si>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</si>
  <si>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</si>
  <si>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</si>
  <si>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</si>
  <si>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</si>
  <si>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</si>
  <si>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</si>
  <si>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</si>
  <si>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</si>
  <si>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</si>
  <si>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</si>
  <si>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</si>
  <si>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</si>
  <si>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</si>
  <si>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</si>
  <si>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</si>
  <si>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</si>
  <si>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</si>
  <si>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</si>
  <si>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</si>
  <si>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</si>
  <si>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</si>
  <si>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</si>
  <si>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</si>
  <si>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</si>
  <si>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</si>
  <si>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</si>
  <si>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</si>
  <si>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</si>
  <si>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</si>
  <si>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</si>
  <si>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</si>
  <si>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</si>
  <si>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</si>
  <si>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</si>
  <si>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</si>
  <si>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</si>
  <si>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</si>
  <si>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</si>
  <si>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</si>
  <si>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</si>
  <si>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</si>
  <si>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</si>
  <si>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</si>
  <si>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</si>
  <si>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</si>
  <si>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</si>
  <si>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</si>
  <si>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</si>
  <si>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</si>
  <si>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</si>
  <si>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</si>
  <si>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</si>
  <si>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11,11,11,11,11,</t>
    <phoneticPr fontId="1" type="noConversion"/>
  </si>
  <si>
    <t>10,10,10,10,10,</t>
    <phoneticPr fontId="1" type="noConversion"/>
  </si>
  <si>
    <t>9,9,9,9,9,</t>
    <phoneticPr fontId="1" type="noConversion"/>
  </si>
  <si>
    <t>24,7,6,28,4,75,17,</t>
    <phoneticPr fontId="1" type="noConversion"/>
  </si>
  <si>
    <t>4,11,19,5,34,26,76,</t>
    <phoneticPr fontId="1" type="noConversion"/>
  </si>
  <si>
    <t>39,12,35,16,15,29,5,</t>
    <phoneticPr fontId="1" type="noConversion"/>
  </si>
  <si>
    <t>吞噬天下</t>
    <phoneticPr fontId="1" type="noConversion"/>
  </si>
  <si>
    <t>200,</t>
    <phoneticPr fontId="1" type="noConversion"/>
  </si>
  <si>
    <t>7,7,7,7,7,</t>
    <phoneticPr fontId="1" type="noConversion"/>
  </si>
  <si>
    <t>6,6,6,6,6,</t>
    <phoneticPr fontId="1" type="noConversion"/>
  </si>
  <si>
    <t>77,39,12,35,15,</t>
    <phoneticPr fontId="1" type="noConversion"/>
  </si>
  <si>
    <t>26,24,6,28,4,</t>
    <phoneticPr fontId="1" type="noConversion"/>
  </si>
  <si>
    <t>0,300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</si>
  <si>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</si>
  <si>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</si>
  <si>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</si>
  <si>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</si>
  <si>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</si>
  <si>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</si>
  <si>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</si>
  <si>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</si>
  <si>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</si>
  <si>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</si>
  <si>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</si>
  <si>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</si>
  <si>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</si>
  <si>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</si>
  <si>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</si>
  <si>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</si>
  <si>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</si>
  <si>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</si>
  <si>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</si>
  <si>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</si>
  <si>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</si>
  <si>
    <t>4,40,60,80,120,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</si>
  <si>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</si>
  <si>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</si>
  <si>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</si>
  <si>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</si>
  <si>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</si>
  <si>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200,</t>
    <phoneticPr fontId="1" type="noConversion"/>
  </si>
  <si>
    <t>250,2,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</si>
  <si>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</si>
  <si>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</si>
  <si>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</si>
  <si>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</si>
  <si>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</si>
  <si>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</si>
  <si>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400,600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</si>
</sst>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31" sqref="B3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2.9000000000000001E-2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2.9000000000000001E-2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2.9000000000000001E-2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2.9000000000000001E-2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2.9000000000000001E-2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2.9000000000000001E-2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2.9000000000000001E-2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2.9000000000000001E-2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2.9000000000000001E-2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2.9000000000000001E-2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2.9000000000000001E-2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2.9000000000000001E-2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2.9000000000000001E-2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2.9000000000000001E-2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2.9000000000000001E-2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2.9000000000000001E-2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2.9000000000000001E-2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2.9000000000000001E-2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2.9000000000000001E-2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2.9000000000000001E-2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223</v>
      </c>
    </row>
    <row r="2" spans="1:13" x14ac:dyDescent="0.2">
      <c r="A2" s="2">
        <v>1</v>
      </c>
      <c r="B2" s="2" t="s">
        <v>269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333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268</v>
      </c>
      <c r="C10" s="2">
        <v>1</v>
      </c>
      <c r="D10" t="s">
        <v>228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5" activePane="bottomLeft" state="frozen"/>
      <selection pane="bottomLeft" activeCell="K47" sqref="K4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270</v>
      </c>
      <c r="B1" s="1" t="s">
        <v>271</v>
      </c>
      <c r="C1" s="1" t="s">
        <v>272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97</v>
      </c>
      <c r="I1" s="1" t="s">
        <v>277</v>
      </c>
      <c r="J1" s="9" t="s">
        <v>105</v>
      </c>
      <c r="K1" s="1" t="s">
        <v>278</v>
      </c>
      <c r="L1" s="1" t="s">
        <v>50</v>
      </c>
      <c r="Q1" s="1" t="s">
        <v>279</v>
      </c>
      <c r="R1" s="1" t="s">
        <v>279</v>
      </c>
      <c r="S1" s="1" t="s">
        <v>279</v>
      </c>
      <c r="T1" s="1" t="s">
        <v>279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280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261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220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221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328</v>
      </c>
      <c r="G7" s="45" t="s">
        <v>329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327</v>
      </c>
      <c r="G8" s="45" t="s">
        <v>330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281</v>
      </c>
      <c r="D10" s="29" t="s">
        <v>282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262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288</v>
      </c>
      <c r="G19" s="41" t="s">
        <v>289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290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291</v>
      </c>
      <c r="G21" s="41" t="s">
        <v>292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293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294</v>
      </c>
      <c r="G23" s="21" t="s">
        <v>267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295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296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297</v>
      </c>
      <c r="G26" s="21" t="s">
        <v>298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299</v>
      </c>
      <c r="G27" s="41" t="s">
        <v>300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301</v>
      </c>
      <c r="G28" s="41" t="s">
        <v>302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308</v>
      </c>
      <c r="H39" s="19" t="s">
        <v>310</v>
      </c>
      <c r="I39" s="19" t="s">
        <v>259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311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312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313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314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315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600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321</v>
      </c>
      <c r="G65" s="45" t="s">
        <v>322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320</v>
      </c>
      <c r="G66" s="45" t="s">
        <v>324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319</v>
      </c>
      <c r="G67" s="46" t="s">
        <v>323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1" activePane="bottomLeft" state="frozen"/>
      <selection pane="bottomLeft" activeCell="C34" sqref="C3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332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337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337</v>
      </c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337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337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351</v>
      </c>
      <c r="F25" s="19" t="s">
        <v>259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352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350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337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337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6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7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7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6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7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6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7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331</v>
      </c>
      <c r="E38" s="23">
        <f>LOOKUP(use_fish!B38,base_fish!A:A,base_fish!C:C)+_xlfn.IFNA(INDEX(activity!F:F,MATCH(use_fish!C38,activity!A:A,0)),0)</f>
        <v>200</v>
      </c>
      <c r="F38" s="23">
        <f t="shared" si="6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7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354</v>
      </c>
      <c r="E39" s="32">
        <f>LOOKUP(use_fish!B39,base_fish!A:A,base_fish!C:C)+_xlfn.IFNA(INDEX(activity!F:F,MATCH(use_fish!C39,activity!A:A,0)),0)</f>
        <v>200</v>
      </c>
      <c r="F39" s="32">
        <f t="shared" si="6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7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354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354</v>
      </c>
      <c r="E41" s="32">
        <f>LOOKUP(use_fish!B41,base_fish!A:A,base_fish!C:C)+_xlfn.IFNA(INDEX(activity!F:F,MATCH(use_fish!C41,activity!A:A,0)),0)</f>
        <v>500</v>
      </c>
      <c r="F41" s="32">
        <f t="shared" si="8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9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354</v>
      </c>
      <c r="E42" s="32">
        <f>LOOKUP(use_fish!B42,base_fish!A:A,base_fish!C:C)+_xlfn.IFNA(INDEX(activity!F:F,MATCH(use_fish!C42,activity!A:A,0)),0)</f>
        <v>300</v>
      </c>
      <c r="F42" s="32">
        <f t="shared" si="8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9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354</v>
      </c>
      <c r="E44" s="32">
        <f>LOOKUP(use_fish!B44,base_fish!A:A,base_fish!C:C)+_xlfn.IFNA(INDEX(activity!F:F,MATCH(use_fish!C44,activity!A:A,0)),0)</f>
        <v>400</v>
      </c>
      <c r="F44" s="32">
        <f t="shared" si="8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9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331</v>
      </c>
      <c r="E48" s="36">
        <f>LOOKUP(use_fish!B48,base_fish!A:A,base_fish!C:C)+_xlfn.IFNA(INDEX(activity!F:F,MATCH(use_fish!C48,activity!A:A,0)),0)</f>
        <v>400</v>
      </c>
      <c r="F48" s="36">
        <f t="shared" si="10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600</v>
      </c>
      <c r="J48" s="35">
        <v>1</v>
      </c>
      <c r="K48" s="35">
        <f>LOOKUP(use_fish!B48,base_fish!A:A,base_fish!G:G)</f>
        <v>0</v>
      </c>
      <c r="L48" s="35">
        <f t="shared" si="11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355</v>
      </c>
      <c r="E49" s="36">
        <f>LOOKUP(use_fish!B49,base_fish!A:A,base_fish!C:C)+_xlfn.IFNA(INDEX(activity!F:F,MATCH(use_fish!C49,activity!A:A,0)),0)</f>
        <v>500</v>
      </c>
      <c r="F49" s="36">
        <f t="shared" si="10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1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357</v>
      </c>
      <c r="E50" s="36">
        <f>LOOKUP(use_fish!B50,base_fish!A:A,base_fish!C:C)+_xlfn.IFNA(INDEX(activity!F:F,MATCH(use_fish!C50,activity!A:A,0)),0)</f>
        <v>600</v>
      </c>
      <c r="F50" s="36">
        <f t="shared" si="10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1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339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10" workbookViewId="0">
      <selection activeCell="C31" sqref="C3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263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264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336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334</v>
      </c>
      <c r="D18" s="4">
        <v>0</v>
      </c>
      <c r="E18" s="4">
        <v>0</v>
      </c>
      <c r="F18">
        <v>150</v>
      </c>
      <c r="G18" t="s">
        <v>335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358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224</v>
      </c>
      <c r="H22">
        <v>26</v>
      </c>
      <c r="I22" t="s">
        <v>218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225</v>
      </c>
      <c r="H23">
        <v>27</v>
      </c>
      <c r="I23" t="s">
        <v>219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226</v>
      </c>
      <c r="H24">
        <v>28</v>
      </c>
      <c r="I24" t="s">
        <v>217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227</v>
      </c>
      <c r="H25">
        <v>29</v>
      </c>
      <c r="I25" t="s">
        <v>216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325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340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341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342</v>
      </c>
    </row>
    <row r="30" spans="1:9" x14ac:dyDescent="0.2">
      <c r="A30">
        <v>29</v>
      </c>
      <c r="B30">
        <v>23</v>
      </c>
      <c r="C30" t="s">
        <v>222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362</v>
      </c>
    </row>
    <row r="31" spans="1:9" x14ac:dyDescent="0.2">
      <c r="A31">
        <v>30</v>
      </c>
      <c r="B31">
        <v>24</v>
      </c>
      <c r="C31" s="11" t="s">
        <v>367</v>
      </c>
      <c r="D31" s="4">
        <v>0</v>
      </c>
      <c r="E31" s="4">
        <v>0</v>
      </c>
      <c r="F31">
        <v>500</v>
      </c>
      <c r="G31" t="s">
        <v>266</v>
      </c>
      <c r="H31">
        <v>39</v>
      </c>
      <c r="I31" t="s">
        <v>364</v>
      </c>
    </row>
    <row r="32" spans="1:9" x14ac:dyDescent="0.2">
      <c r="A32">
        <v>31</v>
      </c>
      <c r="B32">
        <v>25</v>
      </c>
      <c r="C32" t="s">
        <v>359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365</v>
      </c>
      <c r="D33" s="4">
        <v>0</v>
      </c>
      <c r="E33" s="4">
        <v>0</v>
      </c>
      <c r="F33">
        <v>300</v>
      </c>
      <c r="G33" t="s">
        <v>215</v>
      </c>
    </row>
    <row r="34" spans="1:7" x14ac:dyDescent="0.2">
      <c r="A34">
        <v>33</v>
      </c>
      <c r="B34">
        <v>29</v>
      </c>
      <c r="C34" t="s">
        <v>366</v>
      </c>
      <c r="D34" s="4">
        <v>0</v>
      </c>
      <c r="E34" s="4">
        <v>0</v>
      </c>
      <c r="F34">
        <v>300</v>
      </c>
      <c r="G34" t="s">
        <v>216</v>
      </c>
    </row>
    <row r="35" spans="1:7" x14ac:dyDescent="0.2">
      <c r="A35">
        <v>34</v>
      </c>
      <c r="B35">
        <v>30</v>
      </c>
      <c r="C35" s="11" t="s">
        <v>326</v>
      </c>
      <c r="D35" s="4">
        <v>0</v>
      </c>
      <c r="E35" s="4">
        <v>0</v>
      </c>
      <c r="F35">
        <v>200</v>
      </c>
      <c r="G35" t="s">
        <v>325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347</v>
      </c>
      <c r="D37" s="4">
        <v>0</v>
      </c>
      <c r="E37" s="4">
        <v>0</v>
      </c>
      <c r="F37">
        <v>500</v>
      </c>
      <c r="G37" t="s">
        <v>343</v>
      </c>
    </row>
    <row r="38" spans="1:7" x14ac:dyDescent="0.2">
      <c r="A38">
        <v>37</v>
      </c>
      <c r="B38">
        <v>33</v>
      </c>
      <c r="C38" t="s">
        <v>344</v>
      </c>
      <c r="D38" s="4">
        <v>0</v>
      </c>
      <c r="E38" s="4">
        <v>0</v>
      </c>
      <c r="F38">
        <v>500</v>
      </c>
      <c r="G38" t="s">
        <v>345</v>
      </c>
    </row>
    <row r="39" spans="1:7" x14ac:dyDescent="0.2">
      <c r="A39">
        <v>38</v>
      </c>
      <c r="B39">
        <v>38</v>
      </c>
      <c r="C39" t="s">
        <v>360</v>
      </c>
      <c r="D39" s="4">
        <v>0</v>
      </c>
      <c r="E39" s="4">
        <v>0</v>
      </c>
      <c r="F39">
        <v>250</v>
      </c>
      <c r="G39" t="s">
        <v>361</v>
      </c>
    </row>
    <row r="40" spans="1:7" x14ac:dyDescent="0.2">
      <c r="A40">
        <v>39</v>
      </c>
      <c r="B40">
        <v>39</v>
      </c>
      <c r="C40" t="s">
        <v>360</v>
      </c>
      <c r="D40" s="4">
        <v>0</v>
      </c>
      <c r="E40" s="4">
        <v>0</v>
      </c>
      <c r="F40">
        <v>250</v>
      </c>
      <c r="G40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L20" sqref="L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242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260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244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245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348</v>
      </c>
      <c r="D25" s="15" t="s">
        <v>349</v>
      </c>
      <c r="E25" s="17" t="s">
        <v>246</v>
      </c>
      <c r="F25" s="15" t="s">
        <v>348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154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153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247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265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250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229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159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251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318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252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253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254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255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256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154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257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258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338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346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2020-06-15T02:36:09Z</dcterms:modified>
</cp:coreProperties>
</file>