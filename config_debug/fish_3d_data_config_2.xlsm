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E49" i="14"/>
  <c r="H62" i="7"/>
  <c r="E50" i="14"/>
  <c r="H63" i="7"/>
  <c r="H64" i="7"/>
  <c r="H25" i="14"/>
  <c r="H26" i="14"/>
  <c r="H27" i="14"/>
  <c r="H28" i="14"/>
  <c r="J40" i="7"/>
  <c r="L25" i="14"/>
  <c r="J39" i="7"/>
  <c r="F26" i="1"/>
  <c r="I26" i="14"/>
  <c r="D26" i="1"/>
  <c r="H40" i="7"/>
  <c r="L26" i="14"/>
  <c r="I40" i="7"/>
  <c r="F51" i="1"/>
  <c r="D51" i="1"/>
  <c r="E47" i="14"/>
  <c r="H61" i="7"/>
  <c r="F7" i="1"/>
  <c r="D7" i="1"/>
  <c r="I7" i="14"/>
  <c r="L7" i="14"/>
  <c r="F7" i="14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I47" i="14"/>
  <c r="I61" i="7"/>
  <c r="F48" i="1"/>
  <c r="I48" i="14"/>
  <c r="F49" i="1"/>
  <c r="F50" i="1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50" i="14"/>
  <c r="I64" i="7"/>
  <c r="I62" i="7"/>
  <c r="I49" i="14"/>
  <c r="I63" i="7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/>
  <c r="H67" i="7"/>
  <c r="H16" i="7"/>
  <c r="H8" i="7"/>
  <c r="H15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/>
  <c r="I45" i="7"/>
  <c r="I32" i="14"/>
  <c r="I46" i="7"/>
  <c r="G20" i="5"/>
  <c r="G21" i="5"/>
  <c r="H48" i="14"/>
  <c r="G19" i="5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F13" i="1"/>
  <c r="F16" i="1"/>
  <c r="I16" i="14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L12" i="14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/>
  <c r="I20" i="14"/>
  <c r="I34" i="7"/>
  <c r="I41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<sst xmlns="http://schemas.openxmlformats.org/spreadsheetml/2006/main" count="550" uniqueCount="416">
  <si>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</si>
  <si>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</si>
  <si>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</si>
  <si>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</si>
  <si>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</si>
  <si>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</si>
  <si>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</si>
  <si>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</si>
  <si>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</si>
  <si>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</si>
  <si>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</si>
  <si>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</si>
  <si>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</si>
  <si>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</si>
  <si>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</si>
  <si>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</si>
  <si>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</si>
  <si>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</si>
  <si>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</si>
  <si>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</si>
  <si>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</si>
  <si>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</si>
  <si>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</si>
  <si>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</si>
  <si>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</si>
  <si>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</si>
  <si>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</si>
  <si>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</si>
  <si>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</si>
  <si>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</si>
  <si>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</si>
  <si>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</si>
  <si>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</si>
  <si>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</si>
  <si>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</si>
  <si>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</si>
  <si>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</si>
  <si>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</si>
  <si>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</si>
  <si>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</si>
  <si>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</si>
  <si>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</si>
  <si>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</si>
  <si>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</si>
  <si>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</si>
  <si>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</si>
  <si>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</si>
  <si>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</si>
  <si>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</si>
  <si>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</si>
  <si>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</si>
  <si>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</si>
  <si>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</si>
  <si>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</si>
  <si>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</si>
  <si>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</si>
  <si>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</si>
  <si>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</si>
  <si>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</si>
  <si>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</si>
  <si>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</si>
  <si>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</si>
  <si>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</si>
  <si>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</si>
  <si>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</si>
  <si>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</si>
  <si>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</si>
  <si>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</si>
  <si>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</si>
  <si>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</si>
  <si>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</si>
  <si>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</si>
  <si>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</si>
  <si>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</si>
  <si>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</si>
  <si>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</si>
  <si>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</si>
  <si>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</si>
  <si>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</si>
  <si>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</si>
  <si>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</si>
  <si>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</si>
  <si>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</si>
  <si>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</si>
  <si>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</si>
  <si>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</si>
  <si>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</si>
  <si>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</si>
  <si>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</si>
  <si>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</si>
  <si>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</si>
  <si>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</si>
  <si>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</si>
  <si>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</si>
  <si>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</si>
  <si>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</si>
  <si>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</si>
  <si>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</si>
  <si>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</si>
  <si>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</si>
  <si>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</si>
  <si>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</si>
  <si>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</si>
  <si>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</si>
  <si>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</si>
  <si>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</si>
  <si>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</si>
  <si>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</si>
  <si>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</si>
  <si>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</si>
  <si>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</si>
  <si>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</si>
  <si>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</si>
  <si>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</si>
  <si>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</si>
  <si>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</si>
  <si>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</si>
  <si>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</si>
  <si>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</si>
  <si>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</si>
  <si>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</si>
  <si>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</si>
  <si>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</si>
  <si>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</si>
  <si>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</si>
  <si>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</si>
  <si>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</si>
  <si>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</si>
  <si>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</si>
  <si>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</si>
  <si>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</si>
  <si>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</si>
  <si>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</si>
  <si>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</si>
  <si>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</si>
  <si>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</si>
  <si>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</si>
  <si>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</si>
  <si>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</si>
  <si>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</si>
  <si>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</si>
  <si>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</si>
  <si>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</si>
  <si>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</si>
  <si>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</si>
  <si>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</si>
  <si>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</si>
  <si>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</si>
  <si>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</si>
  <si>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</si>
  <si>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</si>
  <si>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</si>
  <si>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</si>
  <si>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</si>
  <si>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</si>
  <si>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</si>
  <si>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</si>
  <si>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</si>
  <si>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</si>
  <si>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</si>
  <si>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</si>
  <si>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</si>
  <si>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</si>
  <si>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</si>
  <si>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</si>
  <si>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</si>
  <si>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</si>
  <si>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</si>
  <si>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</si>
  <si>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</si>
  <si>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</si>
  <si>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</si>
  <si>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</si>
  <si>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</si>
  <si>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</si>
  <si>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</si>
  <si>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</si>
  <si>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</si>
  <si>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</si>
  <si>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</si>
  <si>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</si>
  <si>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</si>
  <si>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</si>
  <si>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</si>
  <si>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</si>
  <si>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</si>
  <si>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</si>
  <si>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</si>
  <si>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</si>
  <si>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</si>
  <si>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</si>
  <si>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</si>
  <si>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</si>
  <si>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</si>
  <si>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</si>
  <si>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</si>
  <si>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</si>
  <si>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</si>
  <si>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</si>
  <si>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</si>
  <si>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</si>
  <si>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</si>
  <si>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</si>
  <si>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</si>
  <si>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</si>
  <si>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</si>
  <si>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</si>
  <si>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</si>
  <si>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</si>
  <si>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</si>
  <si>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</si>
  <si>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</si>
  <si>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</si>
  <si>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</si>
  <si>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</si>
  <si>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</si>
  <si>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</si>
  <si>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</si>
  <si>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</si>
  <si>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</si>
  <si>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</si>
  <si>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</si>
  <si>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</si>
  <si>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</si>
  <si>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</si>
  <si>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</si>
  <si>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</si>
  <si>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</si>
  <si>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</si>
  <si>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</si>
  <si>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</si>
  <si>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</si>
  <si>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</si>
  <si>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</si>
  <si>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</si>
  <si>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</si>
  <si>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</si>
  <si>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</si>
  <si>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</si>
  <si>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</si>
  <si>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</si>
  <si>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</si>
  <si>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</si>
  <si>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</si>
  <si>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</si>
  <si>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</si>
  <si>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</si>
  <si>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</si>
  <si>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</si>
  <si>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</si>
  <si>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</si>
  <si>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</si>
  <si>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</si>
  <si>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</si>
  <si>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</si>
  <si>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</si>
  <si>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</si>
  <si>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</si>
  <si>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</si>
  <si>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</si>
  <si>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</si>
  <si>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</si>
  <si>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</si>
  <si>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</si>
  <si>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</si>
  <si>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</si>
  <si>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</si>
  <si>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</si>
  <si>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</si>
  <si>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</si>
  <si>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</si>
  <si>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</si>
  <si>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</si>
  <si>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</si>
  <si>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</si>
  <si>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</si>
  <si>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</si>
  <si>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</si>
  <si>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</si>
  <si>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</si>
  <si>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</si>
  <si>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</si>
  <si>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</si>
  <si>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</si>
  <si>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</si>
  <si>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</si>
  <si>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</si>
  <si>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</si>
  <si>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</si>
  <si>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</si>
  <si>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</si>
  <si>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</si>
  <si>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</si>
  <si>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</si>
  <si>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</si>
  <si>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</si>
  <si>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</si>
  <si>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</si>
  <si>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</si>
  <si>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</si>
  <si>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</si>
  <si>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</si>
  <si>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</si>
  <si>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</si>
  <si>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</si>
  <si>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</si>
  <si>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</si>
  <si>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</si>
  <si>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</si>
  <si>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</si>
  <si>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</si>
  <si>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</si>
  <si>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</si>
  <si>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</si>
  <si>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</si>
  <si>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</si>
  <si>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</si>
  <si>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</si>
  <si>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</si>
  <si>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</si>
  <si>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</si>
  <si>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</si>
  <si>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</si>
  <si>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</si>
  <si>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</si>
  <si>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</si>
  <si>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</si>
  <si>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</si>
  <si>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</si>
  <si>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</si>
  <si>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</si>
  <si>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</si>
  <si>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</si>
  <si>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</si>
  <si>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</si>
  <si>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</si>
  <si>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</si>
  <si>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</si>
  <si>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</si>
  <si>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</si>
  <si>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</si>
  <si>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</si>
  <si>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</si>
  <si>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</si>
  <si>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</si>
  <si>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</si>
  <si>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</si>
  <si>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</si>
  <si>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</si>
  <si>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</si>
  <si>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</si>
  <si>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</si>
  <si>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</si>
  <si>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</si>
  <si>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</si>
  <si>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</si>
  <si>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</si>
  <si>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</si>
  <si>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</si>
  <si>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</si>
  <si>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</si>
  <si>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</si>
  <si>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</si>
  <si>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</si>
  <si>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</si>
  <si>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</si>
  <si>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</si>
  <si>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</si>
  <si>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</si>
  <si>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</si>
  <si>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</si>
  <si>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</si>
  <si>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</si>
  <si>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</si>
  <si>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</si>
  <si>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</si>
  <si>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</si>
  <si>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</si>
  <si>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</si>
  <si>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</si>
  <si>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</si>
  <si>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</si>
  <si>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</si>
  <si>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0,60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</si>
  <si>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</si>
  <si>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</si>
  <si>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</si>
  <si>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0,40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</si>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</sst>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216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201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203</v>
      </c>
      <c r="M1" s="8" t="s">
        <v>211</v>
      </c>
    </row>
    <row r="2" spans="1:13" x14ac:dyDescent="0.2">
      <c r="A2" s="2">
        <v>1</v>
      </c>
      <c r="B2" s="2" t="s">
        <v>256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204</v>
      </c>
      <c r="C3" s="2">
        <v>1</v>
      </c>
      <c r="D3" t="s">
        <v>202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204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204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204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204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204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308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1</v>
      </c>
      <c r="D10" t="s">
        <v>216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303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62" activePane="bottomLeft" state="frozen"/>
      <selection pane="bottomLeft" activeCell="L73" sqref="L7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257</v>
      </c>
      <c r="B1" s="1" t="s">
        <v>258</v>
      </c>
      <c r="C1" s="1" t="s">
        <v>259</v>
      </c>
      <c r="D1" s="1" t="s">
        <v>260</v>
      </c>
      <c r="E1" s="1" t="s">
        <v>261</v>
      </c>
      <c r="F1" s="1" t="s">
        <v>262</v>
      </c>
      <c r="G1" s="1" t="s">
        <v>263</v>
      </c>
      <c r="H1" s="1" t="s">
        <v>97</v>
      </c>
      <c r="I1" s="1" t="s">
        <v>264</v>
      </c>
      <c r="J1" s="9" t="s">
        <v>105</v>
      </c>
      <c r="K1" s="1" t="s">
        <v>265</v>
      </c>
      <c r="L1" s="1" t="s">
        <v>50</v>
      </c>
      <c r="Q1" s="1" t="s">
        <v>266</v>
      </c>
      <c r="R1" s="1" t="s">
        <v>266</v>
      </c>
      <c r="S1" s="1" t="s">
        <v>266</v>
      </c>
      <c r="T1" s="1" t="s">
        <v>266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267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249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327</v>
      </c>
      <c r="G7" s="45" t="s">
        <v>328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326</v>
      </c>
      <c r="G8" s="45" t="s">
        <v>329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250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254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297</v>
      </c>
      <c r="I39" s="19" t="s">
        <v>247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330</v>
      </c>
      <c r="G65" s="45" t="s">
        <v>331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332</v>
      </c>
      <c r="G66" s="45" t="s">
        <v>333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334</v>
      </c>
      <c r="G67" s="46" t="s">
        <v>335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388</v>
      </c>
      <c r="H68" s="31">
        <f>SUM(_xlfn.IFNA(LOOKUP(Q68,[1]use_fish!A:A,[1]use_fish!E:E),0),_xlfn.IFNA(LOOKUP(R68,[1]use_fish!A:A,[1]use_fish!E:E),0),_xlfn.IFNA(LOOKUP(S68,[1]use_fish!A:A,[1]use_fish!E:E),0),_xlfn.IFNA(LOOKUP(T68,[1]use_fish!A:A,[1]use_fish!E:E),0),_xlfn.IFNA(LOOKUP(U68,[1]use_fish!A:A,[1]use_fish!E:E),0),_xlfn.IFNA(LOOKUP(V68,[1]use_fish!A:A,[1]use_fish!E:E),0),_xlfn.IFNA(LOOKUP(W68,[1]use_fish!A:A,[1]use_fish!E:E),0),)</f>
        <v>45</v>
      </c>
      <c r="I68" s="31">
        <f>SUM(_xlfn.IFNA(LOOKUP(Q68,[1]use_fish!A:A,[1]use_fish!I:I),0),_xlfn.IFNA(LOOKUP(R68,[1]use_fish!A:A,[1]use_fish!I:I),0),_xlfn.IFNA(LOOKUP(S68,[1]use_fish!A:A,[1]use_fish!I:I),0),_xlfn.IFNA(LOOKUP(T68,[1]use_fish!A:A,[1]use_fish!I:I),0),_xlfn.IFNA(LOOKUP(U68,[1]use_fish!A:A,[1]use_fish!I:I),0),_xlfn.IFNA(LOOKUP(V68,[1]use_fish!A:A,[1]use_fish!I:I),0),_xlfn.IFNA(LOOKUP(W68,[1]use_fish!A:A,[1]use_fish!I:I),0),)</f>
        <v>45</v>
      </c>
      <c r="J68" s="32">
        <f>SUM(_xlfn.IFNA(LOOKUP(Q68,[1]use_fish!A:A,[1]use_fish!K:K),0),_xlfn.IFNA(LOOKUP(R68,[1]use_fish!A:A,[1]use_fish!K:K),0),_xlfn.IFNA(LOOKUP(S68,[1]use_fish!A:A,[1]use_fish!K:K),0),_xlfn.IFNA(LOOKUP(T68,[1]use_fish!A:A,[1]use_fish!K:K),0),_xlfn.IFNA(LOOKUP(U68,[1]use_fish!A:A,[1]use_fish!K:K),0),_xlfn.IFNA(LOOKUP(V68,[1]use_fish!A:A,[1]use_fish!K:K),0),_xlfn.IFNA(LOOKUP(W68,[1]use_fish!A:A,[1]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389</v>
      </c>
      <c r="H69" s="31">
        <f>SUM(_xlfn.IFNA(LOOKUP(Q69,[1]use_fish!A:A,[1]use_fish!E:E),0),_xlfn.IFNA(LOOKUP(R69,[1]use_fish!A:A,[1]use_fish!E:E),0),_xlfn.IFNA(LOOKUP(S69,[1]use_fish!A:A,[1]use_fish!E:E),0),_xlfn.IFNA(LOOKUP(T69,[1]use_fish!A:A,[1]use_fish!E:E),0),_xlfn.IFNA(LOOKUP(U69,[1]use_fish!A:A,[1]use_fish!E:E),0),_xlfn.IFNA(LOOKUP(V69,[1]use_fish!A:A,[1]use_fish!E:E),0),_xlfn.IFNA(LOOKUP(W69,[1]use_fish!A:A,[1]use_fish!E:E),0),)</f>
        <v>48</v>
      </c>
      <c r="I69" s="31">
        <f>SUM(_xlfn.IFNA(LOOKUP(Q69,[1]use_fish!A:A,[1]use_fish!I:I),0),_xlfn.IFNA(LOOKUP(R69,[1]use_fish!A:A,[1]use_fish!I:I),0),_xlfn.IFNA(LOOKUP(S69,[1]use_fish!A:A,[1]use_fish!I:I),0),_xlfn.IFNA(LOOKUP(T69,[1]use_fish!A:A,[1]use_fish!I:I),0),_xlfn.IFNA(LOOKUP(U69,[1]use_fish!A:A,[1]use_fish!I:I),0),_xlfn.IFNA(LOOKUP(V69,[1]use_fish!A:A,[1]use_fish!I:I),0),_xlfn.IFNA(LOOKUP(W69,[1]use_fish!A:A,[1]use_fish!I:I),0),)</f>
        <v>48</v>
      </c>
      <c r="J69" s="32">
        <f>SUM(_xlfn.IFNA(LOOKUP(Q69,[1]use_fish!A:A,[1]use_fish!K:K),0),_xlfn.IFNA(LOOKUP(R69,[1]use_fish!A:A,[1]use_fish!K:K),0),_xlfn.IFNA(LOOKUP(S69,[1]use_fish!A:A,[1]use_fish!K:K),0),_xlfn.IFNA(LOOKUP(T69,[1]use_fish!A:A,[1]use_fish!K:K),0),_xlfn.IFNA(LOOKUP(U69,[1]use_fish!A:A,[1]use_fish!K:K),0),_xlfn.IFNA(LOOKUP(V69,[1]use_fish!A:A,[1]use_fish!K:K),0),_xlfn.IFNA(LOOKUP(W69,[1]use_fish!A:A,[1]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390</v>
      </c>
      <c r="H70" s="31">
        <f>SUM(_xlfn.IFNA(LOOKUP(Q70,[1]use_fish!A:A,[1]use_fish!E:E),0),_xlfn.IFNA(LOOKUP(R70,[1]use_fish!A:A,[1]use_fish!E:E),0),_xlfn.IFNA(LOOKUP(S70,[1]use_fish!A:A,[1]use_fish!E:E),0),_xlfn.IFNA(LOOKUP(T70,[1]use_fish!A:A,[1]use_fish!E:E),0),_xlfn.IFNA(LOOKUP(U70,[1]use_fish!A:A,[1]use_fish!E:E),0),_xlfn.IFNA(LOOKUP(V70,[1]use_fish!A:A,[1]use_fish!E:E),0),_xlfn.IFNA(LOOKUP(W70,[1]use_fish!A:A,[1]use_fish!E:E),0),)</f>
        <v>50</v>
      </c>
      <c r="I70" s="31">
        <f>SUM(_xlfn.IFNA(LOOKUP(Q70,[1]use_fish!A:A,[1]use_fish!I:I),0),_xlfn.IFNA(LOOKUP(R70,[1]use_fish!A:A,[1]use_fish!I:I),0),_xlfn.IFNA(LOOKUP(S70,[1]use_fish!A:A,[1]use_fish!I:I),0),_xlfn.IFNA(LOOKUP(T70,[1]use_fish!A:A,[1]use_fish!I:I),0),_xlfn.IFNA(LOOKUP(U70,[1]use_fish!A:A,[1]use_fish!I:I),0),_xlfn.IFNA(LOOKUP(V70,[1]use_fish!A:A,[1]use_fish!I:I),0),_xlfn.IFNA(LOOKUP(W70,[1]use_fish!A:A,[1]use_fish!I:I),0),)</f>
        <v>50</v>
      </c>
      <c r="J70" s="32">
        <f>SUM(_xlfn.IFNA(LOOKUP(Q70,[1]use_fish!A:A,[1]use_fish!K:K),0),_xlfn.IFNA(LOOKUP(R70,[1]use_fish!A:A,[1]use_fish!K:K),0),_xlfn.IFNA(LOOKUP(S70,[1]use_fish!A:A,[1]use_fish!K:K),0),_xlfn.IFNA(LOOKUP(T70,[1]use_fish!A:A,[1]use_fish!K:K),0),_xlfn.IFNA(LOOKUP(U70,[1]use_fish!A:A,[1]use_fish!K:K),0),_xlfn.IFNA(LOOKUP(V70,[1]use_fish!A:A,[1]use_fish!K:K),0),_xlfn.IFNA(LOOKUP(W70,[1]use_fish!A:A,[1]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391</v>
      </c>
      <c r="H71" s="31">
        <f>SUM(_xlfn.IFNA(LOOKUP(Q71,[1]use_fish!A:A,[1]use_fish!E:E),0),_xlfn.IFNA(LOOKUP(R71,[1]use_fish!A:A,[1]use_fish!E:E),0),_xlfn.IFNA(LOOKUP(S71,[1]use_fish!A:A,[1]use_fish!E:E),0),_xlfn.IFNA(LOOKUP(T71,[1]use_fish!A:A,[1]use_fish!E:E),0),_xlfn.IFNA(LOOKUP(U71,[1]use_fish!A:A,[1]use_fish!E:E),0),_xlfn.IFNA(LOOKUP(V71,[1]use_fish!A:A,[1]use_fish!E:E),0),_xlfn.IFNA(LOOKUP(W71,[1]use_fish!A:A,[1]use_fish!E:E),0),)</f>
        <v>55</v>
      </c>
      <c r="I71" s="31">
        <f>SUM(_xlfn.IFNA(LOOKUP(Q71,[1]use_fish!A:A,[1]use_fish!I:I),0),_xlfn.IFNA(LOOKUP(R71,[1]use_fish!A:A,[1]use_fish!I:I),0),_xlfn.IFNA(LOOKUP(S71,[1]use_fish!A:A,[1]use_fish!I:I),0),_xlfn.IFNA(LOOKUP(T71,[1]use_fish!A:A,[1]use_fish!I:I),0),_xlfn.IFNA(LOOKUP(U71,[1]use_fish!A:A,[1]use_fish!I:I),0),_xlfn.IFNA(LOOKUP(V71,[1]use_fish!A:A,[1]use_fish!I:I),0),_xlfn.IFNA(LOOKUP(W71,[1]use_fish!A:A,[1]use_fish!I:I),0),)</f>
        <v>55</v>
      </c>
      <c r="J71" s="32">
        <f>SUM(_xlfn.IFNA(LOOKUP(Q71,[1]use_fish!A:A,[1]use_fish!K:K),0),_xlfn.IFNA(LOOKUP(R71,[1]use_fish!A:A,[1]use_fish!K:K),0),_xlfn.IFNA(LOOKUP(S71,[1]use_fish!A:A,[1]use_fish!K:K),0),_xlfn.IFNA(LOOKUP(T71,[1]use_fish!A:A,[1]use_fish!K:K),0),_xlfn.IFNA(LOOKUP(U71,[1]use_fish!A:A,[1]use_fish!K:K),0),_xlfn.IFNA(LOOKUP(V71,[1]use_fish!A:A,[1]use_fish!K:K),0),_xlfn.IFNA(LOOKUP(W71,[1]use_fish!A:A,[1]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392</v>
      </c>
      <c r="H72" s="31">
        <f>SUM(_xlfn.IFNA(LOOKUP(Q72,[1]use_fish!A:A,[1]use_fish!E:E),0),_xlfn.IFNA(LOOKUP(R72,[1]use_fish!A:A,[1]use_fish!E:E),0),_xlfn.IFNA(LOOKUP(S72,[1]use_fish!A:A,[1]use_fish!E:E),0),_xlfn.IFNA(LOOKUP(T72,[1]use_fish!A:A,[1]use_fish!E:E),0),_xlfn.IFNA(LOOKUP(U72,[1]use_fish!A:A,[1]use_fish!E:E),0),_xlfn.IFNA(LOOKUP(V72,[1]use_fish!A:A,[1]use_fish!E:E),0),_xlfn.IFNA(LOOKUP(W72,[1]use_fish!A:A,[1]use_fish!E:E),0),)</f>
        <v>60</v>
      </c>
      <c r="I72" s="31">
        <f>SUM(_xlfn.IFNA(LOOKUP(Q72,[1]use_fish!A:A,[1]use_fish!I:I),0),_xlfn.IFNA(LOOKUP(R72,[1]use_fish!A:A,[1]use_fish!I:I),0),_xlfn.IFNA(LOOKUP(S72,[1]use_fish!A:A,[1]use_fish!I:I),0),_xlfn.IFNA(LOOKUP(T72,[1]use_fish!A:A,[1]use_fish!I:I),0),_xlfn.IFNA(LOOKUP(U72,[1]use_fish!A:A,[1]use_fish!I:I),0),_xlfn.IFNA(LOOKUP(V72,[1]use_fish!A:A,[1]use_fish!I:I),0),_xlfn.IFNA(LOOKUP(W72,[1]use_fish!A:A,[1]use_fish!I:I),0),)</f>
        <v>60</v>
      </c>
      <c r="J72" s="32">
        <f>SUM(_xlfn.IFNA(LOOKUP(Q72,[1]use_fish!A:A,[1]use_fish!K:K),0),_xlfn.IFNA(LOOKUP(R72,[1]use_fish!A:A,[1]use_fish!K:K),0),_xlfn.IFNA(LOOKUP(S72,[1]use_fish!A:A,[1]use_fish!K:K),0),_xlfn.IFNA(LOOKUP(T72,[1]use_fish!A:A,[1]use_fish!K:K),0),_xlfn.IFNA(LOOKUP(U72,[1]use_fish!A:A,[1]use_fish!K:K),0),_xlfn.IFNA(LOOKUP(V72,[1]use_fish!A:A,[1]use_fish!K:K),0),_xlfn.IFNA(LOOKUP(W72,[1]use_fish!A:A,[1]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393</v>
      </c>
      <c r="H73" s="31">
        <f>SUM(_xlfn.IFNA(LOOKUP(Q73,[1]use_fish!A:A,[1]use_fish!E:E),0),_xlfn.IFNA(LOOKUP(R73,[1]use_fish!A:A,[1]use_fish!E:E),0),_xlfn.IFNA(LOOKUP(S73,[1]use_fish!A:A,[1]use_fish!E:E),0),_xlfn.IFNA(LOOKUP(T73,[1]use_fish!A:A,[1]use_fish!E:E),0),_xlfn.IFNA(LOOKUP(U73,[1]use_fish!A:A,[1]use_fish!E:E),0),_xlfn.IFNA(LOOKUP(V73,[1]use_fish!A:A,[1]use_fish!E:E),0),_xlfn.IFNA(LOOKUP(W73,[1]use_fish!A:A,[1]use_fish!E:E),0),)</f>
        <v>65</v>
      </c>
      <c r="I73" s="31">
        <f>SUM(_xlfn.IFNA(LOOKUP(Q73,[1]use_fish!A:A,[1]use_fish!I:I),0),_xlfn.IFNA(LOOKUP(R73,[1]use_fish!A:A,[1]use_fish!I:I),0),_xlfn.IFNA(LOOKUP(S73,[1]use_fish!A:A,[1]use_fish!I:I),0),_xlfn.IFNA(LOOKUP(T73,[1]use_fish!A:A,[1]use_fish!I:I),0),_xlfn.IFNA(LOOKUP(U73,[1]use_fish!A:A,[1]use_fish!I:I),0),_xlfn.IFNA(LOOKUP(V73,[1]use_fish!A:A,[1]use_fish!I:I),0),_xlfn.IFNA(LOOKUP(W73,[1]use_fish!A:A,[1]use_fish!I:I),0),)</f>
        <v>65</v>
      </c>
      <c r="J73" s="32">
        <f>SUM(_xlfn.IFNA(LOOKUP(Q73,[1]use_fish!A:A,[1]use_fish!K:K),0),_xlfn.IFNA(LOOKUP(R73,[1]use_fish!A:A,[1]use_fish!K:K),0),_xlfn.IFNA(LOOKUP(S73,[1]use_fish!A:A,[1]use_fish!K:K),0),_xlfn.IFNA(LOOKUP(T73,[1]use_fish!A:A,[1]use_fish!K:K),0),_xlfn.IFNA(LOOKUP(U73,[1]use_fish!A:A,[1]use_fish!K:K),0),_xlfn.IFNA(LOOKUP(V73,[1]use_fish!A:A,[1]use_fish!K:K),0),_xlfn.IFNA(LOOKUP(W73,[1]use_fish!A:A,[1]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394</v>
      </c>
      <c r="H74" s="31">
        <f>SUM(_xlfn.IFNA(LOOKUP(Q74,[1]use_fish!A:A,[1]use_fish!E:E),0),_xlfn.IFNA(LOOKUP(R74,[1]use_fish!A:A,[1]use_fish!E:E),0),_xlfn.IFNA(LOOKUP(S74,[1]use_fish!A:A,[1]use_fish!E:E),0),_xlfn.IFNA(LOOKUP(T74,[1]use_fish!A:A,[1]use_fish!E:E),0),_xlfn.IFNA(LOOKUP(U74,[1]use_fish!A:A,[1]use_fish!E:E),0),_xlfn.IFNA(LOOKUP(V74,[1]use_fish!A:A,[1]use_fish!E:E),0),_xlfn.IFNA(LOOKUP(W74,[1]use_fish!A:A,[1]use_fish!E:E),0),)</f>
        <v>70</v>
      </c>
      <c r="I74" s="31">
        <f>SUM(_xlfn.IFNA(LOOKUP(Q74,[1]use_fish!A:A,[1]use_fish!I:I),0),_xlfn.IFNA(LOOKUP(R74,[1]use_fish!A:A,[1]use_fish!I:I),0),_xlfn.IFNA(LOOKUP(S74,[1]use_fish!A:A,[1]use_fish!I:I),0),_xlfn.IFNA(LOOKUP(T74,[1]use_fish!A:A,[1]use_fish!I:I),0),_xlfn.IFNA(LOOKUP(U74,[1]use_fish!A:A,[1]use_fish!I:I),0),_xlfn.IFNA(LOOKUP(V74,[1]use_fish!A:A,[1]use_fish!I:I),0),_xlfn.IFNA(LOOKUP(W74,[1]use_fish!A:A,[1]use_fish!I:I),0),)</f>
        <v>70</v>
      </c>
      <c r="J74" s="32">
        <f>SUM(_xlfn.IFNA(LOOKUP(Q74,[1]use_fish!A:A,[1]use_fish!K:K),0),_xlfn.IFNA(LOOKUP(R74,[1]use_fish!A:A,[1]use_fish!K:K),0),_xlfn.IFNA(LOOKUP(S74,[1]use_fish!A:A,[1]use_fish!K:K),0),_xlfn.IFNA(LOOKUP(T74,[1]use_fish!A:A,[1]use_fish!K:K),0),_xlfn.IFNA(LOOKUP(U74,[1]use_fish!A:A,[1]use_fish!K:K),0),_xlfn.IFNA(LOOKUP(V74,[1]use_fish!A:A,[1]use_fish!K:K),0),_xlfn.IFNA(LOOKUP(W74,[1]use_fish!A:A,[1]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395</v>
      </c>
      <c r="H75" s="31">
        <f>SUM(_xlfn.IFNA(LOOKUP(Q75,[1]use_fish!A:A,[1]use_fish!E:E),0),_xlfn.IFNA(LOOKUP(R75,[1]use_fish!A:A,[1]use_fish!E:E),0),_xlfn.IFNA(LOOKUP(S75,[1]use_fish!A:A,[1]use_fish!E:E),0),_xlfn.IFNA(LOOKUP(T75,[1]use_fish!A:A,[1]use_fish!E:E),0),_xlfn.IFNA(LOOKUP(U75,[1]use_fish!A:A,[1]use_fish!E:E),0),_xlfn.IFNA(LOOKUP(V75,[1]use_fish!A:A,[1]use_fish!E:E),0),_xlfn.IFNA(LOOKUP(W75,[1]use_fish!A:A,[1]use_fish!E:E),0),)</f>
        <v>90</v>
      </c>
      <c r="I75" s="31">
        <f>SUM(_xlfn.IFNA(LOOKUP(Q75,[1]use_fish!A:A,[1]use_fish!I:I),0),_xlfn.IFNA(LOOKUP(R75,[1]use_fish!A:A,[1]use_fish!I:I),0),_xlfn.IFNA(LOOKUP(S75,[1]use_fish!A:A,[1]use_fish!I:I),0),_xlfn.IFNA(LOOKUP(T75,[1]use_fish!A:A,[1]use_fish!I:I),0),_xlfn.IFNA(LOOKUP(U75,[1]use_fish!A:A,[1]use_fish!I:I),0),_xlfn.IFNA(LOOKUP(V75,[1]use_fish!A:A,[1]use_fish!I:I),0),_xlfn.IFNA(LOOKUP(W75,[1]use_fish!A:A,[1]use_fish!I:I),0),)</f>
        <v>90</v>
      </c>
      <c r="J75" s="32">
        <f>SUM(_xlfn.IFNA(LOOKUP(Q75,[1]use_fish!A:A,[1]use_fish!K:K),0),_xlfn.IFNA(LOOKUP(R75,[1]use_fish!A:A,[1]use_fish!K:K),0),_xlfn.IFNA(LOOKUP(S75,[1]use_fish!A:A,[1]use_fish!K:K),0),_xlfn.IFNA(LOOKUP(T75,[1]use_fish!A:A,[1]use_fish!K:K),0),_xlfn.IFNA(LOOKUP(U75,[1]use_fish!A:A,[1]use_fish!K:K),0),_xlfn.IFNA(LOOKUP(V75,[1]use_fish!A:A,[1]use_fish!K:K),0),_xlfn.IFNA(LOOKUP(W75,[1]use_fish!A:A,[1]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396</v>
      </c>
      <c r="H76" s="31">
        <f>SUM(_xlfn.IFNA(LOOKUP(Q76,[1]use_fish!A:A,[1]use_fish!E:E),0),_xlfn.IFNA(LOOKUP(R76,[1]use_fish!A:A,[1]use_fish!E:E),0),_xlfn.IFNA(LOOKUP(S76,[1]use_fish!A:A,[1]use_fish!E:E),0),_xlfn.IFNA(LOOKUP(T76,[1]use_fish!A:A,[1]use_fish!E:E),0),_xlfn.IFNA(LOOKUP(U76,[1]use_fish!A:A,[1]use_fish!E:E),0),_xlfn.IFNA(LOOKUP(V76,[1]use_fish!A:A,[1]use_fish!E:E),0),_xlfn.IFNA(LOOKUP(W76,[1]use_fish!A:A,[1]use_fish!E:E),0),)</f>
        <v>93</v>
      </c>
      <c r="I76" s="31">
        <f>SUM(_xlfn.IFNA(LOOKUP(Q76,[1]use_fish!A:A,[1]use_fish!I:I),0),_xlfn.IFNA(LOOKUP(R76,[1]use_fish!A:A,[1]use_fish!I:I),0),_xlfn.IFNA(LOOKUP(S76,[1]use_fish!A:A,[1]use_fish!I:I),0),_xlfn.IFNA(LOOKUP(T76,[1]use_fish!A:A,[1]use_fish!I:I),0),_xlfn.IFNA(LOOKUP(U76,[1]use_fish!A:A,[1]use_fish!I:I),0),_xlfn.IFNA(LOOKUP(V76,[1]use_fish!A:A,[1]use_fish!I:I),0),_xlfn.IFNA(LOOKUP(W76,[1]use_fish!A:A,[1]use_fish!I:I),0),)</f>
        <v>90</v>
      </c>
      <c r="J76" s="32">
        <f>SUM(_xlfn.IFNA(LOOKUP(Q76,[1]use_fish!A:A,[1]use_fish!K:K),0),_xlfn.IFNA(LOOKUP(R76,[1]use_fish!A:A,[1]use_fish!K:K),0),_xlfn.IFNA(LOOKUP(S76,[1]use_fish!A:A,[1]use_fish!K:K),0),_xlfn.IFNA(LOOKUP(T76,[1]use_fish!A:A,[1]use_fish!K:K),0),_xlfn.IFNA(LOOKUP(U76,[1]use_fish!A:A,[1]use_fish!K:K),0),_xlfn.IFNA(LOOKUP(V76,[1]use_fish!A:A,[1]use_fish!K:K),0),_xlfn.IFNA(LOOKUP(W76,[1]use_fish!A:A,[1]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397</v>
      </c>
      <c r="H77" s="31">
        <f>SUM(_xlfn.IFNA(LOOKUP(Q77,[1]use_fish!A:A,[1]use_fish!E:E),0),_xlfn.IFNA(LOOKUP(R77,[1]use_fish!A:A,[1]use_fish!E:E),0),_xlfn.IFNA(LOOKUP(S77,[1]use_fish!A:A,[1]use_fish!E:E),0),_xlfn.IFNA(LOOKUP(T77,[1]use_fish!A:A,[1]use_fish!E:E),0),_xlfn.IFNA(LOOKUP(U77,[1]use_fish!A:A,[1]use_fish!E:E),0),_xlfn.IFNA(LOOKUP(V77,[1]use_fish!A:A,[1]use_fish!E:E),0),_xlfn.IFNA(LOOKUP(W77,[1]use_fish!A:A,[1]use_fish!E:E),0),)</f>
        <v>93</v>
      </c>
      <c r="I77" s="31">
        <f>SUM(_xlfn.IFNA(LOOKUP(Q77,[1]use_fish!A:A,[1]use_fish!I:I),0),_xlfn.IFNA(LOOKUP(R77,[1]use_fish!A:A,[1]use_fish!I:I),0),_xlfn.IFNA(LOOKUP(S77,[1]use_fish!A:A,[1]use_fish!I:I),0),_xlfn.IFNA(LOOKUP(T77,[1]use_fish!A:A,[1]use_fish!I:I),0),_xlfn.IFNA(LOOKUP(U77,[1]use_fish!A:A,[1]use_fish!I:I),0),_xlfn.IFNA(LOOKUP(V77,[1]use_fish!A:A,[1]use_fish!I:I),0),_xlfn.IFNA(LOOKUP(W77,[1]use_fish!A:A,[1]use_fish!I:I),0),)</f>
        <v>90</v>
      </c>
      <c r="J77" s="32">
        <f>SUM(_xlfn.IFNA(LOOKUP(Q77,[1]use_fish!A:A,[1]use_fish!K:K),0),_xlfn.IFNA(LOOKUP(R77,[1]use_fish!A:A,[1]use_fish!K:K),0),_xlfn.IFNA(LOOKUP(S77,[1]use_fish!A:A,[1]use_fish!K:K),0),_xlfn.IFNA(LOOKUP(T77,[1]use_fish!A:A,[1]use_fish!K:K),0),_xlfn.IFNA(LOOKUP(U77,[1]use_fish!A:A,[1]use_fish!K:K),0),_xlfn.IFNA(LOOKUP(V77,[1]use_fish!A:A,[1]use_fish!K:K),0),_xlfn.IFNA(LOOKUP(W77,[1]use_fish!A:A,[1]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398</v>
      </c>
      <c r="H78" s="31">
        <f>SUM(_xlfn.IFNA(LOOKUP(Q78,[1]use_fish!A:A,[1]use_fish!E:E),0),_xlfn.IFNA(LOOKUP(R78,[1]use_fish!A:A,[1]use_fish!E:E),0),_xlfn.IFNA(LOOKUP(S78,[1]use_fish!A:A,[1]use_fish!E:E),0),_xlfn.IFNA(LOOKUP(T78,[1]use_fish!A:A,[1]use_fish!E:E),0),_xlfn.IFNA(LOOKUP(U78,[1]use_fish!A:A,[1]use_fish!E:E),0),_xlfn.IFNA(LOOKUP(V78,[1]use_fish!A:A,[1]use_fish!E:E),0),_xlfn.IFNA(LOOKUP(W78,[1]use_fish!A:A,[1]use_fish!E:E),0),)</f>
        <v>135</v>
      </c>
      <c r="I78" s="31">
        <f>SUM(_xlfn.IFNA(LOOKUP(Q78,[1]use_fish!A:A,[1]use_fish!I:I),0),_xlfn.IFNA(LOOKUP(R78,[1]use_fish!A:A,[1]use_fish!I:I),0),_xlfn.IFNA(LOOKUP(S78,[1]use_fish!A:A,[1]use_fish!I:I),0),_xlfn.IFNA(LOOKUP(T78,[1]use_fish!A:A,[1]use_fish!I:I),0),_xlfn.IFNA(LOOKUP(U78,[1]use_fish!A:A,[1]use_fish!I:I),0),_xlfn.IFNA(LOOKUP(V78,[1]use_fish!A:A,[1]use_fish!I:I),0),_xlfn.IFNA(LOOKUP(W78,[1]use_fish!A:A,[1]use_fish!I:I),0),)</f>
        <v>90</v>
      </c>
      <c r="J78" s="32">
        <f>SUM(_xlfn.IFNA(LOOKUP(Q78,[1]use_fish!A:A,[1]use_fish!K:K),0),_xlfn.IFNA(LOOKUP(R78,[1]use_fish!A:A,[1]use_fish!K:K),0),_xlfn.IFNA(LOOKUP(S78,[1]use_fish!A:A,[1]use_fish!K:K),0),_xlfn.IFNA(LOOKUP(T78,[1]use_fish!A:A,[1]use_fish!K:K),0),_xlfn.IFNA(LOOKUP(U78,[1]use_fish!A:A,[1]use_fish!K:K),0),_xlfn.IFNA(LOOKUP(V78,[1]use_fish!A:A,[1]use_fish!K:K),0),_xlfn.IFNA(LOOKUP(W78,[1]use_fish!A:A,[1]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399</v>
      </c>
      <c r="H79" s="31">
        <f>SUM(_xlfn.IFNA(LOOKUP(Q79,[1]use_fish!A:A,[1]use_fish!E:E),0),_xlfn.IFNA(LOOKUP(R79,[1]use_fish!A:A,[1]use_fish!E:E),0),_xlfn.IFNA(LOOKUP(S79,[1]use_fish!A:A,[1]use_fish!E:E),0),_xlfn.IFNA(LOOKUP(T79,[1]use_fish!A:A,[1]use_fish!E:E),0),_xlfn.IFNA(LOOKUP(U79,[1]use_fish!A:A,[1]use_fish!E:E),0),_xlfn.IFNA(LOOKUP(V79,[1]use_fish!A:A,[1]use_fish!E:E),0),_xlfn.IFNA(LOOKUP(W79,[1]use_fish!A:A,[1]use_fish!E:E),0),)</f>
        <v>114</v>
      </c>
      <c r="I79" s="31">
        <f>SUM(_xlfn.IFNA(LOOKUP(Q79,[1]use_fish!A:A,[1]use_fish!I:I),0),_xlfn.IFNA(LOOKUP(R79,[1]use_fish!A:A,[1]use_fish!I:I),0),_xlfn.IFNA(LOOKUP(S79,[1]use_fish!A:A,[1]use_fish!I:I),0),_xlfn.IFNA(LOOKUP(T79,[1]use_fish!A:A,[1]use_fish!I:I),0),_xlfn.IFNA(LOOKUP(U79,[1]use_fish!A:A,[1]use_fish!I:I),0),_xlfn.IFNA(LOOKUP(V79,[1]use_fish!A:A,[1]use_fish!I:I),0),_xlfn.IFNA(LOOKUP(W79,[1]use_fish!A:A,[1]use_fish!I:I),0),)</f>
        <v>110</v>
      </c>
      <c r="J79" s="32">
        <f>SUM(_xlfn.IFNA(LOOKUP(Q79,[1]use_fish!A:A,[1]use_fish!K:K),0),_xlfn.IFNA(LOOKUP(R79,[1]use_fish!A:A,[1]use_fish!K:K),0),_xlfn.IFNA(LOOKUP(S79,[1]use_fish!A:A,[1]use_fish!K:K),0),_xlfn.IFNA(LOOKUP(T79,[1]use_fish!A:A,[1]use_fish!K:K),0),_xlfn.IFNA(LOOKUP(U79,[1]use_fish!A:A,[1]use_fish!K:K),0),_xlfn.IFNA(LOOKUP(V79,[1]use_fish!A:A,[1]use_fish!K:K),0),_xlfn.IFNA(LOOKUP(W79,[1]use_fish!A:A,[1]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400</v>
      </c>
      <c r="H80" s="31">
        <f>SUM(_xlfn.IFNA(LOOKUP(Q80,[1]use_fish!A:A,[1]use_fish!E:E),0),_xlfn.IFNA(LOOKUP(R80,[1]use_fish!A:A,[1]use_fish!E:E),0),_xlfn.IFNA(LOOKUP(S80,[1]use_fish!A:A,[1]use_fish!E:E),0),_xlfn.IFNA(LOOKUP(T80,[1]use_fish!A:A,[1]use_fish!E:E),0),_xlfn.IFNA(LOOKUP(U80,[1]use_fish!A:A,[1]use_fish!E:E),0),_xlfn.IFNA(LOOKUP(V80,[1]use_fish!A:A,[1]use_fish!E:E),0),_xlfn.IFNA(LOOKUP(W80,[1]use_fish!A:A,[1]use_fish!E:E),0),)</f>
        <v>135</v>
      </c>
      <c r="I80" s="31">
        <f>SUM(_xlfn.IFNA(LOOKUP(Q80,[1]use_fish!A:A,[1]use_fish!I:I),0),_xlfn.IFNA(LOOKUP(R80,[1]use_fish!A:A,[1]use_fish!I:I),0),_xlfn.IFNA(LOOKUP(S80,[1]use_fish!A:A,[1]use_fish!I:I),0),_xlfn.IFNA(LOOKUP(T80,[1]use_fish!A:A,[1]use_fish!I:I),0),_xlfn.IFNA(LOOKUP(U80,[1]use_fish!A:A,[1]use_fish!I:I),0),_xlfn.IFNA(LOOKUP(V80,[1]use_fish!A:A,[1]use_fish!I:I),0),_xlfn.IFNA(LOOKUP(W80,[1]use_fish!A:A,[1]use_fish!I:I),0),)</f>
        <v>130</v>
      </c>
      <c r="J80" s="32">
        <f>SUM(_xlfn.IFNA(LOOKUP(Q80,[1]use_fish!A:A,[1]use_fish!K:K),0),_xlfn.IFNA(LOOKUP(R80,[1]use_fish!A:A,[1]use_fish!K:K),0),_xlfn.IFNA(LOOKUP(S80,[1]use_fish!A:A,[1]use_fish!K:K),0),_xlfn.IFNA(LOOKUP(T80,[1]use_fish!A:A,[1]use_fish!K:K),0),_xlfn.IFNA(LOOKUP(U80,[1]use_fish!A:A,[1]use_fish!K:K),0),_xlfn.IFNA(LOOKUP(V80,[1]use_fish!A:A,[1]use_fish!K:K),0),_xlfn.IFNA(LOOKUP(W80,[1]use_fish!A:A,[1]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401</v>
      </c>
      <c r="H81" s="31">
        <f>SUM(_xlfn.IFNA(LOOKUP(Q81,[1]use_fish!A:A,[1]use_fish!E:E),0),_xlfn.IFNA(LOOKUP(R81,[1]use_fish!A:A,[1]use_fish!E:E),0),_xlfn.IFNA(LOOKUP(S81,[1]use_fish!A:A,[1]use_fish!E:E),0),_xlfn.IFNA(LOOKUP(T81,[1]use_fish!A:A,[1]use_fish!E:E),0),_xlfn.IFNA(LOOKUP(U81,[1]use_fish!A:A,[1]use_fish!E:E),0),_xlfn.IFNA(LOOKUP(V81,[1]use_fish!A:A,[1]use_fish!E:E),0),_xlfn.IFNA(LOOKUP(W81,[1]use_fish!A:A,[1]use_fish!E:E),0),)</f>
        <v>135</v>
      </c>
      <c r="I81" s="31">
        <f>SUM(_xlfn.IFNA(LOOKUP(Q81,[1]use_fish!A:A,[1]use_fish!I:I),0),_xlfn.IFNA(LOOKUP(R81,[1]use_fish!A:A,[1]use_fish!I:I),0),_xlfn.IFNA(LOOKUP(S81,[1]use_fish!A:A,[1]use_fish!I:I),0),_xlfn.IFNA(LOOKUP(T81,[1]use_fish!A:A,[1]use_fish!I:I),0),_xlfn.IFNA(LOOKUP(U81,[1]use_fish!A:A,[1]use_fish!I:I),0),_xlfn.IFNA(LOOKUP(V81,[1]use_fish!A:A,[1]use_fish!I:I),0),_xlfn.IFNA(LOOKUP(W81,[1]use_fish!A:A,[1]use_fish!I:I),0),)</f>
        <v>130</v>
      </c>
      <c r="J81" s="32">
        <f>SUM(_xlfn.IFNA(LOOKUP(Q81,[1]use_fish!A:A,[1]use_fish!K:K),0),_xlfn.IFNA(LOOKUP(R81,[1]use_fish!A:A,[1]use_fish!K:K),0),_xlfn.IFNA(LOOKUP(S81,[1]use_fish!A:A,[1]use_fish!K:K),0),_xlfn.IFNA(LOOKUP(T81,[1]use_fish!A:A,[1]use_fish!K:K),0),_xlfn.IFNA(LOOKUP(U81,[1]use_fish!A:A,[1]use_fish!K:K),0),_xlfn.IFNA(LOOKUP(V81,[1]use_fish!A:A,[1]use_fish!K:K),0),_xlfn.IFNA(LOOKUP(W81,[1]use_fish!A:A,[1]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402</v>
      </c>
      <c r="H82" s="31">
        <f>SUM(_xlfn.IFNA(LOOKUP(Q82,[1]use_fish!A:A,[1]use_fish!E:E),0),_xlfn.IFNA(LOOKUP(R82,[1]use_fish!A:A,[1]use_fish!E:E),0),_xlfn.IFNA(LOOKUP(S82,[1]use_fish!A:A,[1]use_fish!E:E),0),_xlfn.IFNA(LOOKUP(T82,[1]use_fish!A:A,[1]use_fish!E:E),0),_xlfn.IFNA(LOOKUP(U82,[1]use_fish!A:A,[1]use_fish!E:E),0),_xlfn.IFNA(LOOKUP(V82,[1]use_fish!A:A,[1]use_fish!E:E),0),_xlfn.IFNA(LOOKUP(W82,[1]use_fish!A:A,[1]use_fish!E:E),0),)</f>
        <v>65</v>
      </c>
      <c r="I82" s="31">
        <f>SUM(_xlfn.IFNA(LOOKUP(Q82,[1]use_fish!A:A,[1]use_fish!I:I),0),_xlfn.IFNA(LOOKUP(R82,[1]use_fish!A:A,[1]use_fish!I:I),0),_xlfn.IFNA(LOOKUP(S82,[1]use_fish!A:A,[1]use_fish!I:I),0),_xlfn.IFNA(LOOKUP(T82,[1]use_fish!A:A,[1]use_fish!I:I),0),_xlfn.IFNA(LOOKUP(U82,[1]use_fish!A:A,[1]use_fish!I:I),0),_xlfn.IFNA(LOOKUP(V82,[1]use_fish!A:A,[1]use_fish!I:I),0),_xlfn.IFNA(LOOKUP(W82,[1]use_fish!A:A,[1]use_fish!I:I),0),)</f>
        <v>65</v>
      </c>
      <c r="J82" s="32">
        <f>SUM(_xlfn.IFNA(LOOKUP(Q82,[1]use_fish!A:A,[1]use_fish!K:K),0),_xlfn.IFNA(LOOKUP(R82,[1]use_fish!A:A,[1]use_fish!K:K),0),_xlfn.IFNA(LOOKUP(S82,[1]use_fish!A:A,[1]use_fish!K:K),0),_xlfn.IFNA(LOOKUP(T82,[1]use_fish!A:A,[1]use_fish!K:K),0),_xlfn.IFNA(LOOKUP(U82,[1]use_fish!A:A,[1]use_fish!K:K),0),_xlfn.IFNA(LOOKUP(V82,[1]use_fish!A:A,[1]use_fish!K:K),0),_xlfn.IFNA(LOOKUP(W82,[1]use_fish!A:A,[1]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403</v>
      </c>
      <c r="H83" s="31">
        <f>SUM(_xlfn.IFNA(LOOKUP(Q83,[1]use_fish!A:A,[1]use_fish!E:E),0),_xlfn.IFNA(LOOKUP(R83,[1]use_fish!A:A,[1]use_fish!E:E),0),_xlfn.IFNA(LOOKUP(S83,[1]use_fish!A:A,[1]use_fish!E:E),0),_xlfn.IFNA(LOOKUP(T83,[1]use_fish!A:A,[1]use_fish!E:E),0),_xlfn.IFNA(LOOKUP(U83,[1]use_fish!A:A,[1]use_fish!E:E),0),_xlfn.IFNA(LOOKUP(V83,[1]use_fish!A:A,[1]use_fish!E:E),0),_xlfn.IFNA(LOOKUP(W83,[1]use_fish!A:A,[1]use_fish!E:E),0),)</f>
        <v>68</v>
      </c>
      <c r="I83" s="31">
        <f>SUM(_xlfn.IFNA(LOOKUP(Q83,[1]use_fish!A:A,[1]use_fish!I:I),0),_xlfn.IFNA(LOOKUP(R83,[1]use_fish!A:A,[1]use_fish!I:I),0),_xlfn.IFNA(LOOKUP(S83,[1]use_fish!A:A,[1]use_fish!I:I),0),_xlfn.IFNA(LOOKUP(T83,[1]use_fish!A:A,[1]use_fish!I:I),0),_xlfn.IFNA(LOOKUP(U83,[1]use_fish!A:A,[1]use_fish!I:I),0),_xlfn.IFNA(LOOKUP(V83,[1]use_fish!A:A,[1]use_fish!I:I),0),_xlfn.IFNA(LOOKUP(W83,[1]use_fish!A:A,[1]use_fish!I:I),0),)</f>
        <v>68</v>
      </c>
      <c r="J83" s="32">
        <f>SUM(_xlfn.IFNA(LOOKUP(Q83,[1]use_fish!A:A,[1]use_fish!K:K),0),_xlfn.IFNA(LOOKUP(R83,[1]use_fish!A:A,[1]use_fish!K:K),0),_xlfn.IFNA(LOOKUP(S83,[1]use_fish!A:A,[1]use_fish!K:K),0),_xlfn.IFNA(LOOKUP(T83,[1]use_fish!A:A,[1]use_fish!K:K),0),_xlfn.IFNA(LOOKUP(U83,[1]use_fish!A:A,[1]use_fish!K:K),0),_xlfn.IFNA(LOOKUP(V83,[1]use_fish!A:A,[1]use_fish!K:K),0),_xlfn.IFNA(LOOKUP(W83,[1]use_fish!A:A,[1]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404</v>
      </c>
      <c r="H84" s="31">
        <f>SUM(_xlfn.IFNA(LOOKUP(Q84,[1]use_fish!A:A,[1]use_fish!E:E),0),_xlfn.IFNA(LOOKUP(R84,[1]use_fish!A:A,[1]use_fish!E:E),0),_xlfn.IFNA(LOOKUP(S84,[1]use_fish!A:A,[1]use_fish!E:E),0),_xlfn.IFNA(LOOKUP(T84,[1]use_fish!A:A,[1]use_fish!E:E),0),_xlfn.IFNA(LOOKUP(U84,[1]use_fish!A:A,[1]use_fish!E:E),0),_xlfn.IFNA(LOOKUP(V84,[1]use_fish!A:A,[1]use_fish!E:E),0),_xlfn.IFNA(LOOKUP(W84,[1]use_fish!A:A,[1]use_fish!E:E),0),)</f>
        <v>70</v>
      </c>
      <c r="I84" s="31">
        <f>SUM(_xlfn.IFNA(LOOKUP(Q84,[1]use_fish!A:A,[1]use_fish!I:I),0),_xlfn.IFNA(LOOKUP(R84,[1]use_fish!A:A,[1]use_fish!I:I),0),_xlfn.IFNA(LOOKUP(S84,[1]use_fish!A:A,[1]use_fish!I:I),0),_xlfn.IFNA(LOOKUP(T84,[1]use_fish!A:A,[1]use_fish!I:I),0),_xlfn.IFNA(LOOKUP(U84,[1]use_fish!A:A,[1]use_fish!I:I),0),_xlfn.IFNA(LOOKUP(V84,[1]use_fish!A:A,[1]use_fish!I:I),0),_xlfn.IFNA(LOOKUP(W84,[1]use_fish!A:A,[1]use_fish!I:I),0),)</f>
        <v>70</v>
      </c>
      <c r="J84" s="32">
        <f>SUM(_xlfn.IFNA(LOOKUP(Q84,[1]use_fish!A:A,[1]use_fish!K:K),0),_xlfn.IFNA(LOOKUP(R84,[1]use_fish!A:A,[1]use_fish!K:K),0),_xlfn.IFNA(LOOKUP(S84,[1]use_fish!A:A,[1]use_fish!K:K),0),_xlfn.IFNA(LOOKUP(T84,[1]use_fish!A:A,[1]use_fish!K:K),0),_xlfn.IFNA(LOOKUP(U84,[1]use_fish!A:A,[1]use_fish!K:K),0),_xlfn.IFNA(LOOKUP(V84,[1]use_fish!A:A,[1]use_fish!K:K),0),_xlfn.IFNA(LOOKUP(W84,[1]use_fish!A:A,[1]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405</v>
      </c>
      <c r="H85" s="31">
        <f>SUM(_xlfn.IFNA(LOOKUP(Q85,[1]use_fish!A:A,[1]use_fish!E:E),0),_xlfn.IFNA(LOOKUP(R85,[1]use_fish!A:A,[1]use_fish!E:E),0),_xlfn.IFNA(LOOKUP(S85,[1]use_fish!A:A,[1]use_fish!E:E),0),_xlfn.IFNA(LOOKUP(T85,[1]use_fish!A:A,[1]use_fish!E:E),0),_xlfn.IFNA(LOOKUP(U85,[1]use_fish!A:A,[1]use_fish!E:E),0),_xlfn.IFNA(LOOKUP(V85,[1]use_fish!A:A,[1]use_fish!E:E),0),_xlfn.IFNA(LOOKUP(W85,[1]use_fish!A:A,[1]use_fish!E:E),0),)</f>
        <v>75</v>
      </c>
      <c r="I85" s="31">
        <f>SUM(_xlfn.IFNA(LOOKUP(Q85,[1]use_fish!A:A,[1]use_fish!I:I),0),_xlfn.IFNA(LOOKUP(R85,[1]use_fish!A:A,[1]use_fish!I:I),0),_xlfn.IFNA(LOOKUP(S85,[1]use_fish!A:A,[1]use_fish!I:I),0),_xlfn.IFNA(LOOKUP(T85,[1]use_fish!A:A,[1]use_fish!I:I),0),_xlfn.IFNA(LOOKUP(U85,[1]use_fish!A:A,[1]use_fish!I:I),0),_xlfn.IFNA(LOOKUP(V85,[1]use_fish!A:A,[1]use_fish!I:I),0),_xlfn.IFNA(LOOKUP(W85,[1]use_fish!A:A,[1]use_fish!I:I),0),)</f>
        <v>75</v>
      </c>
      <c r="J85" s="32">
        <f>SUM(_xlfn.IFNA(LOOKUP(Q85,[1]use_fish!A:A,[1]use_fish!K:K),0),_xlfn.IFNA(LOOKUP(R85,[1]use_fish!A:A,[1]use_fish!K:K),0),_xlfn.IFNA(LOOKUP(S85,[1]use_fish!A:A,[1]use_fish!K:K),0),_xlfn.IFNA(LOOKUP(T85,[1]use_fish!A:A,[1]use_fish!K:K),0),_xlfn.IFNA(LOOKUP(U85,[1]use_fish!A:A,[1]use_fish!K:K),0),_xlfn.IFNA(LOOKUP(V85,[1]use_fish!A:A,[1]use_fish!K:K),0),_xlfn.IFNA(LOOKUP(W85,[1]use_fish!A:A,[1]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406</v>
      </c>
      <c r="H86" s="31">
        <f>SUM(_xlfn.IFNA(LOOKUP(Q86,[1]use_fish!A:A,[1]use_fish!E:E),0),_xlfn.IFNA(LOOKUP(R86,[1]use_fish!A:A,[1]use_fish!E:E),0),_xlfn.IFNA(LOOKUP(S86,[1]use_fish!A:A,[1]use_fish!E:E),0),_xlfn.IFNA(LOOKUP(T86,[1]use_fish!A:A,[1]use_fish!E:E),0),_xlfn.IFNA(LOOKUP(U86,[1]use_fish!A:A,[1]use_fish!E:E),0),_xlfn.IFNA(LOOKUP(V86,[1]use_fish!A:A,[1]use_fish!E:E),0),_xlfn.IFNA(LOOKUP(W86,[1]use_fish!A:A,[1]use_fish!E:E),0),)</f>
        <v>80</v>
      </c>
      <c r="I86" s="31">
        <f>SUM(_xlfn.IFNA(LOOKUP(Q86,[1]use_fish!A:A,[1]use_fish!I:I),0),_xlfn.IFNA(LOOKUP(R86,[1]use_fish!A:A,[1]use_fish!I:I),0),_xlfn.IFNA(LOOKUP(S86,[1]use_fish!A:A,[1]use_fish!I:I),0),_xlfn.IFNA(LOOKUP(T86,[1]use_fish!A:A,[1]use_fish!I:I),0),_xlfn.IFNA(LOOKUP(U86,[1]use_fish!A:A,[1]use_fish!I:I),0),_xlfn.IFNA(LOOKUP(V86,[1]use_fish!A:A,[1]use_fish!I:I),0),_xlfn.IFNA(LOOKUP(W86,[1]use_fish!A:A,[1]use_fish!I:I),0),)</f>
        <v>80</v>
      </c>
      <c r="J86" s="32">
        <f>SUM(_xlfn.IFNA(LOOKUP(Q86,[1]use_fish!A:A,[1]use_fish!K:K),0),_xlfn.IFNA(LOOKUP(R86,[1]use_fish!A:A,[1]use_fish!K:K),0),_xlfn.IFNA(LOOKUP(S86,[1]use_fish!A:A,[1]use_fish!K:K),0),_xlfn.IFNA(LOOKUP(T86,[1]use_fish!A:A,[1]use_fish!K:K),0),_xlfn.IFNA(LOOKUP(U86,[1]use_fish!A:A,[1]use_fish!K:K),0),_xlfn.IFNA(LOOKUP(V86,[1]use_fish!A:A,[1]use_fish!K:K),0),_xlfn.IFNA(LOOKUP(W86,[1]use_fish!A:A,[1]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407</v>
      </c>
      <c r="H87" s="31">
        <f>SUM(_xlfn.IFNA(LOOKUP(Q87,[1]use_fish!A:A,[1]use_fish!E:E),0),_xlfn.IFNA(LOOKUP(R87,[1]use_fish!A:A,[1]use_fish!E:E),0),_xlfn.IFNA(LOOKUP(S87,[1]use_fish!A:A,[1]use_fish!E:E),0),_xlfn.IFNA(LOOKUP(T87,[1]use_fish!A:A,[1]use_fish!E:E),0),_xlfn.IFNA(LOOKUP(U87,[1]use_fish!A:A,[1]use_fish!E:E),0),_xlfn.IFNA(LOOKUP(V87,[1]use_fish!A:A,[1]use_fish!E:E),0),_xlfn.IFNA(LOOKUP(W87,[1]use_fish!A:A,[1]use_fish!E:E),0),)</f>
        <v>85</v>
      </c>
      <c r="I87" s="31">
        <f>SUM(_xlfn.IFNA(LOOKUP(Q87,[1]use_fish!A:A,[1]use_fish!I:I),0),_xlfn.IFNA(LOOKUP(R87,[1]use_fish!A:A,[1]use_fish!I:I),0),_xlfn.IFNA(LOOKUP(S87,[1]use_fish!A:A,[1]use_fish!I:I),0),_xlfn.IFNA(LOOKUP(T87,[1]use_fish!A:A,[1]use_fish!I:I),0),_xlfn.IFNA(LOOKUP(U87,[1]use_fish!A:A,[1]use_fish!I:I),0),_xlfn.IFNA(LOOKUP(V87,[1]use_fish!A:A,[1]use_fish!I:I),0),_xlfn.IFNA(LOOKUP(W87,[1]use_fish!A:A,[1]use_fish!I:I),0),)</f>
        <v>85</v>
      </c>
      <c r="J87" s="32">
        <f>SUM(_xlfn.IFNA(LOOKUP(Q87,[1]use_fish!A:A,[1]use_fish!K:K),0),_xlfn.IFNA(LOOKUP(R87,[1]use_fish!A:A,[1]use_fish!K:K),0),_xlfn.IFNA(LOOKUP(S87,[1]use_fish!A:A,[1]use_fish!K:K),0),_xlfn.IFNA(LOOKUP(T87,[1]use_fish!A:A,[1]use_fish!K:K),0),_xlfn.IFNA(LOOKUP(U87,[1]use_fish!A:A,[1]use_fish!K:K),0),_xlfn.IFNA(LOOKUP(V87,[1]use_fish!A:A,[1]use_fish!K:K),0),_xlfn.IFNA(LOOKUP(W87,[1]use_fish!A:A,[1]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408</v>
      </c>
      <c r="H88" s="31">
        <f>SUM(_xlfn.IFNA(LOOKUP(Q88,[1]use_fish!A:A,[1]use_fish!E:E),0),_xlfn.IFNA(LOOKUP(R88,[1]use_fish!A:A,[1]use_fish!E:E),0),_xlfn.IFNA(LOOKUP(S88,[1]use_fish!A:A,[1]use_fish!E:E),0),_xlfn.IFNA(LOOKUP(T88,[1]use_fish!A:A,[1]use_fish!E:E),0),_xlfn.IFNA(LOOKUP(U88,[1]use_fish!A:A,[1]use_fish!E:E),0),_xlfn.IFNA(LOOKUP(V88,[1]use_fish!A:A,[1]use_fish!E:E),0),_xlfn.IFNA(LOOKUP(W88,[1]use_fish!A:A,[1]use_fish!E:E),0),)</f>
        <v>90</v>
      </c>
      <c r="I88" s="31">
        <f>SUM(_xlfn.IFNA(LOOKUP(Q88,[1]use_fish!A:A,[1]use_fish!I:I),0),_xlfn.IFNA(LOOKUP(R88,[1]use_fish!A:A,[1]use_fish!I:I),0),_xlfn.IFNA(LOOKUP(S88,[1]use_fish!A:A,[1]use_fish!I:I),0),_xlfn.IFNA(LOOKUP(T88,[1]use_fish!A:A,[1]use_fish!I:I),0),_xlfn.IFNA(LOOKUP(U88,[1]use_fish!A:A,[1]use_fish!I:I),0),_xlfn.IFNA(LOOKUP(V88,[1]use_fish!A:A,[1]use_fish!I:I),0),_xlfn.IFNA(LOOKUP(W88,[1]use_fish!A:A,[1]use_fish!I:I),0),)</f>
        <v>90</v>
      </c>
      <c r="J88" s="32">
        <f>SUM(_xlfn.IFNA(LOOKUP(Q88,[1]use_fish!A:A,[1]use_fish!K:K),0),_xlfn.IFNA(LOOKUP(R88,[1]use_fish!A:A,[1]use_fish!K:K),0),_xlfn.IFNA(LOOKUP(S88,[1]use_fish!A:A,[1]use_fish!K:K),0),_xlfn.IFNA(LOOKUP(T88,[1]use_fish!A:A,[1]use_fish!K:K),0),_xlfn.IFNA(LOOKUP(U88,[1]use_fish!A:A,[1]use_fish!K:K),0),_xlfn.IFNA(LOOKUP(V88,[1]use_fish!A:A,[1]use_fish!K:K),0),_xlfn.IFNA(LOOKUP(W88,[1]use_fish!A:A,[1]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409</v>
      </c>
      <c r="H89" s="31">
        <f>SUM(_xlfn.IFNA(LOOKUP(Q89,[1]use_fish!A:A,[1]use_fish!E:E),0),_xlfn.IFNA(LOOKUP(R89,[1]use_fish!A:A,[1]use_fish!E:E),0),_xlfn.IFNA(LOOKUP(S89,[1]use_fish!A:A,[1]use_fish!E:E),0),_xlfn.IFNA(LOOKUP(T89,[1]use_fish!A:A,[1]use_fish!E:E),0),_xlfn.IFNA(LOOKUP(U89,[1]use_fish!A:A,[1]use_fish!E:E),0),_xlfn.IFNA(LOOKUP(V89,[1]use_fish!A:A,[1]use_fish!E:E),0),_xlfn.IFNA(LOOKUP(W89,[1]use_fish!A:A,[1]use_fish!E:E),0),)</f>
        <v>110</v>
      </c>
      <c r="I89" s="31">
        <f>SUM(_xlfn.IFNA(LOOKUP(Q89,[1]use_fish!A:A,[1]use_fish!I:I),0),_xlfn.IFNA(LOOKUP(R89,[1]use_fish!A:A,[1]use_fish!I:I),0),_xlfn.IFNA(LOOKUP(S89,[1]use_fish!A:A,[1]use_fish!I:I),0),_xlfn.IFNA(LOOKUP(T89,[1]use_fish!A:A,[1]use_fish!I:I),0),_xlfn.IFNA(LOOKUP(U89,[1]use_fish!A:A,[1]use_fish!I:I),0),_xlfn.IFNA(LOOKUP(V89,[1]use_fish!A:A,[1]use_fish!I:I),0),_xlfn.IFNA(LOOKUP(W89,[1]use_fish!A:A,[1]use_fish!I:I),0),)</f>
        <v>110</v>
      </c>
      <c r="J89" s="32">
        <f>SUM(_xlfn.IFNA(LOOKUP(Q89,[1]use_fish!A:A,[1]use_fish!K:K),0),_xlfn.IFNA(LOOKUP(R89,[1]use_fish!A:A,[1]use_fish!K:K),0),_xlfn.IFNA(LOOKUP(S89,[1]use_fish!A:A,[1]use_fish!K:K),0),_xlfn.IFNA(LOOKUP(T89,[1]use_fish!A:A,[1]use_fish!K:K),0),_xlfn.IFNA(LOOKUP(U89,[1]use_fish!A:A,[1]use_fish!K:K),0),_xlfn.IFNA(LOOKUP(V89,[1]use_fish!A:A,[1]use_fish!K:K),0),_xlfn.IFNA(LOOKUP(W89,[1]use_fish!A:A,[1]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410</v>
      </c>
      <c r="H90" s="31">
        <f>SUM(_xlfn.IFNA(LOOKUP(Q90,[1]use_fish!A:A,[1]use_fish!E:E),0),_xlfn.IFNA(LOOKUP(R90,[1]use_fish!A:A,[1]use_fish!E:E),0),_xlfn.IFNA(LOOKUP(S90,[1]use_fish!A:A,[1]use_fish!E:E),0),_xlfn.IFNA(LOOKUP(T90,[1]use_fish!A:A,[1]use_fish!E:E),0),_xlfn.IFNA(LOOKUP(U90,[1]use_fish!A:A,[1]use_fish!E:E),0),_xlfn.IFNA(LOOKUP(V90,[1]use_fish!A:A,[1]use_fish!E:E),0),_xlfn.IFNA(LOOKUP(W90,[1]use_fish!A:A,[1]use_fish!E:E),0),)</f>
        <v>113</v>
      </c>
      <c r="I90" s="31">
        <f>SUM(_xlfn.IFNA(LOOKUP(Q90,[1]use_fish!A:A,[1]use_fish!I:I),0),_xlfn.IFNA(LOOKUP(R90,[1]use_fish!A:A,[1]use_fish!I:I),0),_xlfn.IFNA(LOOKUP(S90,[1]use_fish!A:A,[1]use_fish!I:I),0),_xlfn.IFNA(LOOKUP(T90,[1]use_fish!A:A,[1]use_fish!I:I),0),_xlfn.IFNA(LOOKUP(U90,[1]use_fish!A:A,[1]use_fish!I:I),0),_xlfn.IFNA(LOOKUP(V90,[1]use_fish!A:A,[1]use_fish!I:I),0),_xlfn.IFNA(LOOKUP(W90,[1]use_fish!A:A,[1]use_fish!I:I),0),)</f>
        <v>110</v>
      </c>
      <c r="J90" s="32">
        <f>SUM(_xlfn.IFNA(LOOKUP(Q90,[1]use_fish!A:A,[1]use_fish!K:K),0),_xlfn.IFNA(LOOKUP(R90,[1]use_fish!A:A,[1]use_fish!K:K),0),_xlfn.IFNA(LOOKUP(S90,[1]use_fish!A:A,[1]use_fish!K:K),0),_xlfn.IFNA(LOOKUP(T90,[1]use_fish!A:A,[1]use_fish!K:K),0),_xlfn.IFNA(LOOKUP(U90,[1]use_fish!A:A,[1]use_fish!K:K),0),_xlfn.IFNA(LOOKUP(V90,[1]use_fish!A:A,[1]use_fish!K:K),0),_xlfn.IFNA(LOOKUP(W90,[1]use_fish!A:A,[1]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411</v>
      </c>
      <c r="H91" s="31">
        <f>SUM(_xlfn.IFNA(LOOKUP(Q91,[1]use_fish!A:A,[1]use_fish!E:E),0),_xlfn.IFNA(LOOKUP(R91,[1]use_fish!A:A,[1]use_fish!E:E),0),_xlfn.IFNA(LOOKUP(S91,[1]use_fish!A:A,[1]use_fish!E:E),0),_xlfn.IFNA(LOOKUP(T91,[1]use_fish!A:A,[1]use_fish!E:E),0),_xlfn.IFNA(LOOKUP(U91,[1]use_fish!A:A,[1]use_fish!E:E),0),_xlfn.IFNA(LOOKUP(V91,[1]use_fish!A:A,[1]use_fish!E:E),0),_xlfn.IFNA(LOOKUP(W91,[1]use_fish!A:A,[1]use_fish!E:E),0),)</f>
        <v>113</v>
      </c>
      <c r="I91" s="31">
        <f>SUM(_xlfn.IFNA(LOOKUP(Q91,[1]use_fish!A:A,[1]use_fish!I:I),0),_xlfn.IFNA(LOOKUP(R91,[1]use_fish!A:A,[1]use_fish!I:I),0),_xlfn.IFNA(LOOKUP(S91,[1]use_fish!A:A,[1]use_fish!I:I),0),_xlfn.IFNA(LOOKUP(T91,[1]use_fish!A:A,[1]use_fish!I:I),0),_xlfn.IFNA(LOOKUP(U91,[1]use_fish!A:A,[1]use_fish!I:I),0),_xlfn.IFNA(LOOKUP(V91,[1]use_fish!A:A,[1]use_fish!I:I),0),_xlfn.IFNA(LOOKUP(W91,[1]use_fish!A:A,[1]use_fish!I:I),0),)</f>
        <v>110</v>
      </c>
      <c r="J91" s="32">
        <f>SUM(_xlfn.IFNA(LOOKUP(Q91,[1]use_fish!A:A,[1]use_fish!K:K),0),_xlfn.IFNA(LOOKUP(R91,[1]use_fish!A:A,[1]use_fish!K:K),0),_xlfn.IFNA(LOOKUP(S91,[1]use_fish!A:A,[1]use_fish!K:K),0),_xlfn.IFNA(LOOKUP(T91,[1]use_fish!A:A,[1]use_fish!K:K),0),_xlfn.IFNA(LOOKUP(U91,[1]use_fish!A:A,[1]use_fish!K:K),0),_xlfn.IFNA(LOOKUP(V91,[1]use_fish!A:A,[1]use_fish!K:K),0),_xlfn.IFNA(LOOKUP(W91,[1]use_fish!A:A,[1]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412</v>
      </c>
      <c r="H92" s="31">
        <f>SUM(_xlfn.IFNA(LOOKUP(Q92,[1]use_fish!A:A,[1]use_fish!E:E),0),_xlfn.IFNA(LOOKUP(R92,[1]use_fish!A:A,[1]use_fish!E:E),0),_xlfn.IFNA(LOOKUP(S92,[1]use_fish!A:A,[1]use_fish!E:E),0),_xlfn.IFNA(LOOKUP(T92,[1]use_fish!A:A,[1]use_fish!E:E),0),_xlfn.IFNA(LOOKUP(U92,[1]use_fish!A:A,[1]use_fish!E:E),0),_xlfn.IFNA(LOOKUP(V92,[1]use_fish!A:A,[1]use_fish!E:E),0),_xlfn.IFNA(LOOKUP(W92,[1]use_fish!A:A,[1]use_fish!E:E),0),)</f>
        <v>155</v>
      </c>
      <c r="I92" s="31">
        <f>SUM(_xlfn.IFNA(LOOKUP(Q92,[1]use_fish!A:A,[1]use_fish!I:I),0),_xlfn.IFNA(LOOKUP(R92,[1]use_fish!A:A,[1]use_fish!I:I),0),_xlfn.IFNA(LOOKUP(S92,[1]use_fish!A:A,[1]use_fish!I:I),0),_xlfn.IFNA(LOOKUP(T92,[1]use_fish!A:A,[1]use_fish!I:I),0),_xlfn.IFNA(LOOKUP(U92,[1]use_fish!A:A,[1]use_fish!I:I),0),_xlfn.IFNA(LOOKUP(V92,[1]use_fish!A:A,[1]use_fish!I:I),0),_xlfn.IFNA(LOOKUP(W92,[1]use_fish!A:A,[1]use_fish!I:I),0),)</f>
        <v>110</v>
      </c>
      <c r="J92" s="32">
        <f>SUM(_xlfn.IFNA(LOOKUP(Q92,[1]use_fish!A:A,[1]use_fish!K:K),0),_xlfn.IFNA(LOOKUP(R92,[1]use_fish!A:A,[1]use_fish!K:K),0),_xlfn.IFNA(LOOKUP(S92,[1]use_fish!A:A,[1]use_fish!K:K),0),_xlfn.IFNA(LOOKUP(T92,[1]use_fish!A:A,[1]use_fish!K:K),0),_xlfn.IFNA(LOOKUP(U92,[1]use_fish!A:A,[1]use_fish!K:K),0),_xlfn.IFNA(LOOKUP(V92,[1]use_fish!A:A,[1]use_fish!K:K),0),_xlfn.IFNA(LOOKUP(W92,[1]use_fish!A:A,[1]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413</v>
      </c>
      <c r="H93" s="31">
        <f>SUM(_xlfn.IFNA(LOOKUP(Q93,[1]use_fish!A:A,[1]use_fish!E:E),0),_xlfn.IFNA(LOOKUP(R93,[1]use_fish!A:A,[1]use_fish!E:E),0),_xlfn.IFNA(LOOKUP(S93,[1]use_fish!A:A,[1]use_fish!E:E),0),_xlfn.IFNA(LOOKUP(T93,[1]use_fish!A:A,[1]use_fish!E:E),0),_xlfn.IFNA(LOOKUP(U93,[1]use_fish!A:A,[1]use_fish!E:E),0),_xlfn.IFNA(LOOKUP(V93,[1]use_fish!A:A,[1]use_fish!E:E),0),_xlfn.IFNA(LOOKUP(W93,[1]use_fish!A:A,[1]use_fish!E:E),0),)</f>
        <v>134</v>
      </c>
      <c r="I93" s="31">
        <f>SUM(_xlfn.IFNA(LOOKUP(Q93,[1]use_fish!A:A,[1]use_fish!I:I),0),_xlfn.IFNA(LOOKUP(R93,[1]use_fish!A:A,[1]use_fish!I:I),0),_xlfn.IFNA(LOOKUP(S93,[1]use_fish!A:A,[1]use_fish!I:I),0),_xlfn.IFNA(LOOKUP(T93,[1]use_fish!A:A,[1]use_fish!I:I),0),_xlfn.IFNA(LOOKUP(U93,[1]use_fish!A:A,[1]use_fish!I:I),0),_xlfn.IFNA(LOOKUP(V93,[1]use_fish!A:A,[1]use_fish!I:I),0),_xlfn.IFNA(LOOKUP(W93,[1]use_fish!A:A,[1]use_fish!I:I),0),)</f>
        <v>130</v>
      </c>
      <c r="J93" s="32">
        <f>SUM(_xlfn.IFNA(LOOKUP(Q93,[1]use_fish!A:A,[1]use_fish!K:K),0),_xlfn.IFNA(LOOKUP(R93,[1]use_fish!A:A,[1]use_fish!K:K),0),_xlfn.IFNA(LOOKUP(S93,[1]use_fish!A:A,[1]use_fish!K:K),0),_xlfn.IFNA(LOOKUP(T93,[1]use_fish!A:A,[1]use_fish!K:K),0),_xlfn.IFNA(LOOKUP(U93,[1]use_fish!A:A,[1]use_fish!K:K),0),_xlfn.IFNA(LOOKUP(V93,[1]use_fish!A:A,[1]use_fish!K:K),0),_xlfn.IFNA(LOOKUP(W93,[1]use_fish!A:A,[1]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414</v>
      </c>
      <c r="H94" s="31">
        <f>SUM(_xlfn.IFNA(LOOKUP(Q94,[1]use_fish!A:A,[1]use_fish!E:E),0),_xlfn.IFNA(LOOKUP(R94,[1]use_fish!A:A,[1]use_fish!E:E),0),_xlfn.IFNA(LOOKUP(S94,[1]use_fish!A:A,[1]use_fish!E:E),0),_xlfn.IFNA(LOOKUP(T94,[1]use_fish!A:A,[1]use_fish!E:E),0),_xlfn.IFNA(LOOKUP(U94,[1]use_fish!A:A,[1]use_fish!E:E),0),_xlfn.IFNA(LOOKUP(V94,[1]use_fish!A:A,[1]use_fish!E:E),0),_xlfn.IFNA(LOOKUP(W94,[1]use_fish!A:A,[1]use_fish!E:E),0),)</f>
        <v>155</v>
      </c>
      <c r="I94" s="31">
        <f>SUM(_xlfn.IFNA(LOOKUP(Q94,[1]use_fish!A:A,[1]use_fish!I:I),0),_xlfn.IFNA(LOOKUP(R94,[1]use_fish!A:A,[1]use_fish!I:I),0),_xlfn.IFNA(LOOKUP(S94,[1]use_fish!A:A,[1]use_fish!I:I),0),_xlfn.IFNA(LOOKUP(T94,[1]use_fish!A:A,[1]use_fish!I:I),0),_xlfn.IFNA(LOOKUP(U94,[1]use_fish!A:A,[1]use_fish!I:I),0),_xlfn.IFNA(LOOKUP(V94,[1]use_fish!A:A,[1]use_fish!I:I),0),_xlfn.IFNA(LOOKUP(W94,[1]use_fish!A:A,[1]use_fish!I:I),0),)</f>
        <v>150</v>
      </c>
      <c r="J94" s="32">
        <f>SUM(_xlfn.IFNA(LOOKUP(Q94,[1]use_fish!A:A,[1]use_fish!K:K),0),_xlfn.IFNA(LOOKUP(R94,[1]use_fish!A:A,[1]use_fish!K:K),0),_xlfn.IFNA(LOOKUP(S94,[1]use_fish!A:A,[1]use_fish!K:K),0),_xlfn.IFNA(LOOKUP(T94,[1]use_fish!A:A,[1]use_fish!K:K),0),_xlfn.IFNA(LOOKUP(U94,[1]use_fish!A:A,[1]use_fish!K:K),0),_xlfn.IFNA(LOOKUP(V94,[1]use_fish!A:A,[1]use_fish!K:K),0),_xlfn.IFNA(LOOKUP(W94,[1]use_fish!A:A,[1]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415</v>
      </c>
      <c r="H95" s="31">
        <f>SUM(_xlfn.IFNA(LOOKUP(Q95,[1]use_fish!A:A,[1]use_fish!E:E),0),_xlfn.IFNA(LOOKUP(R95,[1]use_fish!A:A,[1]use_fish!E:E),0),_xlfn.IFNA(LOOKUP(S95,[1]use_fish!A:A,[1]use_fish!E:E),0),_xlfn.IFNA(LOOKUP(T95,[1]use_fish!A:A,[1]use_fish!E:E),0),_xlfn.IFNA(LOOKUP(U95,[1]use_fish!A:A,[1]use_fish!E:E),0),_xlfn.IFNA(LOOKUP(V95,[1]use_fish!A:A,[1]use_fish!E:E),0),_xlfn.IFNA(LOOKUP(W95,[1]use_fish!A:A,[1]use_fish!E:E),0),)</f>
        <v>155</v>
      </c>
      <c r="I95" s="31">
        <f>SUM(_xlfn.IFNA(LOOKUP(Q95,[1]use_fish!A:A,[1]use_fish!I:I),0),_xlfn.IFNA(LOOKUP(R95,[1]use_fish!A:A,[1]use_fish!I:I),0),_xlfn.IFNA(LOOKUP(S95,[1]use_fish!A:A,[1]use_fish!I:I),0),_xlfn.IFNA(LOOKUP(T95,[1]use_fish!A:A,[1]use_fish!I:I),0),_xlfn.IFNA(LOOKUP(U95,[1]use_fish!A:A,[1]use_fish!I:I),0),_xlfn.IFNA(LOOKUP(V95,[1]use_fish!A:A,[1]use_fish!I:I),0),_xlfn.IFNA(LOOKUP(W95,[1]use_fish!A:A,[1]use_fish!I:I),0),)</f>
        <v>150</v>
      </c>
      <c r="J95" s="32">
        <f>SUM(_xlfn.IFNA(LOOKUP(Q95,[1]use_fish!A:A,[1]use_fish!K:K),0),_xlfn.IFNA(LOOKUP(R95,[1]use_fish!A:A,[1]use_fish!K:K),0),_xlfn.IFNA(LOOKUP(S95,[1]use_fish!A:A,[1]use_fish!K:K),0),_xlfn.IFNA(LOOKUP(T95,[1]use_fish!A:A,[1]use_fish!K:K),0),_xlfn.IFNA(LOOKUP(U95,[1]use_fish!A:A,[1]use_fish!K:K),0),_xlfn.IFNA(LOOKUP(V95,[1]use_fish!A:A,[1]use_fish!K:K),0),_xlfn.IFNA(LOOKUP(W95,[1]use_fish!A:A,[1]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0:I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6" activePane="bottomLeft" state="frozen"/>
      <selection pane="bottomLeft" activeCell="A52" sqref="A52:XFD7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205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194</v>
      </c>
      <c r="O1" s="8" t="s">
        <v>203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349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362</v>
      </c>
      <c r="F25" s="19" t="s">
        <v>363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348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352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353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6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7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354</v>
      </c>
      <c r="E39" s="32">
        <f>LOOKUP(use_fish!B39,base_fish!A:A,base_fish!C:C)+_xlfn.IFNA(INDEX(activity!F:F,MATCH(use_fish!C39,activity!A:A,0)),0)</f>
        <v>102</v>
      </c>
      <c r="F39" s="32">
        <f t="shared" si="6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7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8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9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321</v>
      </c>
      <c r="E41" s="32">
        <f>LOOKUP(use_fish!B41,base_fish!A:A,base_fish!C:C)+_xlfn.IFNA(INDEX(activity!F:F,MATCH(use_fish!C41,activity!A:A,0)),0)</f>
        <v>302</v>
      </c>
      <c r="F41" s="32">
        <f t="shared" si="8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9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355</v>
      </c>
      <c r="E42" s="32">
        <f>LOOKUP(use_fish!B42,base_fish!A:A,base_fish!C:C)+_xlfn.IFNA(INDEX(activity!F:F,MATCH(use_fish!C42,activity!A:A,0)),0)</f>
        <v>206</v>
      </c>
      <c r="F42" s="32">
        <f t="shared" si="8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9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9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356</v>
      </c>
      <c r="E44" s="32">
        <f>LOOKUP(use_fish!B44,base_fish!A:A,base_fish!C:C)+_xlfn.IFNA(INDEX(activity!F:F,MATCH(use_fish!C44,activity!A:A,0)),0)</f>
        <v>202</v>
      </c>
      <c r="F44" s="32">
        <f t="shared" si="8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9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9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0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358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322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LOOKUP([1]use_fish!B52,[1]base_fish!A:A,[1]base_fish!C:C)+_xlfn.IFNA(INDEX([1]activity!F:F,MATCH([1]use_fish!C52,[1]activity!A:A,0)),0)</f>
        <v>45</v>
      </c>
      <c r="F52" s="27">
        <f t="shared" ref="F52:F79" si="12">1/E52</f>
        <v>2.2222222222222223E-2</v>
      </c>
      <c r="G52" s="27" t="s">
        <v>17</v>
      </c>
      <c r="H52" s="28" t="str">
        <f>INDEX([1]base_fish!E:E,MATCH([1]use_fish!B52,[1]base_fish!A:A,0))&amp;_xlfn.IFNA("+"&amp;INDEX([1]activity!G:G,MATCH([1]use_fish!C52,[1]activity!A:A,0)),"")</f>
        <v>小海龟+炸弹</v>
      </c>
      <c r="I52" s="27">
        <f>LOOKUP([1]use_fish!B52,[1]base_fish!A:A,[1]base_fish!F:F)+_xlfn.IFNA(INDEX([1]activity!F:F,MATCH([1]use_fish!C52,[1]activity!A:A,0)),0)</f>
        <v>45</v>
      </c>
      <c r="J52" s="29">
        <v>1</v>
      </c>
      <c r="K52" s="29">
        <f>LOOKUP([1]use_fish!B52,[1]base_fish!A:A,[1]base_fish!G:G)</f>
        <v>0</v>
      </c>
      <c r="L52" s="29">
        <f t="shared" ref="L52:L79" si="13">I52</f>
        <v>45</v>
      </c>
      <c r="M52" s="29">
        <v>1</v>
      </c>
      <c r="N52" s="29">
        <f t="shared" ref="N52:N57" si="14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LOOKUP([1]use_fish!B53,[1]base_fish!A:A,[1]base_fish!C:C)+_xlfn.IFNA(INDEX([1]activity!F:F,MATCH([1]use_fish!C53,[1]activity!A:A,0)),0)</f>
        <v>48</v>
      </c>
      <c r="F53" s="39">
        <f t="shared" si="12"/>
        <v>2.0833333333333332E-2</v>
      </c>
      <c r="G53" s="39" t="s">
        <v>17</v>
      </c>
      <c r="H53" s="40" t="str">
        <f>INDEX([1]base_fish!E:E,MATCH([1]use_fish!B53,[1]base_fish!A:A,0))&amp;_xlfn.IFNA("+"&amp;INDEX([1]activity!G:G,MATCH([1]use_fish!C53,[1]activity!A:A,0)),"")</f>
        <v>狮子鱼+炸弹</v>
      </c>
      <c r="I53" s="39">
        <f>LOOKUP([1]use_fish!B53,[1]base_fish!A:A,[1]base_fish!F:F)+_xlfn.IFNA(INDEX([1]activity!F:F,MATCH([1]use_fish!C53,[1]activity!A:A,0)),0)</f>
        <v>48</v>
      </c>
      <c r="J53" s="41">
        <v>1</v>
      </c>
      <c r="K53" s="41">
        <f>LOOKUP([1]use_fish!B53,[1]base_fish!A:A,[1]base_fish!G:G)</f>
        <v>0</v>
      </c>
      <c r="L53" s="41">
        <f t="shared" si="13"/>
        <v>48</v>
      </c>
      <c r="M53" s="41">
        <v>1</v>
      </c>
      <c r="N53" s="41">
        <f t="shared" si="14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LOOKUP([1]use_fish!B54,[1]base_fish!A:A,[1]base_fish!C:C)+_xlfn.IFNA(INDEX([1]activity!F:F,MATCH([1]use_fish!C54,[1]activity!A:A,0)),0)</f>
        <v>50</v>
      </c>
      <c r="F54" s="39">
        <f t="shared" si="12"/>
        <v>0.02</v>
      </c>
      <c r="G54" s="39" t="s">
        <v>17</v>
      </c>
      <c r="H54" s="40" t="str">
        <f>INDEX([1]base_fish!E:E,MATCH([1]use_fish!B54,[1]base_fish!A:A,0))&amp;_xlfn.IFNA("+"&amp;INDEX([1]activity!G:G,MATCH([1]use_fish!C54,[1]activity!A:A,0)),"")</f>
        <v>蝴蝶鱼+炸弹</v>
      </c>
      <c r="I54" s="39">
        <f>LOOKUP([1]use_fish!B54,[1]base_fish!A:A,[1]base_fish!F:F)+_xlfn.IFNA(INDEX([1]activity!F:F,MATCH([1]use_fish!C54,[1]activity!A:A,0)),0)</f>
        <v>50</v>
      </c>
      <c r="J54" s="41">
        <v>1</v>
      </c>
      <c r="K54" s="41">
        <f>LOOKUP([1]use_fish!B54,[1]base_fish!A:A,[1]base_fish!G:G)</f>
        <v>0</v>
      </c>
      <c r="L54" s="41">
        <f t="shared" si="13"/>
        <v>50</v>
      </c>
      <c r="M54" s="41">
        <v>1</v>
      </c>
      <c r="N54" s="41">
        <f t="shared" si="14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LOOKUP([1]use_fish!B55,[1]base_fish!A:A,[1]base_fish!C:C)+_xlfn.IFNA(INDEX([1]activity!F:F,MATCH([1]use_fish!C55,[1]activity!A:A,0)),0)</f>
        <v>55</v>
      </c>
      <c r="F55" s="39">
        <f t="shared" si="12"/>
        <v>1.8181818181818181E-2</v>
      </c>
      <c r="G55" s="39" t="s">
        <v>17</v>
      </c>
      <c r="H55" s="40" t="str">
        <f>INDEX([1]base_fish!E:E,MATCH([1]use_fish!B55,[1]base_fish!A:A,0))&amp;_xlfn.IFNA("+"&amp;INDEX([1]activity!G:G,MATCH([1]use_fish!C55,[1]activity!A:A,0)),"")</f>
        <v>巨大小丑鱼+炸弹</v>
      </c>
      <c r="I55" s="39">
        <f>LOOKUP([1]use_fish!B55,[1]base_fish!A:A,[1]base_fish!F:F)+_xlfn.IFNA(INDEX([1]activity!F:F,MATCH([1]use_fish!C55,[1]activity!A:A,0)),0)</f>
        <v>55</v>
      </c>
      <c r="J55" s="41">
        <v>1</v>
      </c>
      <c r="K55" s="41">
        <f>LOOKUP([1]use_fish!B55,[1]base_fish!A:A,[1]base_fish!G:G)</f>
        <v>0</v>
      </c>
      <c r="L55" s="41">
        <f t="shared" si="13"/>
        <v>55</v>
      </c>
      <c r="M55" s="41">
        <v>1</v>
      </c>
      <c r="N55" s="41">
        <f t="shared" si="14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LOOKUP([1]use_fish!B56,[1]base_fish!A:A,[1]base_fish!C:C)+_xlfn.IFNA(INDEX([1]activity!F:F,MATCH([1]use_fish!C56,[1]activity!A:A,0)),0)</f>
        <v>60</v>
      </c>
      <c r="F56" s="39">
        <f t="shared" si="12"/>
        <v>1.6666666666666666E-2</v>
      </c>
      <c r="G56" s="39" t="s">
        <v>17</v>
      </c>
      <c r="H56" s="40" t="str">
        <f>INDEX([1]base_fish!E:E,MATCH([1]use_fish!B56,[1]base_fish!A:A,0))&amp;_xlfn.IFNA("+"&amp;INDEX([1]activity!G:G,MATCH([1]use_fish!C56,[1]activity!A:A,0)),"")</f>
        <v>巨大灯笼鱼+炸弹</v>
      </c>
      <c r="I56" s="39">
        <f>LOOKUP([1]use_fish!B56,[1]base_fish!A:A,[1]base_fish!F:F)+_xlfn.IFNA(INDEX([1]activity!F:F,MATCH([1]use_fish!C56,[1]activity!A:A,0)),0)</f>
        <v>60</v>
      </c>
      <c r="J56" s="41">
        <v>1</v>
      </c>
      <c r="K56" s="41">
        <f>LOOKUP([1]use_fish!B56,[1]base_fish!A:A,[1]base_fish!G:G)</f>
        <v>0</v>
      </c>
      <c r="L56" s="41">
        <f t="shared" si="13"/>
        <v>60</v>
      </c>
      <c r="M56" s="41">
        <v>1</v>
      </c>
      <c r="N56" s="41">
        <f t="shared" si="14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LOOKUP([1]use_fish!B57,[1]base_fish!A:A,[1]base_fish!C:C)+_xlfn.IFNA(INDEX([1]activity!F:F,MATCH([1]use_fish!C57,[1]activity!A:A,0)),0)</f>
        <v>65</v>
      </c>
      <c r="F57" s="39">
        <f t="shared" si="12"/>
        <v>1.5384615384615385E-2</v>
      </c>
      <c r="G57" s="39" t="s">
        <v>17</v>
      </c>
      <c r="H57" s="40" t="str">
        <f>INDEX([1]base_fish!E:E,MATCH([1]use_fish!B57,[1]base_fish!A:A,0))&amp;_xlfn.IFNA("+"&amp;INDEX([1]activity!G:G,MATCH([1]use_fish!C57,[1]activity!A:A,0)),"")</f>
        <v>巨大燕鱼+炸弹</v>
      </c>
      <c r="I57" s="39">
        <f>LOOKUP([1]use_fish!B57,[1]base_fish!A:A,[1]base_fish!F:F)+_xlfn.IFNA(INDEX([1]activity!F:F,MATCH([1]use_fish!C57,[1]activity!A:A,0)),0)</f>
        <v>65</v>
      </c>
      <c r="J57" s="41">
        <v>1</v>
      </c>
      <c r="K57" s="41">
        <f>LOOKUP([1]use_fish!B57,[1]base_fish!A:A,[1]base_fish!G:G)</f>
        <v>0</v>
      </c>
      <c r="L57" s="41">
        <f t="shared" si="13"/>
        <v>65</v>
      </c>
      <c r="M57" s="41">
        <v>1</v>
      </c>
      <c r="N57" s="41">
        <f t="shared" si="14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LOOKUP([1]use_fish!B58,[1]base_fish!A:A,[1]base_fish!C:C)+_xlfn.IFNA(INDEX([1]activity!F:F,MATCH([1]use_fish!C58,[1]activity!A:A,0)),0)</f>
        <v>70</v>
      </c>
      <c r="F58" s="39">
        <f t="shared" si="12"/>
        <v>1.4285714285714285E-2</v>
      </c>
      <c r="G58" s="39" t="s">
        <v>17</v>
      </c>
      <c r="H58" s="40" t="str">
        <f>INDEX([1]base_fish!E:E,MATCH([1]use_fish!B58,[1]base_fish!A:A,0))&amp;_xlfn.IFNA("+"&amp;INDEX([1]activity!G:G,MATCH([1]use_fish!C58,[1]activity!A:A,0)),"")</f>
        <v>魔鬼鱼+炸弹</v>
      </c>
      <c r="I58" s="39">
        <f>LOOKUP([1]use_fish!B58,[1]base_fish!A:A,[1]base_fish!F:F)+_xlfn.IFNA(INDEX([1]activity!F:F,MATCH([1]use_fish!C58,[1]activity!A:A,0)),0)</f>
        <v>70</v>
      </c>
      <c r="J58" s="41">
        <v>1</v>
      </c>
      <c r="K58" s="41">
        <f>LOOKUP([1]use_fish!B58,[1]base_fish!A:A,[1]base_fish!G:G)</f>
        <v>0</v>
      </c>
      <c r="L58" s="41">
        <f t="shared" si="13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LOOKUP([1]use_fish!B59,[1]base_fish!A:A,[1]base_fish!C:C)+_xlfn.IFNA(INDEX([1]activity!F:F,MATCH([1]use_fish!C59,[1]activity!A:A,0)),0)</f>
        <v>90</v>
      </c>
      <c r="F59" s="39">
        <f t="shared" si="12"/>
        <v>1.1111111111111112E-2</v>
      </c>
      <c r="G59" s="39" t="s">
        <v>17</v>
      </c>
      <c r="H59" s="40" t="str">
        <f>INDEX([1]base_fish!E:E,MATCH([1]use_fish!B59,[1]base_fish!A:A,0))&amp;_xlfn.IFNA("+"&amp;INDEX([1]activity!G:G,MATCH([1]use_fish!C59,[1]activity!A:A,0)),"")</f>
        <v>虎鲸+炸弹</v>
      </c>
      <c r="I59" s="39">
        <f>LOOKUP([1]use_fish!B59,[1]base_fish!A:A,[1]base_fish!F:F)+_xlfn.IFNA(INDEX([1]activity!F:F,MATCH([1]use_fish!C59,[1]activity!A:A,0)),0)</f>
        <v>90</v>
      </c>
      <c r="J59" s="41">
        <v>1</v>
      </c>
      <c r="K59" s="41">
        <f>LOOKUP([1]use_fish!B59,[1]base_fish!A:A,[1]base_fish!G:G)</f>
        <v>0</v>
      </c>
      <c r="L59" s="41">
        <f t="shared" si="13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348</v>
      </c>
      <c r="E60" s="19">
        <v>93</v>
      </c>
      <c r="F60" s="19">
        <f t="shared" si="12"/>
        <v>1.0752688172043012E-2</v>
      </c>
      <c r="G60" s="19" t="s">
        <v>17</v>
      </c>
      <c r="H60" s="20" t="str">
        <f>INDEX([1]base_fish!E:E,MATCH([1]use_fish!B60,[1]base_fish!A:A,0))&amp;_xlfn.IFNA("+"&amp;INDEX([1]activity!G:G,MATCH([1]use_fish!C60,[1]activity!A:A,0)),"")</f>
        <v>黄金灯笼鱼+炸弹</v>
      </c>
      <c r="I60" s="19">
        <f>LOOKUP([1]use_fish!B60,[1]base_fish!A:A,[1]base_fish!F:F)+_xlfn.IFNA(INDEX([1]activity!F:F,MATCH([1]use_fish!C60,[1]activity!A:A,0)),0)</f>
        <v>90</v>
      </c>
      <c r="J60" s="21">
        <v>1</v>
      </c>
      <c r="K60" s="21">
        <f>LOOKUP([1]use_fish!B60,[1]base_fish!A:A,[1]base_fish!G:G)</f>
        <v>0</v>
      </c>
      <c r="L60" s="21">
        <f t="shared" si="13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350</v>
      </c>
      <c r="E61" s="19">
        <v>93</v>
      </c>
      <c r="F61" s="19">
        <f t="shared" si="12"/>
        <v>1.0752688172043012E-2</v>
      </c>
      <c r="G61" s="19" t="s">
        <v>17</v>
      </c>
      <c r="H61" s="20" t="str">
        <f>INDEX([1]base_fish!E:E,MATCH([1]use_fish!B61,[1]base_fish!A:A,0))&amp;_xlfn.IFNA("+"&amp;INDEX([1]activity!G:G,MATCH([1]use_fish!C61,[1]activity!A:A,0)),"")</f>
        <v>黄金狮子鱼+炸弹</v>
      </c>
      <c r="I61" s="19">
        <f>LOOKUP([1]use_fish!B61,[1]base_fish!A:A,[1]base_fish!F:F)+_xlfn.IFNA(INDEX([1]activity!F:F,MATCH([1]use_fish!C61,[1]activity!A:A,0)),0)</f>
        <v>90</v>
      </c>
      <c r="J61" s="21">
        <v>1</v>
      </c>
      <c r="K61" s="21">
        <f>LOOKUP([1]use_fish!B61,[1]base_fish!A:A,[1]base_fish!G:G)</f>
        <v>0</v>
      </c>
      <c r="L61" s="21">
        <f t="shared" si="13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383</v>
      </c>
      <c r="E62" s="19">
        <v>135</v>
      </c>
      <c r="F62" s="19">
        <f t="shared" si="12"/>
        <v>7.4074074074074077E-3</v>
      </c>
      <c r="G62" s="19" t="s">
        <v>17</v>
      </c>
      <c r="H62" s="20" t="str">
        <f>INDEX([1]base_fish!E:E,MATCH([1]use_fish!B62,[1]base_fish!A:A,0))&amp;_xlfn.IFNA("+"&amp;INDEX([1]activity!G:G,MATCH([1]use_fish!C62,[1]activity!A:A,0)),"")</f>
        <v>黄金海龟+炸弹</v>
      </c>
      <c r="I62" s="19">
        <f>LOOKUP([1]use_fish!B62,[1]base_fish!A:A,[1]base_fish!F:F)+_xlfn.IFNA(INDEX([1]activity!F:F,MATCH([1]use_fish!C62,[1]activity!A:A,0)),0)</f>
        <v>90</v>
      </c>
      <c r="J62" s="21">
        <v>1</v>
      </c>
      <c r="K62" s="21">
        <f>LOOKUP([1]use_fish!B62,[1]base_fish!A:A,[1]base_fish!G:G)</f>
        <v>0</v>
      </c>
      <c r="L62" s="21">
        <f t="shared" si="13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384</v>
      </c>
      <c r="E63" s="19">
        <v>114</v>
      </c>
      <c r="F63" s="19">
        <f t="shared" si="12"/>
        <v>8.771929824561403E-3</v>
      </c>
      <c r="G63" s="19" t="s">
        <v>17</v>
      </c>
      <c r="H63" s="20" t="str">
        <f>INDEX([1]base_fish!E:E,MATCH([1]use_fish!B63,[1]base_fish!A:A,0))&amp;_xlfn.IFNA("+"&amp;INDEX([1]activity!G:G,MATCH([1]use_fish!C63,[1]activity!A:A,0)),"")</f>
        <v>金蟾+炸弹</v>
      </c>
      <c r="I63" s="19">
        <f>LOOKUP([1]use_fish!B63,[1]base_fish!A:A,[1]base_fish!F:F)+_xlfn.IFNA(INDEX([1]activity!F:F,MATCH([1]use_fish!C63,[1]activity!A:A,0)),0)</f>
        <v>110</v>
      </c>
      <c r="J63" s="21">
        <v>1</v>
      </c>
      <c r="K63" s="21">
        <f>LOOKUP([1]use_fish!B63,[1]base_fish!A:A,[1]base_fish!G:G)</f>
        <v>0</v>
      </c>
      <c r="L63" s="21">
        <f t="shared" si="13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385</v>
      </c>
      <c r="E64" s="19">
        <v>135</v>
      </c>
      <c r="F64" s="19">
        <f t="shared" si="12"/>
        <v>7.4074074074074077E-3</v>
      </c>
      <c r="G64" s="19" t="s">
        <v>17</v>
      </c>
      <c r="H64" s="20" t="str">
        <f>INDEX([1]base_fish!E:E,MATCH([1]use_fish!B64,[1]base_fish!A:A,0))&amp;_xlfn.IFNA("+"&amp;INDEX([1]activity!G:G,MATCH([1]use_fish!C64,[1]activity!A:A,0)),"")</f>
        <v>大金鲨+炸弹</v>
      </c>
      <c r="I64" s="19">
        <f>LOOKUP([1]use_fish!B64,[1]base_fish!A:A,[1]base_fish!F:F)+_xlfn.IFNA(INDEX([1]activity!F:F,MATCH([1]use_fish!C64,[1]activity!A:A,0)),0)</f>
        <v>130</v>
      </c>
      <c r="J64" s="21">
        <v>1</v>
      </c>
      <c r="K64" s="21">
        <f>LOOKUP([1]use_fish!B64,[1]base_fish!A:A,[1]base_fish!G:G)</f>
        <v>0</v>
      </c>
      <c r="L64" s="21">
        <f t="shared" si="13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386</v>
      </c>
      <c r="E65" s="19">
        <v>135</v>
      </c>
      <c r="F65" s="19">
        <f t="shared" si="12"/>
        <v>7.4074074074074077E-3</v>
      </c>
      <c r="G65" s="19" t="s">
        <v>17</v>
      </c>
      <c r="H65" s="20" t="str">
        <f>INDEX([1]base_fish!E:E,MATCH([1]use_fish!B65,[1]base_fish!A:A,0))&amp;_xlfn.IFNA("+"&amp;INDEX([1]activity!G:G,MATCH([1]use_fish!C65,[1]activity!A:A,0)),"")</f>
        <v>黄金锤头鲨+炸弹</v>
      </c>
      <c r="I65" s="19">
        <f>LOOKUP([1]use_fish!B65,[1]base_fish!A:A,[1]base_fish!F:F)+_xlfn.IFNA(INDEX([1]activity!F:F,MATCH([1]use_fish!C65,[1]activity!A:A,0)),0)</f>
        <v>130</v>
      </c>
      <c r="J65" s="21">
        <v>1</v>
      </c>
      <c r="K65" s="21">
        <f>LOOKUP([1]use_fish!B65,[1]base_fish!A:A,[1]base_fish!G:G)</f>
        <v>0</v>
      </c>
      <c r="L65" s="21">
        <f t="shared" si="13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LOOKUP([1]use_fish!B66,[1]base_fish!A:A,[1]base_fish!C:C)+_xlfn.IFNA(INDEX([1]activity!F:F,MATCH([1]use_fish!C66,[1]activity!A:A,0)),0)</f>
        <v>65</v>
      </c>
      <c r="F66" s="27">
        <f t="shared" si="12"/>
        <v>1.5384615384615385E-2</v>
      </c>
      <c r="G66" s="27" t="s">
        <v>17</v>
      </c>
      <c r="H66" s="28" t="str">
        <f>INDEX([1]base_fish!E:E,MATCH([1]use_fish!B66,[1]base_fish!A:A,0))&amp;_xlfn.IFNA("+"&amp;INDEX([1]activity!G:G,MATCH([1]use_fish!C66,[1]activity!A:A,0)),"")</f>
        <v>小海龟+闪电</v>
      </c>
      <c r="I66" s="27">
        <f>LOOKUP([1]use_fish!B66,[1]base_fish!A:A,[1]base_fish!F:F)+_xlfn.IFNA(INDEX([1]activity!F:F,MATCH([1]use_fish!C66,[1]activity!A:A,0)),0)</f>
        <v>65</v>
      </c>
      <c r="J66" s="29">
        <v>1</v>
      </c>
      <c r="K66" s="29">
        <f>LOOKUP([1]use_fish!B66,[1]base_fish!A:A,[1]base_fish!G:G)</f>
        <v>0</v>
      </c>
      <c r="L66" s="29">
        <f t="shared" si="13"/>
        <v>65</v>
      </c>
      <c r="M66" s="29">
        <v>1</v>
      </c>
      <c r="N66" s="29">
        <f t="shared" ref="N66:N71" si="15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LOOKUP([1]use_fish!B67,[1]base_fish!A:A,[1]base_fish!C:C)+_xlfn.IFNA(INDEX([1]activity!F:F,MATCH([1]use_fish!C67,[1]activity!A:A,0)),0)</f>
        <v>68</v>
      </c>
      <c r="F67" s="39">
        <f t="shared" si="12"/>
        <v>1.4705882352941176E-2</v>
      </c>
      <c r="G67" s="39" t="s">
        <v>17</v>
      </c>
      <c r="H67" s="40" t="str">
        <f>INDEX([1]base_fish!E:E,MATCH([1]use_fish!B67,[1]base_fish!A:A,0))&amp;_xlfn.IFNA("+"&amp;INDEX([1]activity!G:G,MATCH([1]use_fish!C67,[1]activity!A:A,0)),"")</f>
        <v>狮子鱼+闪电</v>
      </c>
      <c r="I67" s="39">
        <f>LOOKUP([1]use_fish!B67,[1]base_fish!A:A,[1]base_fish!F:F)+_xlfn.IFNA(INDEX([1]activity!F:F,MATCH([1]use_fish!C67,[1]activity!A:A,0)),0)</f>
        <v>68</v>
      </c>
      <c r="J67" s="41">
        <v>1</v>
      </c>
      <c r="K67" s="41">
        <f>LOOKUP([1]use_fish!B67,[1]base_fish!A:A,[1]base_fish!G:G)</f>
        <v>0</v>
      </c>
      <c r="L67" s="41">
        <f t="shared" si="13"/>
        <v>68</v>
      </c>
      <c r="M67" s="41">
        <v>1</v>
      </c>
      <c r="N67" s="41">
        <f t="shared" si="15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LOOKUP([1]use_fish!B68,[1]base_fish!A:A,[1]base_fish!C:C)+_xlfn.IFNA(INDEX([1]activity!F:F,MATCH([1]use_fish!C68,[1]activity!A:A,0)),0)</f>
        <v>70</v>
      </c>
      <c r="F68" s="39">
        <f t="shared" si="12"/>
        <v>1.4285714285714285E-2</v>
      </c>
      <c r="G68" s="39" t="s">
        <v>17</v>
      </c>
      <c r="H68" s="40" t="str">
        <f>INDEX([1]base_fish!E:E,MATCH([1]use_fish!B68,[1]base_fish!A:A,0))&amp;_xlfn.IFNA("+"&amp;INDEX([1]activity!G:G,MATCH([1]use_fish!C68,[1]activity!A:A,0)),"")</f>
        <v>蝴蝶鱼+闪电</v>
      </c>
      <c r="I68" s="39">
        <f>LOOKUP([1]use_fish!B68,[1]base_fish!A:A,[1]base_fish!F:F)+_xlfn.IFNA(INDEX([1]activity!F:F,MATCH([1]use_fish!C68,[1]activity!A:A,0)),0)</f>
        <v>70</v>
      </c>
      <c r="J68" s="41">
        <v>1</v>
      </c>
      <c r="K68" s="41">
        <f>LOOKUP([1]use_fish!B68,[1]base_fish!A:A,[1]base_fish!G:G)</f>
        <v>0</v>
      </c>
      <c r="L68" s="41">
        <f t="shared" si="13"/>
        <v>70</v>
      </c>
      <c r="M68" s="41">
        <v>1</v>
      </c>
      <c r="N68" s="41">
        <f t="shared" si="15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LOOKUP([1]use_fish!B69,[1]base_fish!A:A,[1]base_fish!C:C)+_xlfn.IFNA(INDEX([1]activity!F:F,MATCH([1]use_fish!C69,[1]activity!A:A,0)),0)</f>
        <v>75</v>
      </c>
      <c r="F69" s="39">
        <f t="shared" si="12"/>
        <v>1.3333333333333334E-2</v>
      </c>
      <c r="G69" s="39" t="s">
        <v>17</v>
      </c>
      <c r="H69" s="40" t="str">
        <f>INDEX([1]base_fish!E:E,MATCH([1]use_fish!B69,[1]base_fish!A:A,0))&amp;_xlfn.IFNA("+"&amp;INDEX([1]activity!G:G,MATCH([1]use_fish!C69,[1]activity!A:A,0)),"")</f>
        <v>巨大小丑鱼+闪电</v>
      </c>
      <c r="I69" s="39">
        <f>LOOKUP([1]use_fish!B69,[1]base_fish!A:A,[1]base_fish!F:F)+_xlfn.IFNA(INDEX([1]activity!F:F,MATCH([1]use_fish!C69,[1]activity!A:A,0)),0)</f>
        <v>75</v>
      </c>
      <c r="J69" s="41">
        <v>1</v>
      </c>
      <c r="K69" s="41">
        <f>LOOKUP([1]use_fish!B69,[1]base_fish!A:A,[1]base_fish!G:G)</f>
        <v>0</v>
      </c>
      <c r="L69" s="41">
        <f t="shared" si="13"/>
        <v>75</v>
      </c>
      <c r="M69" s="41">
        <v>1</v>
      </c>
      <c r="N69" s="41">
        <f t="shared" si="15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LOOKUP([1]use_fish!B70,[1]base_fish!A:A,[1]base_fish!C:C)+_xlfn.IFNA(INDEX([1]activity!F:F,MATCH([1]use_fish!C70,[1]activity!A:A,0)),0)</f>
        <v>80</v>
      </c>
      <c r="F70" s="39">
        <f t="shared" si="12"/>
        <v>1.2500000000000001E-2</v>
      </c>
      <c r="G70" s="39" t="s">
        <v>17</v>
      </c>
      <c r="H70" s="40" t="str">
        <f>INDEX([1]base_fish!E:E,MATCH([1]use_fish!B70,[1]base_fish!A:A,0))&amp;_xlfn.IFNA("+"&amp;INDEX([1]activity!G:G,MATCH([1]use_fish!C70,[1]activity!A:A,0)),"")</f>
        <v>巨大灯笼鱼+闪电</v>
      </c>
      <c r="I70" s="39">
        <f>LOOKUP([1]use_fish!B70,[1]base_fish!A:A,[1]base_fish!F:F)+_xlfn.IFNA(INDEX([1]activity!F:F,MATCH([1]use_fish!C70,[1]activity!A:A,0)),0)</f>
        <v>80</v>
      </c>
      <c r="J70" s="41">
        <v>1</v>
      </c>
      <c r="K70" s="41">
        <f>LOOKUP([1]use_fish!B70,[1]base_fish!A:A,[1]base_fish!G:G)</f>
        <v>0</v>
      </c>
      <c r="L70" s="41">
        <f t="shared" si="13"/>
        <v>80</v>
      </c>
      <c r="M70" s="41">
        <v>1</v>
      </c>
      <c r="N70" s="41">
        <f t="shared" si="15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LOOKUP([1]use_fish!B71,[1]base_fish!A:A,[1]base_fish!C:C)+_xlfn.IFNA(INDEX([1]activity!F:F,MATCH([1]use_fish!C71,[1]activity!A:A,0)),0)</f>
        <v>85</v>
      </c>
      <c r="F71" s="39">
        <f t="shared" si="12"/>
        <v>1.1764705882352941E-2</v>
      </c>
      <c r="G71" s="39" t="s">
        <v>17</v>
      </c>
      <c r="H71" s="40" t="str">
        <f>INDEX([1]base_fish!E:E,MATCH([1]use_fish!B71,[1]base_fish!A:A,0))&amp;_xlfn.IFNA("+"&amp;INDEX([1]activity!G:G,MATCH([1]use_fish!C71,[1]activity!A:A,0)),"")</f>
        <v>巨大燕鱼+闪电</v>
      </c>
      <c r="I71" s="39">
        <f>LOOKUP([1]use_fish!B71,[1]base_fish!A:A,[1]base_fish!F:F)+_xlfn.IFNA(INDEX([1]activity!F:F,MATCH([1]use_fish!C71,[1]activity!A:A,0)),0)</f>
        <v>85</v>
      </c>
      <c r="J71" s="41">
        <v>1</v>
      </c>
      <c r="K71" s="41">
        <f>LOOKUP([1]use_fish!B71,[1]base_fish!A:A,[1]base_fish!G:G)</f>
        <v>0</v>
      </c>
      <c r="L71" s="41">
        <f t="shared" si="13"/>
        <v>85</v>
      </c>
      <c r="M71" s="41">
        <v>1</v>
      </c>
      <c r="N71" s="41">
        <f t="shared" si="15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LOOKUP([1]use_fish!B72,[1]base_fish!A:A,[1]base_fish!C:C)+_xlfn.IFNA(INDEX([1]activity!F:F,MATCH([1]use_fish!C72,[1]activity!A:A,0)),0)</f>
        <v>90</v>
      </c>
      <c r="F72" s="39">
        <f t="shared" si="12"/>
        <v>1.1111111111111112E-2</v>
      </c>
      <c r="G72" s="39" t="s">
        <v>17</v>
      </c>
      <c r="H72" s="40" t="str">
        <f>INDEX([1]base_fish!E:E,MATCH([1]use_fish!B72,[1]base_fish!A:A,0))&amp;_xlfn.IFNA("+"&amp;INDEX([1]activity!G:G,MATCH([1]use_fish!C72,[1]activity!A:A,0)),"")</f>
        <v>魔鬼鱼+闪电</v>
      </c>
      <c r="I72" s="39">
        <f>LOOKUP([1]use_fish!B72,[1]base_fish!A:A,[1]base_fish!F:F)+_xlfn.IFNA(INDEX([1]activity!F:F,MATCH([1]use_fish!C72,[1]activity!A:A,0)),0)</f>
        <v>90</v>
      </c>
      <c r="J72" s="41">
        <v>1</v>
      </c>
      <c r="K72" s="41">
        <f>LOOKUP([1]use_fish!B72,[1]base_fish!A:A,[1]base_fish!G:G)</f>
        <v>0</v>
      </c>
      <c r="L72" s="41">
        <f t="shared" si="13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LOOKUP([1]use_fish!B73,[1]base_fish!A:A,[1]base_fish!C:C)+_xlfn.IFNA(INDEX([1]activity!F:F,MATCH([1]use_fish!C73,[1]activity!A:A,0)),0)</f>
        <v>110</v>
      </c>
      <c r="F73" s="39">
        <f t="shared" si="12"/>
        <v>9.0909090909090905E-3</v>
      </c>
      <c r="G73" s="39" t="s">
        <v>17</v>
      </c>
      <c r="H73" s="40" t="str">
        <f>INDEX([1]base_fish!E:E,MATCH([1]use_fish!B73,[1]base_fish!A:A,0))&amp;_xlfn.IFNA("+"&amp;INDEX([1]activity!G:G,MATCH([1]use_fish!C73,[1]activity!A:A,0)),"")</f>
        <v>虎鲸+闪电</v>
      </c>
      <c r="I73" s="39">
        <f>LOOKUP([1]use_fish!B73,[1]base_fish!A:A,[1]base_fish!F:F)+_xlfn.IFNA(INDEX([1]activity!F:F,MATCH([1]use_fish!C73,[1]activity!A:A,0)),0)</f>
        <v>110</v>
      </c>
      <c r="J73" s="41">
        <v>1</v>
      </c>
      <c r="K73" s="41">
        <f>LOOKUP([1]use_fish!B73,[1]base_fish!A:A,[1]base_fish!G:G)</f>
        <v>0</v>
      </c>
      <c r="L73" s="41">
        <f t="shared" si="13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385</v>
      </c>
      <c r="E74" s="19">
        <v>113</v>
      </c>
      <c r="F74" s="19">
        <f t="shared" si="12"/>
        <v>8.8495575221238937E-3</v>
      </c>
      <c r="G74" s="19" t="s">
        <v>17</v>
      </c>
      <c r="H74" s="20" t="str">
        <f>INDEX([1]base_fish!E:E,MATCH([1]use_fish!B74,[1]base_fish!A:A,0))&amp;_xlfn.IFNA("+"&amp;INDEX([1]activity!G:G,MATCH([1]use_fish!C74,[1]activity!A:A,0)),"")</f>
        <v>黄金灯笼鱼+闪电</v>
      </c>
      <c r="I74" s="19">
        <f>LOOKUP([1]use_fish!B74,[1]base_fish!A:A,[1]base_fish!F:F)+_xlfn.IFNA(INDEX([1]activity!F:F,MATCH([1]use_fish!C74,[1]activity!A:A,0)),0)</f>
        <v>110</v>
      </c>
      <c r="J74" s="21">
        <v>1</v>
      </c>
      <c r="K74" s="21">
        <f>LOOKUP([1]use_fish!B74,[1]base_fish!A:A,[1]base_fish!G:G)</f>
        <v>0</v>
      </c>
      <c r="L74" s="21">
        <f t="shared" si="13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387</v>
      </c>
      <c r="E75" s="19">
        <v>113</v>
      </c>
      <c r="F75" s="19">
        <f t="shared" si="12"/>
        <v>8.8495575221238937E-3</v>
      </c>
      <c r="G75" s="19" t="s">
        <v>17</v>
      </c>
      <c r="H75" s="20" t="str">
        <f>INDEX([1]base_fish!E:E,MATCH([1]use_fish!B75,[1]base_fish!A:A,0))&amp;_xlfn.IFNA("+"&amp;INDEX([1]activity!G:G,MATCH([1]use_fish!C75,[1]activity!A:A,0)),"")</f>
        <v>黄金狮子鱼+闪电</v>
      </c>
      <c r="I75" s="19">
        <f>LOOKUP([1]use_fish!B75,[1]base_fish!A:A,[1]base_fish!F:F)+_xlfn.IFNA(INDEX([1]activity!F:F,MATCH([1]use_fish!C75,[1]activity!A:A,0)),0)</f>
        <v>110</v>
      </c>
      <c r="J75" s="21">
        <v>1</v>
      </c>
      <c r="K75" s="21">
        <f>LOOKUP([1]use_fish!B75,[1]base_fish!A:A,[1]base_fish!G:G)</f>
        <v>0</v>
      </c>
      <c r="L75" s="21">
        <f t="shared" si="13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383</v>
      </c>
      <c r="E76" s="19">
        <v>155</v>
      </c>
      <c r="F76" s="19">
        <f t="shared" si="12"/>
        <v>6.4516129032258064E-3</v>
      </c>
      <c r="G76" s="19" t="s">
        <v>17</v>
      </c>
      <c r="H76" s="20" t="str">
        <f>INDEX([1]base_fish!E:E,MATCH([1]use_fish!B76,[1]base_fish!A:A,0))&amp;_xlfn.IFNA("+"&amp;INDEX([1]activity!G:G,MATCH([1]use_fish!C76,[1]activity!A:A,0)),"")</f>
        <v>黄金海龟+闪电</v>
      </c>
      <c r="I76" s="19">
        <f>LOOKUP([1]use_fish!B76,[1]base_fish!A:A,[1]base_fish!F:F)+_xlfn.IFNA(INDEX([1]activity!F:F,MATCH([1]use_fish!C76,[1]activity!A:A,0)),0)</f>
        <v>110</v>
      </c>
      <c r="J76" s="21">
        <v>1</v>
      </c>
      <c r="K76" s="21">
        <f>LOOKUP([1]use_fish!B76,[1]base_fish!A:A,[1]base_fish!G:G)</f>
        <v>0</v>
      </c>
      <c r="L76" s="21">
        <f t="shared" si="13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384</v>
      </c>
      <c r="E77" s="19">
        <v>134</v>
      </c>
      <c r="F77" s="19">
        <f t="shared" si="12"/>
        <v>7.462686567164179E-3</v>
      </c>
      <c r="G77" s="19" t="s">
        <v>17</v>
      </c>
      <c r="H77" s="20" t="str">
        <f>INDEX([1]base_fish!E:E,MATCH([1]use_fish!B77,[1]base_fish!A:A,0))&amp;_xlfn.IFNA("+"&amp;INDEX([1]activity!G:G,MATCH([1]use_fish!C77,[1]activity!A:A,0)),"")</f>
        <v>金蟾+闪电</v>
      </c>
      <c r="I77" s="19">
        <f>LOOKUP([1]use_fish!B77,[1]base_fish!A:A,[1]base_fish!F:F)+_xlfn.IFNA(INDEX([1]activity!F:F,MATCH([1]use_fish!C77,[1]activity!A:A,0)),0)</f>
        <v>130</v>
      </c>
      <c r="J77" s="21">
        <v>1</v>
      </c>
      <c r="K77" s="21">
        <f>LOOKUP([1]use_fish!B77,[1]base_fish!A:A,[1]base_fish!G:G)</f>
        <v>0</v>
      </c>
      <c r="L77" s="21">
        <f t="shared" si="13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385</v>
      </c>
      <c r="E78" s="19">
        <v>155</v>
      </c>
      <c r="F78" s="19">
        <f t="shared" si="12"/>
        <v>6.4516129032258064E-3</v>
      </c>
      <c r="G78" s="19" t="s">
        <v>17</v>
      </c>
      <c r="H78" s="20" t="str">
        <f>INDEX([1]base_fish!E:E,MATCH([1]use_fish!B78,[1]base_fish!A:A,0))&amp;_xlfn.IFNA("+"&amp;INDEX([1]activity!G:G,MATCH([1]use_fish!C78,[1]activity!A:A,0)),"")</f>
        <v>大金鲨+闪电</v>
      </c>
      <c r="I78" s="19">
        <f>LOOKUP([1]use_fish!B78,[1]base_fish!A:A,[1]base_fish!F:F)+_xlfn.IFNA(INDEX([1]activity!F:F,MATCH([1]use_fish!C78,[1]activity!A:A,0)),0)</f>
        <v>150</v>
      </c>
      <c r="J78" s="21">
        <v>1</v>
      </c>
      <c r="K78" s="21">
        <f>LOOKUP([1]use_fish!B78,[1]base_fish!A:A,[1]base_fish!G:G)</f>
        <v>0</v>
      </c>
      <c r="L78" s="21">
        <f t="shared" si="13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350</v>
      </c>
      <c r="E79" s="19">
        <v>155</v>
      </c>
      <c r="F79" s="19">
        <f t="shared" si="12"/>
        <v>6.4516129032258064E-3</v>
      </c>
      <c r="G79" s="19" t="s">
        <v>17</v>
      </c>
      <c r="H79" s="20" t="str">
        <f>INDEX([1]base_fish!E:E,MATCH([1]use_fish!B79,[1]base_fish!A:A,0))&amp;_xlfn.IFNA("+"&amp;INDEX([1]activity!G:G,MATCH([1]use_fish!C79,[1]activity!A:A,0)),"")</f>
        <v>黄金锤头鲨+闪电</v>
      </c>
      <c r="I79" s="19">
        <f>LOOKUP([1]use_fish!B79,[1]base_fish!A:A,[1]base_fish!F:F)+_xlfn.IFNA(INDEX([1]activity!F:F,MATCH([1]use_fish!C79,[1]activity!A:A,0)),0)</f>
        <v>150</v>
      </c>
      <c r="J79" s="21">
        <v>1</v>
      </c>
      <c r="K79" s="21">
        <f>LOOKUP([1]use_fish!B79,[1]base_fish!A:A,[1]base_fish!G:G)</f>
        <v>0</v>
      </c>
      <c r="L79" s="21">
        <f t="shared" si="13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abSelected="1" topLeftCell="A22" workbookViewId="0">
      <selection activeCell="K40" sqref="K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251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252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309</v>
      </c>
      <c r="D18" s="4">
        <v>0</v>
      </c>
      <c r="E18" s="4">
        <v>0</v>
      </c>
      <c r="F18">
        <v>150</v>
      </c>
      <c r="G18" t="s">
        <v>310</v>
      </c>
      <c r="H18">
        <v>22</v>
      </c>
      <c r="I18" t="s">
        <v>195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199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366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367</v>
      </c>
    </row>
    <row r="22" spans="1:9" x14ac:dyDescent="0.2">
      <c r="A22">
        <v>21</v>
      </c>
      <c r="B22">
        <v>20</v>
      </c>
      <c r="C22" s="11" t="s">
        <v>196</v>
      </c>
      <c r="D22" s="4">
        <v>0</v>
      </c>
      <c r="E22" s="4">
        <v>0</v>
      </c>
      <c r="F22">
        <v>50</v>
      </c>
      <c r="G22" t="s">
        <v>212</v>
      </c>
      <c r="H22">
        <v>26</v>
      </c>
      <c r="I22" t="s">
        <v>368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213</v>
      </c>
      <c r="H23">
        <v>27</v>
      </c>
      <c r="I23" t="s">
        <v>369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214</v>
      </c>
      <c r="H24">
        <v>28</v>
      </c>
      <c r="I24" t="s">
        <v>370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215</v>
      </c>
      <c r="H25">
        <v>29</v>
      </c>
      <c r="I25" t="s">
        <v>207</v>
      </c>
    </row>
    <row r="26" spans="1:9" x14ac:dyDescent="0.2">
      <c r="A26">
        <v>25</v>
      </c>
      <c r="B26">
        <v>21</v>
      </c>
      <c r="C26" s="11" t="s">
        <v>374</v>
      </c>
      <c r="D26" s="4">
        <v>0</v>
      </c>
      <c r="E26" s="4">
        <v>0</v>
      </c>
      <c r="F26">
        <v>5</v>
      </c>
      <c r="G26" t="s">
        <v>375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376</v>
      </c>
      <c r="D27" s="4">
        <v>0</v>
      </c>
      <c r="E27" s="4">
        <v>0</v>
      </c>
      <c r="F27">
        <v>2</v>
      </c>
      <c r="G27" t="s">
        <v>377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378</v>
      </c>
      <c r="D28" s="4">
        <v>0</v>
      </c>
      <c r="E28" s="4">
        <v>0</v>
      </c>
      <c r="F28">
        <v>6</v>
      </c>
      <c r="G28" t="s">
        <v>379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198</v>
      </c>
      <c r="D29" s="4">
        <v>0</v>
      </c>
      <c r="E29" s="4">
        <v>0</v>
      </c>
      <c r="F29">
        <v>100</v>
      </c>
      <c r="G29" t="s">
        <v>197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210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324</v>
      </c>
    </row>
    <row r="31" spans="1:9" x14ac:dyDescent="0.2">
      <c r="A31">
        <v>30</v>
      </c>
      <c r="B31">
        <v>24</v>
      </c>
      <c r="C31" s="11" t="s">
        <v>337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325</v>
      </c>
    </row>
    <row r="32" spans="1:9" x14ac:dyDescent="0.2">
      <c r="A32">
        <v>31</v>
      </c>
      <c r="B32">
        <v>25</v>
      </c>
      <c r="C32" t="s">
        <v>365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339</v>
      </c>
      <c r="D34" s="4">
        <v>0</v>
      </c>
      <c r="E34" s="4">
        <v>0</v>
      </c>
      <c r="F34">
        <v>300</v>
      </c>
      <c r="G34" t="s">
        <v>340</v>
      </c>
    </row>
    <row r="35" spans="1:7" x14ac:dyDescent="0.2">
      <c r="A35">
        <v>34</v>
      </c>
      <c r="B35">
        <v>30</v>
      </c>
      <c r="C35" s="11" t="s">
        <v>361</v>
      </c>
      <c r="D35" s="4">
        <v>0</v>
      </c>
      <c r="E35" s="4">
        <v>0</v>
      </c>
      <c r="F35">
        <v>150</v>
      </c>
      <c r="G35" t="s">
        <v>343</v>
      </c>
    </row>
    <row r="36" spans="1:7" x14ac:dyDescent="0.2">
      <c r="A36">
        <v>35</v>
      </c>
      <c r="B36">
        <v>31</v>
      </c>
      <c r="C36" t="s">
        <v>338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360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364</v>
      </c>
      <c r="D38" s="4">
        <v>0</v>
      </c>
      <c r="E38" s="4">
        <v>0</v>
      </c>
      <c r="F38">
        <v>200</v>
      </c>
      <c r="G38" t="s">
        <v>341</v>
      </c>
    </row>
    <row r="39" spans="1:7" x14ac:dyDescent="0.2">
      <c r="A39">
        <v>38</v>
      </c>
      <c r="B39">
        <v>38</v>
      </c>
      <c r="C39" t="s">
        <v>342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371</v>
      </c>
      <c r="D41" s="4">
        <v>0</v>
      </c>
      <c r="E41" s="4">
        <v>0</v>
      </c>
      <c r="F41">
        <v>2</v>
      </c>
      <c r="G41" t="s">
        <v>372</v>
      </c>
    </row>
    <row r="42" spans="1:7" x14ac:dyDescent="0.2">
      <c r="A42">
        <v>41</v>
      </c>
      <c r="B42">
        <v>21</v>
      </c>
      <c r="C42" s="11" t="s">
        <v>380</v>
      </c>
      <c r="D42" s="4">
        <v>0</v>
      </c>
      <c r="E42" s="4">
        <v>0</v>
      </c>
      <c r="F42">
        <v>2</v>
      </c>
      <c r="G42" t="s">
        <v>373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381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230</v>
      </c>
      <c r="F17" s="15">
        <f t="shared" si="1"/>
        <v>35</v>
      </c>
      <c r="G17" s="15">
        <v>0</v>
      </c>
      <c r="H17" s="15" t="s">
        <v>200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248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232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233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319</v>
      </c>
      <c r="E25" s="17" t="s">
        <v>234</v>
      </c>
      <c r="F25" s="15" t="s">
        <v>318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235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253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217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239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305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240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241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242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243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244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245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246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312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2020-07-22T12:26:17Z</dcterms:modified>
</cp:coreProperties>
</file>