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I40" i="7"/>
  <c r="H40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13" i="7"/>
  <c r="H3" i="7"/>
  <c r="H4" i="7"/>
  <c r="H5" i="7"/>
  <c r="H6" i="7"/>
  <c r="H7" i="7"/>
  <c r="H8" i="7"/>
  <c r="H9" i="7"/>
  <c r="H10" i="7"/>
  <c r="H11" i="7"/>
  <c r="H12" i="7"/>
  <c r="J2" i="7"/>
  <c r="I2" i="7"/>
  <c r="H2" i="7"/>
  <c r="E48" i="14" l="1"/>
  <c r="E49" i="14"/>
  <c r="E50" i="14"/>
  <c r="H25" i="14" l="1"/>
  <c r="H26" i="14"/>
  <c r="H27" i="14"/>
  <c r="H28" i="14"/>
  <c r="I26" i="14"/>
  <c r="L26" i="14" s="1"/>
  <c r="E26" i="14"/>
  <c r="F26" i="14" s="1"/>
  <c r="K26" i="14"/>
  <c r="L25" i="14"/>
  <c r="K25" i="14"/>
  <c r="F26" i="1"/>
  <c r="D26" i="1"/>
  <c r="G36" i="5" l="1"/>
  <c r="F51" i="1" l="1"/>
  <c r="D51" i="1"/>
  <c r="E47" i="14" l="1"/>
  <c r="F7" i="1" l="1"/>
  <c r="D7" i="1"/>
  <c r="I7" i="14"/>
  <c r="L7" i="14" s="1"/>
  <c r="I8" i="14"/>
  <c r="F7" i="14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F50" i="1"/>
  <c r="I50" i="14" s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G20" i="5"/>
  <c r="G21" i="5"/>
  <c r="H48" i="14" s="1"/>
  <c r="G19" i="5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67" i="7" l="1" a="1"/>
  <c r="K67" i="7" s="1"/>
  <c r="K35" i="7" l="1" a="1"/>
  <c r="K35" i="7" s="1"/>
  <c r="K9" i="7" a="1"/>
  <c r="K9" i="7" s="1"/>
  <c r="K45" i="7" a="1"/>
  <c r="K45" i="7" s="1"/>
  <c r="K18" i="7" a="1"/>
  <c r="K18" i="7" s="1"/>
  <c r="L15" i="7" a="1"/>
  <c r="L15" i="7" s="1"/>
  <c r="K37" i="7" a="1"/>
  <c r="K37" i="7" s="1"/>
  <c r="K33" i="7" a="1"/>
  <c r="K33" i="7" s="1"/>
  <c r="K10" i="7" a="1"/>
  <c r="K10" i="7" s="1"/>
  <c r="K41" i="7" a="1"/>
  <c r="K41" i="7" s="1"/>
  <c r="K17" i="7" a="1"/>
  <c r="K17" i="7" s="1"/>
  <c r="K39" i="7" a="1"/>
  <c r="K39" i="7" s="1"/>
  <c r="K36" i="7" a="1"/>
  <c r="K36" i="7" s="1"/>
  <c r="K34" i="7" a="1"/>
  <c r="K34" i="7" s="1"/>
  <c r="K8" i="7" a="1"/>
  <c r="K8" i="7" s="1"/>
  <c r="K40" i="7" a="1"/>
  <c r="K40" i="7" s="1"/>
  <c r="K11" i="7" a="1"/>
  <c r="K11" i="7" s="1"/>
  <c r="K44" i="7" a="1"/>
  <c r="K44" i="7" s="1"/>
  <c r="K38" i="7" a="1"/>
  <c r="K38" i="7" s="1"/>
  <c r="L16" i="7" a="1"/>
  <c r="L16" i="7" s="1"/>
  <c r="K12" i="7" a="1"/>
  <c r="K12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<sst xmlns="http://schemas.openxmlformats.org/spreadsheetml/2006/main" count="474" uniqueCount="363">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</sst>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H25" t="str">
            <v>黄金河豚</v>
          </cell>
        </row>
        <row r="26">
          <cell r="A26">
            <v>25</v>
          </cell>
          <cell r="B26">
            <v>25</v>
          </cell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274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273</v>
      </c>
      <c r="C10" s="2">
        <v>1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321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2" activePane="bottomLeft" state="frozen"/>
      <selection pane="bottomLeft" activeCell="G8" sqref="G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265</v>
      </c>
      <c r="D4" s="29" t="s">
        <v>162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286</v>
      </c>
      <c r="D10" s="29" t="s">
        <v>287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288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266</v>
      </c>
      <c r="D12" s="29" t="s">
        <v>162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289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291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292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293</v>
      </c>
      <c r="G19" s="41" t="s">
        <v>294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295</v>
      </c>
      <c r="G20" s="41" t="s">
        <v>172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297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298</v>
      </c>
      <c r="G22" s="41" t="s">
        <v>216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272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173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174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303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304</v>
      </c>
      <c r="G27" s="41" t="s">
        <v>305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307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308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309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310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311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312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313</v>
      </c>
      <c r="H39" s="19" t="s">
        <v>315</v>
      </c>
      <c r="I39" s="19" t="s">
        <v>263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314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325</v>
      </c>
      <c r="G66" s="45" t="s">
        <v>329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324</v>
      </c>
      <c r="G67" s="46" t="s">
        <v>328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" activePane="bottomLeft" state="frozen"/>
      <selection pane="bottomLeft" activeCell="Q3" sqref="Q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337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2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3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342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342</v>
      </c>
      <c r="E22" s="19">
        <f>LOOKUP(use_fish!B22,base_fish!A:A,base_fish!C:C)+_xlfn.IFNA(INDEX(activity!F:F,MATCH(use_fish!C22,activity!A:A,0)),0)</f>
        <v>81</v>
      </c>
      <c r="F22" s="19">
        <f t="shared" si="2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3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342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356</v>
      </c>
      <c r="F25" s="19" t="s">
        <v>263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357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355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342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4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5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4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5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4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5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336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359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359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359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336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362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A18" sqref="A1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339</v>
      </c>
      <c r="D18" s="4">
        <v>0</v>
      </c>
      <c r="E18" s="4">
        <v>0</v>
      </c>
      <c r="F18">
        <v>150</v>
      </c>
      <c r="G18" t="s">
        <v>340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345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346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347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271</v>
      </c>
      <c r="D31" s="4">
        <v>0</v>
      </c>
      <c r="E31" s="4">
        <v>0</v>
      </c>
      <c r="F31">
        <v>500</v>
      </c>
      <c r="G31" t="s">
        <v>270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348</v>
      </c>
    </row>
    <row r="38" spans="1:7" x14ac:dyDescent="0.2">
      <c r="A38">
        <v>37</v>
      </c>
      <c r="B38">
        <v>33</v>
      </c>
      <c r="C38" t="s">
        <v>349</v>
      </c>
      <c r="D38" s="4">
        <v>0</v>
      </c>
      <c r="E38" s="4">
        <v>0</v>
      </c>
      <c r="F38">
        <v>500</v>
      </c>
      <c r="G38" t="s">
        <v>350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B21" sqref="B2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353</v>
      </c>
      <c r="D25" s="15" t="s">
        <v>354</v>
      </c>
      <c r="E25" s="17" t="s">
        <v>250</v>
      </c>
      <c r="F25" s="15" t="s">
        <v>353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158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157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159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161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156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160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323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322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261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2020-05-26T02:23:18Z</dcterms:modified>
</cp:coreProperties>
</file>