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4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I61" i="7"/>
  <c r="I64" i="7"/>
  <c r="H64" i="7"/>
  <c r="J2" i="7"/>
  <c r="E48" i="14" l="1"/>
  <c r="H61" i="7" s="1"/>
  <c r="E49" i="14"/>
  <c r="H62" i="7" s="1"/>
  <c r="E50" i="14"/>
  <c r="H63" i="7" s="1"/>
  <c r="H25" i="14" l="1"/>
  <c r="H26" i="14"/>
  <c r="H27" i="14"/>
  <c r="H28" i="14"/>
  <c r="I26" i="14"/>
  <c r="E26" i="14"/>
  <c r="K26" i="14"/>
  <c r="J40" i="7" s="1"/>
  <c r="L25" i="14"/>
  <c r="K25" i="14"/>
  <c r="J39" i="7" s="1"/>
  <c r="F26" i="1"/>
  <c r="D26" i="1"/>
  <c r="F26" i="14" l="1"/>
  <c r="H40" i="7"/>
  <c r="L26" i="14"/>
  <c r="I40" i="7"/>
  <c r="G36" i="5"/>
  <c r="F51" i="1" l="1"/>
  <c r="D51" i="1"/>
  <c r="E47" i="14" l="1"/>
  <c r="F7" i="1" l="1"/>
  <c r="D7" i="1"/>
  <c r="I7" i="14"/>
  <c r="L7" i="14" s="1"/>
  <c r="I8" i="14"/>
  <c r="F7" i="14"/>
  <c r="I67" i="7" l="1"/>
  <c r="I8" i="7"/>
  <c r="D39" i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F48" i="1"/>
  <c r="F49" i="1"/>
  <c r="I49" i="14" s="1"/>
  <c r="I62" i="7" s="1"/>
  <c r="F50" i="1"/>
  <c r="I50" i="14" s="1"/>
  <c r="I63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H26" i="7" l="1"/>
  <c r="H30" i="7"/>
  <c r="H11" i="7"/>
  <c r="H12" i="7"/>
  <c r="H24" i="7"/>
  <c r="H28" i="7"/>
  <c r="H25" i="7"/>
  <c r="H17" i="7"/>
  <c r="H10" i="7"/>
  <c r="I9" i="7"/>
  <c r="I15" i="7"/>
  <c r="L10" i="14"/>
  <c r="I10" i="7"/>
  <c r="I16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2" i="5" l="1"/>
  <c r="G30" i="5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H21" i="7" l="1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I22" i="7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L18" i="14" l="1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L15" i="7" l="1" a="1"/>
  <c r="L15" i="7" s="1"/>
  <c r="L16" i="7" a="1"/>
  <c r="L16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<sst xmlns="http://schemas.openxmlformats.org/spreadsheetml/2006/main" count="474" uniqueCount="363">
  <si>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</si>
  <si>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</si>
  <si>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</si>
  <si>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</si>
  <si>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</si>
  <si>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</si>
  <si>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</si>
  <si>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</si>
  <si>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</si>
  <si>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</si>
  <si>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</si>
  <si>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</si>
  <si>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</si>
  <si>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</si>
  <si>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</si>
  <si>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</si>
  <si>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</si>
  <si>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</si>
  <si>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</si>
  <si>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</si>
  <si>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</si>
  <si>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</si>
  <si>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</si>
  <si>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</si>
  <si>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</si>
  <si>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</si>
  <si>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</si>
  <si>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</si>
  <si>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</si>
  <si>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</si>
  <si>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</si>
  <si>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</si>
  <si>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</si>
  <si>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</si>
  <si>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</si>
  <si>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</si>
  <si>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</si>
  <si>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</si>
  <si>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</si>
  <si>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</si>
  <si>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</si>
  <si>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</si>
  <si>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</si>
  <si>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</si>
  <si>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</si>
  <si>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</si>
  <si>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</si>
  <si>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</si>
  <si>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</si>
  <si>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</si>
  <si>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</si>
  <si>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</si>
  <si>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</si>
  <si>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</si>
  <si>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</si>
  <si>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</si>
  <si>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</si>
  <si>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</si>
  <si>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</si>
  <si>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</si>
  <si>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</si>
  <si>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</si>
  <si>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</si>
  <si>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</si>
  <si>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</si>
  <si>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</si>
  <si>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</si>
  <si>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</si>
  <si>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</si>
  <si>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</si>
  <si>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</si>
  <si>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</si>
  <si>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</si>
  <si>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</si>
  <si>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</si>
  <si>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</si>
  <si>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</si>
  <si>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</si>
  <si>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</si>
  <si>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</si>
  <si>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</si>
  <si>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</si>
  <si>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</si>
  <si>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</si>
  <si>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</si>
  <si>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</si>
  <si>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</si>
  <si>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</si>
  <si>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</si>
  <si>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</si>
  <si>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</si>
  <si>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</si>
  <si>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</si>
  <si>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</si>
  <si>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</si>
  <si>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</si>
  <si>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</si>
  <si>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</si>
  <si>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</si>
  <si>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</si>
  <si>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</si>
  <si>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</si>
  <si>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</si>
  <si>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</si>
  <si>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</si>
  <si>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</si>
  <si>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</si>
  <si>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</si>
  <si>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</si>
  <si>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</si>
  <si>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</si>
  <si>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</si>
  <si>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</si>
  <si>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</si>
  <si>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</si>
  <si>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</si>
  <si>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</si>
  <si>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</si>
  <si>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</si>
  <si>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</si>
  <si>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</si>
  <si>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</si>
  <si>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</si>
  <si>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</si>
  <si>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</si>
  <si>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</si>
  <si>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</si>
  <si>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</si>
  <si>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</si>
  <si>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</si>
  <si>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</si>
  <si>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</si>
  <si>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</si>
  <si>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</si>
  <si>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</si>
  <si>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</si>
  <si>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</si>
  <si>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</si>
  <si>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</si>
  <si>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</si>
  <si>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</si>
  <si>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</si>
  <si>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</si>
  <si>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</si>
  <si>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</si>
  <si>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</si>
  <si>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</si>
  <si>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</si>
  <si>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</si>
  <si>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</si>
  <si>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</si>
  <si>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</si>
  <si>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</si>
  <si>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</si>
  <si>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</si>
  <si>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</si>
  <si>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</si>
  <si>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</si>
  <si>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</si>
  <si>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</si>
  <si>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</si>
  <si>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</si>
  <si>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</si>
  <si>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</si>
  <si>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</si>
  <si>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</si>
  <si>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</si>
  <si>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</si>
  <si>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</si>
  <si>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</si>
  <si>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</si>
  <si>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</si>
  <si>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</si>
  <si>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</si>
  <si>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</si>
  <si>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</si>
  <si>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</si>
  <si>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</si>
  <si>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</si>
  <si>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</si>
  <si>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</si>
  <si>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</si>
  <si>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</si>
  <si>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</si>
  <si>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</si>
  <si>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</si>
  <si>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</si>
  <si>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</si>
  <si>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</si>
  <si>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</si>
  <si>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</si>
  <si>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</si>
  <si>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</si>
  <si>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</si>
  <si>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</si>
  <si>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</si>
  <si>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</si>
  <si>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</si>
  <si>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</si>
  <si>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</si>
  <si>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</si>
  <si>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</si>
  <si>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</si>
  <si>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</si>
  <si>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</si>
  <si>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</si>
  <si>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</si>
  <si>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</si>
  <si>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</si>
  <si>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</si>
  <si>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</si>
  <si>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</si>
  <si>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</si>
  <si>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</si>
  <si>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</si>
  <si>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</si>
  <si>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</si>
  <si>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</si>
  <si>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</si>
  <si>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</si>
  <si>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</si>
  <si>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</si>
  <si>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</si>
  <si>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</si>
  <si>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</si>
  <si>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</si>
  <si>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</si>
  <si>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</si>
  <si>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</si>
  <si>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</si>
  <si>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</si>
  <si>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</si>
  <si>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</si>
  <si>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</si>
  <si>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</si>
  <si>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</si>
  <si>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</si>
  <si>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</si>
  <si>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</si>
  <si>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</si>
  <si>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</si>
  <si>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</si>
  <si>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</si>
  <si>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</si>
  <si>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</si>
  <si>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</si>
  <si>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</si>
  <si>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</si>
  <si>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</si>
  <si>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</si>
  <si>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</si>
  <si>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</si>
  <si>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</si>
  <si>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</si>
  <si>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</si>
  <si>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</si>
  <si>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</si>
  <si>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</si>
  <si>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</si>
  <si>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</si>
  <si>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</si>
  <si>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</si>
  <si>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</si>
  <si>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</si>
  <si>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</si>
  <si>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</si>
  <si>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</si>
  <si>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</si>
  <si>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</si>
  <si>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</si>
  <si>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</si>
  <si>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</si>
  <si>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</si>
  <si>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</si>
  <si>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</si>
  <si>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</si>
  <si>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</si>
  <si>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</si>
  <si>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</si>
  <si>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</si>
  <si>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</si>
  <si>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</si>
  <si>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</si>
  <si>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</si>
  <si>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</si>
  <si>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</si>
  <si>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</si>
  <si>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</si>
  <si>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</si>
  <si>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</si>
  <si>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</si>
  <si>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</si>
  <si>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</si>
  <si>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</si>
  <si>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</si>
  <si>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</si>
  <si>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</si>
  <si>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</si>
  <si>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</si>
  <si>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</si>
  <si>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</si>
  <si>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</si>
  <si>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</si>
  <si>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</si>
  <si>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</si>
  <si>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</si>
  <si>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</si>
  <si>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</si>
  <si>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</si>
  <si>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</si>
  <si>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</si>
  <si>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</si>
  <si>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</si>
  <si>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</si>
  <si>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</si>
  <si>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</si>
  <si>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</si>
  <si>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</si>
  <si>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</si>
  <si>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</si>
  <si>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</si>
  <si>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</si>
  <si>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</si>
  <si>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</si>
  <si>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11,11,11,11,11,</t>
    <phoneticPr fontId="1" type="noConversion"/>
  </si>
  <si>
    <t>10,10,10,10,10,</t>
    <phoneticPr fontId="1" type="noConversion"/>
  </si>
  <si>
    <t>9,9,9,9,9,</t>
    <phoneticPr fontId="1" type="noConversion"/>
  </si>
  <si>
    <t>24,7,6,28,4,75,17,</t>
    <phoneticPr fontId="1" type="noConversion"/>
  </si>
  <si>
    <t>4,11,19,5,34,26,76,</t>
    <phoneticPr fontId="1" type="noConversion"/>
  </si>
  <si>
    <t>39,12,35,16,15,29,5,</t>
    <phoneticPr fontId="1" type="noConversion"/>
  </si>
  <si>
    <t>吞噬天下</t>
    <phoneticPr fontId="1" type="noConversion"/>
  </si>
  <si>
    <t>200,</t>
    <phoneticPr fontId="1" type="noConversion"/>
  </si>
  <si>
    <t>7,7,7,7,7,</t>
    <phoneticPr fontId="1" type="noConversion"/>
  </si>
  <si>
    <t>6,6,6,6,6,</t>
    <phoneticPr fontId="1" type="noConversion"/>
  </si>
  <si>
    <t>77,39,12,35,15,</t>
    <phoneticPr fontId="1" type="noConversion"/>
  </si>
  <si>
    <t>26,24,6,28,4,</t>
    <phoneticPr fontId="1" type="noConversion"/>
  </si>
  <si>
    <t>0,300</t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</si>
  <si>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</si>
  <si>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</si>
  <si>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</si>
  <si>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</si>
  <si>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</si>
  <si>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</si>
  <si>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</si>
  <si>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</si>
  <si>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</si>
  <si>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</si>
  <si>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</si>
  <si>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</si>
  <si>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</si>
  <si>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</si>
  <si>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</si>
  <si>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1,500,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</si>
  <si>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</si>
  <si>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</si>
  <si>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</si>
  <si>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50,50,50,50,100,</t>
    <phoneticPr fontId="1" type="noConversion"/>
  </si>
  <si>
    <t>50,50,50,50,100,</t>
    <phoneticPr fontId="1" type="noConversion"/>
  </si>
  <si>
    <t>4,40,60,80,120,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</si>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</sst>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H1" t="str">
            <v>|组合名</v>
          </cell>
        </row>
        <row r="2">
          <cell r="A2">
            <v>1</v>
          </cell>
          <cell r="H2" t="str">
            <v>小牛角</v>
          </cell>
        </row>
        <row r="3">
          <cell r="A3">
            <v>2</v>
          </cell>
          <cell r="H3" t="str">
            <v>小气泡</v>
          </cell>
        </row>
        <row r="4">
          <cell r="A4">
            <v>3</v>
          </cell>
          <cell r="H4" t="str">
            <v>小丑鱼</v>
          </cell>
        </row>
        <row r="5">
          <cell r="A5">
            <v>4</v>
          </cell>
          <cell r="H5" t="str">
            <v>小燕鱼</v>
          </cell>
        </row>
        <row r="6">
          <cell r="A6">
            <v>5</v>
          </cell>
          <cell r="H6" t="str">
            <v>小黄鳍</v>
          </cell>
        </row>
        <row r="7">
          <cell r="A7">
            <v>6</v>
          </cell>
          <cell r="H7" t="str">
            <v>河豚</v>
          </cell>
        </row>
        <row r="8">
          <cell r="A8">
            <v>7</v>
          </cell>
          <cell r="H8" t="str">
            <v>小灯笼</v>
          </cell>
        </row>
        <row r="9">
          <cell r="A9">
            <v>8</v>
          </cell>
          <cell r="H9" t="str">
            <v>小旗鱼</v>
          </cell>
        </row>
        <row r="10">
          <cell r="A10">
            <v>9</v>
          </cell>
          <cell r="H10" t="str">
            <v>小水母</v>
          </cell>
        </row>
        <row r="11">
          <cell r="A11">
            <v>10</v>
          </cell>
          <cell r="H11" t="str">
            <v>小章鱼</v>
          </cell>
        </row>
        <row r="12">
          <cell r="A12">
            <v>11</v>
          </cell>
          <cell r="H12" t="str">
            <v>小海龟</v>
          </cell>
        </row>
        <row r="13">
          <cell r="A13">
            <v>12</v>
          </cell>
          <cell r="H13" t="str">
            <v>狮子鱼</v>
          </cell>
        </row>
        <row r="14">
          <cell r="A14">
            <v>13</v>
          </cell>
          <cell r="H14" t="str">
            <v>蝴蝶鱼</v>
          </cell>
        </row>
        <row r="15">
          <cell r="A15">
            <v>14</v>
          </cell>
          <cell r="H15" t="str">
            <v>巨大小丑鱼</v>
          </cell>
        </row>
        <row r="16">
          <cell r="A16">
            <v>15</v>
          </cell>
          <cell r="H16" t="str">
            <v>巨大灯笼鱼</v>
          </cell>
        </row>
        <row r="17">
          <cell r="A17">
            <v>16</v>
          </cell>
          <cell r="H17" t="str">
            <v>巨大燕鱼</v>
          </cell>
        </row>
        <row r="18">
          <cell r="A18">
            <v>17</v>
          </cell>
          <cell r="H18" t="str">
            <v>魔鬼鱼</v>
          </cell>
        </row>
        <row r="19">
          <cell r="A19">
            <v>18</v>
          </cell>
          <cell r="H19" t="str">
            <v>虎鲸</v>
          </cell>
        </row>
        <row r="20">
          <cell r="A20">
            <v>19</v>
          </cell>
          <cell r="H20" t="str">
            <v>炸弹鱼+炸弹</v>
          </cell>
        </row>
        <row r="21">
          <cell r="A21">
            <v>20</v>
          </cell>
          <cell r="H21" t="str">
            <v>黄金灯笼鱼</v>
          </cell>
        </row>
        <row r="22">
          <cell r="A22">
            <v>21</v>
          </cell>
          <cell r="H22" t="str">
            <v>黄金炸弹鱼+炸弹</v>
          </cell>
        </row>
        <row r="23">
          <cell r="A23">
            <v>22</v>
          </cell>
          <cell r="H23" t="str">
            <v>黄金狮子鱼</v>
          </cell>
        </row>
        <row r="24">
          <cell r="A24">
            <v>23</v>
          </cell>
          <cell r="H24" t="str">
            <v>黄金海龟</v>
          </cell>
        </row>
        <row r="25">
          <cell r="A25">
            <v>24</v>
          </cell>
          <cell r="B25">
            <v>24</v>
          </cell>
          <cell r="H25" t="str">
            <v>黄金河豚</v>
          </cell>
        </row>
        <row r="26">
          <cell r="A26">
            <v>25</v>
          </cell>
          <cell r="B26">
            <v>25</v>
          </cell>
          <cell r="H26" t="str">
            <v>金蟾</v>
          </cell>
        </row>
        <row r="27">
          <cell r="A27">
            <v>26</v>
          </cell>
          <cell r="H27" t="str">
            <v>大金鲨</v>
          </cell>
        </row>
        <row r="28">
          <cell r="A28">
            <v>27</v>
          </cell>
          <cell r="H28" t="str">
            <v>黄金锤头鲨</v>
          </cell>
        </row>
        <row r="29">
          <cell r="A29">
            <v>28</v>
          </cell>
          <cell r="H29" t="str">
            <v>闪电海鳗+闪电</v>
          </cell>
        </row>
        <row r="30">
          <cell r="A30">
            <v>29</v>
          </cell>
          <cell r="H30" t="str">
            <v>穿云蟹+钻头弹</v>
          </cell>
        </row>
        <row r="31">
          <cell r="A31">
            <v>30</v>
          </cell>
          <cell r="H31" t="str">
            <v>电磁蟹+电磁弹</v>
          </cell>
        </row>
        <row r="32">
          <cell r="A32">
            <v>31</v>
          </cell>
          <cell r="H32" t="str">
            <v>奇遇蟹+时限免费超级活力子弹</v>
          </cell>
        </row>
        <row r="33">
          <cell r="A33">
            <v>32</v>
          </cell>
          <cell r="H33" t="str">
            <v>宝藏章鱼+幸运转盘</v>
          </cell>
        </row>
        <row r="34">
          <cell r="A34">
            <v>33</v>
          </cell>
          <cell r="H34" t="str">
            <v>美人鱼+疯狂6选一</v>
          </cell>
        </row>
        <row r="35">
          <cell r="A35">
            <v>34</v>
          </cell>
          <cell r="H35" t="str">
            <v>骰子龟+骰子龟</v>
          </cell>
        </row>
        <row r="36">
          <cell r="A36">
            <v>35</v>
          </cell>
          <cell r="H36" t="str">
            <v>金龙转盘+幸运转盘</v>
          </cell>
        </row>
        <row r="37">
          <cell r="A37">
            <v>36</v>
          </cell>
          <cell r="H37" t="str">
            <v>炽火龙王+炽火龙王</v>
          </cell>
        </row>
        <row r="38">
          <cell r="A38">
            <v>37</v>
          </cell>
          <cell r="H38" t="str">
            <v>财神</v>
          </cell>
        </row>
        <row r="39">
          <cell r="A39">
            <v>38</v>
          </cell>
          <cell r="H39" t="str">
            <v>黄金巨龙</v>
          </cell>
        </row>
        <row r="40">
          <cell r="A40">
            <v>39</v>
          </cell>
          <cell r="H40" t="str">
            <v>霸王蟹</v>
          </cell>
        </row>
        <row r="41">
          <cell r="A41">
            <v>40</v>
          </cell>
          <cell r="H41" t="str">
            <v>深海鲸</v>
          </cell>
        </row>
        <row r="42">
          <cell r="A42">
            <v>41</v>
          </cell>
          <cell r="H42" t="str">
            <v>鲨鱼武士</v>
          </cell>
        </row>
        <row r="43">
          <cell r="A43">
            <v>42</v>
          </cell>
          <cell r="H43" t="str">
            <v>荧光女皇</v>
          </cell>
        </row>
        <row r="44">
          <cell r="A44">
            <v>43</v>
          </cell>
          <cell r="H44" t="str">
            <v>龙龟</v>
          </cell>
        </row>
        <row r="45">
          <cell r="A45">
            <v>44</v>
          </cell>
          <cell r="H45" t="str">
            <v>麒麟兽</v>
          </cell>
        </row>
        <row r="46">
          <cell r="A46">
            <v>45</v>
          </cell>
          <cell r="H46" t="str">
            <v>海盗船</v>
          </cell>
        </row>
        <row r="47">
          <cell r="A47">
            <v>46</v>
          </cell>
          <cell r="H47" t="str">
            <v>金蟾</v>
          </cell>
        </row>
        <row r="48">
          <cell r="A48">
            <v>47</v>
          </cell>
          <cell r="H48" t="str">
            <v>深海狂鲨+吞噬天下</v>
          </cell>
        </row>
        <row r="49">
          <cell r="A49">
            <v>48</v>
          </cell>
          <cell r="H49" t="str">
            <v>鳄鱼+宝箱</v>
          </cell>
        </row>
        <row r="50">
          <cell r="A50">
            <v>49</v>
          </cell>
          <cell r="H50" t="str">
            <v>大王乌贼+连环炸弹</v>
          </cell>
        </row>
        <row r="51">
          <cell r="A51">
            <v>50</v>
          </cell>
          <cell r="H51" t="str">
            <v>贝壳鱼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  <row r="32">
          <cell r="A32">
            <v>31</v>
          </cell>
          <cell r="G32">
            <v>0</v>
          </cell>
        </row>
        <row r="33">
          <cell r="A33">
            <v>32</v>
          </cell>
          <cell r="G33">
            <v>0</v>
          </cell>
        </row>
        <row r="34">
          <cell r="A34">
            <v>33</v>
          </cell>
          <cell r="G34">
            <v>0</v>
          </cell>
        </row>
        <row r="35">
          <cell r="A35">
            <v>34</v>
          </cell>
          <cell r="G35">
            <v>0</v>
          </cell>
        </row>
        <row r="36">
          <cell r="A36">
            <v>35</v>
          </cell>
          <cell r="G36">
            <v>0</v>
          </cell>
        </row>
        <row r="37">
          <cell r="A37">
            <v>36</v>
          </cell>
          <cell r="G37">
            <v>0</v>
          </cell>
        </row>
        <row r="38">
          <cell r="A38">
            <v>37</v>
          </cell>
          <cell r="G38">
            <v>0</v>
          </cell>
        </row>
        <row r="39">
          <cell r="A39">
            <v>38</v>
          </cell>
          <cell r="G39">
            <v>0</v>
          </cell>
        </row>
        <row r="40">
          <cell r="A40">
            <v>39</v>
          </cell>
          <cell r="G40">
            <v>0</v>
          </cell>
        </row>
        <row r="41">
          <cell r="A41">
            <v>40</v>
          </cell>
          <cell r="G41">
            <v>0</v>
          </cell>
        </row>
        <row r="42">
          <cell r="A42">
            <v>41</v>
          </cell>
          <cell r="G42">
            <v>0</v>
          </cell>
        </row>
        <row r="43">
          <cell r="A43">
            <v>42</v>
          </cell>
          <cell r="G43">
            <v>0</v>
          </cell>
        </row>
        <row r="44">
          <cell r="A44">
            <v>43</v>
          </cell>
          <cell r="G44">
            <v>0</v>
          </cell>
        </row>
        <row r="45">
          <cell r="A45">
            <v>44</v>
          </cell>
          <cell r="G45">
            <v>0</v>
          </cell>
        </row>
        <row r="46">
          <cell r="A46">
            <v>45</v>
          </cell>
          <cell r="G46">
            <v>0</v>
          </cell>
        </row>
        <row r="47">
          <cell r="A47">
            <v>46</v>
          </cell>
          <cell r="G47">
            <v>0</v>
          </cell>
        </row>
        <row r="48">
          <cell r="A48">
            <v>47</v>
          </cell>
          <cell r="G48">
            <v>0</v>
          </cell>
        </row>
        <row r="49">
          <cell r="A49">
            <v>48</v>
          </cell>
          <cell r="G49">
            <v>0</v>
          </cell>
        </row>
        <row r="50">
          <cell r="A50">
            <v>49</v>
          </cell>
          <cell r="G50">
            <v>0</v>
          </cell>
        </row>
        <row r="51">
          <cell r="A51">
            <v>50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232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210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212</v>
      </c>
      <c r="M1" s="8" t="s">
        <v>227</v>
      </c>
    </row>
    <row r="2" spans="1:13" x14ac:dyDescent="0.2">
      <c r="A2" s="2">
        <v>1</v>
      </c>
      <c r="B2" s="2" t="s">
        <v>274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213</v>
      </c>
      <c r="C3" s="2">
        <v>1</v>
      </c>
      <c r="D3" t="s">
        <v>211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213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213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213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213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213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338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273</v>
      </c>
      <c r="C10" s="2">
        <v>1</v>
      </c>
      <c r="D10" t="s">
        <v>232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321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abSelected="1" workbookViewId="0">
      <pane ySplit="1" topLeftCell="A2" activePane="bottomLeft" state="frozen"/>
      <selection pane="bottomLeft" activeCell="K9" sqref="K9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275</v>
      </c>
      <c r="B1" s="1" t="s">
        <v>276</v>
      </c>
      <c r="C1" s="1" t="s">
        <v>277</v>
      </c>
      <c r="D1" s="1" t="s">
        <v>278</v>
      </c>
      <c r="E1" s="1" t="s">
        <v>279</v>
      </c>
      <c r="F1" s="1" t="s">
        <v>280</v>
      </c>
      <c r="G1" s="1" t="s">
        <v>281</v>
      </c>
      <c r="H1" s="1" t="s">
        <v>97</v>
      </c>
      <c r="I1" s="1" t="s">
        <v>282</v>
      </c>
      <c r="J1" s="9" t="s">
        <v>105</v>
      </c>
      <c r="K1" s="1" t="s">
        <v>283</v>
      </c>
      <c r="L1" s="1" t="s">
        <v>50</v>
      </c>
      <c r="Q1" s="1" t="s">
        <v>284</v>
      </c>
      <c r="R1" s="1" t="s">
        <v>284</v>
      </c>
      <c r="S1" s="1" t="s">
        <v>284</v>
      </c>
      <c r="T1" s="1" t="s">
        <v>284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285</v>
      </c>
      <c r="D2" s="29" t="s">
        <v>162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162</v>
      </c>
      <c r="D3" s="29" t="s">
        <v>162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265</v>
      </c>
      <c r="D4" s="29" t="s">
        <v>162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224</v>
      </c>
      <c r="D5" s="29" t="s">
        <v>162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225</v>
      </c>
      <c r="D6" s="29" t="s">
        <v>162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333</v>
      </c>
      <c r="G7" s="45" t="s">
        <v>334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332</v>
      </c>
      <c r="G8" s="45" t="s">
        <v>335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163</v>
      </c>
      <c r="D9" s="29" t="s">
        <v>162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286</v>
      </c>
      <c r="D10" s="29" t="s">
        <v>287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288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266</v>
      </c>
      <c r="D12" s="29" t="s">
        <v>162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171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289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290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291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292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171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293</v>
      </c>
      <c r="G19" s="41" t="s">
        <v>294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295</v>
      </c>
      <c r="G20" s="41" t="s">
        <v>172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296</v>
      </c>
      <c r="G21" s="41" t="s">
        <v>297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298</v>
      </c>
      <c r="G22" s="41" t="s">
        <v>216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299</v>
      </c>
      <c r="G23" s="21" t="s">
        <v>272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300</v>
      </c>
      <c r="G24" s="21" t="s">
        <v>173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301</v>
      </c>
      <c r="G25" s="21" t="s">
        <v>174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302</v>
      </c>
      <c r="G26" s="21" t="s">
        <v>303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304</v>
      </c>
      <c r="G27" s="41" t="s">
        <v>305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306</v>
      </c>
      <c r="G28" s="41" t="s">
        <v>307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308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309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310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311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166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167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312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168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313</v>
      </c>
      <c r="H39" s="19" t="s">
        <v>315</v>
      </c>
      <c r="I39" s="19" t="s">
        <v>263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314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169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316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176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125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125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175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177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178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179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180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181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182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183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184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185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186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187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188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189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320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600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190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191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192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326</v>
      </c>
      <c r="G65" s="45" t="s">
        <v>327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325</v>
      </c>
      <c r="G66" s="45" t="s">
        <v>329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324</v>
      </c>
      <c r="G67" s="46" t="s">
        <v>328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" activePane="bottomLeft" state="frozen"/>
      <selection pane="bottomLeft" activeCell="Q3" sqref="Q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214</v>
      </c>
      <c r="C1" s="1" t="s">
        <v>11</v>
      </c>
      <c r="D1" s="1" t="s">
        <v>337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201</v>
      </c>
      <c r="O1" s="8" t="s">
        <v>212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342</v>
      </c>
      <c r="E21" s="19">
        <f>LOOKUP(use_fish!B21,base_fish!A:A,base_fish!C:C)+_xlfn.IFNA(INDEX(activity!F:F,MATCH(use_fish!C21,activity!A:A,0)),0)</f>
        <v>80</v>
      </c>
      <c r="F21" s="19">
        <f t="shared" si="2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3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342</v>
      </c>
      <c r="E22" s="19">
        <f>LOOKUP(use_fish!B22,base_fish!A:A,base_fish!C:C)+_xlfn.IFNA(INDEX(activity!F:F,MATCH(use_fish!C22,activity!A:A,0)),0)</f>
        <v>80</v>
      </c>
      <c r="F22" s="19">
        <f t="shared" si="2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342</v>
      </c>
      <c r="E23" s="19">
        <f>LOOKUP(use_fish!B23,base_fish!A:A,base_fish!C:C)+_xlfn.IFNA(INDEX(activity!F:F,MATCH(use_fish!C23,activity!A:A,0)),0)</f>
        <v>120</v>
      </c>
      <c r="F23" s="19">
        <f t="shared" si="2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3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342</v>
      </c>
      <c r="E24" s="19">
        <f>LOOKUP(use_fish!B24,base_fish!A:A,base_fish!C:C)+_xlfn.IFNA(INDEX(activity!F:F,MATCH(use_fish!C24,activity!A:A,0)),0)</f>
        <v>140</v>
      </c>
      <c r="F24" s="19">
        <f t="shared" si="2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3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356</v>
      </c>
      <c r="F25" s="19" t="s">
        <v>263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357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355</v>
      </c>
      <c r="E26" s="19">
        <f>LOOKUP(use_fish!B26,base_fish!A:A,base_fish!C:C)+_xlfn.IFNA(INDEX(activity!F:F,MATCH(use_fish!C26,activity!A:A,0)),0)</f>
        <v>150</v>
      </c>
      <c r="F26" s="19">
        <f t="shared" si="2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LOOKUP([1]use_fish!B26,[1]base_fish!A:A,[1]base_fish!G:G)</f>
        <v>0</v>
      </c>
      <c r="L26" s="21">
        <f t="shared" si="3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342</v>
      </c>
      <c r="E27" s="19">
        <f>LOOKUP(use_fish!B27,base_fish!A:A,base_fish!C:C)+_xlfn.IFNA(INDEX(activity!F:F,MATCH(use_fish!C27,activity!A:A,0)),0)</f>
        <v>180</v>
      </c>
      <c r="F27" s="19">
        <f t="shared" si="2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3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342</v>
      </c>
      <c r="E28" s="19">
        <f>LOOKUP(use_fish!B28,base_fish!A:A,base_fish!C:C)+_xlfn.IFNA(INDEX(activity!F:F,MATCH(use_fish!C28,activity!A:A,0)),0)</f>
        <v>200</v>
      </c>
      <c r="F28" s="19">
        <f t="shared" si="2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3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150</v>
      </c>
      <c r="F30" s="23">
        <f t="shared" si="4"/>
        <v>6.6666666666666671E-3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150</v>
      </c>
      <c r="J30" s="25">
        <v>1</v>
      </c>
      <c r="K30" s="25">
        <f>LOOKUP(use_fish!B30,base_fish!A:A,base_fish!G:G)</f>
        <v>0</v>
      </c>
      <c r="L30" s="25">
        <f t="shared" si="5"/>
        <v>150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100</v>
      </c>
      <c r="F31" s="23">
        <f t="shared" si="4"/>
        <v>0.01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100</v>
      </c>
      <c r="J31" s="25">
        <v>1</v>
      </c>
      <c r="K31" s="25">
        <f>LOOKUP(use_fish!B31,base_fish!A:A,base_fish!G:G)</f>
        <v>0</v>
      </c>
      <c r="L31" s="25">
        <f t="shared" si="5"/>
        <v>100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125</v>
      </c>
      <c r="F32" s="23">
        <f t="shared" si="4"/>
        <v>8.0000000000000002E-3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125</v>
      </c>
      <c r="J32" s="25">
        <v>1</v>
      </c>
      <c r="K32" s="25">
        <f>LOOKUP(use_fish!B32,base_fish!A:A,base_fish!G:G)</f>
        <v>0</v>
      </c>
      <c r="L32" s="25">
        <f t="shared" si="5"/>
        <v>125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6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7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6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7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6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7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6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7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6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7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336</v>
      </c>
      <c r="E38" s="23">
        <f>LOOKUP(use_fish!B38,base_fish!A:A,base_fish!C:C)+_xlfn.IFNA(INDEX(activity!F:F,MATCH(use_fish!C38,activity!A:A,0)),0)</f>
        <v>200</v>
      </c>
      <c r="F38" s="23">
        <f t="shared" si="6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7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359</v>
      </c>
      <c r="E39" s="32">
        <f>LOOKUP(use_fish!B39,base_fish!A:A,base_fish!C:C)+_xlfn.IFNA(INDEX(activity!F:F,MATCH(use_fish!C39,activity!A:A,0)),0)</f>
        <v>200</v>
      </c>
      <c r="F39" s="32">
        <f t="shared" si="6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7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359</v>
      </c>
      <c r="E40" s="32">
        <f>LOOKUP(use_fish!B40,base_fish!A:A,base_fish!C:C)+_xlfn.IFNA(INDEX(activity!F:F,MATCH(use_fish!C40,activity!A:A,0)),0)</f>
        <v>100</v>
      </c>
      <c r="F40" s="32">
        <f t="shared" ref="F40:F45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359</v>
      </c>
      <c r="E41" s="32">
        <f>LOOKUP(use_fish!B41,base_fish!A:A,base_fish!C:C)+_xlfn.IFNA(INDEX(activity!F:F,MATCH(use_fish!C41,activity!A:A,0)),0)</f>
        <v>500</v>
      </c>
      <c r="F41" s="32">
        <f t="shared" si="8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9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359</v>
      </c>
      <c r="E42" s="32">
        <f>LOOKUP(use_fish!B42,base_fish!A:A,base_fish!C:C)+_xlfn.IFNA(INDEX(activity!F:F,MATCH(use_fish!C42,activity!A:A,0)),0)</f>
        <v>300</v>
      </c>
      <c r="F42" s="32">
        <f t="shared" si="8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9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8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9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359</v>
      </c>
      <c r="E44" s="32">
        <f>LOOKUP(use_fish!B44,base_fish!A:A,base_fish!C:C)+_xlfn.IFNA(INDEX(activity!F:F,MATCH(use_fish!C44,activity!A:A,0)),0)</f>
        <v>400</v>
      </c>
      <c r="F44" s="32">
        <f t="shared" si="8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9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8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9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0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1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361</v>
      </c>
      <c r="E47" s="36">
        <f>LOOKUP(use_fish!B47,base_fish!A:A,base_fish!C:C)+_xlfn.IFNA(INDEX(activity!F:F,MATCH(use_fish!C47,activity!A:A,0)),0)</f>
        <v>300</v>
      </c>
      <c r="F47" s="36">
        <f t="shared" si="10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1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336</v>
      </c>
      <c r="E48" s="36">
        <f>LOOKUP(use_fish!B48,base_fish!A:A,base_fish!C:C)+_xlfn.IFNA(INDEX(activity!F:F,MATCH(use_fish!C48,activity!A:A,0)),0)</f>
        <v>400</v>
      </c>
      <c r="F48" s="36">
        <f t="shared" si="10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600</v>
      </c>
      <c r="J48" s="35">
        <v>1</v>
      </c>
      <c r="K48" s="35">
        <f>LOOKUP(use_fish!B48,base_fish!A:A,base_fish!G:G)</f>
        <v>0</v>
      </c>
      <c r="L48" s="35">
        <f t="shared" si="11"/>
        <v>600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360</v>
      </c>
      <c r="E49" s="36">
        <f>LOOKUP(use_fish!B49,base_fish!A:A,base_fish!C:C)+_xlfn.IFNA(INDEX(activity!F:F,MATCH(use_fish!C49,activity!A:A,0)),0)</f>
        <v>500</v>
      </c>
      <c r="F49" s="36">
        <f t="shared" si="10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1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362</v>
      </c>
      <c r="E50" s="36">
        <f>LOOKUP(use_fish!B50,base_fish!A:A,base_fish!C:C)+_xlfn.IFNA(INDEX(activity!F:F,MATCH(use_fish!C50,activity!A:A,0)),0)</f>
        <v>600</v>
      </c>
      <c r="F50" s="36">
        <f t="shared" si="10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1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344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4" workbookViewId="0">
      <selection activeCell="A18" sqref="A1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170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341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193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194</v>
      </c>
    </row>
    <row r="18" spans="1:9" x14ac:dyDescent="0.2">
      <c r="A18">
        <v>17</v>
      </c>
      <c r="B18">
        <v>10</v>
      </c>
      <c r="C18" s="7" t="s">
        <v>339</v>
      </c>
      <c r="D18" s="4">
        <v>0</v>
      </c>
      <c r="E18" s="4">
        <v>0</v>
      </c>
      <c r="F18">
        <v>150</v>
      </c>
      <c r="G18" t="s">
        <v>340</v>
      </c>
      <c r="H18">
        <v>22</v>
      </c>
      <c r="I18" t="s">
        <v>202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206</v>
      </c>
    </row>
    <row r="20" spans="1:9" x14ac:dyDescent="0.2">
      <c r="A20">
        <v>19</v>
      </c>
      <c r="B20">
        <v>17</v>
      </c>
      <c r="C20" t="s">
        <v>147</v>
      </c>
      <c r="D20" s="4">
        <v>0</v>
      </c>
      <c r="E20" s="4">
        <v>0</v>
      </c>
      <c r="F20">
        <v>150</v>
      </c>
      <c r="G20" t="str">
        <f t="shared" si="0"/>
        <v>钻头弹</v>
      </c>
      <c r="H20">
        <v>24</v>
      </c>
      <c r="I20" t="s">
        <v>207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208</v>
      </c>
    </row>
    <row r="22" spans="1:9" x14ac:dyDescent="0.2">
      <c r="A22">
        <v>21</v>
      </c>
      <c r="B22">
        <v>20</v>
      </c>
      <c r="C22" s="11" t="s">
        <v>203</v>
      </c>
      <c r="D22" s="4">
        <v>0</v>
      </c>
      <c r="E22" s="4">
        <v>0</v>
      </c>
      <c r="F22">
        <v>50</v>
      </c>
      <c r="G22" t="s">
        <v>228</v>
      </c>
      <c r="H22">
        <v>26</v>
      </c>
      <c r="I22" t="s">
        <v>222</v>
      </c>
    </row>
    <row r="23" spans="1:9" x14ac:dyDescent="0.2">
      <c r="A23">
        <v>22</v>
      </c>
      <c r="B23">
        <v>20</v>
      </c>
      <c r="C23" s="11" t="s">
        <v>148</v>
      </c>
      <c r="D23" s="4">
        <v>0</v>
      </c>
      <c r="E23" s="4">
        <v>0</v>
      </c>
      <c r="F23">
        <v>150</v>
      </c>
      <c r="G23" t="s">
        <v>229</v>
      </c>
      <c r="H23">
        <v>27</v>
      </c>
      <c r="I23" t="s">
        <v>223</v>
      </c>
    </row>
    <row r="24" spans="1:9" x14ac:dyDescent="0.2">
      <c r="A24">
        <v>23</v>
      </c>
      <c r="B24">
        <v>20</v>
      </c>
      <c r="C24" s="11" t="s">
        <v>149</v>
      </c>
      <c r="D24" s="4">
        <v>0</v>
      </c>
      <c r="E24" s="4">
        <v>0</v>
      </c>
      <c r="F24">
        <v>250</v>
      </c>
      <c r="G24" t="s">
        <v>230</v>
      </c>
      <c r="H24">
        <v>28</v>
      </c>
      <c r="I24" t="s">
        <v>219</v>
      </c>
    </row>
    <row r="25" spans="1:9" x14ac:dyDescent="0.2">
      <c r="A25">
        <v>24</v>
      </c>
      <c r="B25">
        <v>20</v>
      </c>
      <c r="C25" s="11" t="s">
        <v>150</v>
      </c>
      <c r="D25" s="4">
        <v>0</v>
      </c>
      <c r="E25" s="4">
        <v>0</v>
      </c>
      <c r="F25">
        <v>450</v>
      </c>
      <c r="G25" t="s">
        <v>231</v>
      </c>
      <c r="H25">
        <v>29</v>
      </c>
      <c r="I25" t="s">
        <v>218</v>
      </c>
    </row>
    <row r="26" spans="1:9" x14ac:dyDescent="0.2">
      <c r="A26">
        <v>25</v>
      </c>
      <c r="B26">
        <v>21</v>
      </c>
      <c r="C26" s="11" t="s">
        <v>195</v>
      </c>
      <c r="D26" s="4">
        <v>0</v>
      </c>
      <c r="E26" s="4">
        <v>0</v>
      </c>
      <c r="F26">
        <v>10</v>
      </c>
      <c r="G26" t="s">
        <v>198</v>
      </c>
      <c r="H26">
        <v>30</v>
      </c>
      <c r="I26" t="s">
        <v>330</v>
      </c>
    </row>
    <row r="27" spans="1:9" x14ac:dyDescent="0.2">
      <c r="A27">
        <v>26</v>
      </c>
      <c r="B27">
        <v>21</v>
      </c>
      <c r="C27" s="11" t="s">
        <v>196</v>
      </c>
      <c r="D27" s="4">
        <v>0</v>
      </c>
      <c r="E27" s="4">
        <v>0</v>
      </c>
      <c r="F27">
        <v>50</v>
      </c>
      <c r="G27" t="s">
        <v>199</v>
      </c>
      <c r="H27">
        <v>31</v>
      </c>
      <c r="I27" t="s">
        <v>345</v>
      </c>
    </row>
    <row r="28" spans="1:9" x14ac:dyDescent="0.2">
      <c r="A28">
        <v>27</v>
      </c>
      <c r="B28">
        <v>21</v>
      </c>
      <c r="C28" s="11" t="s">
        <v>197</v>
      </c>
      <c r="D28" s="4">
        <v>0</v>
      </c>
      <c r="E28" s="4">
        <v>0</v>
      </c>
      <c r="F28">
        <v>100</v>
      </c>
      <c r="G28" t="s">
        <v>200</v>
      </c>
      <c r="H28">
        <v>32</v>
      </c>
      <c r="I28" t="s">
        <v>346</v>
      </c>
    </row>
    <row r="29" spans="1:9" x14ac:dyDescent="0.2">
      <c r="A29">
        <v>28</v>
      </c>
      <c r="B29">
        <v>22</v>
      </c>
      <c r="C29" s="11" t="s">
        <v>205</v>
      </c>
      <c r="D29" s="4">
        <v>0</v>
      </c>
      <c r="E29" s="4">
        <v>0</v>
      </c>
      <c r="F29">
        <v>100</v>
      </c>
      <c r="G29" t="s">
        <v>204</v>
      </c>
      <c r="H29">
        <v>33</v>
      </c>
      <c r="I29" t="s">
        <v>347</v>
      </c>
    </row>
    <row r="30" spans="1:9" x14ac:dyDescent="0.2">
      <c r="A30">
        <v>29</v>
      </c>
      <c r="B30">
        <v>23</v>
      </c>
      <c r="C30" t="s">
        <v>226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271</v>
      </c>
      <c r="D31" s="4">
        <v>0</v>
      </c>
      <c r="E31" s="4">
        <v>0</v>
      </c>
      <c r="F31">
        <v>500</v>
      </c>
      <c r="G31" t="s">
        <v>270</v>
      </c>
    </row>
    <row r="32" spans="1:9" x14ac:dyDescent="0.2">
      <c r="A32">
        <v>31</v>
      </c>
      <c r="B32">
        <v>25</v>
      </c>
      <c r="C32" t="s">
        <v>215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220</v>
      </c>
      <c r="D33" s="4">
        <v>0</v>
      </c>
      <c r="E33" s="4">
        <v>0</v>
      </c>
      <c r="F33">
        <v>100</v>
      </c>
      <c r="G33" t="s">
        <v>217</v>
      </c>
    </row>
    <row r="34" spans="1:7" x14ac:dyDescent="0.2">
      <c r="A34">
        <v>33</v>
      </c>
      <c r="B34">
        <v>29</v>
      </c>
      <c r="C34" t="s">
        <v>221</v>
      </c>
      <c r="D34" s="4">
        <v>0</v>
      </c>
      <c r="E34" s="4">
        <v>0</v>
      </c>
      <c r="F34">
        <v>100</v>
      </c>
      <c r="G34" t="s">
        <v>218</v>
      </c>
    </row>
    <row r="35" spans="1:7" x14ac:dyDescent="0.2">
      <c r="A35">
        <v>34</v>
      </c>
      <c r="B35">
        <v>30</v>
      </c>
      <c r="C35" s="11" t="s">
        <v>331</v>
      </c>
      <c r="D35" s="4">
        <v>0</v>
      </c>
      <c r="E35" s="4">
        <v>0</v>
      </c>
      <c r="F35">
        <v>200</v>
      </c>
      <c r="G35" t="s">
        <v>330</v>
      </c>
    </row>
    <row r="36" spans="1:7" x14ac:dyDescent="0.2">
      <c r="A36">
        <v>35</v>
      </c>
      <c r="B36">
        <v>31</v>
      </c>
      <c r="C36" t="s">
        <v>358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352</v>
      </c>
      <c r="D37" s="4">
        <v>0</v>
      </c>
      <c r="E37" s="4">
        <v>0</v>
      </c>
      <c r="F37">
        <v>500</v>
      </c>
      <c r="G37" t="s">
        <v>348</v>
      </c>
    </row>
    <row r="38" spans="1:7" x14ac:dyDescent="0.2">
      <c r="A38">
        <v>37</v>
      </c>
      <c r="B38">
        <v>33</v>
      </c>
      <c r="C38" t="s">
        <v>349</v>
      </c>
      <c r="D38" s="4">
        <v>0</v>
      </c>
      <c r="E38" s="4">
        <v>0</v>
      </c>
      <c r="F38">
        <v>500</v>
      </c>
      <c r="G38" t="s">
        <v>350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L20" sqref="L2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234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152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240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241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242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243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151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244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246</v>
      </c>
      <c r="F17" s="15">
        <f t="shared" si="1"/>
        <v>35</v>
      </c>
      <c r="G17" s="15">
        <v>0</v>
      </c>
      <c r="H17" s="15" t="s">
        <v>209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153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264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247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248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249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353</v>
      </c>
      <c r="D25" s="15" t="s">
        <v>354</v>
      </c>
      <c r="E25" s="17" t="s">
        <v>250</v>
      </c>
      <c r="F25" s="15" t="s">
        <v>353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155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154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251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158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157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159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161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269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156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252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253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254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233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160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323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256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257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258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259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260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155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322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261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262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343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351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2020-05-26T06:11:11Z</dcterms:modified>
</cp:coreProperties>
</file>