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<sst xmlns="http://schemas.openxmlformats.org/spreadsheetml/2006/main" count="480" uniqueCount="381">
  <si>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</si>
  <si>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</si>
  <si>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</si>
  <si>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</si>
  <si>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</si>
  <si>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</si>
  <si>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</si>
  <si>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</si>
  <si>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</si>
  <si>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</si>
  <si>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</si>
  <si>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</si>
  <si>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</si>
  <si>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</si>
  <si>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</si>
  <si>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</si>
  <si>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</si>
  <si>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</si>
  <si>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</si>
  <si>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</si>
  <si>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</si>
  <si>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</si>
  <si>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</si>
  <si>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</si>
  <si>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</si>
  <si>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</si>
  <si>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</si>
  <si>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</si>
  <si>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</si>
  <si>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</si>
  <si>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</si>
  <si>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</si>
  <si>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</si>
  <si>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</si>
  <si>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</si>
  <si>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</si>
  <si>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</si>
  <si>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</si>
  <si>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</si>
  <si>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</si>
  <si>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</si>
  <si>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</si>
  <si>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</si>
  <si>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</si>
  <si>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</si>
  <si>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</si>
  <si>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</si>
  <si>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</si>
  <si>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</si>
  <si>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</si>
  <si>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</si>
  <si>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</si>
  <si>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</si>
  <si>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</si>
  <si>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</si>
  <si>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</si>
  <si>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</si>
  <si>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</si>
  <si>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</si>
  <si>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</si>
  <si>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</si>
  <si>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</si>
  <si>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</si>
  <si>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</si>
  <si>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</si>
  <si>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</si>
  <si>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</si>
  <si>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</si>
  <si>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</si>
  <si>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</si>
  <si>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</si>
  <si>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</si>
  <si>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</si>
  <si>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</si>
  <si>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</si>
  <si>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</si>
  <si>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</si>
  <si>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</si>
  <si>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</si>
  <si>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</si>
  <si>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</si>
  <si>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</si>
  <si>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</si>
  <si>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</si>
  <si>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</si>
  <si>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</si>
  <si>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</si>
  <si>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</si>
  <si>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</si>
  <si>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</si>
  <si>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</si>
  <si>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</si>
  <si>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</si>
  <si>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</si>
  <si>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</si>
  <si>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</si>
  <si>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</si>
  <si>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</si>
  <si>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</si>
  <si>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</si>
  <si>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</si>
  <si>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</si>
  <si>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</si>
  <si>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</si>
  <si>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</si>
  <si>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</si>
  <si>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</si>
  <si>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</si>
  <si>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</si>
  <si>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</si>
  <si>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</si>
  <si>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</si>
  <si>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</si>
  <si>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</si>
  <si>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</si>
  <si>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</si>
  <si>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</si>
  <si>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</si>
  <si>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</si>
  <si>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</si>
  <si>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</si>
  <si>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</si>
  <si>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</si>
  <si>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</si>
  <si>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</si>
  <si>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</si>
  <si>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</si>
  <si>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</si>
  <si>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</si>
  <si>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</si>
  <si>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</si>
  <si>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</si>
  <si>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</si>
  <si>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</si>
  <si>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</si>
  <si>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</si>
  <si>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</si>
  <si>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</si>
  <si>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</si>
  <si>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</si>
  <si>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</si>
  <si>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</si>
  <si>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</si>
  <si>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</si>
  <si>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</si>
  <si>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</si>
  <si>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</si>
  <si>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</si>
  <si>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</si>
  <si>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</si>
  <si>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</si>
  <si>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</si>
  <si>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</si>
  <si>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</si>
  <si>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</si>
  <si>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</si>
  <si>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</si>
  <si>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</si>
  <si>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</si>
  <si>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</si>
  <si>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</si>
  <si>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</si>
  <si>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</si>
  <si>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</si>
  <si>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</si>
  <si>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</si>
  <si>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</si>
  <si>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</si>
  <si>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</si>
  <si>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</si>
  <si>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</si>
  <si>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</si>
  <si>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</si>
  <si>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</si>
  <si>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</si>
  <si>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</si>
  <si>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</si>
  <si>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</si>
  <si>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</si>
  <si>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</si>
  <si>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</si>
  <si>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</si>
  <si>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</si>
  <si>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</si>
  <si>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</si>
  <si>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</si>
  <si>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</si>
  <si>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</si>
  <si>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</si>
  <si>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</si>
  <si>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</si>
  <si>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</si>
  <si>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</si>
  <si>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</si>
  <si>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</si>
  <si>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</si>
  <si>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</si>
  <si>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</si>
  <si>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</si>
  <si>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</si>
  <si>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</si>
  <si>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</si>
  <si>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</si>
  <si>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</si>
  <si>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</si>
  <si>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</si>
  <si>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</si>
  <si>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</si>
  <si>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</si>
  <si>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</si>
  <si>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</si>
  <si>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</si>
  <si>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</si>
  <si>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</si>
  <si>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</si>
  <si>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</si>
  <si>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</si>
  <si>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</si>
  <si>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</si>
  <si>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</si>
  <si>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</si>
  <si>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</si>
  <si>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</si>
  <si>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</si>
  <si>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</si>
  <si>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</si>
  <si>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</si>
  <si>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</si>
  <si>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</si>
  <si>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</si>
  <si>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</si>
  <si>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</si>
  <si>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</si>
  <si>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</si>
  <si>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</si>
  <si>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</si>
  <si>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</si>
  <si>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</si>
  <si>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</si>
  <si>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</si>
  <si>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</si>
  <si>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</si>
  <si>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</si>
  <si>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</si>
  <si>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</si>
  <si>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</si>
  <si>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</si>
  <si>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</si>
  <si>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</si>
  <si>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</si>
  <si>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</si>
  <si>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</si>
  <si>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</si>
  <si>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</si>
  <si>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</si>
  <si>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</si>
  <si>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</si>
  <si>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</si>
  <si>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</si>
  <si>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</si>
  <si>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</si>
  <si>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</si>
  <si>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</si>
  <si>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</si>
  <si>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</si>
  <si>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</si>
  <si>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</si>
  <si>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</si>
  <si>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</si>
  <si>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</si>
  <si>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</si>
  <si>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</si>
  <si>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</si>
  <si>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</si>
  <si>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</si>
  <si>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</si>
  <si>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</si>
  <si>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</si>
  <si>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</si>
  <si>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</si>
  <si>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</si>
  <si>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</si>
  <si>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</si>
  <si>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</si>
  <si>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</si>
  <si>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</si>
  <si>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</si>
  <si>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</si>
  <si>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</si>
  <si>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</si>
  <si>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</si>
  <si>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</si>
  <si>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</si>
  <si>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</si>
  <si>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</si>
  <si>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</si>
  <si>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</si>
  <si>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</si>
  <si>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</si>
  <si>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</si>
  <si>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</si>
  <si>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</si>
  <si>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</si>
  <si>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</si>
  <si>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</si>
  <si>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</si>
  <si>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</si>
  <si>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</si>
  <si>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</si>
  <si>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</si>
  <si>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</si>
  <si>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</si>
  <si>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</si>
  <si>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</si>
  <si>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</si>
  <si>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</si>
  <si>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</si>
  <si>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</si>
  <si>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</si>
  <si>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</si>
  <si>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</si>
  <si>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</si>
  <si>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</si>
  <si>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</si>
  <si>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</si>
  <si>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</si>
  <si>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</si>
  <si>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</si>
  <si>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</si>
  <si>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</si>
  <si>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</si>
  <si>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</si>
  <si>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</si>
  <si>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</si>
  <si>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</si>
  <si>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</si>
  <si>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</si>
  <si>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</si>
  <si>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</si>
  <si>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</si>
  <si>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</si>
  <si>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</si>
  <si>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</si>
  <si>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</si>
  <si>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</si>
  <si>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</si>
  <si>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</si>
  <si>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</si>
  <si>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</si>
  <si>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</si>
  <si>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</si>
  <si>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</si>
  <si>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</si>
  <si>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</si>
  <si>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</si>
  <si>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</si>
  <si>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</si>
  <si>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</si>
  <si>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</si>
  <si>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</si>
  <si>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</si>
  <si>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</si>
  <si>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</si>
  <si>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</si>
  <si>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</si>
  <si>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</si>
  <si>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</si>
  <si>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</si>
  <si>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</si>
  <si>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</si>
  <si>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</si>
  <si>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</si>
  <si>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</si>
  <si>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1,0,70,1,0,2,0,3,10,4,5,5,1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</si>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</sst>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216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201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203</v>
      </c>
      <c r="M1" s="8" t="s">
        <v>211</v>
      </c>
    </row>
    <row r="2" spans="1:13" x14ac:dyDescent="0.2">
      <c r="A2" s="2">
        <v>1</v>
      </c>
      <c r="B2" s="2" t="s">
        <v>256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204</v>
      </c>
      <c r="C3" s="2">
        <v>1</v>
      </c>
      <c r="D3" t="s">
        <v>202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204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204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204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204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204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308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1</v>
      </c>
      <c r="D10" t="s">
        <v>216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303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257</v>
      </c>
      <c r="B1" s="1" t="s">
        <v>258</v>
      </c>
      <c r="C1" s="1" t="s">
        <v>259</v>
      </c>
      <c r="D1" s="1" t="s">
        <v>260</v>
      </c>
      <c r="E1" s="1" t="s">
        <v>261</v>
      </c>
      <c r="F1" s="1" t="s">
        <v>262</v>
      </c>
      <c r="G1" s="1" t="s">
        <v>263</v>
      </c>
      <c r="H1" s="1" t="s">
        <v>97</v>
      </c>
      <c r="I1" s="1" t="s">
        <v>264</v>
      </c>
      <c r="J1" s="9" t="s">
        <v>105</v>
      </c>
      <c r="K1" s="1" t="s">
        <v>265</v>
      </c>
      <c r="L1" s="1" t="s">
        <v>50</v>
      </c>
      <c r="Q1" s="1" t="s">
        <v>266</v>
      </c>
      <c r="R1" s="1" t="s">
        <v>266</v>
      </c>
      <c r="S1" s="1" t="s">
        <v>266</v>
      </c>
      <c r="T1" s="1" t="s">
        <v>266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267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249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327</v>
      </c>
      <c r="G7" s="45" t="s">
        <v>328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326</v>
      </c>
      <c r="G8" s="45" t="s">
        <v>329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250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254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297</v>
      </c>
      <c r="I39" s="19" t="s">
        <v>247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330</v>
      </c>
      <c r="G65" s="45" t="s">
        <v>331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332</v>
      </c>
      <c r="G66" s="45" t="s">
        <v>333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334</v>
      </c>
      <c r="G67" s="46" t="s">
        <v>335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E32" sqref="E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205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194</v>
      </c>
      <c r="O1" s="8" t="s">
        <v>203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349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2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362</v>
      </c>
      <c r="F25" s="19" t="s">
        <v>363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348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352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353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6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7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354</v>
      </c>
      <c r="E39" s="32">
        <f>LOOKUP(use_fish!B39,base_fish!A:A,base_fish!C:C)+_xlfn.IFNA(INDEX(activity!F:F,MATCH(use_fish!C39,activity!A:A,0)),0)</f>
        <v>102</v>
      </c>
      <c r="F39" s="32">
        <f t="shared" si="6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7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8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9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321</v>
      </c>
      <c r="E41" s="32">
        <f>LOOKUP(use_fish!B41,base_fish!A:A,base_fish!C:C)+_xlfn.IFNA(INDEX(activity!F:F,MATCH(use_fish!C41,activity!A:A,0)),0)</f>
        <v>302</v>
      </c>
      <c r="F41" s="32">
        <f t="shared" si="8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9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355</v>
      </c>
      <c r="E42" s="32">
        <f>LOOKUP(use_fish!B42,base_fish!A:A,base_fish!C:C)+_xlfn.IFNA(INDEX(activity!F:F,MATCH(use_fish!C42,activity!A:A,0)),0)</f>
        <v>206</v>
      </c>
      <c r="F42" s="32">
        <f t="shared" si="8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9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9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356</v>
      </c>
      <c r="E44" s="32">
        <f>LOOKUP(use_fish!B44,base_fish!A:A,base_fish!C:C)+_xlfn.IFNA(INDEX(activity!F:F,MATCH(use_fish!C44,activity!A:A,0)),0)</f>
        <v>202</v>
      </c>
      <c r="F44" s="32">
        <f t="shared" si="8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9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9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0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358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322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abSelected="1" topLeftCell="A7" workbookViewId="0">
      <selection activeCell="E27" sqref="E27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251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252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309</v>
      </c>
      <c r="D18" s="4">
        <v>0</v>
      </c>
      <c r="E18" s="4">
        <v>0</v>
      </c>
      <c r="F18">
        <v>150</v>
      </c>
      <c r="G18" t="s">
        <v>310</v>
      </c>
      <c r="H18">
        <v>22</v>
      </c>
      <c r="I18" t="s">
        <v>195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199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366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367</v>
      </c>
    </row>
    <row r="22" spans="1:9" x14ac:dyDescent="0.2">
      <c r="A22">
        <v>21</v>
      </c>
      <c r="B22">
        <v>20</v>
      </c>
      <c r="C22" s="11" t="s">
        <v>196</v>
      </c>
      <c r="D22" s="4">
        <v>0</v>
      </c>
      <c r="E22" s="4">
        <v>0</v>
      </c>
      <c r="F22">
        <v>50</v>
      </c>
      <c r="G22" t="s">
        <v>212</v>
      </c>
      <c r="H22">
        <v>26</v>
      </c>
      <c r="I22" t="s">
        <v>368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213</v>
      </c>
      <c r="H23">
        <v>27</v>
      </c>
      <c r="I23" t="s">
        <v>369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214</v>
      </c>
      <c r="H24">
        <v>28</v>
      </c>
      <c r="I24" t="s">
        <v>370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215</v>
      </c>
      <c r="H25">
        <v>29</v>
      </c>
      <c r="I25" t="s">
        <v>207</v>
      </c>
    </row>
    <row r="26" spans="1:9" x14ac:dyDescent="0.2">
      <c r="A26">
        <v>25</v>
      </c>
      <c r="B26">
        <v>21</v>
      </c>
      <c r="C26" s="11" t="s">
        <v>375</v>
      </c>
      <c r="D26" s="4">
        <v>0</v>
      </c>
      <c r="E26" s="4">
        <v>0</v>
      </c>
      <c r="F26">
        <v>5</v>
      </c>
      <c r="G26" t="s">
        <v>376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377</v>
      </c>
      <c r="D27" s="4">
        <v>0</v>
      </c>
      <c r="E27" s="4">
        <v>0</v>
      </c>
      <c r="F27">
        <v>2</v>
      </c>
      <c r="G27" t="s">
        <v>378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379</v>
      </c>
      <c r="D28" s="4">
        <v>0</v>
      </c>
      <c r="E28" s="4">
        <v>0</v>
      </c>
      <c r="F28">
        <v>6</v>
      </c>
      <c r="G28" t="s">
        <v>380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198</v>
      </c>
      <c r="D29" s="4">
        <v>0</v>
      </c>
      <c r="E29" s="4">
        <v>0</v>
      </c>
      <c r="F29">
        <v>100</v>
      </c>
      <c r="G29" t="s">
        <v>197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210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324</v>
      </c>
    </row>
    <row r="31" spans="1:9" x14ac:dyDescent="0.2">
      <c r="A31">
        <v>30</v>
      </c>
      <c r="B31">
        <v>24</v>
      </c>
      <c r="C31" s="11" t="s">
        <v>337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325</v>
      </c>
    </row>
    <row r="32" spans="1:9" x14ac:dyDescent="0.2">
      <c r="A32">
        <v>31</v>
      </c>
      <c r="B32">
        <v>25</v>
      </c>
      <c r="C32" t="s">
        <v>365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339</v>
      </c>
      <c r="D34" s="4">
        <v>0</v>
      </c>
      <c r="E34" s="4">
        <v>0</v>
      </c>
      <c r="F34">
        <v>300</v>
      </c>
      <c r="G34" t="s">
        <v>340</v>
      </c>
    </row>
    <row r="35" spans="1:7" x14ac:dyDescent="0.2">
      <c r="A35">
        <v>34</v>
      </c>
      <c r="B35">
        <v>30</v>
      </c>
      <c r="C35" s="11" t="s">
        <v>361</v>
      </c>
      <c r="D35" s="4">
        <v>0</v>
      </c>
      <c r="E35" s="4">
        <v>0</v>
      </c>
      <c r="F35">
        <v>150</v>
      </c>
      <c r="G35" t="s">
        <v>343</v>
      </c>
    </row>
    <row r="36" spans="1:7" x14ac:dyDescent="0.2">
      <c r="A36">
        <v>35</v>
      </c>
      <c r="B36">
        <v>31</v>
      </c>
      <c r="C36" t="s">
        <v>338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360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364</v>
      </c>
      <c r="D38" s="4">
        <v>0</v>
      </c>
      <c r="E38" s="4">
        <v>0</v>
      </c>
      <c r="F38">
        <v>200</v>
      </c>
      <c r="G38" t="s">
        <v>341</v>
      </c>
    </row>
    <row r="39" spans="1:7" x14ac:dyDescent="0.2">
      <c r="A39">
        <v>38</v>
      </c>
      <c r="B39">
        <v>38</v>
      </c>
      <c r="C39" t="s">
        <v>342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371</v>
      </c>
      <c r="D41" s="4">
        <v>0</v>
      </c>
      <c r="E41" s="4">
        <v>0</v>
      </c>
      <c r="F41">
        <v>2</v>
      </c>
      <c r="G41" t="s">
        <v>372</v>
      </c>
    </row>
    <row r="42" spans="1:7" x14ac:dyDescent="0.2">
      <c r="A42">
        <v>41</v>
      </c>
      <c r="B42">
        <v>21</v>
      </c>
      <c r="C42" s="11" t="s">
        <v>373</v>
      </c>
      <c r="D42" s="4">
        <v>0</v>
      </c>
      <c r="E42" s="4">
        <v>0</v>
      </c>
      <c r="F42">
        <v>2</v>
      </c>
      <c r="G42" t="s">
        <v>374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230</v>
      </c>
      <c r="F17" s="15">
        <f t="shared" si="1"/>
        <v>35</v>
      </c>
      <c r="G17" s="15">
        <v>0</v>
      </c>
      <c r="H17" s="15" t="s">
        <v>200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248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232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233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319</v>
      </c>
      <c r="E25" s="17" t="s">
        <v>234</v>
      </c>
      <c r="F25" s="15" t="s">
        <v>318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235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253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217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239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305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240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241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242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243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244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245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246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312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2020-06-28T07:20:18Z</dcterms:modified>
</cp:coreProperties>
</file>