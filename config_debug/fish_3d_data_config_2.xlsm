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6" i="5" l="1"/>
  <c r="G32" i="5"/>
  <c r="K25" i="14" l="1"/>
  <c r="K26" i="14"/>
  <c r="K27" i="14"/>
  <c r="J3" i="7" l="1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2" i="7"/>
  <c r="E48" i="14" l="1"/>
  <c r="E49" i="14"/>
  <c r="H62" i="7" s="1"/>
  <c r="E50" i="14"/>
  <c r="H63" i="7" l="1"/>
  <c r="H64" i="7"/>
  <c r="H25" i="14"/>
  <c r="H26" i="14"/>
  <c r="H27" i="14"/>
  <c r="H28" i="14"/>
  <c r="E26" i="14"/>
  <c r="J40" i="7"/>
  <c r="L25" i="14"/>
  <c r="J39" i="7"/>
  <c r="F26" i="1"/>
  <c r="I26" i="14" s="1"/>
  <c r="D26" i="1"/>
  <c r="F26" i="14" l="1"/>
  <c r="H40" i="7"/>
  <c r="L26" i="14"/>
  <c r="I40" i="7"/>
  <c r="F51" i="1" l="1"/>
  <c r="D51" i="1"/>
  <c r="E47" i="14" l="1"/>
  <c r="H61" i="7" s="1"/>
  <c r="F7" i="1" l="1"/>
  <c r="D7" i="1"/>
  <c r="I7" i="14"/>
  <c r="L7" i="14" s="1"/>
  <c r="F7" i="14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H29" i="7" s="1"/>
  <c r="E16" i="14"/>
  <c r="E17" i="14"/>
  <c r="H31" i="7" s="1"/>
  <c r="E18" i="14"/>
  <c r="H32" i="7" s="1"/>
  <c r="E19" i="14"/>
  <c r="H33" i="7" s="1"/>
  <c r="E20" i="14"/>
  <c r="H34" i="7" s="1"/>
  <c r="E21" i="14"/>
  <c r="H35" i="7" s="1"/>
  <c r="E22" i="14"/>
  <c r="H36" i="7" s="1"/>
  <c r="E23" i="14"/>
  <c r="H37" i="7" s="1"/>
  <c r="E24" i="14"/>
  <c r="H38" i="7" s="1"/>
  <c r="E27" i="14"/>
  <c r="H41" i="7" s="1"/>
  <c r="E28" i="14"/>
  <c r="H42" i="7" s="1"/>
  <c r="E29" i="14"/>
  <c r="H43" i="7" s="1"/>
  <c r="E30" i="14"/>
  <c r="H44" i="7" s="1"/>
  <c r="E31" i="14"/>
  <c r="H45" i="7" s="1"/>
  <c r="E32" i="14"/>
  <c r="H46" i="7" s="1"/>
  <c r="F39" i="1"/>
  <c r="F40" i="1"/>
  <c r="F41" i="1"/>
  <c r="F42" i="1"/>
  <c r="F43" i="1"/>
  <c r="F44" i="1"/>
  <c r="F45" i="1"/>
  <c r="F46" i="1"/>
  <c r="F47" i="1"/>
  <c r="I47" i="14" s="1"/>
  <c r="I61" i="7" s="1"/>
  <c r="F48" i="1"/>
  <c r="I48" i="14" s="1"/>
  <c r="F49" i="1"/>
  <c r="F50" i="1"/>
  <c r="F28" i="1"/>
  <c r="F29" i="1"/>
  <c r="F30" i="1"/>
  <c r="F24" i="1"/>
  <c r="I24" i="14" s="1"/>
  <c r="I38" i="7" s="1"/>
  <c r="D24" i="1"/>
  <c r="F9" i="1"/>
  <c r="I9" i="14" s="1"/>
  <c r="F10" i="1"/>
  <c r="I10" i="14" s="1"/>
  <c r="D9" i="1"/>
  <c r="D10" i="1"/>
  <c r="I50" i="14" l="1"/>
  <c r="I64" i="7" s="1"/>
  <c r="I62" i="7"/>
  <c r="I49" i="14"/>
  <c r="I63" i="7" s="1"/>
  <c r="H26" i="7"/>
  <c r="H30" i="7"/>
  <c r="H11" i="7"/>
  <c r="H12" i="7"/>
  <c r="H24" i="7"/>
  <c r="H28" i="7"/>
  <c r="H25" i="7"/>
  <c r="H17" i="7"/>
  <c r="H10" i="7"/>
  <c r="I9" i="7"/>
  <c r="L10" i="14"/>
  <c r="I10" i="7"/>
  <c r="H23" i="7"/>
  <c r="H27" i="7"/>
  <c r="H22" i="7"/>
  <c r="H9" i="7"/>
  <c r="F24" i="14"/>
  <c r="L24" i="14"/>
  <c r="L9" i="14"/>
  <c r="F10" i="14"/>
  <c r="F9" i="14"/>
  <c r="F38" i="1"/>
  <c r="D38" i="1"/>
  <c r="E8" i="14" l="1"/>
  <c r="H67" i="7" l="1"/>
  <c r="H16" i="7"/>
  <c r="H8" i="7"/>
  <c r="H15" i="7"/>
  <c r="F32" i="1"/>
  <c r="F33" i="1"/>
  <c r="F34" i="1"/>
  <c r="F36" i="1"/>
  <c r="F37" i="1"/>
  <c r="D37" i="1"/>
  <c r="D36" i="1" l="1"/>
  <c r="G30" i="5" l="1"/>
  <c r="H32" i="14" s="1"/>
  <c r="D35" i="1"/>
  <c r="D34" i="1"/>
  <c r="D28" i="1"/>
  <c r="D29" i="1"/>
  <c r="D30" i="1"/>
  <c r="D31" i="1"/>
  <c r="D32" i="1"/>
  <c r="D33" i="1"/>
  <c r="K50" i="14"/>
  <c r="K49" i="14"/>
  <c r="F49" i="14"/>
  <c r="K48" i="14"/>
  <c r="K47" i="14"/>
  <c r="F47" i="14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I8" i="14" s="1"/>
  <c r="D8" i="1"/>
  <c r="F8" i="14"/>
  <c r="F29" i="14"/>
  <c r="K29" i="14"/>
  <c r="F30" i="14"/>
  <c r="I30" i="14"/>
  <c r="K30" i="14"/>
  <c r="F31" i="14"/>
  <c r="H31" i="14"/>
  <c r="K31" i="14"/>
  <c r="F32" i="14"/>
  <c r="K32" i="14"/>
  <c r="F20" i="14"/>
  <c r="K20" i="14"/>
  <c r="F21" i="14"/>
  <c r="H21" i="14"/>
  <c r="K21" i="14"/>
  <c r="F22" i="14"/>
  <c r="K22" i="14"/>
  <c r="F23" i="14"/>
  <c r="H23" i="14"/>
  <c r="K23" i="14"/>
  <c r="H24" i="14"/>
  <c r="K24" i="14"/>
  <c r="F28" i="14"/>
  <c r="K28" i="14"/>
  <c r="I29" i="14"/>
  <c r="F31" i="1"/>
  <c r="I31" i="14" s="1"/>
  <c r="I45" i="7" s="1"/>
  <c r="I32" i="14"/>
  <c r="I46" i="7" s="1"/>
  <c r="G20" i="5"/>
  <c r="G21" i="5"/>
  <c r="H48" i="14" s="1"/>
  <c r="G19" i="5"/>
  <c r="E2" i="14"/>
  <c r="D27" i="1"/>
  <c r="F27" i="1"/>
  <c r="I27" i="14" s="1"/>
  <c r="I41" i="7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 s="1"/>
  <c r="F13" i="1"/>
  <c r="F16" i="1"/>
  <c r="I16" i="14" s="1"/>
  <c r="F15" i="1"/>
  <c r="I15" i="14" s="1"/>
  <c r="F17" i="1"/>
  <c r="I17" i="14" s="1"/>
  <c r="F18" i="1"/>
  <c r="F19" i="1"/>
  <c r="I19" i="14" s="1"/>
  <c r="I33" i="7" s="1"/>
  <c r="F20" i="1"/>
  <c r="E3" i="14"/>
  <c r="E4" i="14"/>
  <c r="H19" i="7" s="1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59" i="7" s="1"/>
  <c r="I13" i="14"/>
  <c r="L12" i="14" l="1"/>
  <c r="I67" i="7"/>
  <c r="I8" i="7"/>
  <c r="I16" i="7"/>
  <c r="I15" i="7"/>
  <c r="H21" i="7"/>
  <c r="H66" i="7"/>
  <c r="H14" i="7"/>
  <c r="I30" i="7"/>
  <c r="F33" i="14"/>
  <c r="H47" i="7"/>
  <c r="F35" i="14"/>
  <c r="H49" i="7"/>
  <c r="F37" i="14"/>
  <c r="H51" i="7"/>
  <c r="F39" i="14"/>
  <c r="H53" i="7"/>
  <c r="F41" i="14"/>
  <c r="H55" i="7"/>
  <c r="H57" i="7"/>
  <c r="H59" i="7"/>
  <c r="I27" i="7"/>
  <c r="I17" i="7"/>
  <c r="H20" i="7"/>
  <c r="H65" i="7"/>
  <c r="H13" i="7"/>
  <c r="H18" i="7"/>
  <c r="L15" i="14"/>
  <c r="I29" i="7"/>
  <c r="L30" i="14"/>
  <c r="I44" i="7"/>
  <c r="I11" i="7"/>
  <c r="I12" i="7"/>
  <c r="F34" i="14"/>
  <c r="H48" i="7"/>
  <c r="F36" i="14"/>
  <c r="H50" i="7"/>
  <c r="H52" i="7"/>
  <c r="F40" i="14"/>
  <c r="H54" i="7"/>
  <c r="F42" i="14"/>
  <c r="H56" i="7"/>
  <c r="F44" i="14"/>
  <c r="H58" i="7"/>
  <c r="H60" i="7"/>
  <c r="H3" i="7"/>
  <c r="H7" i="7"/>
  <c r="H2" i="7"/>
  <c r="H4" i="7"/>
  <c r="H5" i="7"/>
  <c r="H6" i="7"/>
  <c r="L17" i="14"/>
  <c r="I31" i="7"/>
  <c r="L29" i="14"/>
  <c r="I43" i="7"/>
  <c r="H20" i="14"/>
  <c r="H30" i="14"/>
  <c r="L19" i="14"/>
  <c r="F50" i="14"/>
  <c r="I43" i="14"/>
  <c r="I39" i="14"/>
  <c r="I53" i="7" s="1"/>
  <c r="I20" i="14"/>
  <c r="I34" i="7" s="1"/>
  <c r="I41" i="14"/>
  <c r="I2" i="14"/>
  <c r="I28" i="14"/>
  <c r="I42" i="7" s="1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 s="1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27" i="14"/>
  <c r="F5" i="14"/>
  <c r="L11" i="14"/>
  <c r="F2" i="14"/>
  <c r="F6" i="14"/>
  <c r="L4" i="14"/>
  <c r="L47" i="14"/>
  <c r="L49" i="14"/>
  <c r="L27" i="14"/>
  <c r="L32" i="14"/>
  <c r="L31" i="14"/>
  <c r="F11" i="14"/>
  <c r="I44" i="14"/>
  <c r="I58" i="7" s="1"/>
  <c r="I37" i="14"/>
  <c r="I51" i="7" s="1"/>
  <c r="I42" i="14"/>
  <c r="I56" i="7" s="1"/>
  <c r="I49" i="7"/>
  <c r="I34" i="14"/>
  <c r="I48" i="7" s="1"/>
  <c r="L13" i="14"/>
  <c r="I46" i="14"/>
  <c r="I60" i="7" s="1"/>
  <c r="I40" i="14"/>
  <c r="I54" i="7" s="1"/>
  <c r="I33" i="14"/>
  <c r="I47" i="7" s="1"/>
  <c r="I6" i="14"/>
  <c r="I3" i="14"/>
  <c r="I22" i="14"/>
  <c r="I36" i="7" s="1"/>
  <c r="I21" i="14"/>
  <c r="I35" i="7" s="1"/>
  <c r="I22" i="7" l="1"/>
  <c r="L18" i="14"/>
  <c r="I32" i="7"/>
  <c r="L41" i="14"/>
  <c r="I55" i="7"/>
  <c r="I19" i="7"/>
  <c r="I66" i="7"/>
  <c r="I21" i="7"/>
  <c r="I14" i="7"/>
  <c r="I13" i="7"/>
  <c r="I18" i="7"/>
  <c r="I65" i="7"/>
  <c r="I20" i="7"/>
  <c r="L36" i="14"/>
  <c r="I50" i="7"/>
  <c r="I26" i="7"/>
  <c r="L38" i="14"/>
  <c r="I52" i="7"/>
  <c r="I5" i="7"/>
  <c r="I6" i="7"/>
  <c r="I3" i="7"/>
  <c r="I7" i="7"/>
  <c r="I4" i="7"/>
  <c r="I2" i="7"/>
  <c r="L43" i="14"/>
  <c r="I57" i="7"/>
  <c r="L14" i="14"/>
  <c r="I25" i="7"/>
  <c r="I24" i="7"/>
  <c r="I28" i="7"/>
  <c r="I23" i="7"/>
  <c r="L23" i="14"/>
  <c r="L28" i="14"/>
  <c r="L20" i="14"/>
  <c r="L39" i="14"/>
  <c r="L8" i="14"/>
  <c r="L2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<sst xmlns="http://schemas.openxmlformats.org/spreadsheetml/2006/main" count="478" uniqueCount="377">
  <si>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</si>
  <si>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</si>
  <si>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</si>
  <si>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</si>
  <si>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</si>
  <si>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</si>
  <si>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</si>
  <si>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</si>
  <si>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</si>
  <si>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</si>
  <si>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</si>
  <si>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</si>
  <si>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</si>
  <si>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</si>
  <si>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</si>
  <si>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</si>
  <si>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</si>
  <si>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</si>
  <si>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</si>
  <si>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</si>
  <si>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</si>
  <si>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</si>
  <si>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</si>
  <si>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</si>
  <si>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</si>
  <si>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</si>
  <si>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</si>
  <si>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</si>
  <si>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</si>
  <si>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</si>
  <si>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</si>
  <si>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</si>
  <si>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</si>
  <si>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</si>
  <si>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</si>
  <si>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</si>
  <si>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</si>
  <si>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</si>
  <si>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</si>
  <si>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</si>
  <si>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</si>
  <si>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</si>
  <si>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</si>
  <si>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</si>
  <si>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</si>
  <si>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</si>
  <si>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</si>
  <si>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</si>
  <si>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</si>
  <si>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</si>
  <si>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</si>
  <si>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</si>
  <si>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</si>
  <si>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</si>
  <si>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</si>
  <si>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</si>
  <si>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</si>
  <si>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</si>
  <si>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</si>
  <si>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</si>
  <si>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</si>
  <si>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</si>
  <si>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</si>
  <si>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</si>
  <si>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</si>
  <si>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</si>
  <si>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</si>
  <si>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</si>
  <si>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</si>
  <si>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</si>
  <si>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</si>
  <si>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</si>
  <si>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</si>
  <si>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</si>
  <si>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</si>
  <si>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</si>
  <si>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</si>
  <si>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</si>
  <si>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</si>
  <si>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</si>
  <si>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</si>
  <si>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</si>
  <si>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</si>
  <si>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</si>
  <si>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</si>
  <si>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</si>
  <si>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</si>
  <si>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</si>
  <si>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</si>
  <si>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</si>
  <si>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</si>
  <si>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</si>
  <si>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</si>
  <si>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</si>
  <si>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</si>
  <si>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</si>
  <si>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</si>
  <si>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</si>
  <si>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</si>
  <si>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</si>
  <si>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</si>
  <si>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</si>
  <si>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</si>
  <si>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</si>
  <si>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</si>
  <si>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</si>
  <si>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</si>
  <si>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</si>
  <si>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</si>
  <si>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</si>
  <si>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</si>
  <si>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</si>
  <si>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</si>
  <si>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</si>
  <si>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</si>
  <si>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</si>
  <si>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</si>
  <si>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</si>
  <si>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</si>
  <si>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</si>
  <si>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</si>
  <si>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</si>
  <si>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</si>
  <si>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</si>
  <si>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</si>
  <si>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</si>
  <si>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</si>
  <si>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</si>
  <si>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</si>
  <si>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</si>
  <si>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</si>
  <si>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</si>
  <si>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</si>
  <si>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</si>
  <si>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</si>
  <si>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</si>
  <si>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</si>
  <si>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</si>
  <si>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</si>
  <si>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</si>
  <si>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</si>
  <si>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</si>
  <si>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</si>
  <si>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</si>
  <si>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</si>
  <si>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</si>
  <si>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</si>
  <si>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</si>
  <si>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</si>
  <si>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</si>
  <si>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</si>
  <si>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</si>
  <si>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</si>
  <si>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</si>
  <si>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</si>
  <si>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</si>
  <si>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</si>
  <si>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</si>
  <si>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</si>
  <si>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</si>
  <si>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</si>
  <si>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</si>
  <si>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</si>
  <si>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</si>
  <si>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</si>
  <si>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</si>
  <si>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</si>
  <si>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</si>
  <si>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</si>
  <si>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</si>
  <si>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</si>
  <si>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</si>
  <si>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</si>
  <si>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</si>
  <si>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</si>
  <si>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</si>
  <si>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</si>
  <si>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</si>
  <si>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</si>
  <si>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</si>
  <si>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</si>
  <si>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</si>
  <si>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</si>
  <si>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</si>
  <si>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</si>
  <si>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</si>
  <si>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</si>
  <si>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</si>
  <si>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</si>
  <si>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</si>
  <si>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</si>
  <si>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</si>
  <si>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</si>
  <si>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</si>
  <si>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1,0,10,1,20,2,20,</t>
    <phoneticPr fontId="1" type="noConversion"/>
  </si>
  <si>
    <t>1,1,20,2,20,3,10,4,10</t>
    <phoneticPr fontId="1" type="noConversion"/>
  </si>
  <si>
    <t>1,1,20,2,20,3,10,4,10,5,5</t>
    <phoneticPr fontId="1" type="noConversion"/>
  </si>
  <si>
    <t>初级彩贝</t>
    <phoneticPr fontId="1" type="noConversion"/>
  </si>
  <si>
    <t>中级彩贝</t>
    <phoneticPr fontId="1" type="noConversion"/>
  </si>
  <si>
    <t>高级彩贝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</si>
  <si>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</si>
  <si>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</si>
  <si>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</si>
  <si>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</si>
  <si>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</si>
  <si>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时限免费超级活力子弹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</si>
  <si>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</si>
  <si>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</si>
  <si>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</si>
  <si>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</si>
  <si>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</si>
  <si>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</si>
  <si>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</si>
  <si>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</si>
  <si>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</si>
  <si>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</si>
  <si>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幸运转盘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</si>
  <si>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</si>
  <si>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</si>
  <si>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</si>
  <si>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</si>
  <si>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10,2,</t>
    <phoneticPr fontId="1" type="noConversion"/>
  </si>
  <si>
    <t>append_image_id|附加的鱼途id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</si>
  <si>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</si>
  <si>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</si>
  <si>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</si>
  <si>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</si>
  <si>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</si>
  <si>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</si>
  <si>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</si>
  <si>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</si>
  <si>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</si>
  <si>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</si>
  <si>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</si>
  <si>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</si>
  <si>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</si>
  <si>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</si>
  <si>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</si>
  <si>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</si>
  <si>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</si>
  <si>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</si>
  <si>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</si>
  <si>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</si>
  <si>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</si>
  <si>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</si>
  <si>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</si>
  <si>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</si>
  <si>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</si>
  <si>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</si>
  <si>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</si>
  <si>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</si>
  <si>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</si>
  <si>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</si>
  <si>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</si>
  <si>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</si>
  <si>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</si>
  <si>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</si>
  <si>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</si>
  <si>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0.02,0.02,0.02,0.02,0.01</t>
    <phoneticPr fontId="1" type="noConversion"/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</si>
  <si>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</si>
  <si>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</si>
  <si>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</si>
  <si>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</si>
  <si>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</si>
  <si>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</si>
  <si>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3,9,16,22</t>
    <phoneticPr fontId="1" type="noConversion"/>
  </si>
  <si>
    <t>fish_3d_yutu_gd_boss</t>
    <phoneticPr fontId="1" type="noConversion"/>
  </si>
  <si>
    <t>fish_3d_yutu_random_2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</si>
  <si>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</si>
  <si>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</si>
  <si>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</si>
  <si>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</si>
  <si>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</si>
  <si>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</si>
  <si>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</si>
  <si>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</si>
  <si>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</si>
  <si>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</si>
  <si>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</si>
  <si>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</si>
  <si>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</si>
  <si>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</si>
  <si>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</si>
  <si>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</si>
  <si>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</si>
  <si>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</si>
  <si>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</si>
  <si>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</si>
  <si>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</si>
  <si>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</si>
  <si>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</si>
  <si>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</si>
  <si>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</si>
  <si>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</si>
  <si>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</si>
  <si>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</si>
  <si>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</si>
  <si>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</si>
  <si>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</si>
  <si>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</si>
  <si>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</si>
  <si>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</si>
  <si>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</si>
  <si>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</si>
  <si>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</si>
  <si>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</si>
  <si>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</si>
  <si>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</si>
  <si>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50,50,50,50,100,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</si>
  <si>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</si>
  <si>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</si>
  <si>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</si>
  <si>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</si>
  <si>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</si>
  <si>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fish_3d_yutu_random_boss</t>
    <phoneticPr fontId="1" type="noConversion"/>
  </si>
  <si>
    <t>深海狂鲨</t>
    <phoneticPr fontId="1" type="noConversion"/>
  </si>
  <si>
    <t>深海鲸</t>
    <phoneticPr fontId="1" type="noConversion"/>
  </si>
  <si>
    <t>吞噬天下</t>
    <phoneticPr fontId="1" type="noConversion"/>
  </si>
  <si>
    <t>200,</t>
    <phoneticPr fontId="1" type="noConversion"/>
  </si>
  <si>
    <t>append_life_rate|随机的倍率和奖励</t>
    <phoneticPr fontId="1" type="noConversion"/>
  </si>
  <si>
    <t>fish_3d_yutu_gd_1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</si>
  <si>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</si>
  <si>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</si>
  <si>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</si>
  <si>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贝壳鱼</t>
    <phoneticPr fontId="1" type="noConversion"/>
  </si>
  <si>
    <t>贝壳鱼</t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</si>
  <si>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</si>
  <si>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</si>
  <si>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</si>
  <si>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</si>
  <si>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1,500,</t>
    <phoneticPr fontId="1" type="noConversion"/>
  </si>
  <si>
    <t>50,50,50,50,100,</t>
    <phoneticPr fontId="1" type="noConversion"/>
  </si>
  <si>
    <t>0.02,0.02,0.02,0.02,0.01</t>
    <phoneticPr fontId="1" type="noConversion"/>
  </si>
  <si>
    <t>50,50,50,50,100,</t>
    <phoneticPr fontId="1" type="noConversion"/>
  </si>
  <si>
    <t>50,50,50,50,100,</t>
    <phoneticPr fontId="1" type="noConversion"/>
  </si>
  <si>
    <t>0,300</t>
    <phoneticPr fontId="1" type="noConversion"/>
  </si>
  <si>
    <t>0,400</t>
    <phoneticPr fontId="1" type="noConversion"/>
  </si>
  <si>
    <t>120,180</t>
    <phoneticPr fontId="1" type="noConversion"/>
  </si>
  <si>
    <t>强击弹（超级火力）</t>
    <phoneticPr fontId="1" type="noConversion"/>
  </si>
  <si>
    <t>强击弹（双倍）</t>
    <phoneticPr fontId="1" type="noConversion"/>
  </si>
  <si>
    <t>7,7,7,7,7,7,</t>
    <phoneticPr fontId="1" type="noConversion"/>
  </si>
  <si>
    <t>6,6,6,6,6,6,</t>
    <phoneticPr fontId="1" type="noConversion"/>
  </si>
  <si>
    <t>77,39,12,35,16,15,</t>
    <phoneticPr fontId="1" type="noConversion"/>
  </si>
  <si>
    <t>26,24,7,6,28,4,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</si>
  <si>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</si>
  <si>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</si>
  <si>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</si>
  <si>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77,39,12,35,16,15,29,5,</t>
  </si>
  <si>
    <t>11,11,11,11,11,11,</t>
    <phoneticPr fontId="1" type="noConversion"/>
  </si>
  <si>
    <t>77,4,11,19,5,34,26,76,</t>
  </si>
  <si>
    <t>50,50,50,50,100,</t>
    <phoneticPr fontId="1" type="noConversion"/>
  </si>
  <si>
    <t>200,400</t>
    <phoneticPr fontId="1" type="noConversion"/>
  </si>
  <si>
    <t>4,20,30,50,100,</t>
    <phoneticPr fontId="1" type="noConversion"/>
  </si>
  <si>
    <t>幸运转盘</t>
    <phoneticPr fontId="1" type="noConversion"/>
  </si>
  <si>
    <t>200,</t>
    <phoneticPr fontId="1" type="noConversion"/>
  </si>
  <si>
    <t>300,</t>
    <phoneticPr fontId="1" type="noConversion"/>
  </si>
  <si>
    <t>疯狂6选一</t>
    <phoneticPr fontId="1" type="noConversion"/>
  </si>
  <si>
    <t>骰子龟</t>
    <phoneticPr fontId="1" type="noConversion"/>
  </si>
  <si>
    <t>250,2,</t>
    <phoneticPr fontId="1" type="noConversion"/>
  </si>
  <si>
    <t>300,</t>
    <phoneticPr fontId="1" type="noConversion"/>
  </si>
  <si>
    <t>吞噬天下</t>
    <phoneticPr fontId="1" type="noConversion"/>
  </si>
  <si>
    <t>强击弹</t>
    <phoneticPr fontId="1" type="noConversion"/>
  </si>
  <si>
    <t>250,2,</t>
    <phoneticPr fontId="1" type="noConversion"/>
  </si>
  <si>
    <t>强击弹（双倍）</t>
    <phoneticPr fontId="1" type="noConversion"/>
  </si>
  <si>
    <t>0,100</t>
    <phoneticPr fontId="1" type="noConversion"/>
  </si>
  <si>
    <t>0,20</t>
    <phoneticPr fontId="1" type="noConversion"/>
  </si>
  <si>
    <t>0,20</t>
    <phoneticPr fontId="1" type="noConversion"/>
  </si>
  <si>
    <t>0,40</t>
    <phoneticPr fontId="1" type="noConversion"/>
  </si>
  <si>
    <t>0,60</t>
    <phoneticPr fontId="1" type="noConversion"/>
  </si>
  <si>
    <t>0,20</t>
    <phoneticPr fontId="1" type="noConversion"/>
  </si>
  <si>
    <t>0,40</t>
    <phoneticPr fontId="1" type="noConversion"/>
  </si>
  <si>
    <t>0,200</t>
    <phoneticPr fontId="1" type="noConversion"/>
  </si>
  <si>
    <t>0,100</t>
    <phoneticPr fontId="1" type="noConversion"/>
  </si>
  <si>
    <t>0,300</t>
    <phoneticPr fontId="1" type="noConversion"/>
  </si>
  <si>
    <t>0,200</t>
    <phoneticPr fontId="1" type="noConversion"/>
  </si>
  <si>
    <t>0,200</t>
    <phoneticPr fontId="1" type="noConversion"/>
  </si>
  <si>
    <t>0,200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</si>
</sst>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8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LBY\HuanLe_doc\config_debug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tabSelected="1" workbookViewId="0">
      <selection activeCell="C6" sqref="C6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0.03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0.03</v>
      </c>
      <c r="C11">
        <v>0.16</v>
      </c>
      <c r="D11" s="6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C25" sqref="C25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227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1"/>
  <sheetViews>
    <sheetView workbookViewId="0">
      <selection activeCell="F2" sqref="F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209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211</v>
      </c>
      <c r="M1" s="8" t="s">
        <v>222</v>
      </c>
    </row>
    <row r="2" spans="1:13" x14ac:dyDescent="0.2">
      <c r="A2" s="2">
        <v>1</v>
      </c>
      <c r="B2" s="2" t="s">
        <v>267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212</v>
      </c>
      <c r="C3" s="2">
        <v>1</v>
      </c>
      <c r="D3" t="s">
        <v>210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212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212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212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212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212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320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266</v>
      </c>
      <c r="C10" s="2">
        <v>1</v>
      </c>
      <c r="D10" t="s">
        <v>227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314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47" activePane="bottomLeft" state="frozen"/>
      <selection pane="bottomLeft" activeCell="C65" sqref="C65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268</v>
      </c>
      <c r="B1" s="1" t="s">
        <v>269</v>
      </c>
      <c r="C1" s="1" t="s">
        <v>270</v>
      </c>
      <c r="D1" s="1" t="s">
        <v>271</v>
      </c>
      <c r="E1" s="1" t="s">
        <v>272</v>
      </c>
      <c r="F1" s="1" t="s">
        <v>273</v>
      </c>
      <c r="G1" s="1" t="s">
        <v>274</v>
      </c>
      <c r="H1" s="1" t="s">
        <v>97</v>
      </c>
      <c r="I1" s="1" t="s">
        <v>275</v>
      </c>
      <c r="J1" s="9" t="s">
        <v>105</v>
      </c>
      <c r="K1" s="1" t="s">
        <v>276</v>
      </c>
      <c r="L1" s="1" t="s">
        <v>50</v>
      </c>
      <c r="Q1" s="1" t="s">
        <v>277</v>
      </c>
      <c r="R1" s="1" t="s">
        <v>277</v>
      </c>
      <c r="S1" s="1" t="s">
        <v>277</v>
      </c>
      <c r="T1" s="1" t="s">
        <v>277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278</v>
      </c>
      <c r="D2" s="29" t="s">
        <v>161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161</v>
      </c>
      <c r="D3" s="29" t="s">
        <v>161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260</v>
      </c>
      <c r="D4" s="29" t="s">
        <v>161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219</v>
      </c>
      <c r="D5" s="29" t="s">
        <v>161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220</v>
      </c>
      <c r="D6" s="29" t="s">
        <v>161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341</v>
      </c>
      <c r="G7" s="45" t="s">
        <v>342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340</v>
      </c>
      <c r="G8" s="45" t="s">
        <v>343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162</v>
      </c>
      <c r="D9" s="29" t="s">
        <v>161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279</v>
      </c>
      <c r="D10" s="29" t="s">
        <v>280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281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261</v>
      </c>
      <c r="D12" s="29" t="s">
        <v>161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170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282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283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284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285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170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286</v>
      </c>
      <c r="G19" s="41" t="s">
        <v>287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288</v>
      </c>
      <c r="G20" s="41" t="s">
        <v>171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289</v>
      </c>
      <c r="G21" s="41" t="s">
        <v>290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291</v>
      </c>
      <c r="G22" s="41" t="s">
        <v>214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292</v>
      </c>
      <c r="G23" s="21" t="s">
        <v>265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138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293</v>
      </c>
      <c r="G24" s="21" t="s">
        <v>172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118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294</v>
      </c>
      <c r="G25" s="21" t="s">
        <v>173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185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295</v>
      </c>
      <c r="G26" s="21" t="s">
        <v>296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225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297</v>
      </c>
      <c r="G27" s="41" t="s">
        <v>298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299</v>
      </c>
      <c r="G28" s="41" t="s">
        <v>300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301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302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303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163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164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304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165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60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166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305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60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167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60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306</v>
      </c>
      <c r="H39" s="19" t="s">
        <v>308</v>
      </c>
      <c r="I39" s="19" t="s">
        <v>258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307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80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168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100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309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100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310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311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312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175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174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300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300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176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177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50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178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179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180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181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182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183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184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185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186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187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188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313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46</v>
      </c>
    </row>
    <row r="62" spans="1:17" s="35" customFormat="1" x14ac:dyDescent="0.2">
      <c r="A62" s="35">
        <v>61</v>
      </c>
      <c r="B62" s="35">
        <v>1</v>
      </c>
      <c r="C62" s="35" t="s">
        <v>189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47</v>
      </c>
    </row>
    <row r="63" spans="1:17" s="35" customFormat="1" x14ac:dyDescent="0.2">
      <c r="A63" s="35">
        <v>62</v>
      </c>
      <c r="B63" s="35">
        <v>1</v>
      </c>
      <c r="C63" s="35" t="s">
        <v>190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48</v>
      </c>
    </row>
    <row r="64" spans="1:17" s="35" customFormat="1" x14ac:dyDescent="0.2">
      <c r="A64" s="35">
        <v>63</v>
      </c>
      <c r="B64" s="35">
        <v>1</v>
      </c>
      <c r="C64" s="35" t="s">
        <v>191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49</v>
      </c>
    </row>
    <row r="65" spans="1:17" s="29" customFormat="1" x14ac:dyDescent="0.2">
      <c r="A65" s="29">
        <v>64</v>
      </c>
      <c r="B65" s="29">
        <v>2</v>
      </c>
      <c r="C65" s="29" t="s">
        <v>344</v>
      </c>
      <c r="G65" s="45" t="s">
        <v>345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10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10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9</v>
      </c>
    </row>
    <row r="66" spans="1:17" s="29" customFormat="1" x14ac:dyDescent="0.2">
      <c r="A66" s="29">
        <v>65</v>
      </c>
      <c r="B66" s="29">
        <v>2</v>
      </c>
      <c r="C66" s="29" t="s">
        <v>346</v>
      </c>
      <c r="G66" s="45" t="s">
        <v>347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12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12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10</v>
      </c>
    </row>
    <row r="67" spans="1:17" s="29" customFormat="1" x14ac:dyDescent="0.2">
      <c r="A67" s="29">
        <v>66</v>
      </c>
      <c r="B67" s="29">
        <v>2</v>
      </c>
      <c r="C67" s="29" t="s">
        <v>348</v>
      </c>
      <c r="G67" s="46" t="s">
        <v>349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15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15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11</v>
      </c>
    </row>
  </sheetData>
  <autoFilter ref="I1:I46"/>
  <dataConsolidate/>
  <phoneticPr fontId="1" type="noConversion"/>
  <conditionalFormatting sqref="J12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0:I64">
    <cfRule type="iconSet" priority="1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7:H38 H40:H64 H2:H25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[fish_3d_data_config_1.xlsm]activity!#REF!</xm:f>
          </x14:formula1>
          <xm:sqref>L14</xm:sqref>
        </x14:dataValidation>
        <x14:dataValidation type="list" allowBlank="1" showInputMessage="1" showErrorMessage="1">
          <x14:formula1>
            <xm:f>[fish_3d_data_config_1.xlsm]base_fish!#REF!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zoomScaleNormal="100" workbookViewId="0">
      <pane ySplit="1" topLeftCell="A20" activePane="bottomLeft" state="frozen"/>
      <selection pane="bottomLeft" activeCell="D21" sqref="D21:D51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30.5" bestFit="1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213</v>
      </c>
      <c r="C1" s="1" t="s">
        <v>11</v>
      </c>
      <c r="D1" s="1" t="s">
        <v>319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200</v>
      </c>
      <c r="O1" s="8" t="s">
        <v>211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1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1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1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1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1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1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1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1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1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1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1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1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1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1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1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1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2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3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366</v>
      </c>
      <c r="E21" s="19">
        <f>LOOKUP(use_fish!B21,base_fish!A:A,base_fish!C:C)+_xlfn.IFNA(INDEX(activity!F:F,MATCH(use_fish!C21,activity!A:A,0)),0)</f>
        <v>60</v>
      </c>
      <c r="F21" s="19">
        <f t="shared" si="2"/>
        <v>1.6666666666666666E-2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60</v>
      </c>
      <c r="J21" s="21">
        <v>1</v>
      </c>
      <c r="K21" s="21">
        <f>LOOKUP(use_fish!B21,base_fish!A:A,base_fish!G:G)</f>
        <v>0</v>
      </c>
      <c r="L21" s="21">
        <f t="shared" si="3"/>
        <v>60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/>
      <c r="E22" s="19">
        <f>LOOKUP(use_fish!B22,base_fish!A:A,base_fish!C:C)+_xlfn.IFNA(INDEX(activity!F:F,MATCH(use_fish!C22,activity!A:A,0)),0)</f>
        <v>80</v>
      </c>
      <c r="F22" s="19">
        <f t="shared" si="2"/>
        <v>1.2500000000000001E-2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3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367</v>
      </c>
      <c r="E23" s="19">
        <f>LOOKUP(use_fish!B23,base_fish!A:A,base_fish!C:C)+_xlfn.IFNA(INDEX(activity!F:F,MATCH(use_fish!C23,activity!A:A,0)),0)</f>
        <v>60</v>
      </c>
      <c r="F23" s="19">
        <f t="shared" si="2"/>
        <v>1.6666666666666666E-2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60</v>
      </c>
      <c r="J23" s="21">
        <v>1</v>
      </c>
      <c r="K23" s="21">
        <f>LOOKUP(use_fish!B23,base_fish!A:A,base_fish!G:G)</f>
        <v>0</v>
      </c>
      <c r="L23" s="21">
        <f t="shared" si="3"/>
        <v>60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368</v>
      </c>
      <c r="E24" s="19">
        <f>LOOKUP(use_fish!B24,base_fish!A:A,base_fish!C:C)+_xlfn.IFNA(INDEX(activity!F:F,MATCH(use_fish!C24,activity!A:A,0)),0)</f>
        <v>60</v>
      </c>
      <c r="F24" s="19">
        <f t="shared" si="2"/>
        <v>1.6666666666666666E-2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60</v>
      </c>
      <c r="J24" s="21">
        <v>1</v>
      </c>
      <c r="K24" s="21">
        <f>LOOKUP(use_fish!B24,base_fish!A:A,base_fish!G:G)</f>
        <v>0</v>
      </c>
      <c r="L24" s="21">
        <f t="shared" si="3"/>
        <v>60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333</v>
      </c>
      <c r="F25" s="19" t="s">
        <v>258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334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365</v>
      </c>
      <c r="E26" s="19">
        <f>LOOKUP(use_fish!B26,base_fish!A:A,base_fish!C:C)+_xlfn.IFNA(INDEX(activity!F:F,MATCH(use_fish!C26,activity!A:A,0)),0)</f>
        <v>80</v>
      </c>
      <c r="F26" s="19">
        <f t="shared" si="2"/>
        <v>1.2500000000000001E-2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80</v>
      </c>
      <c r="J26" s="21">
        <v>1</v>
      </c>
      <c r="K26" s="21">
        <f>LOOKUP(use_fish!B26,base_fish!A:A,base_fish!G:G)</f>
        <v>0</v>
      </c>
      <c r="L26" s="21">
        <f t="shared" si="3"/>
        <v>80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369</v>
      </c>
      <c r="E27" s="19">
        <f>LOOKUP(use_fish!B27,base_fish!A:A,base_fish!C:C)+_xlfn.IFNA(INDEX(activity!F:F,MATCH(use_fish!C27,activity!A:A,0)),0)</f>
        <v>100</v>
      </c>
      <c r="F27" s="19">
        <f t="shared" si="2"/>
        <v>0.01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100</v>
      </c>
      <c r="J27" s="21">
        <v>1</v>
      </c>
      <c r="K27" s="21">
        <f>LOOKUP(use_fish!B27,base_fish!A:A,base_fish!G:G)</f>
        <v>0</v>
      </c>
      <c r="L27" s="21">
        <f t="shared" si="3"/>
        <v>100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370</v>
      </c>
      <c r="E28" s="19">
        <f>LOOKUP(use_fish!B28,base_fish!A:A,base_fish!C:C)+_xlfn.IFNA(INDEX(activity!F:F,MATCH(use_fish!C28,activity!A:A,0)),0)</f>
        <v>100</v>
      </c>
      <c r="F28" s="19">
        <f t="shared" si="2"/>
        <v>0.01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100</v>
      </c>
      <c r="J28" s="21">
        <v>1</v>
      </c>
      <c r="K28" s="21">
        <f>LOOKUP(use_fish!B28,base_fish!A:A,base_fish!G:G)</f>
        <v>0</v>
      </c>
      <c r="L28" s="21">
        <f t="shared" si="3"/>
        <v>100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4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5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4"/>
        <v>3.3333333333333335E-3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5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4"/>
        <v>5.0000000000000001E-3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5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4"/>
        <v>4.0000000000000001E-3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5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300</v>
      </c>
      <c r="F33" s="23">
        <f t="shared" ref="F33:F39" si="6">1/E33</f>
        <v>3.3333333333333335E-3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300</v>
      </c>
      <c r="J33" s="25">
        <v>1</v>
      </c>
      <c r="K33" s="25">
        <f>LOOKUP(use_fish!B33,base_fish!A:A,base_fish!G:G)</f>
        <v>0</v>
      </c>
      <c r="L33" s="25">
        <f t="shared" ref="L33:L39" si="7">I33</f>
        <v>300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6"/>
        <v>3.3333333333333335E-3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7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200</v>
      </c>
      <c r="F35" s="23">
        <f t="shared" si="6"/>
        <v>5.0000000000000001E-3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50</v>
      </c>
      <c r="J35" s="25">
        <v>1</v>
      </c>
      <c r="K35" s="25">
        <f>LOOKUP(use_fish!B35,base_fish!A:A,base_fish!G:G)</f>
        <v>0</v>
      </c>
      <c r="L35" s="25">
        <f t="shared" si="7"/>
        <v>50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300</v>
      </c>
      <c r="F36" s="23">
        <f t="shared" si="6"/>
        <v>3.3333333333333335E-3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300</v>
      </c>
      <c r="J36" s="25">
        <v>1</v>
      </c>
      <c r="K36" s="25">
        <f>LOOKUP(use_fish!B36,base_fish!A:A,base_fish!G:G)</f>
        <v>0</v>
      </c>
      <c r="L36" s="25">
        <f t="shared" si="7"/>
        <v>300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300</v>
      </c>
      <c r="F37" s="23">
        <f t="shared" si="6"/>
        <v>3.3333333333333335E-3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300</v>
      </c>
      <c r="J37" s="25">
        <v>1</v>
      </c>
      <c r="K37" s="25">
        <f>LOOKUP(use_fish!B37,base_fish!A:A,base_fish!G:G)</f>
        <v>0</v>
      </c>
      <c r="L37" s="25">
        <f t="shared" si="7"/>
        <v>300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/>
      <c r="E38" s="23">
        <f>LOOKUP(use_fish!B38,base_fish!A:A,base_fish!C:C)+_xlfn.IFNA(INDEX(activity!F:F,MATCH(use_fish!C38,activity!A:A,0)),0)</f>
        <v>0</v>
      </c>
      <c r="F38" s="23">
        <v>0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0</v>
      </c>
      <c r="J38" s="25">
        <v>1</v>
      </c>
      <c r="K38" s="25">
        <f>LOOKUP(use_fish!B38,base_fish!A:A,base_fish!G:G)</f>
        <v>0</v>
      </c>
      <c r="L38" s="25">
        <f t="shared" si="7"/>
        <v>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371</v>
      </c>
      <c r="E39" s="32">
        <f>LOOKUP(use_fish!B39,base_fish!A:A,base_fish!C:C)+_xlfn.IFNA(INDEX(activity!F:F,MATCH(use_fish!C39,activity!A:A,0)),0)</f>
        <v>100</v>
      </c>
      <c r="F39" s="32">
        <f t="shared" si="6"/>
        <v>0.01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100</v>
      </c>
      <c r="J39" s="31">
        <v>2</v>
      </c>
      <c r="K39" s="31">
        <f>LOOKUP(use_fish!B39,base_fish!A:A,base_fish!G:G)</f>
        <v>0</v>
      </c>
      <c r="L39" s="31">
        <f t="shared" si="7"/>
        <v>100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364</v>
      </c>
      <c r="E40" s="32">
        <f>LOOKUP(use_fish!B40,base_fish!A:A,base_fish!C:C)+_xlfn.IFNA(INDEX(activity!F:F,MATCH(use_fish!C40,activity!A:A,0)),0)</f>
        <v>100</v>
      </c>
      <c r="F40" s="32">
        <f t="shared" ref="F40:F44" si="8">1/E40</f>
        <v>0.01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9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335</v>
      </c>
      <c r="E41" s="32">
        <f>LOOKUP(use_fish!B41,base_fish!A:A,base_fish!C:C)+_xlfn.IFNA(INDEX(activity!F:F,MATCH(use_fish!C41,activity!A:A,0)),0)</f>
        <v>300</v>
      </c>
      <c r="F41" s="32">
        <f t="shared" si="8"/>
        <v>3.3333333333333335E-3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300</v>
      </c>
      <c r="J41" s="31">
        <v>1</v>
      </c>
      <c r="K41" s="31">
        <f>LOOKUP(use_fish!B41,base_fish!A:A,base_fish!G:G)</f>
        <v>0</v>
      </c>
      <c r="L41" s="31">
        <f t="shared" si="9"/>
        <v>300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372</v>
      </c>
      <c r="E42" s="32">
        <f>LOOKUP(use_fish!B42,base_fish!A:A,base_fish!C:C)+_xlfn.IFNA(INDEX(activity!F:F,MATCH(use_fish!C42,activity!A:A,0)),0)</f>
        <v>200</v>
      </c>
      <c r="F42" s="32">
        <f t="shared" si="8"/>
        <v>5.0000000000000001E-3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200</v>
      </c>
      <c r="J42" s="31">
        <v>1</v>
      </c>
      <c r="K42" s="31">
        <f>LOOKUP(use_fish!B42,base_fish!A:A,base_fish!G:G)</f>
        <v>0</v>
      </c>
      <c r="L42" s="31">
        <f t="shared" si="9"/>
        <v>200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0</v>
      </c>
      <c r="F43" s="32">
        <v>0</v>
      </c>
      <c r="G43" s="32" t="s">
        <v>17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0</v>
      </c>
      <c r="J43" s="31">
        <v>1</v>
      </c>
      <c r="K43" s="31">
        <f>LOOKUP(use_fish!B43,base_fish!A:A,base_fish!G:G)</f>
        <v>0</v>
      </c>
      <c r="L43" s="31">
        <f t="shared" si="9"/>
        <v>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373</v>
      </c>
      <c r="E44" s="32">
        <f>LOOKUP(use_fish!B44,base_fish!A:A,base_fish!C:C)+_xlfn.IFNA(INDEX(activity!F:F,MATCH(use_fish!C44,activity!A:A,0)),0)</f>
        <v>200</v>
      </c>
      <c r="F44" s="32">
        <f t="shared" si="8"/>
        <v>5.0000000000000001E-3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200</v>
      </c>
      <c r="J44" s="31">
        <v>1</v>
      </c>
      <c r="K44" s="31">
        <f>LOOKUP(use_fish!B44,base_fish!A:A,base_fish!G:G)</f>
        <v>0</v>
      </c>
      <c r="L44" s="31">
        <f t="shared" si="9"/>
        <v>200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0</v>
      </c>
      <c r="F45" s="32">
        <v>0</v>
      </c>
      <c r="G45" s="32" t="s">
        <v>17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0</v>
      </c>
      <c r="J45" s="31">
        <v>2</v>
      </c>
      <c r="K45" s="31">
        <f>LOOKUP(use_fish!B45,base_fish!A:A,base_fish!G:G)</f>
        <v>0</v>
      </c>
      <c r="L45" s="31">
        <f t="shared" si="9"/>
        <v>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0</v>
      </c>
      <c r="F46" s="32">
        <v>0</v>
      </c>
      <c r="G46" s="32" t="s">
        <v>17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0</v>
      </c>
      <c r="J46" s="31">
        <v>1</v>
      </c>
      <c r="K46" s="31">
        <f>LOOKUP(use_fish!B46,base_fish!A:A,base_fish!G:G)</f>
        <v>0</v>
      </c>
      <c r="L46" s="31">
        <f t="shared" ref="L46:L50" si="10">I46</f>
        <v>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374</v>
      </c>
      <c r="E47" s="36">
        <f>LOOKUP(use_fish!B47,base_fish!A:A,base_fish!C:C)+_xlfn.IFNA(INDEX(activity!F:F,MATCH(use_fish!C47,activity!A:A,0)),0)</f>
        <v>200</v>
      </c>
      <c r="F47" s="36">
        <f t="shared" ref="F47:F50" si="11">1/E47</f>
        <v>5.0000000000000001E-3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200</v>
      </c>
      <c r="J47" s="35">
        <v>1</v>
      </c>
      <c r="K47" s="35">
        <f>LOOKUP(use_fish!B47,base_fish!A:A,base_fish!G:G)</f>
        <v>0</v>
      </c>
      <c r="L47" s="35">
        <f t="shared" si="10"/>
        <v>200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375</v>
      </c>
      <c r="E48" s="36">
        <f>LOOKUP(use_fish!B48,base_fish!A:A,base_fish!C:C)+_xlfn.IFNA(INDEX(activity!F:F,MATCH(use_fish!C48,activity!A:A,0)),0)</f>
        <v>300</v>
      </c>
      <c r="F48" s="36">
        <f t="shared" si="11"/>
        <v>3.3333333333333335E-3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300</v>
      </c>
      <c r="J48" s="35">
        <v>1</v>
      </c>
      <c r="K48" s="35">
        <f>LOOKUP(use_fish!B48,base_fish!A:A,base_fish!G:G)</f>
        <v>0</v>
      </c>
      <c r="L48" s="35">
        <f t="shared" si="10"/>
        <v>300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376</v>
      </c>
      <c r="E49" s="36">
        <f>LOOKUP(use_fish!B49,base_fish!A:A,base_fish!C:C)+_xlfn.IFNA(INDEX(activity!F:F,MATCH(use_fish!C49,activity!A:A,0)),0)</f>
        <v>400</v>
      </c>
      <c r="F49" s="36">
        <f t="shared" si="11"/>
        <v>2.5000000000000001E-3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400</v>
      </c>
      <c r="J49" s="35">
        <v>1</v>
      </c>
      <c r="K49" s="35">
        <f>LOOKUP(use_fish!B49,base_fish!A:A,base_fish!G:G)</f>
        <v>0</v>
      </c>
      <c r="L49" s="35">
        <f t="shared" si="10"/>
        <v>400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336</v>
      </c>
      <c r="E50" s="36">
        <f>LOOKUP(use_fish!B50,base_fish!A:A,base_fish!C:C)+_xlfn.IFNA(INDEX(activity!F:F,MATCH(use_fish!C50,activity!A:A,0)),0)</f>
        <v>400</v>
      </c>
      <c r="F50" s="36">
        <f t="shared" si="11"/>
        <v>2.5000000000000001E-3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400</v>
      </c>
      <c r="J50" s="35">
        <v>1</v>
      </c>
      <c r="K50" s="35">
        <f>LOOKUP(use_fish!B50,base_fish!A:A,base_fish!G:G)</f>
        <v>0</v>
      </c>
      <c r="L50" s="35">
        <f t="shared" si="10"/>
        <v>400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325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0"/>
  <sheetViews>
    <sheetView topLeftCell="A4" workbookViewId="0">
      <selection activeCell="C31" sqref="C31:G40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21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169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262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263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323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192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193</v>
      </c>
    </row>
    <row r="18" spans="1:9" x14ac:dyDescent="0.2">
      <c r="A18">
        <v>17</v>
      </c>
      <c r="B18">
        <v>10</v>
      </c>
      <c r="C18" s="7" t="s">
        <v>321</v>
      </c>
      <c r="D18" s="4">
        <v>0</v>
      </c>
      <c r="E18" s="4">
        <v>0</v>
      </c>
      <c r="F18">
        <v>150</v>
      </c>
      <c r="G18" t="s">
        <v>322</v>
      </c>
      <c r="H18">
        <v>22</v>
      </c>
      <c r="I18" t="s">
        <v>201</v>
      </c>
    </row>
    <row r="19" spans="1:9" x14ac:dyDescent="0.2">
      <c r="A19">
        <v>18</v>
      </c>
      <c r="B19">
        <v>18</v>
      </c>
      <c r="C19" t="s">
        <v>146</v>
      </c>
      <c r="D19" s="4">
        <v>0</v>
      </c>
      <c r="E19" s="4">
        <v>0</v>
      </c>
      <c r="F19">
        <v>63</v>
      </c>
      <c r="G19" t="str">
        <f t="shared" si="0"/>
        <v>穿透钢弹</v>
      </c>
      <c r="H19">
        <v>23</v>
      </c>
      <c r="I19" t="s">
        <v>205</v>
      </c>
    </row>
    <row r="20" spans="1:9" x14ac:dyDescent="0.2">
      <c r="A20">
        <v>19</v>
      </c>
      <c r="B20">
        <v>17</v>
      </c>
      <c r="C20" s="11" t="s">
        <v>337</v>
      </c>
      <c r="D20" s="4">
        <v>0</v>
      </c>
      <c r="E20" s="4">
        <v>0</v>
      </c>
      <c r="F20">
        <v>300</v>
      </c>
      <c r="G20" t="str">
        <f t="shared" si="0"/>
        <v>钻头弹</v>
      </c>
      <c r="H20">
        <v>24</v>
      </c>
      <c r="I20" t="s">
        <v>206</v>
      </c>
    </row>
    <row r="21" spans="1:9" x14ac:dyDescent="0.2">
      <c r="A21">
        <v>20</v>
      </c>
      <c r="B21">
        <v>19</v>
      </c>
      <c r="C21" t="s">
        <v>49</v>
      </c>
      <c r="D21" s="4">
        <v>0</v>
      </c>
      <c r="E21" s="4">
        <v>1</v>
      </c>
      <c r="F21">
        <v>0</v>
      </c>
      <c r="G21" t="str">
        <f t="shared" si="0"/>
        <v>神灯</v>
      </c>
      <c r="H21">
        <v>25</v>
      </c>
      <c r="I21" t="s">
        <v>207</v>
      </c>
    </row>
    <row r="22" spans="1:9" x14ac:dyDescent="0.2">
      <c r="A22">
        <v>21</v>
      </c>
      <c r="B22">
        <v>20</v>
      </c>
      <c r="C22" s="11" t="s">
        <v>202</v>
      </c>
      <c r="D22" s="4">
        <v>0</v>
      </c>
      <c r="E22" s="4">
        <v>0</v>
      </c>
      <c r="F22">
        <v>50</v>
      </c>
      <c r="G22" t="s">
        <v>223</v>
      </c>
      <c r="H22">
        <v>26</v>
      </c>
      <c r="I22" t="s">
        <v>217</v>
      </c>
    </row>
    <row r="23" spans="1:9" x14ac:dyDescent="0.2">
      <c r="A23">
        <v>22</v>
      </c>
      <c r="B23">
        <v>20</v>
      </c>
      <c r="C23" s="11" t="s">
        <v>147</v>
      </c>
      <c r="D23" s="4">
        <v>0</v>
      </c>
      <c r="E23" s="4">
        <v>0</v>
      </c>
      <c r="F23">
        <v>150</v>
      </c>
      <c r="G23" t="s">
        <v>224</v>
      </c>
      <c r="H23">
        <v>27</v>
      </c>
      <c r="I23" t="s">
        <v>218</v>
      </c>
    </row>
    <row r="24" spans="1:9" x14ac:dyDescent="0.2">
      <c r="A24">
        <v>23</v>
      </c>
      <c r="B24">
        <v>20</v>
      </c>
      <c r="C24" s="11" t="s">
        <v>148</v>
      </c>
      <c r="D24" s="4">
        <v>0</v>
      </c>
      <c r="E24" s="4">
        <v>0</v>
      </c>
      <c r="F24">
        <v>250</v>
      </c>
      <c r="G24" t="s">
        <v>225</v>
      </c>
      <c r="H24">
        <v>28</v>
      </c>
      <c r="I24" t="s">
        <v>216</v>
      </c>
    </row>
    <row r="25" spans="1:9" x14ac:dyDescent="0.2">
      <c r="A25">
        <v>24</v>
      </c>
      <c r="B25">
        <v>20</v>
      </c>
      <c r="C25" s="11" t="s">
        <v>149</v>
      </c>
      <c r="D25" s="4">
        <v>0</v>
      </c>
      <c r="E25" s="4">
        <v>0</v>
      </c>
      <c r="F25">
        <v>450</v>
      </c>
      <c r="G25" t="s">
        <v>226</v>
      </c>
      <c r="H25">
        <v>29</v>
      </c>
      <c r="I25" t="s">
        <v>215</v>
      </c>
    </row>
    <row r="26" spans="1:9" x14ac:dyDescent="0.2">
      <c r="A26">
        <v>25</v>
      </c>
      <c r="B26">
        <v>21</v>
      </c>
      <c r="C26" s="11" t="s">
        <v>194</v>
      </c>
      <c r="D26" s="4">
        <v>0</v>
      </c>
      <c r="E26" s="4">
        <v>0</v>
      </c>
      <c r="F26">
        <v>10</v>
      </c>
      <c r="G26" t="s">
        <v>197</v>
      </c>
      <c r="H26">
        <v>30</v>
      </c>
      <c r="I26" t="s">
        <v>317</v>
      </c>
    </row>
    <row r="27" spans="1:9" x14ac:dyDescent="0.2">
      <c r="A27">
        <v>26</v>
      </c>
      <c r="B27">
        <v>21</v>
      </c>
      <c r="C27" s="11" t="s">
        <v>195</v>
      </c>
      <c r="D27" s="4">
        <v>0</v>
      </c>
      <c r="E27" s="4">
        <v>0</v>
      </c>
      <c r="F27">
        <v>50</v>
      </c>
      <c r="G27" t="s">
        <v>198</v>
      </c>
      <c r="H27">
        <v>31</v>
      </c>
      <c r="I27" t="s">
        <v>326</v>
      </c>
    </row>
    <row r="28" spans="1:9" x14ac:dyDescent="0.2">
      <c r="A28">
        <v>27</v>
      </c>
      <c r="B28">
        <v>21</v>
      </c>
      <c r="C28" s="11" t="s">
        <v>196</v>
      </c>
      <c r="D28" s="4">
        <v>0</v>
      </c>
      <c r="E28" s="4">
        <v>0</v>
      </c>
      <c r="F28">
        <v>100</v>
      </c>
      <c r="G28" t="s">
        <v>199</v>
      </c>
      <c r="H28">
        <v>32</v>
      </c>
      <c r="I28" t="s">
        <v>327</v>
      </c>
    </row>
    <row r="29" spans="1:9" x14ac:dyDescent="0.2">
      <c r="A29">
        <v>28</v>
      </c>
      <c r="B29">
        <v>22</v>
      </c>
      <c r="C29" s="11" t="s">
        <v>204</v>
      </c>
      <c r="D29" s="4">
        <v>0</v>
      </c>
      <c r="E29" s="4">
        <v>0</v>
      </c>
      <c r="F29">
        <v>100</v>
      </c>
      <c r="G29" t="s">
        <v>203</v>
      </c>
      <c r="H29">
        <v>33</v>
      </c>
      <c r="I29" t="s">
        <v>328</v>
      </c>
    </row>
    <row r="30" spans="1:9" x14ac:dyDescent="0.2">
      <c r="A30">
        <v>29</v>
      </c>
      <c r="B30">
        <v>23</v>
      </c>
      <c r="C30" t="s">
        <v>221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338</v>
      </c>
    </row>
    <row r="31" spans="1:9" x14ac:dyDescent="0.2">
      <c r="A31">
        <v>30</v>
      </c>
      <c r="B31">
        <v>24</v>
      </c>
      <c r="C31" s="11" t="s">
        <v>351</v>
      </c>
      <c r="D31" s="4">
        <v>0</v>
      </c>
      <c r="E31" s="4">
        <v>0</v>
      </c>
      <c r="F31">
        <v>300</v>
      </c>
      <c r="G31" t="s">
        <v>206</v>
      </c>
      <c r="H31">
        <v>39</v>
      </c>
      <c r="I31" t="s">
        <v>339</v>
      </c>
    </row>
    <row r="32" spans="1:9" x14ac:dyDescent="0.2">
      <c r="A32">
        <v>31</v>
      </c>
      <c r="B32">
        <v>25</v>
      </c>
      <c r="C32" t="s">
        <v>318</v>
      </c>
      <c r="D32" s="4">
        <v>1</v>
      </c>
      <c r="E32" s="4">
        <v>0</v>
      </c>
      <c r="F32">
        <v>200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359</v>
      </c>
      <c r="D33" s="4">
        <v>0</v>
      </c>
      <c r="E33" s="4">
        <v>0</v>
      </c>
      <c r="F33">
        <v>300</v>
      </c>
      <c r="G33" t="s">
        <v>353</v>
      </c>
    </row>
    <row r="34" spans="1:7" x14ac:dyDescent="0.2">
      <c r="A34">
        <v>33</v>
      </c>
      <c r="B34">
        <v>29</v>
      </c>
      <c r="C34" t="s">
        <v>355</v>
      </c>
      <c r="D34" s="4">
        <v>0</v>
      </c>
      <c r="E34" s="4">
        <v>0</v>
      </c>
      <c r="F34">
        <v>300</v>
      </c>
      <c r="G34" t="s">
        <v>356</v>
      </c>
    </row>
    <row r="35" spans="1:7" x14ac:dyDescent="0.2">
      <c r="A35">
        <v>34</v>
      </c>
      <c r="B35">
        <v>30</v>
      </c>
      <c r="C35" s="11" t="s">
        <v>354</v>
      </c>
      <c r="D35" s="4">
        <v>0</v>
      </c>
      <c r="E35" s="4">
        <v>0</v>
      </c>
      <c r="F35">
        <v>150</v>
      </c>
      <c r="G35" t="s">
        <v>360</v>
      </c>
    </row>
    <row r="36" spans="1:7" x14ac:dyDescent="0.2">
      <c r="A36">
        <v>35</v>
      </c>
      <c r="B36">
        <v>31</v>
      </c>
      <c r="C36" t="s">
        <v>352</v>
      </c>
      <c r="D36" s="4">
        <v>0</v>
      </c>
      <c r="E36" s="4">
        <v>0</v>
      </c>
      <c r="F36">
        <v>200</v>
      </c>
      <c r="G36" t="str">
        <f t="shared" ref="G36" si="1">LOOKUP(B36,H:H,I:I)</f>
        <v>连环炸弹</v>
      </c>
    </row>
    <row r="37" spans="1:7" x14ac:dyDescent="0.2">
      <c r="A37">
        <v>36</v>
      </c>
      <c r="B37">
        <v>32</v>
      </c>
      <c r="C37" s="11" t="s">
        <v>330</v>
      </c>
      <c r="D37" s="4">
        <v>0</v>
      </c>
      <c r="E37" s="4">
        <v>0</v>
      </c>
      <c r="F37">
        <v>300</v>
      </c>
      <c r="G37" t="s">
        <v>327</v>
      </c>
    </row>
    <row r="38" spans="1:7" x14ac:dyDescent="0.2">
      <c r="A38">
        <v>37</v>
      </c>
      <c r="B38">
        <v>33</v>
      </c>
      <c r="C38" t="s">
        <v>52</v>
      </c>
      <c r="D38" s="4">
        <v>0</v>
      </c>
      <c r="E38" s="4">
        <v>0</v>
      </c>
      <c r="F38">
        <v>200</v>
      </c>
      <c r="G38" t="s">
        <v>357</v>
      </c>
    </row>
    <row r="39" spans="1:7" x14ac:dyDescent="0.2">
      <c r="A39">
        <v>38</v>
      </c>
      <c r="B39">
        <v>38</v>
      </c>
      <c r="C39" t="s">
        <v>358</v>
      </c>
      <c r="D39" s="4">
        <v>0</v>
      </c>
      <c r="E39" s="4">
        <v>0</v>
      </c>
      <c r="F39">
        <v>250</v>
      </c>
      <c r="G39" t="s">
        <v>361</v>
      </c>
    </row>
    <row r="40" spans="1:7" x14ac:dyDescent="0.2">
      <c r="A40">
        <v>39</v>
      </c>
      <c r="B40">
        <v>39</v>
      </c>
      <c r="C40" t="s">
        <v>362</v>
      </c>
      <c r="D40" s="4">
        <v>0</v>
      </c>
      <c r="E40" s="4">
        <v>0</v>
      </c>
      <c r="F40">
        <v>250</v>
      </c>
      <c r="G40" t="s">
        <v>363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3" zoomScaleNormal="100" workbookViewId="0">
      <selection activeCell="F53" sqref="F53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229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230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231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232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151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233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234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235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236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237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238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150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239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240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241</v>
      </c>
      <c r="F17" s="15">
        <f t="shared" si="1"/>
        <v>35</v>
      </c>
      <c r="G17" s="15">
        <v>0</v>
      </c>
      <c r="H17" s="15" t="s">
        <v>208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152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60</v>
      </c>
      <c r="D21" s="15">
        <f t="shared" si="0"/>
        <v>1.6666666666666666E-2</v>
      </c>
      <c r="E21" s="17" t="s">
        <v>259</v>
      </c>
      <c r="F21" s="15">
        <f t="shared" si="1"/>
        <v>60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242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60</v>
      </c>
      <c r="D23" s="15">
        <f t="shared" si="0"/>
        <v>1.6666666666666666E-2</v>
      </c>
      <c r="E23" s="16" t="s">
        <v>243</v>
      </c>
      <c r="F23" s="15">
        <f t="shared" si="1"/>
        <v>60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60</v>
      </c>
      <c r="D24" s="15">
        <f t="shared" si="0"/>
        <v>1.6666666666666666E-2</v>
      </c>
      <c r="E24" s="16" t="s">
        <v>244</v>
      </c>
      <c r="F24" s="15">
        <f t="shared" si="1"/>
        <v>60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350</v>
      </c>
      <c r="D25" s="15" t="s">
        <v>332</v>
      </c>
      <c r="E25" s="17" t="s">
        <v>245</v>
      </c>
      <c r="F25" s="15" t="s">
        <v>331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80</v>
      </c>
      <c r="D26" s="15">
        <f t="shared" ref="D26" si="2">IF(C26,1/C26,0)</f>
        <v>1.2500000000000001E-2</v>
      </c>
      <c r="E26" s="17" t="s">
        <v>154</v>
      </c>
      <c r="F26" s="15">
        <f t="shared" ref="F26" si="3">C26</f>
        <v>80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100</v>
      </c>
      <c r="D27" s="15">
        <f t="shared" si="0"/>
        <v>0.01</v>
      </c>
      <c r="E27" s="16" t="s">
        <v>153</v>
      </c>
      <c r="F27" s="15">
        <f t="shared" si="1"/>
        <v>100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100</v>
      </c>
      <c r="D28" s="15">
        <f t="shared" si="0"/>
        <v>0.01</v>
      </c>
      <c r="E28" s="16" t="s">
        <v>246</v>
      </c>
      <c r="F28" s="15">
        <f t="shared" si="1"/>
        <v>100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157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156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158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160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264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155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247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248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249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0</v>
      </c>
      <c r="D38" s="15">
        <f t="shared" si="5"/>
        <v>0</v>
      </c>
      <c r="E38" s="15" t="s">
        <v>228</v>
      </c>
      <c r="F38" s="15">
        <f t="shared" ref="F38:F51" si="6">C38</f>
        <v>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100</v>
      </c>
      <c r="D39" s="15">
        <f t="shared" si="5"/>
        <v>0.01</v>
      </c>
      <c r="E39" s="15" t="s">
        <v>159</v>
      </c>
      <c r="F39" s="15">
        <f t="shared" si="6"/>
        <v>100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250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300</v>
      </c>
      <c r="D41" s="15">
        <f t="shared" si="5"/>
        <v>3.3333333333333335E-3</v>
      </c>
      <c r="E41" s="15" t="s">
        <v>316</v>
      </c>
      <c r="F41" s="15">
        <f t="shared" si="6"/>
        <v>300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200</v>
      </c>
      <c r="D42" s="15">
        <f t="shared" si="5"/>
        <v>5.0000000000000001E-3</v>
      </c>
      <c r="E42" s="15" t="s">
        <v>251</v>
      </c>
      <c r="F42" s="15">
        <f t="shared" si="6"/>
        <v>200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0</v>
      </c>
      <c r="D43" s="15">
        <f t="shared" si="5"/>
        <v>0</v>
      </c>
      <c r="E43" s="15" t="s">
        <v>252</v>
      </c>
      <c r="F43" s="15">
        <f t="shared" si="6"/>
        <v>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200</v>
      </c>
      <c r="D44" s="15">
        <f t="shared" si="5"/>
        <v>5.0000000000000001E-3</v>
      </c>
      <c r="E44" s="15" t="s">
        <v>253</v>
      </c>
      <c r="F44" s="15">
        <f t="shared" si="6"/>
        <v>200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0</v>
      </c>
      <c r="D45" s="15">
        <f t="shared" si="5"/>
        <v>0</v>
      </c>
      <c r="E45" s="15" t="s">
        <v>254</v>
      </c>
      <c r="F45" s="15">
        <f t="shared" si="6"/>
        <v>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0</v>
      </c>
      <c r="D46" s="15">
        <f t="shared" si="5"/>
        <v>0</v>
      </c>
      <c r="E46" s="15" t="s">
        <v>255</v>
      </c>
      <c r="F46" s="15">
        <f t="shared" si="6"/>
        <v>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200</v>
      </c>
      <c r="D47" s="15">
        <f t="shared" si="5"/>
        <v>5.0000000000000001E-3</v>
      </c>
      <c r="E47" s="15" t="s">
        <v>154</v>
      </c>
      <c r="F47" s="15">
        <f t="shared" si="6"/>
        <v>200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150</v>
      </c>
      <c r="D48" s="15">
        <f t="shared" si="5"/>
        <v>6.6666666666666671E-3</v>
      </c>
      <c r="E48" s="15" t="s">
        <v>315</v>
      </c>
      <c r="F48" s="15">
        <f t="shared" si="6"/>
        <v>150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250</v>
      </c>
      <c r="D49" s="15">
        <f t="shared" si="5"/>
        <v>4.0000000000000001E-3</v>
      </c>
      <c r="E49" s="15" t="s">
        <v>256</v>
      </c>
      <c r="F49" s="15">
        <f t="shared" si="6"/>
        <v>250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200</v>
      </c>
      <c r="D50" s="15">
        <f t="shared" si="5"/>
        <v>5.0000000000000001E-3</v>
      </c>
      <c r="E50" s="15" t="s">
        <v>257</v>
      </c>
      <c r="F50" s="15">
        <f t="shared" si="6"/>
        <v>200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324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2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5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5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5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5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5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5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5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5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5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5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5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5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5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5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5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5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5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5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5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5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5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5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5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5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5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5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5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5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5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2" sqref="B2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329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2020-06-17T09:18:27Z</dcterms:modified>
</cp:coreProperties>
</file>