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6" i="5" l="1"/>
  <c r="G32" i="5"/>
  <c r="K25" i="14" l="1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G30" i="5"/>
  <c r="G21" i="5"/>
  <c r="G20" i="5"/>
  <c r="G19" i="5"/>
  <c r="H25" i="14" l="1"/>
  <c r="H26" i="14"/>
  <c r="H27" i="14"/>
  <c r="H28" i="14"/>
  <c r="E26" i="14"/>
  <c r="J40" i="7"/>
  <c r="L25" i="14"/>
  <c r="J39" i="7"/>
  <c r="F26" i="1"/>
  <c r="I26" i="14" s="1"/>
  <c r="D26" i="1"/>
  <c r="F26" i="14" l="1"/>
  <c r="H40" i="7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E21" i="14"/>
  <c r="H35" i="7" s="1"/>
  <c r="E22" i="14"/>
  <c r="H36" i="7" s="1"/>
  <c r="E23" i="14"/>
  <c r="H37" i="7" s="1"/>
  <c r="E24" i="14"/>
  <c r="H38" i="7" s="1"/>
  <c r="E27" i="14"/>
  <c r="H41" i="7" s="1"/>
  <c r="E28" i="14"/>
  <c r="H42" i="7" s="1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L10" i="14" l="1"/>
  <c r="I10" i="7"/>
  <c r="I9" i="7"/>
  <c r="H26" i="7"/>
  <c r="H30" i="7"/>
  <c r="H11" i="7"/>
  <c r="H12" i="7"/>
  <c r="H25" i="7"/>
  <c r="H24" i="7"/>
  <c r="H28" i="7"/>
  <c r="H17" i="7"/>
  <c r="H10" i="7"/>
  <c r="H23" i="7"/>
  <c r="H27" i="7"/>
  <c r="H22" i="7"/>
  <c r="H9" i="7"/>
  <c r="F24" i="14"/>
  <c r="L24" i="14"/>
  <c r="L9" i="14"/>
  <c r="F10" i="14"/>
  <c r="F9" i="14"/>
  <c r="F38" i="1"/>
  <c r="D38" i="1"/>
  <c r="E8" i="14" l="1"/>
  <c r="H8" i="7" l="1"/>
  <c r="H16" i="7"/>
  <c r="H67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E50" i="14"/>
  <c r="K49" i="14"/>
  <c r="E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F21" i="14"/>
  <c r="H21" i="14"/>
  <c r="K21" i="14"/>
  <c r="F22" i="14"/>
  <c r="K22" i="14"/>
  <c r="F23" i="14"/>
  <c r="H23" i="14"/>
  <c r="K23" i="14"/>
  <c r="H24" i="14"/>
  <c r="K24" i="14"/>
  <c r="F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 s="1"/>
  <c r="L12" i="14" s="1"/>
  <c r="F13" i="1"/>
  <c r="F16" i="1"/>
  <c r="I62" i="7" s="1"/>
  <c r="F15" i="1"/>
  <c r="I15" i="14" s="1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16" i="14"/>
  <c r="H63" i="7"/>
  <c r="H64" i="7"/>
  <c r="F33" i="14"/>
  <c r="H47" i="7"/>
  <c r="F39" i="14"/>
  <c r="H53" i="7"/>
  <c r="L15" i="14"/>
  <c r="I29" i="7"/>
  <c r="H3" i="7"/>
  <c r="H5" i="7"/>
  <c r="H7" i="7"/>
  <c r="H2" i="7"/>
  <c r="H4" i="7"/>
  <c r="H6" i="7"/>
  <c r="L30" i="14"/>
  <c r="I44" i="7"/>
  <c r="I30" i="7"/>
  <c r="F37" i="14"/>
  <c r="H51" i="7"/>
  <c r="H57" i="7"/>
  <c r="I11" i="7"/>
  <c r="I12" i="7"/>
  <c r="F34" i="14"/>
  <c r="H48" i="7"/>
  <c r="F36" i="14"/>
  <c r="H50" i="7"/>
  <c r="H52" i="7"/>
  <c r="F40" i="14"/>
  <c r="H54" i="7"/>
  <c r="F42" i="14"/>
  <c r="H56" i="7"/>
  <c r="F44" i="14"/>
  <c r="H58" i="7"/>
  <c r="H60" i="7"/>
  <c r="H21" i="7"/>
  <c r="H66" i="7"/>
  <c r="H14" i="7"/>
  <c r="F35" i="14"/>
  <c r="H49" i="7"/>
  <c r="F41" i="14"/>
  <c r="H55" i="7"/>
  <c r="H59" i="7"/>
  <c r="I27" i="7"/>
  <c r="I17" i="7"/>
  <c r="H13" i="7"/>
  <c r="H18" i="7"/>
  <c r="H20" i="7"/>
  <c r="H65" i="7"/>
  <c r="L17" i="14"/>
  <c r="I31" i="7"/>
  <c r="L29" i="14"/>
  <c r="I43" i="7"/>
  <c r="F49" i="14"/>
  <c r="H62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27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19" i="7" l="1"/>
  <c r="I26" i="7"/>
  <c r="I23" i="7"/>
  <c r="L14" i="14"/>
  <c r="I25" i="7"/>
  <c r="I24" i="7"/>
  <c r="I28" i="7"/>
  <c r="L41" i="14"/>
  <c r="I55" i="7"/>
  <c r="L36" i="14"/>
  <c r="I50" i="7"/>
  <c r="L38" i="14"/>
  <c r="I52" i="7"/>
  <c r="I2" i="7"/>
  <c r="I3" i="7"/>
  <c r="I5" i="7"/>
  <c r="I7" i="7"/>
  <c r="I4" i="7"/>
  <c r="I6" i="7"/>
  <c r="I14" i="7"/>
  <c r="I21" i="7"/>
  <c r="I66" i="7"/>
  <c r="I20" i="7"/>
  <c r="I13" i="7"/>
  <c r="I18" i="7"/>
  <c r="I65" i="7"/>
  <c r="L18" i="14"/>
  <c r="I32" i="7"/>
  <c r="I67" i="7"/>
  <c r="I8" i="7"/>
  <c r="I16" i="7"/>
  <c r="I15" i="7"/>
  <c r="L43" i="14"/>
  <c r="I57" i="7"/>
  <c r="I22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<sst xmlns="http://schemas.openxmlformats.org/spreadsheetml/2006/main" count="480" uniqueCount="375">
  <si>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</si>
  <si>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</si>
  <si>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</si>
  <si>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</si>
  <si>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</si>
  <si>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</si>
  <si>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</si>
  <si>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</si>
  <si>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</si>
  <si>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</si>
  <si>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</si>
  <si>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</si>
  <si>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</si>
  <si>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</si>
  <si>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</si>
  <si>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</si>
  <si>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</si>
  <si>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</si>
  <si>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</si>
  <si>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</si>
  <si>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</si>
  <si>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</si>
  <si>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</si>
  <si>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</si>
  <si>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</si>
  <si>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</si>
  <si>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</si>
  <si>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</si>
  <si>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</si>
  <si>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</si>
  <si>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</si>
  <si>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</si>
  <si>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</si>
  <si>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</si>
  <si>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</si>
  <si>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</si>
  <si>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</si>
  <si>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</si>
  <si>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</si>
  <si>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</si>
  <si>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</si>
  <si>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</si>
  <si>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</si>
  <si>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</si>
  <si>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</si>
  <si>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</si>
  <si>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</si>
  <si>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</si>
  <si>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</si>
  <si>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</si>
  <si>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</si>
  <si>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</si>
  <si>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</si>
  <si>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</si>
  <si>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</si>
  <si>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</si>
  <si>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</si>
  <si>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</si>
  <si>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</si>
  <si>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</si>
  <si>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</si>
  <si>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</si>
  <si>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</si>
  <si>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</si>
  <si>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</si>
  <si>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</si>
  <si>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</si>
  <si>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</si>
  <si>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</si>
  <si>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</si>
  <si>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</si>
  <si>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</si>
  <si>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</si>
  <si>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</si>
  <si>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</si>
  <si>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</si>
  <si>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</si>
  <si>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</si>
  <si>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</si>
  <si>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</si>
  <si>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</si>
  <si>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</si>
  <si>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</si>
  <si>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</si>
  <si>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</si>
  <si>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</si>
  <si>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</si>
  <si>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</si>
  <si>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</si>
  <si>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</si>
  <si>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</si>
  <si>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</si>
  <si>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</si>
  <si>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</si>
  <si>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</si>
  <si>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</si>
  <si>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</si>
  <si>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</si>
  <si>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</si>
  <si>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</si>
  <si>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</si>
  <si>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</si>
  <si>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</si>
  <si>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</si>
  <si>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</si>
  <si>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</si>
  <si>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</si>
  <si>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</si>
  <si>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</si>
  <si>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</si>
  <si>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</si>
  <si>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</si>
  <si>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</si>
  <si>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</si>
  <si>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</si>
  <si>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</si>
  <si>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</si>
  <si>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</si>
  <si>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</si>
  <si>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</si>
  <si>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</si>
  <si>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</si>
  <si>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</si>
  <si>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</si>
  <si>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</si>
  <si>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</si>
  <si>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</si>
  <si>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</si>
  <si>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</si>
  <si>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</si>
  <si>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</si>
  <si>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</si>
  <si>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</si>
  <si>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</si>
  <si>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</si>
  <si>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</si>
  <si>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</si>
  <si>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</si>
  <si>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</si>
  <si>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</si>
  <si>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</si>
  <si>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</si>
  <si>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</si>
  <si>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</si>
  <si>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</si>
  <si>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</si>
  <si>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</si>
  <si>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</si>
  <si>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</si>
  <si>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</si>
  <si>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</si>
  <si>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</si>
  <si>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</si>
  <si>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</si>
  <si>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</si>
  <si>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</si>
  <si>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</si>
  <si>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</si>
  <si>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</si>
  <si>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</si>
  <si>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</si>
  <si>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</si>
  <si>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</si>
  <si>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</si>
  <si>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</si>
  <si>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</si>
  <si>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</si>
  <si>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</si>
  <si>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</si>
  <si>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</si>
  <si>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</si>
  <si>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</si>
  <si>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</si>
  <si>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</si>
  <si>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</si>
  <si>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</si>
  <si>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</si>
  <si>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</si>
  <si>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</si>
  <si>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</si>
  <si>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</si>
  <si>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</si>
  <si>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</si>
  <si>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</si>
  <si>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</si>
  <si>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</si>
  <si>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</si>
  <si>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</si>
  <si>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</si>
  <si>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</si>
  <si>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</si>
  <si>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初级彩贝</t>
    <phoneticPr fontId="1" type="noConversion"/>
  </si>
  <si>
    <t>中级彩贝</t>
    <phoneticPr fontId="1" type="noConversion"/>
  </si>
  <si>
    <t>broadcast|广播</t>
    <phoneticPr fontId="1" type="noConversion"/>
  </si>
  <si>
    <t>金币大爆发</t>
    <phoneticPr fontId="1" type="noConversion"/>
  </si>
  <si>
    <t>时限免费超级活力子弹</t>
    <phoneticPr fontId="1" type="noConversion"/>
  </si>
  <si>
    <t>幸运转盘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</si>
  <si>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</si>
  <si>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</si>
  <si>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</si>
  <si>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</si>
  <si>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</si>
  <si>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</si>
  <si>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</si>
  <si>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</si>
  <si>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</si>
  <si>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幸运转盘</t>
    <phoneticPr fontId="1" type="noConversion"/>
  </si>
  <si>
    <t>原子弹</t>
    <phoneticPr fontId="1" type="noConversion"/>
  </si>
  <si>
    <t>疯狂原子弹</t>
    <phoneticPr fontId="1" type="noConversion"/>
  </si>
  <si>
    <t>4,</t>
  </si>
  <si>
    <t>5,</t>
  </si>
  <si>
    <t>append_image_id|附加的鱼途id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</si>
  <si>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</si>
  <si>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</si>
  <si>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</si>
  <si>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</si>
  <si>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</si>
  <si>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</si>
  <si>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</si>
  <si>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</si>
  <si>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</si>
  <si>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</si>
  <si>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</si>
  <si>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</si>
  <si>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</si>
  <si>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</si>
  <si>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</si>
  <si>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</si>
  <si>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</si>
  <si>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</si>
  <si>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</si>
  <si>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</si>
  <si>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</si>
  <si>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</si>
  <si>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</si>
  <si>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</si>
  <si>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</si>
  <si>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</si>
  <si>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</si>
  <si>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</si>
  <si>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</si>
  <si>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</si>
  <si>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</si>
  <si>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</si>
  <si>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</si>
  <si>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</si>
  <si>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</si>
  <si>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</si>
  <si>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</si>
  <si>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</si>
  <si>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</si>
  <si>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</si>
  <si>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</si>
  <si>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</si>
  <si>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</si>
  <si>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</si>
  <si>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</si>
  <si>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</si>
  <si>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</si>
  <si>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</si>
  <si>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</si>
  <si>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</si>
  <si>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</si>
  <si>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</si>
  <si>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</si>
  <si>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</si>
  <si>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</si>
  <si>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</si>
  <si>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</si>
  <si>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</si>
  <si>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</si>
  <si>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</si>
  <si>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</si>
  <si>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</si>
  <si>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</si>
  <si>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</si>
  <si>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</si>
  <si>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</si>
  <si>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</si>
  <si>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</si>
  <si>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</si>
  <si>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</si>
  <si>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</si>
  <si>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</si>
  <si>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</si>
  <si>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</si>
  <si>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</si>
  <si>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</si>
  <si>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</si>
  <si>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</si>
  <si>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</si>
  <si>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</si>
  <si>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</si>
  <si>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</si>
  <si>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</si>
  <si>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</si>
  <si>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</si>
  <si>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50,50,50,50,100,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</si>
  <si>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</si>
  <si>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</si>
  <si>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</si>
  <si>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</si>
  <si>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</si>
  <si>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</si>
  <si>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</si>
  <si>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</si>
  <si>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</si>
  <si>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</si>
  <si>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</si>
  <si>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</si>
  <si>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fish_3d_yutu_random_3</t>
    <phoneticPr fontId="1" type="noConversion"/>
  </si>
  <si>
    <t>append_life_rate|随机的倍率和奖励</t>
    <phoneticPr fontId="1" type="noConversion"/>
  </si>
  <si>
    <t>宝箱（持续时间，基础倍率，基础血量）</t>
    <phoneticPr fontId="1" type="noConversion"/>
  </si>
  <si>
    <t>fish_3d_yutu_gd_smallboss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</si>
  <si>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</si>
  <si>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</si>
  <si>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</si>
  <si>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</si>
  <si>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</si>
  <si>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</si>
  <si>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0.02,0.02,0.02,0.02,0.01</t>
    <phoneticPr fontId="1" type="noConversion"/>
  </si>
  <si>
    <t>50,50,50,50,100,</t>
    <phoneticPr fontId="1" type="noConversion"/>
  </si>
  <si>
    <t>0.02,0.02,0.02,0.02,0.01</t>
    <phoneticPr fontId="1" type="noConversion"/>
  </si>
  <si>
    <t>50,50,50,50,100,</t>
    <phoneticPr fontId="1" type="noConversion"/>
  </si>
  <si>
    <t>200,250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</si>
  <si>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</si>
  <si>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</si>
  <si>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</si>
  <si>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1,</t>
    <phoneticPr fontId="1" type="noConversion"/>
  </si>
  <si>
    <t>0,50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</si>
  <si>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</si>
  <si>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</si>
  <si>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</si>
  <si>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300,450</t>
    <phoneticPr fontId="1" type="noConversion"/>
  </si>
  <si>
    <t>财神-450</t>
    <phoneticPr fontId="1" type="noConversion"/>
  </si>
  <si>
    <t>1,0,10,1,20,2,20,</t>
    <phoneticPr fontId="1" type="noConversion"/>
  </si>
  <si>
    <t>1,1,20,2,20,3,10,4,10</t>
    <phoneticPr fontId="1" type="noConversion"/>
  </si>
  <si>
    <t>1,1,20,2,20,3,10,4,10,5,5</t>
    <phoneticPr fontId="1" type="noConversion"/>
  </si>
  <si>
    <t>高级彩贝</t>
    <phoneticPr fontId="1" type="noConversion"/>
  </si>
  <si>
    <t>0,50,3</t>
    <phoneticPr fontId="1" type="noConversion"/>
  </si>
  <si>
    <t>100倍金币爆发</t>
    <phoneticPr fontId="1" type="noConversion"/>
  </si>
  <si>
    <t>10,2,</t>
    <phoneticPr fontId="1" type="noConversion"/>
  </si>
  <si>
    <t>50,50,50,50,100,</t>
    <phoneticPr fontId="1" type="noConversion"/>
  </si>
  <si>
    <t>0.02,0.02,0.02,0.02,0.01</t>
    <phoneticPr fontId="1" type="noConversion"/>
  </si>
  <si>
    <t>120,180</t>
    <phoneticPr fontId="1" type="noConversion"/>
  </si>
  <si>
    <t>强击弹（超级火力）</t>
    <phoneticPr fontId="1" type="noConversion"/>
  </si>
  <si>
    <t>强击弹（双倍）</t>
    <phoneticPr fontId="1" type="noConversion"/>
  </si>
  <si>
    <t>fish_3d_yutu_random_boss_3</t>
    <phoneticPr fontId="1" type="noConversion"/>
  </si>
  <si>
    <t>50,50,50,50,100,</t>
    <phoneticPr fontId="1" type="noConversion"/>
  </si>
  <si>
    <t>1,500,</t>
    <phoneticPr fontId="1" type="noConversion"/>
  </si>
  <si>
    <t>250,2,</t>
    <phoneticPr fontId="1" type="noConversion"/>
  </si>
  <si>
    <t>200,400</t>
    <phoneticPr fontId="1" type="noConversion"/>
  </si>
  <si>
    <t>幸运转盘</t>
    <phoneticPr fontId="1" type="noConversion"/>
  </si>
  <si>
    <t>200,</t>
    <phoneticPr fontId="1" type="noConversion"/>
  </si>
  <si>
    <t>300,</t>
    <phoneticPr fontId="1" type="noConversion"/>
  </si>
  <si>
    <t>疯狂6选一</t>
    <phoneticPr fontId="1" type="noConversion"/>
  </si>
  <si>
    <t>200,</t>
    <phoneticPr fontId="1" type="noConversion"/>
  </si>
  <si>
    <t>吞噬天下</t>
    <phoneticPr fontId="1" type="noConversion"/>
  </si>
  <si>
    <t>4,20,30,50,100,</t>
    <phoneticPr fontId="1" type="noConversion"/>
  </si>
  <si>
    <t>炽火龙王</t>
    <phoneticPr fontId="1" type="noConversion"/>
  </si>
  <si>
    <t>50,</t>
    <phoneticPr fontId="1" type="noConversion"/>
  </si>
  <si>
    <t>骰子龟</t>
    <phoneticPr fontId="1" type="noConversion"/>
  </si>
  <si>
    <t>250,2,</t>
    <phoneticPr fontId="1" type="noConversion"/>
  </si>
  <si>
    <t>强击弹</t>
    <phoneticPr fontId="1" type="noConversion"/>
  </si>
  <si>
    <t>强击弹（双倍）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</si>
  <si>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</si>
  <si>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</si>
  <si>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</si>
  <si>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0,20</t>
    <phoneticPr fontId="1" type="noConversion"/>
  </si>
  <si>
    <t>0,200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</si>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</sst>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48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HLBY\HuanLe_doc\config_debug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tabSelected="1" topLeftCell="A3" workbookViewId="0">
      <selection activeCell="A12" sqref="A12:XFD41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212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B12" sqref="B1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199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201</v>
      </c>
      <c r="M1" s="8" t="s">
        <v>211</v>
      </c>
    </row>
    <row r="2" spans="1:13" x14ac:dyDescent="0.2">
      <c r="A2" s="2">
        <v>1</v>
      </c>
      <c r="B2" s="2" t="s">
        <v>310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202</v>
      </c>
      <c r="C3" s="2">
        <v>1</v>
      </c>
      <c r="D3" t="s">
        <v>200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202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202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202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202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202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202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252</v>
      </c>
      <c r="C10" s="2">
        <v>2</v>
      </c>
      <c r="D10" t="s">
        <v>212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347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313</v>
      </c>
      <c r="C12" s="2">
        <v>2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workbookViewId="0">
      <pane ySplit="1" topLeftCell="A2" activePane="bottomLeft" state="frozen"/>
      <selection pane="bottomLeft" activeCell="D8" sqref="D8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253</v>
      </c>
      <c r="B1" s="1" t="s">
        <v>254</v>
      </c>
      <c r="C1" s="1" t="s">
        <v>255</v>
      </c>
      <c r="D1" s="1" t="s">
        <v>256</v>
      </c>
      <c r="E1" s="1" t="s">
        <v>257</v>
      </c>
      <c r="F1" s="1" t="s">
        <v>258</v>
      </c>
      <c r="G1" s="1" t="s">
        <v>259</v>
      </c>
      <c r="H1" s="1" t="s">
        <v>97</v>
      </c>
      <c r="I1" s="1" t="s">
        <v>260</v>
      </c>
      <c r="J1" s="9" t="s">
        <v>105</v>
      </c>
      <c r="K1" s="1" t="s">
        <v>261</v>
      </c>
      <c r="L1" s="1" t="s">
        <v>50</v>
      </c>
      <c r="Q1" s="1" t="s">
        <v>262</v>
      </c>
      <c r="R1" s="1" t="s">
        <v>262</v>
      </c>
      <c r="S1" s="1" t="s">
        <v>262</v>
      </c>
      <c r="T1" s="1" t="s">
        <v>262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263</v>
      </c>
      <c r="D2" s="29" t="s">
        <v>158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158</v>
      </c>
      <c r="D3" s="29" t="s">
        <v>158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244</v>
      </c>
      <c r="D4" s="29" t="s">
        <v>158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209</v>
      </c>
      <c r="D5" s="29" t="s">
        <v>158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210</v>
      </c>
      <c r="D6" s="29" t="s">
        <v>158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264</v>
      </c>
      <c r="G7" s="45" t="s">
        <v>265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266</v>
      </c>
      <c r="G8" s="45" t="s">
        <v>267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159</v>
      </c>
      <c r="D9" s="29" t="s">
        <v>158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268</v>
      </c>
      <c r="D10" s="29" t="s">
        <v>269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270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245</v>
      </c>
      <c r="D12" s="29" t="s">
        <v>158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167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271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272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273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274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167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275</v>
      </c>
      <c r="G19" s="41" t="s">
        <v>276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277</v>
      </c>
      <c r="G20" s="41" t="s">
        <v>168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278</v>
      </c>
      <c r="G21" s="41" t="s">
        <v>279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280</v>
      </c>
      <c r="G22" s="41" t="s">
        <v>204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281</v>
      </c>
      <c r="G23" s="21" t="s">
        <v>249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138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282</v>
      </c>
      <c r="G24" s="21" t="s">
        <v>169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118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283</v>
      </c>
      <c r="G25" s="21" t="s">
        <v>170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185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284</v>
      </c>
      <c r="G26" s="21" t="s">
        <v>285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225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286</v>
      </c>
      <c r="G27" s="41" t="s">
        <v>287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288</v>
      </c>
      <c r="G28" s="41" t="s">
        <v>289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290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291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292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160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161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293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162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60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163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294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60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164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60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295</v>
      </c>
      <c r="H39" s="19" t="s">
        <v>342</v>
      </c>
      <c r="I39" s="19" t="s">
        <v>343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296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80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165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100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298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100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299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300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301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172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171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300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300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173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174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50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175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176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177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178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100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100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179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100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100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180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300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300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181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200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200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182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183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200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200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184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185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302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186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187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188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303</v>
      </c>
      <c r="G65" s="45" t="s">
        <v>304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305</v>
      </c>
      <c r="G66" s="45" t="s">
        <v>250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306</v>
      </c>
      <c r="G67" s="46" t="s">
        <v>251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1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1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40">
    <cfRule type="iconSet" priority="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40">
    <cfRule type="iconSet" priority="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'D:\HLBY\HuanLe_doc\config_debug\[fish_3d_data_config_1.xlsm]activity'!#REF!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'D:\HLBY\HuanLe_doc\config_debug\[fish_3d_data_config_1.xlsm]base_fish'!#REF!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17" activePane="bottomLeft" state="frozen"/>
      <selection pane="bottomLeft" activeCell="D21" sqref="D21:D51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203</v>
      </c>
      <c r="C1" s="1" t="s">
        <v>11</v>
      </c>
      <c r="D1" s="1" t="s">
        <v>311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193</v>
      </c>
      <c r="O1" s="8" t="s">
        <v>201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365</v>
      </c>
      <c r="E21" s="19">
        <f>LOOKUP(use_fish!B21,base_fish!A:A,base_fish!C:C)+_xlfn.IFNA(INDEX(activity!F:F,MATCH(use_fish!C21,activity!A:A,0)),0)</f>
        <v>60</v>
      </c>
      <c r="F21" s="19">
        <f t="shared" si="3"/>
        <v>1.6666666666666666E-2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f>LOOKUP(use_fish!B22,base_fish!A:A,base_fish!C:C)+_xlfn.IFNA(INDEX(activity!F:F,MATCH(use_fish!C22,activity!A:A,0)),0)</f>
        <v>80</v>
      </c>
      <c r="F22" s="19">
        <f t="shared" si="3"/>
        <v>1.2500000000000001E-2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366</v>
      </c>
      <c r="E23" s="19">
        <f>LOOKUP(use_fish!B23,base_fish!A:A,base_fish!C:C)+_xlfn.IFNA(INDEX(activity!F:F,MATCH(use_fish!C23,activity!A:A,0)),0)</f>
        <v>60</v>
      </c>
      <c r="F23" s="19">
        <f t="shared" si="3"/>
        <v>1.6666666666666666E-2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367</v>
      </c>
      <c r="E24" s="19">
        <f>LOOKUP(use_fish!B24,base_fish!A:A,base_fish!C:C)+_xlfn.IFNA(INDEX(activity!F:F,MATCH(use_fish!C24,activity!A:A,0)),0)</f>
        <v>60</v>
      </c>
      <c r="F24" s="19">
        <f t="shared" si="3"/>
        <v>1.6666666666666666E-2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297</v>
      </c>
      <c r="F25" s="19" t="s">
        <v>322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323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368</v>
      </c>
      <c r="E26" s="19">
        <f>LOOKUP(use_fish!B26,base_fish!A:A,base_fish!C:C)+_xlfn.IFNA(INDEX(activity!F:F,MATCH(use_fish!C26,activity!A:A,0)),0)</f>
        <v>80</v>
      </c>
      <c r="F26" s="19">
        <f t="shared" si="3"/>
        <v>1.2500000000000001E-2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si="4"/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368</v>
      </c>
      <c r="E27" s="19">
        <f>LOOKUP(use_fish!B27,base_fish!A:A,base_fish!C:C)+_xlfn.IFNA(INDEX(activity!F:F,MATCH(use_fish!C27,activity!A:A,0)),0)</f>
        <v>100</v>
      </c>
      <c r="F27" s="19">
        <f t="shared" si="3"/>
        <v>0.01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366</v>
      </c>
      <c r="E28" s="19">
        <f>LOOKUP(use_fish!B28,base_fish!A:A,base_fish!C:C)+_xlfn.IFNA(INDEX(activity!F:F,MATCH(use_fish!C28,activity!A:A,0)),0)</f>
        <v>100</v>
      </c>
      <c r="F28" s="19">
        <f t="shared" si="3"/>
        <v>0.01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5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6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5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6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5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6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5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6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300</v>
      </c>
      <c r="F33" s="23">
        <f t="shared" ref="F33:F39" si="7">1/E33</f>
        <v>3.3333333333333335E-3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宝藏章鱼+幸运转盘</v>
      </c>
      <c r="I33" s="23">
        <f>LOOKUP(use_fish!B33,base_fish!A:A,base_fish!F:F)+_xlfn.IFNA(INDEX(activity!F:F,MATCH(use_fish!C33,activity!A:A,0)),0)</f>
        <v>300</v>
      </c>
      <c r="J33" s="25">
        <v>1</v>
      </c>
      <c r="K33" s="25">
        <f>LOOKUP(use_fish!B33,base_fish!A:A,base_fish!G:G)</f>
        <v>0</v>
      </c>
      <c r="L33" s="25">
        <f t="shared" ref="L33:L39" si="8">I33</f>
        <v>300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7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8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7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50</v>
      </c>
      <c r="J35" s="25">
        <v>1</v>
      </c>
      <c r="K35" s="25">
        <f>LOOKUP(use_fish!B35,base_fish!A:A,base_fish!G:G)</f>
        <v>0</v>
      </c>
      <c r="L35" s="25">
        <f t="shared" si="8"/>
        <v>50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7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金龙转盘+幸运转盘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8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7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8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8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/>
      <c r="D39" s="30" t="s">
        <v>369</v>
      </c>
      <c r="E39" s="32">
        <f>LOOKUP(use_fish!B39,base_fish!A:A,base_fish!C:C)+_xlfn.IFNA(INDEX(activity!F:F,MATCH(use_fish!C39,activity!A:A,0)),0)</f>
        <v>100</v>
      </c>
      <c r="F39" s="32">
        <f t="shared" si="7"/>
        <v>0.01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</v>
      </c>
      <c r="I39" s="32">
        <f>LOOKUP(use_fish!B39,base_fish!A:A,base_fish!F:F)+_xlfn.IFNA(INDEX(activity!F:F,MATCH(use_fish!C39,activity!A:A,0)),0)</f>
        <v>100</v>
      </c>
      <c r="J39" s="31">
        <v>2</v>
      </c>
      <c r="K39" s="31">
        <f>LOOKUP(use_fish!B39,base_fish!A:A,base_fish!G:G)</f>
        <v>0</v>
      </c>
      <c r="L39" s="31">
        <f t="shared" si="8"/>
        <v>100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/>
      <c r="D40" s="30" t="s">
        <v>370</v>
      </c>
      <c r="E40" s="32">
        <f>LOOKUP(use_fish!B40,base_fish!A:A,base_fish!C:C)+_xlfn.IFNA(INDEX(activity!F:F,MATCH(use_fish!C40,activity!A:A,0)),0)</f>
        <v>100</v>
      </c>
      <c r="F40" s="32">
        <f t="shared" ref="F40:F44" si="9">1/E40</f>
        <v>0.01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</v>
      </c>
      <c r="I40" s="32">
        <f>LOOKUP(use_fish!B40,base_fish!A:A,base_fish!F:F)+_xlfn.IFNA(INDEX(activity!F:F,MATCH(use_fish!C40,activity!A:A,0)),0)</f>
        <v>100</v>
      </c>
      <c r="J40" s="31">
        <v>1</v>
      </c>
      <c r="K40" s="31">
        <f>LOOKUP(use_fish!B40,base_fish!A:A,base_fish!G:G)</f>
        <v>0</v>
      </c>
      <c r="L40" s="31">
        <f t="shared" ref="L40:L45" si="10">I40</f>
        <v>100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/>
      <c r="D41" s="30" t="s">
        <v>371</v>
      </c>
      <c r="E41" s="32">
        <f>LOOKUP(use_fish!B41,base_fish!A:A,base_fish!C:C)+_xlfn.IFNA(INDEX(activity!F:F,MATCH(use_fish!C41,activity!A:A,0)),0)</f>
        <v>300</v>
      </c>
      <c r="F41" s="32">
        <f t="shared" si="9"/>
        <v>3.3333333333333335E-3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</v>
      </c>
      <c r="I41" s="32">
        <f>LOOKUP(use_fish!B41,base_fish!A:A,base_fish!F:F)+_xlfn.IFNA(INDEX(activity!F:F,MATCH(use_fish!C41,activity!A:A,0)),0)</f>
        <v>300</v>
      </c>
      <c r="J41" s="31">
        <v>1</v>
      </c>
      <c r="K41" s="31">
        <f>LOOKUP(use_fish!B41,base_fish!A:A,base_fish!G:G)</f>
        <v>0</v>
      </c>
      <c r="L41" s="31">
        <f t="shared" si="10"/>
        <v>300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/>
      <c r="D42" s="30" t="s">
        <v>370</v>
      </c>
      <c r="E42" s="32">
        <f>LOOKUP(use_fish!B42,base_fish!A:A,base_fish!C:C)+_xlfn.IFNA(INDEX(activity!F:F,MATCH(use_fish!C42,activity!A:A,0)),0)</f>
        <v>200</v>
      </c>
      <c r="F42" s="32">
        <f t="shared" si="9"/>
        <v>5.0000000000000001E-3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</v>
      </c>
      <c r="I42" s="32">
        <f>LOOKUP(use_fish!B42,base_fish!A:A,base_fish!F:F)+_xlfn.IFNA(INDEX(activity!F:F,MATCH(use_fish!C42,activity!A:A,0)),0)</f>
        <v>200</v>
      </c>
      <c r="J42" s="31">
        <v>1</v>
      </c>
      <c r="K42" s="31">
        <f>LOOKUP(use_fish!B42,base_fish!A:A,base_fish!G:G)</f>
        <v>0</v>
      </c>
      <c r="L42" s="31">
        <f t="shared" si="10"/>
        <v>200</v>
      </c>
      <c r="M42" s="31">
        <v>1</v>
      </c>
      <c r="N42" s="31">
        <v>2</v>
      </c>
      <c r="O42" s="31">
        <v>1</v>
      </c>
    </row>
    <row r="43" spans="1:15" s="31" customFormat="1" x14ac:dyDescent="0.2">
      <c r="A43" s="30">
        <v>42</v>
      </c>
      <c r="B43" s="30">
        <v>42</v>
      </c>
      <c r="C43" s="30"/>
      <c r="D43" s="30"/>
      <c r="E43" s="32">
        <f>LOOKUP(use_fish!B43,base_fish!A:A,base_fish!C:C)+_xlfn.IFNA(INDEX(activity!F:F,MATCH(use_fish!C43,activity!A:A,0)),0)</f>
        <v>0</v>
      </c>
      <c r="F43" s="32">
        <v>0</v>
      </c>
      <c r="G43" s="32" t="s">
        <v>17</v>
      </c>
      <c r="H43" s="33" t="str">
        <f>INDEX(base_fish!E:E,MATCH(use_fish!B43,base_fish!A:A,0))&amp;_xlfn.IFNA("+"&amp;INDEX(activity!G:G,MATCH(use_fish!C43,activity!A:A,0)),"")</f>
        <v>荧光女皇</v>
      </c>
      <c r="I43" s="32">
        <f>LOOKUP(use_fish!B43,base_fish!A:A,base_fish!F:F)+_xlfn.IFNA(INDEX(activity!F:F,MATCH(use_fish!C43,activity!A:A,0)),0)</f>
        <v>0</v>
      </c>
      <c r="J43" s="31">
        <v>1</v>
      </c>
      <c r="K43" s="31">
        <f>LOOKUP(use_fish!B43,base_fish!A:A,base_fish!G:G)</f>
        <v>0</v>
      </c>
      <c r="L43" s="31">
        <f t="shared" si="10"/>
        <v>0</v>
      </c>
      <c r="M43" s="31">
        <v>1</v>
      </c>
      <c r="N43" s="31">
        <v>2</v>
      </c>
      <c r="O43" s="31">
        <v>1</v>
      </c>
    </row>
    <row r="44" spans="1:15" s="31" customFormat="1" x14ac:dyDescent="0.2">
      <c r="A44" s="30">
        <v>43</v>
      </c>
      <c r="B44" s="30">
        <v>43</v>
      </c>
      <c r="C44" s="30"/>
      <c r="D44" s="30" t="s">
        <v>371</v>
      </c>
      <c r="E44" s="32">
        <f>LOOKUP(use_fish!B44,base_fish!A:A,base_fish!C:C)+_xlfn.IFNA(INDEX(activity!F:F,MATCH(use_fish!C44,activity!A:A,0)),0)</f>
        <v>200</v>
      </c>
      <c r="F44" s="32">
        <f t="shared" si="9"/>
        <v>5.0000000000000001E-3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</v>
      </c>
      <c r="I44" s="32">
        <f>LOOKUP(use_fish!B44,base_fish!A:A,base_fish!F:F)+_xlfn.IFNA(INDEX(activity!F:F,MATCH(use_fish!C44,activity!A:A,0)),0)</f>
        <v>200</v>
      </c>
      <c r="J44" s="31">
        <v>1</v>
      </c>
      <c r="K44" s="31">
        <f>LOOKUP(use_fish!B44,base_fish!A:A,base_fish!G:G)</f>
        <v>0</v>
      </c>
      <c r="L44" s="31">
        <f t="shared" si="10"/>
        <v>200</v>
      </c>
      <c r="M44" s="31">
        <v>1</v>
      </c>
      <c r="N44" s="31">
        <v>2</v>
      </c>
      <c r="O44" s="31">
        <v>1</v>
      </c>
    </row>
    <row r="45" spans="1:15" s="31" customFormat="1" x14ac:dyDescent="0.2">
      <c r="A45" s="30">
        <v>44</v>
      </c>
      <c r="B45" s="30">
        <v>44</v>
      </c>
      <c r="C45" s="30"/>
      <c r="D45" s="30"/>
      <c r="E45" s="32">
        <f>LOOKUP(use_fish!B45,base_fish!A:A,base_fish!C:C)+_xlfn.IFNA(INDEX(activity!F:F,MATCH(use_fish!C45,activity!A:A,0)),0)</f>
        <v>0</v>
      </c>
      <c r="F45" s="32">
        <v>0</v>
      </c>
      <c r="G45" s="32" t="s">
        <v>17</v>
      </c>
      <c r="H45" s="33" t="str">
        <f>INDEX(base_fish!E:E,MATCH(use_fish!B45,base_fish!A:A,0))&amp;_xlfn.IFNA("+"&amp;INDEX(activity!G:G,MATCH(use_fish!C45,activity!A:A,0)),"")</f>
        <v>麒麟兽</v>
      </c>
      <c r="I45" s="32">
        <f>LOOKUP(use_fish!B45,base_fish!A:A,base_fish!F:F)+_xlfn.IFNA(INDEX(activity!F:F,MATCH(use_fish!C45,activity!A:A,0)),0)</f>
        <v>0</v>
      </c>
      <c r="J45" s="31">
        <v>2</v>
      </c>
      <c r="K45" s="31">
        <f>LOOKUP(use_fish!B45,base_fish!A:A,base_fish!G:G)</f>
        <v>0</v>
      </c>
      <c r="L45" s="31">
        <f t="shared" si="10"/>
        <v>0</v>
      </c>
      <c r="M45" s="31">
        <v>2</v>
      </c>
      <c r="N45" s="31">
        <v>2</v>
      </c>
      <c r="O45" s="31">
        <v>1</v>
      </c>
    </row>
    <row r="46" spans="1:15" s="31" customFormat="1" x14ac:dyDescent="0.2">
      <c r="A46" s="30">
        <v>45</v>
      </c>
      <c r="B46" s="30">
        <v>45</v>
      </c>
      <c r="C46" s="30"/>
      <c r="D46" s="30"/>
      <c r="E46" s="32">
        <f>LOOKUP(use_fish!B46,base_fish!A:A,base_fish!C:C)+_xlfn.IFNA(INDEX(activity!F:F,MATCH(use_fish!C46,activity!A:A,0)),0)</f>
        <v>0</v>
      </c>
      <c r="F46" s="32">
        <v>0</v>
      </c>
      <c r="G46" s="32" t="s">
        <v>17</v>
      </c>
      <c r="H46" s="33" t="str">
        <f>INDEX(base_fish!E:E,MATCH(use_fish!B46,base_fish!A:A,0))&amp;_xlfn.IFNA("+"&amp;INDEX(activity!G:G,MATCH(use_fish!C46,activity!A:A,0)),"")</f>
        <v>海盗船</v>
      </c>
      <c r="I46" s="32">
        <f>LOOKUP(use_fish!B46,base_fish!A:A,base_fish!F:F)+_xlfn.IFNA(INDEX(activity!F:F,MATCH(use_fish!C46,activity!A:A,0)),0)</f>
        <v>0</v>
      </c>
      <c r="J46" s="31">
        <v>1</v>
      </c>
      <c r="K46" s="31">
        <f>LOOKUP(use_fish!B46,base_fish!A:A,base_fish!G:G)</f>
        <v>0</v>
      </c>
      <c r="L46" s="31">
        <f t="shared" ref="L46:L50" si="11">I46</f>
        <v>0</v>
      </c>
      <c r="M46" s="31">
        <v>1</v>
      </c>
      <c r="N46" s="31">
        <v>2</v>
      </c>
      <c r="O46" s="3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369</v>
      </c>
      <c r="E47" s="36">
        <f>LOOKUP(use_fish!B47,base_fish!A:A,base_fish!C:C)+_xlfn.IFNA(INDEX(activity!F:F,MATCH(use_fish!C47,activity!A:A,0)),0)</f>
        <v>200</v>
      </c>
      <c r="F47" s="36">
        <f t="shared" ref="F47:F50" si="12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1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372</v>
      </c>
      <c r="E48" s="36">
        <f>LOOKUP(use_fish!B48,base_fish!A:A,base_fish!C:C)+_xlfn.IFNA(INDEX(activity!F:F,MATCH(use_fish!C48,activity!A:A,0)),0)</f>
        <v>300</v>
      </c>
      <c r="F48" s="36">
        <f t="shared" si="12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1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373</v>
      </c>
      <c r="E49" s="36">
        <f>LOOKUP(use_fish!B49,base_fish!A:A,base_fish!C:C)+_xlfn.IFNA(INDEX(activity!F:F,MATCH(use_fish!C49,activity!A:A,0)),0)</f>
        <v>400</v>
      </c>
      <c r="F49" s="36">
        <f t="shared" si="12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1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374</v>
      </c>
      <c r="E50" s="36">
        <f>LOOKUP(use_fish!B50,base_fish!A:A,base_fish!C:C)+_xlfn.IFNA(INDEX(activity!F:F,MATCH(use_fish!C50,activity!A:A,0)),0)</f>
        <v>400</v>
      </c>
      <c r="F50" s="36">
        <f t="shared" si="12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1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314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0"/>
  <sheetViews>
    <sheetView topLeftCell="A10" workbookViewId="0">
      <selection activeCell="C31" sqref="C31:G40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166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246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247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312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189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190</v>
      </c>
    </row>
    <row r="18" spans="1:9" x14ac:dyDescent="0.2">
      <c r="A18">
        <v>17</v>
      </c>
      <c r="B18">
        <v>10</v>
      </c>
      <c r="C18" s="7" t="s">
        <v>325</v>
      </c>
      <c r="D18" s="4">
        <v>0</v>
      </c>
      <c r="E18" s="4">
        <v>0</v>
      </c>
      <c r="F18">
        <v>150</v>
      </c>
      <c r="G18" t="s">
        <v>326</v>
      </c>
      <c r="H18">
        <v>22</v>
      </c>
      <c r="I18" t="s">
        <v>194</v>
      </c>
    </row>
    <row r="19" spans="1:9" x14ac:dyDescent="0.2">
      <c r="A19">
        <v>18</v>
      </c>
      <c r="B19">
        <v>18</v>
      </c>
      <c r="C19" t="s">
        <v>327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344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196</v>
      </c>
    </row>
    <row r="21" spans="1:9" x14ac:dyDescent="0.2">
      <c r="A21">
        <v>20</v>
      </c>
      <c r="B21">
        <v>19</v>
      </c>
      <c r="C21" t="s">
        <v>328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197</v>
      </c>
    </row>
    <row r="22" spans="1:9" x14ac:dyDescent="0.2">
      <c r="A22">
        <v>21</v>
      </c>
      <c r="B22">
        <v>20</v>
      </c>
      <c r="C22" s="11" t="s">
        <v>329</v>
      </c>
      <c r="D22" s="4">
        <v>0</v>
      </c>
      <c r="E22" s="4">
        <v>0</v>
      </c>
      <c r="F22">
        <v>50</v>
      </c>
      <c r="G22" t="s">
        <v>330</v>
      </c>
      <c r="H22">
        <v>26</v>
      </c>
      <c r="I22" t="s">
        <v>207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331</v>
      </c>
      <c r="H23">
        <v>27</v>
      </c>
      <c r="I23" t="s">
        <v>208</v>
      </c>
    </row>
    <row r="24" spans="1:9" x14ac:dyDescent="0.2">
      <c r="A24">
        <v>23</v>
      </c>
      <c r="B24">
        <v>20</v>
      </c>
      <c r="C24" s="11" t="s">
        <v>324</v>
      </c>
      <c r="D24" s="4">
        <v>0</v>
      </c>
      <c r="E24" s="4">
        <v>0</v>
      </c>
      <c r="F24">
        <v>250</v>
      </c>
      <c r="G24" t="s">
        <v>332</v>
      </c>
      <c r="H24">
        <v>28</v>
      </c>
      <c r="I24" t="s">
        <v>206</v>
      </c>
    </row>
    <row r="25" spans="1:9" x14ac:dyDescent="0.2">
      <c r="A25">
        <v>24</v>
      </c>
      <c r="B25">
        <v>20</v>
      </c>
      <c r="C25" s="11" t="s">
        <v>333</v>
      </c>
      <c r="D25" s="4">
        <v>0</v>
      </c>
      <c r="E25" s="4">
        <v>0</v>
      </c>
      <c r="F25">
        <v>450</v>
      </c>
      <c r="G25" t="s">
        <v>334</v>
      </c>
      <c r="H25">
        <v>29</v>
      </c>
      <c r="I25" t="s">
        <v>205</v>
      </c>
    </row>
    <row r="26" spans="1:9" x14ac:dyDescent="0.2">
      <c r="A26">
        <v>25</v>
      </c>
      <c r="B26">
        <v>21</v>
      </c>
      <c r="C26" s="11" t="s">
        <v>335</v>
      </c>
      <c r="D26" s="4">
        <v>0</v>
      </c>
      <c r="E26" s="4">
        <v>0</v>
      </c>
      <c r="F26">
        <v>10</v>
      </c>
      <c r="G26" t="s">
        <v>191</v>
      </c>
      <c r="H26">
        <v>30</v>
      </c>
      <c r="I26" t="s">
        <v>309</v>
      </c>
    </row>
    <row r="27" spans="1:9" x14ac:dyDescent="0.2">
      <c r="A27">
        <v>26</v>
      </c>
      <c r="B27">
        <v>21</v>
      </c>
      <c r="C27" s="11" t="s">
        <v>336</v>
      </c>
      <c r="D27" s="4">
        <v>0</v>
      </c>
      <c r="E27" s="4">
        <v>0</v>
      </c>
      <c r="F27">
        <v>50</v>
      </c>
      <c r="G27" t="s">
        <v>192</v>
      </c>
      <c r="H27">
        <v>31</v>
      </c>
      <c r="I27" t="s">
        <v>316</v>
      </c>
    </row>
    <row r="28" spans="1:9" x14ac:dyDescent="0.2">
      <c r="A28">
        <v>27</v>
      </c>
      <c r="B28">
        <v>21</v>
      </c>
      <c r="C28" s="11" t="s">
        <v>337</v>
      </c>
      <c r="D28" s="4">
        <v>0</v>
      </c>
      <c r="E28" s="4">
        <v>0</v>
      </c>
      <c r="F28">
        <v>100</v>
      </c>
      <c r="G28" t="s">
        <v>338</v>
      </c>
      <c r="H28">
        <v>32</v>
      </c>
      <c r="I28" t="s">
        <v>317</v>
      </c>
    </row>
    <row r="29" spans="1:9" x14ac:dyDescent="0.2">
      <c r="A29">
        <v>28</v>
      </c>
      <c r="B29">
        <v>22</v>
      </c>
      <c r="C29" s="11" t="s">
        <v>339</v>
      </c>
      <c r="D29" s="4">
        <v>0</v>
      </c>
      <c r="E29" s="4">
        <v>0</v>
      </c>
      <c r="F29">
        <v>100</v>
      </c>
      <c r="G29" t="s">
        <v>340</v>
      </c>
      <c r="H29">
        <v>33</v>
      </c>
      <c r="I29" t="s">
        <v>318</v>
      </c>
    </row>
    <row r="30" spans="1:9" x14ac:dyDescent="0.2">
      <c r="A30">
        <v>29</v>
      </c>
      <c r="B30">
        <v>23</v>
      </c>
      <c r="C30" t="s">
        <v>341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345</v>
      </c>
    </row>
    <row r="31" spans="1:9" x14ac:dyDescent="0.2">
      <c r="A31">
        <v>30</v>
      </c>
      <c r="B31">
        <v>24</v>
      </c>
      <c r="C31" s="11" t="s">
        <v>351</v>
      </c>
      <c r="D31" s="4">
        <v>0</v>
      </c>
      <c r="E31" s="4">
        <v>0</v>
      </c>
      <c r="F31">
        <v>300</v>
      </c>
      <c r="G31" t="s">
        <v>352</v>
      </c>
      <c r="H31">
        <v>39</v>
      </c>
      <c r="I31" t="s">
        <v>346</v>
      </c>
    </row>
    <row r="32" spans="1:9" x14ac:dyDescent="0.2">
      <c r="A32">
        <v>31</v>
      </c>
      <c r="B32">
        <v>25</v>
      </c>
      <c r="C32" t="s">
        <v>353</v>
      </c>
      <c r="D32" s="4">
        <v>1</v>
      </c>
      <c r="E32" s="4">
        <v>0</v>
      </c>
      <c r="F32">
        <v>200</v>
      </c>
      <c r="G32" t="str">
        <f>LOOKUP(B32,H:H,I:I)</f>
        <v>电磁弹</v>
      </c>
    </row>
    <row r="33" spans="1:7" x14ac:dyDescent="0.2">
      <c r="A33">
        <v>32</v>
      </c>
      <c r="B33">
        <v>28</v>
      </c>
      <c r="C33" s="11" t="s">
        <v>354</v>
      </c>
      <c r="D33" s="4">
        <v>0</v>
      </c>
      <c r="E33" s="4">
        <v>0</v>
      </c>
      <c r="F33">
        <v>300</v>
      </c>
      <c r="G33" t="s">
        <v>352</v>
      </c>
    </row>
    <row r="34" spans="1:7" x14ac:dyDescent="0.2">
      <c r="A34">
        <v>33</v>
      </c>
      <c r="B34">
        <v>29</v>
      </c>
      <c r="C34" t="s">
        <v>354</v>
      </c>
      <c r="D34" s="4">
        <v>0</v>
      </c>
      <c r="E34" s="4">
        <v>0</v>
      </c>
      <c r="F34">
        <v>300</v>
      </c>
      <c r="G34" t="s">
        <v>355</v>
      </c>
    </row>
    <row r="35" spans="1:7" x14ac:dyDescent="0.2">
      <c r="A35">
        <v>34</v>
      </c>
      <c r="B35">
        <v>30</v>
      </c>
      <c r="C35" s="11" t="s">
        <v>356</v>
      </c>
      <c r="D35" s="4">
        <v>0</v>
      </c>
      <c r="E35" s="4">
        <v>0</v>
      </c>
      <c r="F35">
        <v>150</v>
      </c>
      <c r="G35" t="s">
        <v>357</v>
      </c>
    </row>
    <row r="36" spans="1:7" x14ac:dyDescent="0.2">
      <c r="A36">
        <v>35</v>
      </c>
      <c r="B36">
        <v>31</v>
      </c>
      <c r="C36" t="s">
        <v>358</v>
      </c>
      <c r="D36" s="4">
        <v>0</v>
      </c>
      <c r="E36" s="4">
        <v>0</v>
      </c>
      <c r="F36">
        <v>200</v>
      </c>
      <c r="G36" t="str">
        <f t="shared" ref="G36" si="2">LOOKUP(B36,H:H,I:I)</f>
        <v>连环炸弹</v>
      </c>
    </row>
    <row r="37" spans="1:7" x14ac:dyDescent="0.2">
      <c r="A37">
        <v>36</v>
      </c>
      <c r="B37">
        <v>32</v>
      </c>
      <c r="C37" s="11" t="s">
        <v>349</v>
      </c>
      <c r="D37" s="4">
        <v>0</v>
      </c>
      <c r="E37" s="4">
        <v>0</v>
      </c>
      <c r="F37">
        <v>300</v>
      </c>
      <c r="G37" t="s">
        <v>359</v>
      </c>
    </row>
    <row r="38" spans="1:7" x14ac:dyDescent="0.2">
      <c r="A38">
        <v>37</v>
      </c>
      <c r="B38">
        <v>33</v>
      </c>
      <c r="C38" t="s">
        <v>360</v>
      </c>
      <c r="D38" s="4">
        <v>0</v>
      </c>
      <c r="E38" s="4">
        <v>0</v>
      </c>
      <c r="F38">
        <v>200</v>
      </c>
      <c r="G38" t="s">
        <v>361</v>
      </c>
    </row>
    <row r="39" spans="1:7" x14ac:dyDescent="0.2">
      <c r="A39">
        <v>38</v>
      </c>
      <c r="B39">
        <v>38</v>
      </c>
      <c r="C39" t="s">
        <v>362</v>
      </c>
      <c r="D39" s="4">
        <v>0</v>
      </c>
      <c r="E39" s="4">
        <v>0</v>
      </c>
      <c r="F39">
        <v>250</v>
      </c>
      <c r="G39" t="s">
        <v>363</v>
      </c>
    </row>
    <row r="40" spans="1:7" x14ac:dyDescent="0.2">
      <c r="A40">
        <v>39</v>
      </c>
      <c r="B40">
        <v>39</v>
      </c>
      <c r="C40" t="s">
        <v>350</v>
      </c>
      <c r="D40" s="4">
        <v>0</v>
      </c>
      <c r="E40" s="4">
        <v>0</v>
      </c>
      <c r="F40">
        <v>250</v>
      </c>
      <c r="G40" t="s">
        <v>364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3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214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215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216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217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148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218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219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220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221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222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223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147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224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225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226</v>
      </c>
      <c r="F17" s="15">
        <f t="shared" si="1"/>
        <v>35</v>
      </c>
      <c r="G17" s="15">
        <v>0</v>
      </c>
      <c r="H17" s="15" t="s">
        <v>198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149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243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227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228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229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348</v>
      </c>
      <c r="D25" s="15" t="s">
        <v>320</v>
      </c>
      <c r="E25" s="17" t="s">
        <v>230</v>
      </c>
      <c r="F25" s="15" t="s">
        <v>321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151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150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231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154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153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155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157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248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152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232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233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234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213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156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235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307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236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237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238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239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240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151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308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241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242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315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2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B7" sqref="B7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319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2020-06-17T09:19:20Z</dcterms:modified>
</cp:coreProperties>
</file>