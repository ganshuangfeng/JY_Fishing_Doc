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6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<sst xmlns="http://schemas.openxmlformats.org/spreadsheetml/2006/main" count="480" uniqueCount="375">
  <si>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</si>
  <si>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</si>
  <si>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</si>
  <si>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</si>
  <si>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</si>
  <si>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</si>
  <si>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</si>
  <si>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</si>
  <si>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</si>
  <si>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</si>
  <si>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</si>
  <si>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</si>
  <si>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</si>
  <si>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</si>
  <si>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</si>
  <si>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</si>
  <si>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</si>
  <si>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</si>
  <si>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</si>
  <si>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</si>
  <si>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</si>
  <si>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</si>
  <si>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</si>
  <si>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</si>
  <si>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</si>
  <si>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</si>
  <si>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</si>
  <si>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</si>
  <si>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</si>
  <si>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</si>
  <si>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</si>
  <si>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</si>
  <si>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</si>
  <si>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</si>
  <si>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</si>
  <si>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</si>
  <si>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</si>
  <si>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</si>
  <si>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</si>
  <si>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</si>
  <si>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</si>
  <si>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</si>
  <si>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</si>
  <si>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</si>
  <si>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</si>
  <si>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</si>
  <si>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</si>
  <si>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</si>
  <si>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</si>
  <si>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</si>
  <si>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</si>
  <si>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</si>
  <si>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</si>
  <si>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</si>
  <si>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</si>
  <si>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</si>
  <si>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</si>
  <si>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</si>
  <si>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</si>
  <si>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</si>
  <si>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</si>
  <si>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</si>
  <si>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</si>
  <si>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</si>
  <si>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</si>
  <si>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</si>
  <si>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</si>
  <si>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</si>
  <si>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</si>
  <si>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</si>
  <si>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</si>
  <si>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</si>
  <si>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</si>
  <si>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</si>
  <si>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</si>
  <si>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</si>
  <si>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</si>
  <si>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</si>
  <si>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</si>
  <si>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</si>
  <si>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</si>
  <si>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</si>
  <si>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</si>
  <si>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</si>
  <si>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</si>
  <si>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</si>
  <si>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</si>
  <si>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</si>
  <si>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</si>
  <si>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</si>
  <si>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</si>
  <si>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</si>
  <si>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</si>
  <si>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</si>
  <si>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</si>
  <si>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</si>
  <si>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</si>
  <si>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</si>
  <si>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</si>
  <si>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</si>
  <si>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</si>
  <si>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</si>
  <si>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</si>
  <si>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</si>
  <si>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</si>
  <si>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</si>
  <si>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</si>
  <si>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</si>
  <si>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</si>
  <si>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</si>
  <si>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</si>
  <si>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</si>
  <si>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</si>
  <si>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</si>
  <si>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</si>
  <si>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</si>
  <si>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</si>
  <si>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</si>
  <si>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</si>
  <si>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</si>
  <si>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</si>
  <si>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</si>
  <si>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</si>
  <si>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</si>
  <si>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</si>
  <si>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</si>
  <si>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</si>
  <si>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</si>
  <si>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</si>
  <si>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</si>
  <si>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</si>
  <si>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</si>
  <si>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</si>
  <si>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</si>
  <si>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</si>
  <si>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</si>
  <si>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</si>
  <si>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</si>
  <si>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</si>
  <si>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</si>
  <si>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</si>
  <si>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</si>
  <si>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</si>
  <si>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</si>
  <si>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</si>
  <si>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</si>
  <si>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</si>
  <si>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</si>
  <si>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</si>
  <si>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</si>
  <si>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</si>
  <si>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</si>
  <si>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</si>
  <si>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</si>
  <si>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</si>
  <si>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</si>
  <si>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</si>
  <si>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</si>
  <si>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</si>
  <si>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</si>
  <si>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</si>
  <si>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</si>
  <si>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</si>
  <si>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</si>
  <si>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</si>
  <si>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</si>
  <si>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</si>
  <si>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</si>
  <si>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</si>
  <si>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</si>
  <si>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</si>
  <si>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</si>
  <si>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</si>
  <si>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</si>
  <si>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</si>
  <si>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</si>
  <si>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</si>
  <si>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</si>
  <si>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</si>
  <si>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</si>
  <si>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</si>
  <si>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</si>
  <si>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</si>
  <si>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</si>
  <si>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</si>
  <si>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</si>
  <si>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</si>
  <si>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</si>
  <si>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</si>
  <si>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</si>
  <si>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</si>
  <si>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</si>
  <si>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</si>
  <si>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</si>
  <si>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</si>
  <si>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</si>
  <si>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</si>
  <si>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</si>
  <si>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</si>
  <si>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</si>
  <si>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</si>
  <si>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</si>
  <si>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</si>
  <si>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</si>
  <si>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</si>
  <si>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</si>
  <si>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</si>
  <si>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</si>
  <si>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</si>
  <si>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</si>
  <si>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</si>
  <si>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</si>
  <si>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</si>
  <si>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</si>
  <si>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</si>
  <si>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</si>
  <si>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</si>
  <si>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</si>
  <si>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</si>
  <si>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</si>
  <si>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</si>
  <si>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</si>
  <si>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</si>
  <si>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</si>
  <si>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</si>
  <si>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</si>
  <si>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</si>
  <si>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</si>
  <si>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</si>
  <si>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</si>
  <si>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</si>
  <si>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</si>
  <si>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</si>
  <si>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</si>
  <si>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</si>
  <si>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</si>
  <si>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</si>
  <si>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</si>
  <si>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</si>
  <si>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</si>
  <si>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</si>
  <si>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</si>
  <si>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</si>
  <si>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</si>
  <si>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</si>
  <si>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</si>
  <si>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</si>
  <si>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</si>
  <si>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</si>
  <si>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</si>
  <si>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</si>
  <si>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</si>
  <si>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</si>
  <si>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</si>
  <si>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</si>
  <si>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</si>
  <si>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</si>
  <si>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</si>
  <si>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</si>
  <si>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</si>
  <si>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</si>
  <si>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</si>
  <si>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</si>
  <si>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</si>
  <si>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</si>
  <si>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</si>
  <si>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</si>
  <si>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</si>
  <si>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</si>
  <si>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</si>
  <si>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</si>
  <si>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</si>
  <si>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</si>
  <si>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</si>
  <si>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</si>
  <si>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</si>
  <si>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</si>
  <si>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</si>
  <si>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</si>
  <si>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</si>
  <si>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</si>
  <si>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</si>
  <si>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</si>
  <si>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</si>
  <si>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</si>
  <si>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</si>
  <si>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</si>
  <si>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</si>
  <si>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</si>
  <si>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</si>
  <si>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</si>
  <si>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</si>
  <si>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</si>
  <si>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</si>
  <si>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</si>
  <si>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</si>
  <si>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</si>
  <si>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</si>
  <si>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</si>
  <si>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</si>
  <si>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</si>
  <si>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</si>
  <si>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</si>
  <si>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</si>
  <si>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</si>
  <si>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</si>
  <si>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</si>
  <si>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</si>
  <si>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</si>
  <si>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</si>
  <si>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</si>
  <si>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</si>
  <si>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</si>
  <si>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</si>
  <si>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</si>
  <si>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</si>
  <si>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</si>
  <si>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</si>
  <si>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</si>
  <si>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</si>
  <si>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</si>
  <si>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</si>
  <si>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</si>
  <si>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</si>
  <si>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</si>
  <si>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</si>
  <si>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</si>
  <si>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</si>
  <si>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</si>
  <si>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</si>
  <si>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</si>
  <si>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</si>
  <si>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</si>
  <si>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</si>
  <si>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</si>
  <si>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</si>
  <si>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</si>
  <si>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</si>
  <si>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</si>
  <si>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</si>
  <si>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</si>
  <si>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</si>
  <si>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</si>
  <si>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</si>
  <si>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</si>
  <si>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</si>
  <si>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</si>
  <si>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</si>
  <si>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</si>
  <si>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1,500,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</si>
  <si>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</si>
  <si>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</si>
  <si>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</si>
  <si>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</si>
  <si>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</si>
  <si>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</si>
  <si>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200,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</si>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</sst>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E15" sqref="E15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0.01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0.01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0.01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0.01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0.01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0.01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0.01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0.01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0.01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0.01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2.5000000000000001E-2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2.5000000000000001E-2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2.5000000000000001E-2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2.5000000000000001E-2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2.5000000000000001E-2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2.5000000000000001E-2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2.5000000000000001E-2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2.5000000000000001E-2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2.5000000000000001E-2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2.5000000000000001E-2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2.9000000000000001E-2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2.9000000000000001E-2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2.9000000000000001E-2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2.9000000000000001E-2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2.9000000000000001E-2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2.9000000000000001E-2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2.9000000000000001E-2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2.9000000000000001E-2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2.9000000000000001E-2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2.9000000000000001E-2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2.9000000000000001E-2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2.9000000000000001E-2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2.9000000000000001E-2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2.9000000000000001E-2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2.9000000000000001E-2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2.9000000000000001E-2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2.9000000000000001E-2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2.9000000000000001E-2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2.9000000000000001E-2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2.9000000000000001E-2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310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313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342</v>
      </c>
      <c r="I39" s="19" t="s">
        <v>343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303</v>
      </c>
      <c r="G65" s="45" t="s">
        <v>304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305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306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tabSelected="1" zoomScaleNormal="100" workbookViewId="0">
      <pane ySplit="1" topLeftCell="A17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365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366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367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297</v>
      </c>
      <c r="F25" s="19" t="s">
        <v>322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368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368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366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369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370</v>
      </c>
      <c r="E40" s="32">
        <f>LOOKUP(use_fish!B40,base_fish!A:A,base_fish!C:C)+_xlfn.IFNA(INDEX(activity!F:F,MATCH(use_fish!C40,activity!A:A,0)),0)</f>
        <v>100</v>
      </c>
      <c r="F40" s="32">
        <f t="shared" ref="F40:F45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371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370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371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369</v>
      </c>
      <c r="E47" s="36">
        <f>LOOKUP(use_fish!B47,base_fish!A:A,base_fish!C:C)+_xlfn.IFNA(INDEX(activity!F:F,MATCH(use_fish!C47,activity!A:A,0)),0)</f>
        <v>200</v>
      </c>
      <c r="F47" s="36">
        <f t="shared" ref="F46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372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373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374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312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326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344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329</v>
      </c>
      <c r="D22" s="4">
        <v>0</v>
      </c>
      <c r="E22" s="4">
        <v>0</v>
      </c>
      <c r="F22">
        <v>50</v>
      </c>
      <c r="G22" t="s">
        <v>330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331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324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333</v>
      </c>
      <c r="D25" s="4">
        <v>0</v>
      </c>
      <c r="E25" s="4">
        <v>0</v>
      </c>
      <c r="F25">
        <v>450</v>
      </c>
      <c r="G25" t="s">
        <v>334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316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317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318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351</v>
      </c>
      <c r="D31" s="4">
        <v>0</v>
      </c>
      <c r="E31" s="4">
        <v>0</v>
      </c>
      <c r="F31">
        <v>300</v>
      </c>
      <c r="G31" t="s">
        <v>352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353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354</v>
      </c>
      <c r="D33" s="4">
        <v>0</v>
      </c>
      <c r="E33" s="4">
        <v>0</v>
      </c>
      <c r="F33">
        <v>300</v>
      </c>
      <c r="G33" t="s">
        <v>352</v>
      </c>
    </row>
    <row r="34" spans="1:7" x14ac:dyDescent="0.2">
      <c r="A34">
        <v>33</v>
      </c>
      <c r="B34">
        <v>29</v>
      </c>
      <c r="C34" t="s">
        <v>354</v>
      </c>
      <c r="D34" s="4">
        <v>0</v>
      </c>
      <c r="E34" s="4">
        <v>0</v>
      </c>
      <c r="F34">
        <v>300</v>
      </c>
      <c r="G34" t="s">
        <v>355</v>
      </c>
    </row>
    <row r="35" spans="1:7" x14ac:dyDescent="0.2">
      <c r="A35">
        <v>34</v>
      </c>
      <c r="B35">
        <v>30</v>
      </c>
      <c r="C35" s="11" t="s">
        <v>356</v>
      </c>
      <c r="D35" s="4">
        <v>0</v>
      </c>
      <c r="E35" s="4">
        <v>0</v>
      </c>
      <c r="F35">
        <v>150</v>
      </c>
      <c r="G35" t="s">
        <v>357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349</v>
      </c>
      <c r="D37" s="4">
        <v>0</v>
      </c>
      <c r="E37" s="4">
        <v>0</v>
      </c>
      <c r="F37">
        <v>300</v>
      </c>
      <c r="G37" t="s">
        <v>359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361</v>
      </c>
    </row>
    <row r="39" spans="1:7" x14ac:dyDescent="0.2">
      <c r="A39">
        <v>38</v>
      </c>
      <c r="B39">
        <v>38</v>
      </c>
      <c r="C39" t="s">
        <v>362</v>
      </c>
      <c r="D39" s="4">
        <v>0</v>
      </c>
      <c r="E39" s="4">
        <v>0</v>
      </c>
      <c r="F39">
        <v>250</v>
      </c>
      <c r="G39" t="s">
        <v>363</v>
      </c>
    </row>
    <row r="40" spans="1:7" x14ac:dyDescent="0.2">
      <c r="A40">
        <v>39</v>
      </c>
      <c r="B40">
        <v>39</v>
      </c>
      <c r="C40" t="s">
        <v>350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320</v>
      </c>
      <c r="E25" s="17" t="s">
        <v>230</v>
      </c>
      <c r="F25" s="15" t="s">
        <v>321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2020-06-23T07:56:12Z</dcterms:modified>
</cp:coreProperties>
</file>