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2" i="5" l="1"/>
  <c r="K25" i="14" l="1"/>
  <c r="K26" i="14"/>
  <c r="K27" i="14"/>
  <c r="I61" i="7" l="1"/>
  <c r="H64" i="7"/>
  <c r="I64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H61" i="7" s="1"/>
  <c r="G36" i="5"/>
  <c r="G30" i="5"/>
  <c r="G21" i="5"/>
  <c r="G20" i="5"/>
  <c r="G19" i="5"/>
  <c r="I26" i="14" l="1"/>
  <c r="H25" i="14"/>
  <c r="H26" i="14"/>
  <c r="H27" i="14"/>
  <c r="H28" i="14"/>
  <c r="E26" i="14"/>
  <c r="J40" i="7"/>
  <c r="L25" i="14"/>
  <c r="J39" i="7"/>
  <c r="F26" i="1"/>
  <c r="D26" i="1"/>
  <c r="F26" i="14" l="1"/>
  <c r="H40" i="7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L10" i="14" l="1"/>
  <c r="I10" i="7"/>
  <c r="I9" i="7"/>
  <c r="H26" i="7"/>
  <c r="H30" i="7"/>
  <c r="H11" i="7"/>
  <c r="H12" i="7"/>
  <c r="H25" i="7"/>
  <c r="H24" i="7"/>
  <c r="H28" i="7"/>
  <c r="H17" i="7"/>
  <c r="H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E50" i="14"/>
  <c r="H63" i="7" s="1"/>
  <c r="K49" i="14"/>
  <c r="E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F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33" i="14" l="1"/>
  <c r="H47" i="7"/>
  <c r="F39" i="14"/>
  <c r="H53" i="7"/>
  <c r="L15" i="14"/>
  <c r="I29" i="7"/>
  <c r="H3" i="7"/>
  <c r="H5" i="7"/>
  <c r="H7" i="7"/>
  <c r="H2" i="7"/>
  <c r="H4" i="7"/>
  <c r="H6" i="7"/>
  <c r="L30" i="14"/>
  <c r="I44" i="7"/>
  <c r="I30" i="7"/>
  <c r="F37" i="14"/>
  <c r="H51" i="7"/>
  <c r="F43" i="14"/>
  <c r="H57" i="7"/>
  <c r="I11" i="7"/>
  <c r="I12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21" i="7"/>
  <c r="H66" i="7"/>
  <c r="H14" i="7"/>
  <c r="F35" i="14"/>
  <c r="H49" i="7"/>
  <c r="F41" i="14"/>
  <c r="H55" i="7"/>
  <c r="F45" i="14"/>
  <c r="H59" i="7"/>
  <c r="I27" i="7"/>
  <c r="I17" i="7"/>
  <c r="H13" i="7"/>
  <c r="H18" i="7"/>
  <c r="H20" i="7"/>
  <c r="H65" i="7"/>
  <c r="L17" i="14"/>
  <c r="I31" i="7"/>
  <c r="L29" i="14"/>
  <c r="I43" i="7"/>
  <c r="F49" i="14"/>
  <c r="H62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5" i="14"/>
  <c r="I49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19" i="7" l="1"/>
  <c r="I26" i="7"/>
  <c r="I23" i="7"/>
  <c r="L14" i="14"/>
  <c r="I25" i="7"/>
  <c r="I24" i="7"/>
  <c r="I28" i="7"/>
  <c r="L41" i="14"/>
  <c r="I55" i="7"/>
  <c r="L36" i="14"/>
  <c r="I50" i="7"/>
  <c r="L38" i="14"/>
  <c r="I52" i="7"/>
  <c r="I2" i="7"/>
  <c r="I3" i="7"/>
  <c r="I5" i="7"/>
  <c r="I7" i="7"/>
  <c r="I4" i="7"/>
  <c r="I6" i="7"/>
  <c r="I14" i="7"/>
  <c r="I21" i="7"/>
  <c r="I66" i="7"/>
  <c r="I20" i="7"/>
  <c r="I13" i="7"/>
  <c r="I18" i="7"/>
  <c r="I65" i="7"/>
  <c r="L18" i="14"/>
  <c r="I32" i="7"/>
  <c r="I67" i="7"/>
  <c r="I8" i="7"/>
  <c r="I16" i="7"/>
  <c r="I15" i="7"/>
  <c r="L43" i="14"/>
  <c r="I57" i="7"/>
  <c r="I22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<sst xmlns="http://schemas.openxmlformats.org/spreadsheetml/2006/main" count="479" uniqueCount="365">
  <si>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</si>
  <si>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</si>
  <si>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</si>
  <si>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</si>
  <si>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</si>
  <si>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</si>
  <si>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</si>
  <si>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</si>
  <si>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</si>
  <si>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</si>
  <si>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</si>
  <si>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</si>
  <si>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</si>
  <si>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</si>
  <si>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</si>
  <si>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</si>
  <si>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</si>
  <si>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</si>
  <si>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</si>
  <si>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</si>
  <si>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</si>
  <si>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</si>
  <si>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</si>
  <si>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</si>
  <si>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</si>
  <si>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</si>
  <si>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</si>
  <si>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</si>
  <si>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</si>
  <si>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</si>
  <si>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</si>
  <si>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</si>
  <si>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</si>
  <si>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</si>
  <si>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</si>
  <si>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</si>
  <si>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</si>
  <si>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</si>
  <si>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</si>
  <si>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</si>
  <si>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</si>
  <si>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</si>
  <si>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</si>
  <si>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</si>
  <si>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</si>
  <si>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</si>
  <si>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</si>
  <si>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</si>
  <si>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</si>
  <si>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</si>
  <si>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</si>
  <si>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</si>
  <si>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</si>
  <si>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</si>
  <si>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</si>
  <si>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</si>
  <si>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</si>
  <si>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</si>
  <si>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</si>
  <si>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</si>
  <si>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</si>
  <si>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</si>
  <si>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</si>
  <si>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</si>
  <si>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</si>
  <si>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</si>
  <si>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</si>
  <si>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</si>
  <si>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</si>
  <si>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</si>
  <si>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</si>
  <si>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</si>
  <si>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</si>
  <si>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</si>
  <si>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</si>
  <si>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</si>
  <si>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</si>
  <si>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</si>
  <si>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</si>
  <si>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</si>
  <si>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</si>
  <si>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</si>
  <si>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</si>
  <si>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</si>
  <si>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</si>
  <si>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</si>
  <si>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</si>
  <si>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</si>
  <si>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</si>
  <si>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</si>
  <si>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</si>
  <si>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</si>
  <si>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</si>
  <si>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</si>
  <si>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</si>
  <si>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</si>
  <si>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</si>
  <si>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</si>
  <si>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</si>
  <si>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</si>
  <si>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</si>
  <si>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</si>
  <si>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</si>
  <si>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</si>
  <si>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</si>
  <si>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</si>
  <si>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</si>
  <si>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</si>
  <si>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</si>
  <si>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</si>
  <si>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</si>
  <si>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</si>
  <si>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</si>
  <si>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</si>
  <si>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</si>
  <si>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</si>
  <si>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</si>
  <si>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</si>
  <si>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</si>
  <si>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</si>
  <si>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</si>
  <si>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</si>
  <si>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</si>
  <si>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</si>
  <si>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</si>
  <si>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</si>
  <si>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</si>
  <si>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</si>
  <si>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</si>
  <si>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</si>
  <si>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</si>
  <si>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</si>
  <si>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</si>
  <si>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</si>
  <si>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</si>
  <si>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</si>
  <si>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</si>
  <si>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</si>
  <si>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</si>
  <si>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</si>
  <si>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</si>
  <si>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</si>
  <si>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</si>
  <si>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</si>
  <si>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</si>
  <si>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</si>
  <si>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</si>
  <si>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</si>
  <si>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</si>
  <si>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</si>
  <si>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</si>
  <si>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</si>
  <si>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</si>
  <si>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</si>
  <si>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</si>
  <si>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</si>
  <si>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</si>
  <si>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</si>
  <si>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</si>
  <si>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</si>
  <si>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</si>
  <si>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</si>
  <si>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</si>
  <si>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</si>
  <si>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</si>
  <si>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</si>
  <si>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</si>
  <si>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</si>
  <si>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</si>
  <si>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</si>
  <si>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</si>
  <si>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</si>
  <si>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</si>
  <si>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</si>
  <si>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</si>
  <si>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</si>
  <si>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</si>
  <si>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</si>
  <si>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</si>
  <si>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</si>
  <si>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</si>
  <si>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</si>
  <si>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</si>
  <si>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</si>
  <si>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</si>
  <si>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</si>
  <si>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</si>
  <si>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</si>
  <si>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</si>
  <si>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</si>
  <si>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</si>
  <si>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初级彩贝</t>
    <phoneticPr fontId="1" type="noConversion"/>
  </si>
  <si>
    <t>中级彩贝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</si>
  <si>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</si>
  <si>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</si>
  <si>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</si>
  <si>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</si>
  <si>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</si>
  <si>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</si>
  <si>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</si>
  <si>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</si>
  <si>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</si>
  <si>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</si>
  <si>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</si>
  <si>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</si>
  <si>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</si>
  <si>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</si>
  <si>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</si>
  <si>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</si>
  <si>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</si>
  <si>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</si>
  <si>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</si>
  <si>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</si>
  <si>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</si>
  <si>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</si>
  <si>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</si>
  <si>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</si>
  <si>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</si>
  <si>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</si>
  <si>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</si>
  <si>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</si>
  <si>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</si>
  <si>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</si>
  <si>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</si>
  <si>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</si>
  <si>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</si>
  <si>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</si>
  <si>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</si>
  <si>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</si>
  <si>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</si>
  <si>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</si>
  <si>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</si>
  <si>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</si>
  <si>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</si>
  <si>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</si>
  <si>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</si>
  <si>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</si>
  <si>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</si>
  <si>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</si>
  <si>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</si>
  <si>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</si>
  <si>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</si>
  <si>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</si>
  <si>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</si>
  <si>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</si>
  <si>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</si>
  <si>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</si>
  <si>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</si>
  <si>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</si>
  <si>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</si>
  <si>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400,500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</si>
  <si>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</si>
  <si>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</si>
  <si>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</si>
  <si>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</si>
  <si>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</si>
  <si>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</si>
  <si>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</si>
  <si>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</si>
  <si>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</si>
  <si>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</si>
  <si>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</si>
  <si>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</si>
  <si>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</si>
  <si>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</si>
  <si>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</si>
  <si>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</si>
  <si>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</si>
  <si>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</si>
  <si>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</si>
  <si>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</si>
  <si>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</si>
  <si>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</si>
  <si>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</si>
  <si>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</si>
  <si>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</si>
  <si>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</si>
  <si>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</si>
  <si>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</si>
  <si>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</si>
  <si>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</si>
  <si>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</si>
  <si>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</si>
  <si>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</si>
  <si>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</si>
  <si>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</si>
  <si>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</si>
  <si>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</si>
  <si>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</si>
  <si>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</si>
  <si>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</si>
  <si>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</si>
  <si>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</si>
  <si>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</si>
  <si>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</si>
  <si>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</si>
  <si>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</si>
  <si>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</si>
  <si>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</si>
  <si>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</si>
  <si>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</si>
  <si>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</si>
  <si>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</si>
  <si>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</si>
  <si>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</si>
  <si>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</si>
  <si>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</si>
  <si>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</si>
  <si>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</si>
  <si>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</si>
  <si>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</si>
  <si>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</si>
  <si>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</si>
  <si>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</si>
  <si>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fish_3d_yutu_random_3</t>
    <phoneticPr fontId="1" type="noConversion"/>
  </si>
  <si>
    <t>0,300</t>
  </si>
  <si>
    <t>append_life_rate|随机的倍率和奖励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</si>
  <si>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</si>
  <si>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</si>
  <si>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0,20</t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</si>
  <si>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</si>
  <si>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</si>
  <si>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</si>
  <si>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</si>
  <si>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</si>
  <si>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</si>
  <si>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34,35,36,37,38,39,40,41,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</si>
  <si>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</si>
  <si>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</si>
  <si>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</si>
  <si>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</si>
  <si>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</si>
  <si>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0,20</t>
    <phoneticPr fontId="1" type="noConversion"/>
  </si>
  <si>
    <t>4,40,60,80,120,</t>
    <phoneticPr fontId="1" type="noConversion"/>
  </si>
  <si>
    <t>200,250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</si>
  <si>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</si>
  <si>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</si>
  <si>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</si>
  <si>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1,</t>
    <phoneticPr fontId="1" type="noConversion"/>
  </si>
  <si>
    <t>0,50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</si>
  <si>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</si>
  <si>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</si>
  <si>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</si>
  <si>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300,450</t>
    <phoneticPr fontId="1" type="noConversion"/>
  </si>
  <si>
    <t>财神-450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</si>
  <si>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</si>
  <si>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</si>
  <si>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</si>
  <si>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</si>
  <si>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</si>
  <si>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</si>
  <si>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</si>
  <si>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幸运转盘</t>
    <phoneticPr fontId="1" type="noConversion"/>
  </si>
  <si>
    <t>100,</t>
    <phoneticPr fontId="1" type="noConversion"/>
  </si>
  <si>
    <t>1,500,</t>
    <phoneticPr fontId="1" type="noConversion"/>
  </si>
  <si>
    <t>炽火龙王</t>
    <phoneticPr fontId="1" type="noConversion"/>
  </si>
  <si>
    <t>骰子龟</t>
    <phoneticPr fontId="1" type="noConversion"/>
  </si>
  <si>
    <t>0,200</t>
    <phoneticPr fontId="1" type="noConversion"/>
  </si>
  <si>
    <t>0,300</t>
    <phoneticPr fontId="1" type="noConversion"/>
  </si>
  <si>
    <t>0,400</t>
    <phoneticPr fontId="1" type="noConversion"/>
  </si>
  <si>
    <t>50,50,50,50,100,</t>
    <phoneticPr fontId="1" type="noConversion"/>
  </si>
  <si>
    <t>0.02,0.02,0.02,0.02,0.01</t>
    <phoneticPr fontId="1" type="noConversion"/>
  </si>
  <si>
    <t>120,180</t>
    <phoneticPr fontId="1" type="noConversion"/>
  </si>
  <si>
    <t>250,2,</t>
    <phoneticPr fontId="1" type="noConversion"/>
  </si>
  <si>
    <t>超级火力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</si>
</sst>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213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201</v>
      </c>
      <c r="M1" s="8" t="s">
        <v>212</v>
      </c>
    </row>
    <row r="2" spans="1:13" x14ac:dyDescent="0.2">
      <c r="A2" s="2">
        <v>1</v>
      </c>
      <c r="B2" s="2" t="s">
        <v>314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202</v>
      </c>
      <c r="C3" s="2">
        <v>1</v>
      </c>
      <c r="D3" t="s">
        <v>200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202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254</v>
      </c>
      <c r="C10" s="2">
        <v>2</v>
      </c>
      <c r="D10" t="s">
        <v>213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309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318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42" activePane="bottomLeft" state="frozen"/>
      <selection pane="bottomLeft" activeCell="K62" sqref="K6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255</v>
      </c>
      <c r="B1" s="1" t="s">
        <v>256</v>
      </c>
      <c r="C1" s="1" t="s">
        <v>257</v>
      </c>
      <c r="D1" s="1" t="s">
        <v>258</v>
      </c>
      <c r="E1" s="1" t="s">
        <v>259</v>
      </c>
      <c r="F1" s="1" t="s">
        <v>260</v>
      </c>
      <c r="G1" s="1" t="s">
        <v>261</v>
      </c>
      <c r="H1" s="1" t="s">
        <v>97</v>
      </c>
      <c r="I1" s="1" t="s">
        <v>262</v>
      </c>
      <c r="J1" s="9" t="s">
        <v>105</v>
      </c>
      <c r="K1" s="1" t="s">
        <v>263</v>
      </c>
      <c r="L1" s="1" t="s">
        <v>50</v>
      </c>
      <c r="Q1" s="1" t="s">
        <v>264</v>
      </c>
      <c r="R1" s="1" t="s">
        <v>264</v>
      </c>
      <c r="S1" s="1" t="s">
        <v>264</v>
      </c>
      <c r="T1" s="1" t="s">
        <v>264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265</v>
      </c>
      <c r="D2" s="29" t="s">
        <v>158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158</v>
      </c>
      <c r="D3" s="29" t="s">
        <v>158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245</v>
      </c>
      <c r="D4" s="29" t="s">
        <v>158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210</v>
      </c>
      <c r="D5" s="29" t="s">
        <v>158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211</v>
      </c>
      <c r="D6" s="29" t="s">
        <v>158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266</v>
      </c>
      <c r="G7" s="45" t="s">
        <v>267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268</v>
      </c>
      <c r="D8" s="29" t="s">
        <v>158</v>
      </c>
      <c r="G8" s="45" t="s">
        <v>269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159</v>
      </c>
      <c r="D9" s="29" t="s">
        <v>158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270</v>
      </c>
      <c r="D10" s="29" t="s">
        <v>271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272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246</v>
      </c>
      <c r="D12" s="29" t="s">
        <v>158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167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273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274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275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276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167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277</v>
      </c>
      <c r="G19" s="41" t="s">
        <v>278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279</v>
      </c>
      <c r="G20" s="41" t="s">
        <v>168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280</v>
      </c>
      <c r="G21" s="41" t="s">
        <v>281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282</v>
      </c>
      <c r="G22" s="41" t="s">
        <v>205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283</v>
      </c>
      <c r="G23" s="21" t="s">
        <v>251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284</v>
      </c>
      <c r="G24" s="21" t="s">
        <v>169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285</v>
      </c>
      <c r="G25" s="21" t="s">
        <v>170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286</v>
      </c>
      <c r="G26" s="21" t="s">
        <v>287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288</v>
      </c>
      <c r="G27" s="41" t="s">
        <v>289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290</v>
      </c>
      <c r="G28" s="41" t="s">
        <v>291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292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293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294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160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161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295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162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163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296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164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297</v>
      </c>
      <c r="H39" s="19" t="s">
        <v>360</v>
      </c>
      <c r="I39" s="19" t="s">
        <v>361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298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165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300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301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302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303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172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171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173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174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175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176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177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178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179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180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181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182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183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184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185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186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187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188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305</v>
      </c>
      <c r="G65" s="45" t="s">
        <v>306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307</v>
      </c>
      <c r="G66" s="45" t="s">
        <v>252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308</v>
      </c>
      <c r="G67" s="46" t="s">
        <v>253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8" activePane="bottomLeft" state="frozen"/>
      <selection pane="bottomLeft" activeCell="C33" sqref="C33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203</v>
      </c>
      <c r="C1" s="1" t="s">
        <v>11</v>
      </c>
      <c r="D1" s="1" t="s">
        <v>316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193</v>
      </c>
      <c r="O1" s="8" t="s">
        <v>201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319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319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319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319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299</v>
      </c>
      <c r="F25" s="19" t="s">
        <v>330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331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332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319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1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319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38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奇遇蟹+超级火力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7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8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7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8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7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8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7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8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7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8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315</v>
      </c>
      <c r="E38" s="23">
        <f>LOOKUP(use_fish!B38,base_fish!A:A,base_fish!C:C)+_xlfn.IFNA(INDEX(activity!F:F,MATCH(use_fish!C38,activity!A:A,0)),0)</f>
        <v>200</v>
      </c>
      <c r="F38" s="23">
        <f t="shared" si="7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8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357</v>
      </c>
      <c r="E39" s="32">
        <f>LOOKUP(use_fish!B39,base_fish!A:A,base_fish!C:C)+_xlfn.IFNA(INDEX(activity!F:F,MATCH(use_fish!C39,activity!A:A,0)),0)</f>
        <v>200</v>
      </c>
      <c r="F39" s="32">
        <f t="shared" si="7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8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357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357</v>
      </c>
      <c r="E41" s="32">
        <f>LOOKUP(use_fish!B41,base_fish!A:A,base_fish!C:C)+_xlfn.IFNA(INDEX(activity!F:F,MATCH(use_fish!C41,activity!A:A,0)),0)</f>
        <v>500</v>
      </c>
      <c r="F41" s="32">
        <f t="shared" si="9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0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357</v>
      </c>
      <c r="E42" s="32">
        <f>LOOKUP(use_fish!B42,base_fish!A:A,base_fish!C:C)+_xlfn.IFNA(INDEX(activity!F:F,MATCH(use_fish!C42,activity!A:A,0)),0)</f>
        <v>300</v>
      </c>
      <c r="F42" s="32">
        <f t="shared" si="9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0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9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0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357</v>
      </c>
      <c r="E44" s="32">
        <f>LOOKUP(use_fish!B44,base_fish!A:A,base_fish!C:C)+_xlfn.IFNA(INDEX(activity!F:F,MATCH(use_fish!C44,activity!A:A,0)),0)</f>
        <v>400</v>
      </c>
      <c r="F44" s="32">
        <f t="shared" si="9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0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9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0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1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2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358</v>
      </c>
      <c r="E47" s="36">
        <f>LOOKUP(use_fish!B47,base_fish!A:A,base_fish!C:C)+_xlfn.IFNA(INDEX(activity!F:F,MATCH(use_fish!C47,activity!A:A,0)),0)</f>
        <v>300</v>
      </c>
      <c r="F47" s="36">
        <f t="shared" si="11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2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315</v>
      </c>
      <c r="E48" s="36">
        <f>LOOKUP(use_fish!B48,base_fish!A:A,base_fish!C:C)+_xlfn.IFNA(INDEX(activity!F:F,MATCH(use_fish!C48,activity!A:A,0)),0)</f>
        <v>400</v>
      </c>
      <c r="F48" s="36">
        <f t="shared" si="11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2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358</v>
      </c>
      <c r="E49" s="36">
        <f>LOOKUP(use_fish!B49,base_fish!A:A,base_fish!C:C)+_xlfn.IFNA(INDEX(activity!F:F,MATCH(use_fish!C49,activity!A:A,0)),0)</f>
        <v>500</v>
      </c>
      <c r="F49" s="36">
        <f t="shared" si="11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2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359</v>
      </c>
      <c r="E50" s="36">
        <f>LOOKUP(use_fish!B50,base_fish!A:A,base_fish!C:C)+_xlfn.IFNA(INDEX(activity!F:F,MATCH(use_fish!C50,activity!A:A,0)),0)</f>
        <v>600</v>
      </c>
      <c r="F50" s="36">
        <f t="shared" si="11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2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320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9"/>
  <sheetViews>
    <sheetView topLeftCell="A16" workbookViewId="0">
      <selection activeCell="A32" sqref="A32:G32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247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248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317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189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190</v>
      </c>
    </row>
    <row r="18" spans="1:9" x14ac:dyDescent="0.2">
      <c r="A18">
        <v>17</v>
      </c>
      <c r="B18">
        <v>10</v>
      </c>
      <c r="C18" s="7" t="s">
        <v>335</v>
      </c>
      <c r="D18" s="4">
        <v>0</v>
      </c>
      <c r="E18" s="4">
        <v>0</v>
      </c>
      <c r="F18">
        <v>150</v>
      </c>
      <c r="G18" t="s">
        <v>336</v>
      </c>
      <c r="H18">
        <v>22</v>
      </c>
      <c r="I18" t="s">
        <v>194</v>
      </c>
    </row>
    <row r="19" spans="1:9" x14ac:dyDescent="0.2">
      <c r="A19">
        <v>18</v>
      </c>
      <c r="B19">
        <v>18</v>
      </c>
      <c r="C19" t="s">
        <v>337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195</v>
      </c>
    </row>
    <row r="20" spans="1:9" x14ac:dyDescent="0.2">
      <c r="A20">
        <v>19</v>
      </c>
      <c r="B20">
        <v>17</v>
      </c>
      <c r="C20" s="11" t="s">
        <v>362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196</v>
      </c>
    </row>
    <row r="21" spans="1:9" x14ac:dyDescent="0.2">
      <c r="A21">
        <v>20</v>
      </c>
      <c r="B21">
        <v>19</v>
      </c>
      <c r="C21" t="s">
        <v>338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197</v>
      </c>
    </row>
    <row r="22" spans="1:9" x14ac:dyDescent="0.2">
      <c r="A22">
        <v>21</v>
      </c>
      <c r="B22">
        <v>20</v>
      </c>
      <c r="C22" s="11" t="s">
        <v>339</v>
      </c>
      <c r="D22" s="4">
        <v>0</v>
      </c>
      <c r="E22" s="4">
        <v>0</v>
      </c>
      <c r="F22">
        <v>50</v>
      </c>
      <c r="G22" t="s">
        <v>340</v>
      </c>
      <c r="H22">
        <v>26</v>
      </c>
      <c r="I22" t="s">
        <v>208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341</v>
      </c>
      <c r="H23">
        <v>27</v>
      </c>
      <c r="I23" t="s">
        <v>209</v>
      </c>
    </row>
    <row r="24" spans="1:9" x14ac:dyDescent="0.2">
      <c r="A24">
        <v>23</v>
      </c>
      <c r="B24">
        <v>20</v>
      </c>
      <c r="C24" s="11" t="s">
        <v>334</v>
      </c>
      <c r="D24" s="4">
        <v>0</v>
      </c>
      <c r="E24" s="4">
        <v>0</v>
      </c>
      <c r="F24">
        <v>250</v>
      </c>
      <c r="G24" t="s">
        <v>342</v>
      </c>
      <c r="H24">
        <v>28</v>
      </c>
      <c r="I24" t="s">
        <v>207</v>
      </c>
    </row>
    <row r="25" spans="1:9" x14ac:dyDescent="0.2">
      <c r="A25">
        <v>24</v>
      </c>
      <c r="B25">
        <v>20</v>
      </c>
      <c r="C25" s="11" t="s">
        <v>343</v>
      </c>
      <c r="D25" s="4">
        <v>0</v>
      </c>
      <c r="E25" s="4">
        <v>0</v>
      </c>
      <c r="F25">
        <v>450</v>
      </c>
      <c r="G25" t="s">
        <v>344</v>
      </c>
      <c r="H25">
        <v>29</v>
      </c>
      <c r="I25" t="s">
        <v>206</v>
      </c>
    </row>
    <row r="26" spans="1:9" x14ac:dyDescent="0.2">
      <c r="A26">
        <v>25</v>
      </c>
      <c r="B26">
        <v>21</v>
      </c>
      <c r="C26" s="11" t="s">
        <v>345</v>
      </c>
      <c r="D26" s="4">
        <v>0</v>
      </c>
      <c r="E26" s="4">
        <v>0</v>
      </c>
      <c r="F26">
        <v>10</v>
      </c>
      <c r="G26" t="s">
        <v>191</v>
      </c>
      <c r="H26">
        <v>30</v>
      </c>
      <c r="I26" t="s">
        <v>313</v>
      </c>
    </row>
    <row r="27" spans="1:9" x14ac:dyDescent="0.2">
      <c r="A27">
        <v>26</v>
      </c>
      <c r="B27">
        <v>21</v>
      </c>
      <c r="C27" s="11" t="s">
        <v>346</v>
      </c>
      <c r="D27" s="4">
        <v>0</v>
      </c>
      <c r="E27" s="4">
        <v>0</v>
      </c>
      <c r="F27">
        <v>50</v>
      </c>
      <c r="G27" t="s">
        <v>192</v>
      </c>
      <c r="H27">
        <v>31</v>
      </c>
      <c r="I27" t="s">
        <v>322</v>
      </c>
    </row>
    <row r="28" spans="1:9" x14ac:dyDescent="0.2">
      <c r="A28">
        <v>27</v>
      </c>
      <c r="B28">
        <v>21</v>
      </c>
      <c r="C28" s="11" t="s">
        <v>347</v>
      </c>
      <c r="D28" s="4">
        <v>0</v>
      </c>
      <c r="E28" s="4">
        <v>0</v>
      </c>
      <c r="F28">
        <v>100</v>
      </c>
      <c r="G28" t="s">
        <v>348</v>
      </c>
      <c r="H28">
        <v>32</v>
      </c>
      <c r="I28" t="s">
        <v>323</v>
      </c>
    </row>
    <row r="29" spans="1:9" x14ac:dyDescent="0.2">
      <c r="A29">
        <v>28</v>
      </c>
      <c r="B29">
        <v>22</v>
      </c>
      <c r="C29" s="11" t="s">
        <v>349</v>
      </c>
      <c r="D29" s="4">
        <v>0</v>
      </c>
      <c r="E29" s="4">
        <v>0</v>
      </c>
      <c r="F29">
        <v>100</v>
      </c>
      <c r="G29" t="s">
        <v>350</v>
      </c>
      <c r="H29">
        <v>33</v>
      </c>
      <c r="I29" t="s">
        <v>324</v>
      </c>
    </row>
    <row r="30" spans="1:9" x14ac:dyDescent="0.2">
      <c r="A30">
        <v>29</v>
      </c>
      <c r="B30">
        <v>23</v>
      </c>
      <c r="C30" t="s">
        <v>351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250</v>
      </c>
      <c r="D31" s="4">
        <v>0</v>
      </c>
      <c r="E31" s="4">
        <v>0</v>
      </c>
      <c r="F31">
        <v>500</v>
      </c>
      <c r="G31" t="s">
        <v>352</v>
      </c>
    </row>
    <row r="32" spans="1:9" x14ac:dyDescent="0.2">
      <c r="A32">
        <v>31</v>
      </c>
      <c r="B32">
        <v>25</v>
      </c>
      <c r="C32" t="s">
        <v>312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353</v>
      </c>
      <c r="D33" s="4">
        <v>0</v>
      </c>
      <c r="E33" s="4">
        <v>0</v>
      </c>
      <c r="F33">
        <v>100</v>
      </c>
      <c r="G33" t="s">
        <v>352</v>
      </c>
    </row>
    <row r="34" spans="1:7" x14ac:dyDescent="0.2">
      <c r="A34">
        <v>33</v>
      </c>
      <c r="B34">
        <v>29</v>
      </c>
      <c r="C34" t="s">
        <v>204</v>
      </c>
      <c r="D34" s="4">
        <v>0</v>
      </c>
      <c r="E34" s="4">
        <v>0</v>
      </c>
      <c r="F34">
        <v>100</v>
      </c>
      <c r="G34" t="s">
        <v>206</v>
      </c>
    </row>
    <row r="35" spans="1:7" x14ac:dyDescent="0.2">
      <c r="A35">
        <v>34</v>
      </c>
      <c r="B35">
        <v>30</v>
      </c>
      <c r="C35" s="11" t="s">
        <v>312</v>
      </c>
      <c r="D35" s="4">
        <v>0</v>
      </c>
      <c r="E35" s="4">
        <v>0</v>
      </c>
      <c r="F35">
        <v>200</v>
      </c>
      <c r="G35" t="s">
        <v>313</v>
      </c>
    </row>
    <row r="36" spans="1:7" x14ac:dyDescent="0.2">
      <c r="A36">
        <v>35</v>
      </c>
      <c r="B36">
        <v>31</v>
      </c>
      <c r="C36" t="s">
        <v>333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354</v>
      </c>
      <c r="D37" s="4">
        <v>0</v>
      </c>
      <c r="E37" s="4">
        <v>0</v>
      </c>
      <c r="F37">
        <v>500</v>
      </c>
      <c r="G37" t="s">
        <v>355</v>
      </c>
    </row>
    <row r="38" spans="1:7" x14ac:dyDescent="0.2">
      <c r="A38">
        <v>37</v>
      </c>
      <c r="B38">
        <v>33</v>
      </c>
      <c r="C38" t="s">
        <v>325</v>
      </c>
      <c r="D38" s="4">
        <v>0</v>
      </c>
      <c r="E38" s="4">
        <v>0</v>
      </c>
      <c r="F38">
        <v>500</v>
      </c>
      <c r="G38" t="s">
        <v>356</v>
      </c>
    </row>
    <row r="39" spans="1:7" x14ac:dyDescent="0.2">
      <c r="A39">
        <v>38</v>
      </c>
      <c r="B39">
        <v>2</v>
      </c>
      <c r="C39" t="s">
        <v>363</v>
      </c>
      <c r="D39" s="4">
        <v>0</v>
      </c>
      <c r="E39" s="4">
        <v>0</v>
      </c>
      <c r="F39">
        <v>250</v>
      </c>
      <c r="G39" t="s">
        <v>364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A22" sqref="A2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215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216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217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218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148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219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220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221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222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223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224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147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225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226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227</v>
      </c>
      <c r="F17" s="15">
        <f t="shared" si="1"/>
        <v>35</v>
      </c>
      <c r="G17" s="15">
        <v>0</v>
      </c>
      <c r="H17" s="15" t="s">
        <v>198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149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244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228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229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230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327</v>
      </c>
      <c r="D25" s="15" t="s">
        <v>328</v>
      </c>
      <c r="E25" s="17" t="s">
        <v>231</v>
      </c>
      <c r="F25" s="15" t="s">
        <v>329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151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150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232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154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153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155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157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249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152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233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234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235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214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156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236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310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237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238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239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240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241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151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311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242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243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321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326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2020-05-28T01:41:10Z</dcterms:modified>
</cp:coreProperties>
</file>