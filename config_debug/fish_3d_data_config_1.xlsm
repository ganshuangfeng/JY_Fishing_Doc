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3" i="7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<sst xmlns="http://schemas.openxmlformats.org/spreadsheetml/2006/main" count="472" uniqueCount="356">
  <si>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</si>
  <si>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</si>
  <si>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</si>
  <si>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</si>
  <si>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</si>
  <si>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</si>
  <si>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</si>
  <si>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</si>
  <si>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</si>
  <si>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</si>
  <si>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</si>
  <si>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</si>
  <si>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</si>
  <si>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</si>
  <si>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</si>
  <si>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</si>
  <si>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</si>
  <si>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</si>
  <si>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</si>
  <si>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</si>
  <si>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</si>
  <si>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</si>
  <si>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</si>
  <si>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</si>
  <si>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</si>
  <si>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</si>
  <si>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</si>
  <si>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</si>
  <si>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</si>
  <si>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</si>
  <si>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</si>
  <si>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</si>
  <si>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</si>
  <si>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</si>
  <si>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</si>
  <si>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</si>
  <si>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</si>
  <si>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</si>
  <si>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</si>
  <si>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</si>
  <si>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</si>
  <si>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</si>
  <si>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</si>
  <si>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</si>
  <si>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</si>
  <si>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</si>
  <si>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</si>
  <si>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</si>
  <si>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</si>
  <si>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</si>
  <si>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</si>
  <si>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</si>
  <si>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</si>
  <si>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</si>
  <si>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</si>
  <si>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</si>
  <si>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</si>
  <si>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</si>
  <si>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</si>
  <si>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</si>
  <si>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</si>
  <si>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</si>
  <si>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</si>
  <si>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</si>
  <si>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</si>
  <si>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</si>
  <si>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</si>
  <si>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</si>
  <si>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</si>
  <si>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</si>
  <si>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</si>
  <si>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</si>
  <si>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</si>
  <si>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</si>
  <si>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</si>
  <si>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</si>
  <si>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</si>
  <si>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</si>
  <si>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</si>
  <si>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</si>
  <si>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</si>
  <si>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</si>
  <si>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</si>
  <si>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</si>
  <si>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</si>
  <si>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</si>
  <si>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</si>
  <si>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</si>
  <si>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</si>
  <si>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</si>
  <si>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</si>
  <si>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</si>
  <si>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</si>
  <si>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</si>
  <si>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</si>
  <si>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</si>
  <si>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</si>
  <si>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</si>
  <si>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</si>
  <si>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</si>
  <si>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</si>
  <si>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</si>
  <si>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</si>
  <si>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</si>
  <si>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</si>
  <si>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</si>
  <si>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</si>
  <si>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</si>
  <si>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</si>
  <si>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</si>
  <si>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</si>
  <si>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</si>
  <si>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</si>
  <si>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</si>
  <si>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</si>
  <si>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</si>
  <si>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</si>
  <si>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</si>
  <si>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</si>
  <si>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</si>
  <si>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</si>
  <si>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</si>
  <si>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</si>
  <si>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</si>
  <si>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</si>
  <si>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</si>
  <si>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</si>
  <si>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</si>
  <si>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</si>
  <si>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</si>
  <si>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</si>
  <si>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</si>
  <si>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</si>
  <si>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</si>
  <si>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</si>
  <si>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</si>
  <si>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</si>
  <si>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</si>
  <si>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</si>
  <si>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</si>
  <si>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</si>
  <si>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</si>
  <si>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</si>
  <si>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</si>
  <si>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</si>
  <si>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</si>
  <si>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</si>
  <si>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</si>
  <si>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</si>
  <si>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</si>
  <si>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</si>
  <si>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</si>
  <si>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</si>
  <si>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</si>
  <si>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</si>
  <si>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</si>
  <si>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</si>
  <si>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</si>
  <si>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</si>
  <si>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</si>
  <si>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</si>
  <si>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</si>
  <si>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</si>
  <si>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</si>
  <si>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</si>
  <si>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</si>
  <si>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</si>
  <si>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</si>
  <si>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</si>
  <si>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</si>
  <si>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</si>
  <si>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</si>
  <si>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</si>
  <si>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</si>
  <si>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</si>
  <si>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</si>
  <si>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</si>
  <si>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</si>
  <si>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</si>
  <si>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</si>
  <si>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</si>
  <si>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</si>
  <si>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</si>
  <si>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</si>
  <si>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</si>
  <si>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</si>
  <si>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</si>
  <si>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</si>
  <si>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</si>
  <si>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</si>
  <si>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</si>
  <si>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</si>
  <si>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</si>
  <si>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</si>
  <si>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</si>
  <si>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</si>
  <si>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</si>
  <si>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</si>
  <si>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</si>
  <si>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</si>
  <si>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</si>
  <si>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</si>
  <si>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</si>
  <si>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</si>
  <si>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</si>
  <si>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</si>
  <si>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</si>
  <si>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</si>
  <si>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</si>
  <si>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</si>
  <si>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</si>
  <si>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</si>
  <si>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</si>
  <si>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</si>
  <si>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</si>
  <si>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</si>
  <si>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</si>
  <si>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</si>
  <si>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</si>
  <si>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</si>
  <si>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</si>
  <si>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</si>
  <si>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</si>
  <si>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</si>
  <si>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</si>
  <si>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</si>
  <si>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</si>
  <si>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</si>
  <si>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</si>
  <si>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</si>
  <si>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</si>
  <si>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</si>
  <si>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</si>
  <si>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</si>
  <si>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</si>
  <si>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</si>
  <si>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</si>
  <si>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</si>
  <si>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</si>
  <si>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</si>
  <si>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</si>
  <si>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</si>
  <si>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</si>
  <si>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</si>
  <si>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</si>
  <si>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</si>
  <si>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</si>
  <si>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</si>
  <si>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</si>
  <si>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</si>
  <si>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</si>
  <si>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</si>
  <si>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</si>
  <si>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</si>
  <si>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</si>
  <si>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</si>
  <si>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</si>
  <si>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</si>
  <si>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</si>
  <si>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</si>
  <si>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</si>
  <si>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</si>
  <si>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</si>
  <si>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</si>
  <si>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</si>
  <si>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</si>
  <si>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</si>
  <si>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</si>
  <si>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</si>
  <si>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</si>
  <si>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</si>
  <si>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</si>
  <si>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</si>
  <si>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</si>
  <si>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</si>
  <si>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</si>
  <si>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</si>
  <si>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</si>
  <si>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</si>
  <si>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</si>
  <si>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</si>
  <si>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</si>
  <si>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</si>
  <si>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</si>
  <si>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</si>
  <si>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</si>
  <si>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</si>
  <si>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</si>
  <si>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</si>
  <si>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</si>
  <si>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</si>
  <si>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</si>
  <si>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</si>
  <si>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</si>
  <si>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</si>
  <si>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</si>
  <si>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</si>
  <si>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</si>
  <si>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</si>
  <si>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</si>
  <si>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</si>
  <si>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</si>
  <si>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</si>
  <si>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</si>
  <si>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</si>
  <si>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</si>
  <si>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</si>
  <si>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</si>
  <si>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</si>
  <si>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</si>
  <si>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</si>
  <si>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</si>
  <si>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</si>
  <si>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</si>
  <si>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</si>
  <si>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</si>
  <si>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</si>
  <si>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</si>
  <si>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</si>
  <si>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</si>
  <si>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</si>
  <si>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</si>
  <si>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</si>
  <si>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</si>
  <si>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</si>
  <si>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</si>
  <si>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</si>
  <si>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</si>
  <si>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</si>
  <si>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</si>
  <si>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</si>
  <si>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</si>
  <si>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</si>
  <si>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</si>
  <si>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</si>
  <si>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</si>
  <si>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</si>
  <si>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</si>
  <si>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</si>
  <si>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</si>
  <si>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</si>
  <si>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</si>
  <si>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</si>
  <si>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</si>
  <si>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</si>
  <si>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</si>
  <si>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</si>
  <si>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</si>
  <si>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</si>
  <si>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</si>
  <si>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</si>
  <si>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</si>
  <si>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</si>
  <si>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4,40,60,80,120,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</si>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</sst>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256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topLeftCell="B1" workbookViewId="0">
      <selection activeCell="N2" sqref="N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234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236</v>
      </c>
      <c r="M1" s="8" t="s">
        <v>251</v>
      </c>
    </row>
    <row r="2" spans="1:13" x14ac:dyDescent="0.2">
      <c r="A2" s="2">
        <v>1</v>
      </c>
      <c r="B2" s="2" t="s">
        <v>257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237</v>
      </c>
      <c r="C3" s="2">
        <v>1</v>
      </c>
      <c r="D3" t="s">
        <v>235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237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237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237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237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237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237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348</v>
      </c>
      <c r="C10" s="2">
        <v>1</v>
      </c>
      <c r="D10" t="s">
        <v>349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3" activePane="bottomLeft" state="frozen"/>
      <selection pane="bottomLeft" activeCell="H39" sqref="H39:I40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300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294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322</v>
      </c>
      <c r="D2" s="29" t="s">
        <v>170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323</v>
      </c>
      <c r="D3" s="29" t="s">
        <v>170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291</v>
      </c>
      <c r="D4" s="29" t="s">
        <v>170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248</v>
      </c>
      <c r="D5" s="29" t="s">
        <v>170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249</v>
      </c>
      <c r="D6" s="29" t="s">
        <v>170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321</v>
      </c>
      <c r="G7" s="45" t="s">
        <v>326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324</v>
      </c>
      <c r="D8" s="29" t="s">
        <v>170</v>
      </c>
      <c r="G8" s="45" t="s">
        <v>325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171</v>
      </c>
      <c r="D9" s="29" t="s">
        <v>317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299</v>
      </c>
      <c r="D10" s="29" t="s">
        <v>170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293</v>
      </c>
      <c r="D12" s="29" t="s">
        <v>170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189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216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304</v>
      </c>
      <c r="G19" s="41" t="s">
        <v>191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303</v>
      </c>
      <c r="G20" s="41" t="s">
        <v>192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302</v>
      </c>
      <c r="G21" s="41" t="s">
        <v>190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301</v>
      </c>
      <c r="G22" s="41" t="s">
        <v>240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305</v>
      </c>
      <c r="G23" s="21" t="s">
        <v>309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306</v>
      </c>
      <c r="G24" s="21" t="s">
        <v>193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307</v>
      </c>
      <c r="G25" s="21" t="s">
        <v>194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308</v>
      </c>
      <c r="G26" s="21" t="s">
        <v>194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319</v>
      </c>
      <c r="G27" s="41" t="s">
        <v>320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318</v>
      </c>
      <c r="G28" s="41" t="s">
        <v>327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175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176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177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178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179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180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181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182</v>
      </c>
      <c r="H39" s="19" t="s">
        <v>288</v>
      </c>
      <c r="I39" s="19" t="s">
        <v>289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183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184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101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101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151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151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101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101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126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126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101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101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101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101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501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501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200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501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501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50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50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210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315</v>
      </c>
      <c r="G65" s="45" t="s">
        <v>316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313</v>
      </c>
      <c r="G66" s="45" t="s">
        <v>311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314</v>
      </c>
      <c r="G67" s="46" t="s">
        <v>312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1" activePane="bottomLeft" state="frozen"/>
      <selection pane="bottomLeft" activeCell="D50" sqref="D50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238</v>
      </c>
      <c r="C1" s="1" t="s">
        <v>16</v>
      </c>
      <c r="D1" s="1" t="s">
        <v>334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225</v>
      </c>
      <c r="O1" s="8" t="s">
        <v>236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338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338</v>
      </c>
      <c r="E22" s="19">
        <f>LOOKUP(use_fish!B22,base_fish!A:A,base_fish!C:C)+_xlfn.IFNA(INDEX(activity!F:F,MATCH(use_fish!C22,activity!A:A,0)),0)</f>
        <v>101</v>
      </c>
      <c r="F22" s="19">
        <f t="shared" si="3"/>
        <v>9.9009900990099011E-3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101</v>
      </c>
      <c r="J22" s="21">
        <v>1</v>
      </c>
      <c r="K22" s="21">
        <f>LOOKUP(use_fish!B22,base_fish!A:A,base_fish!G:G)</f>
        <v>0</v>
      </c>
      <c r="L22" s="21">
        <f t="shared" si="4"/>
        <v>101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338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338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288</v>
      </c>
      <c r="F25" s="19" t="s">
        <v>289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288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338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338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338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5">1/E29</f>
        <v>9.9009900990099011E-3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6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5"/>
        <v>6.6225165562913907E-3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6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5"/>
        <v>9.9009900990099011E-3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6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5"/>
        <v>7.9365079365079361E-3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6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7">1/E33</f>
        <v>9.9009900990099011E-3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8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7"/>
        <v>9.9009900990099011E-3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8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8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7"/>
        <v>1.996007984031936E-3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8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7"/>
        <v>1.996007984031936E-3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8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7"/>
        <v>0.02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8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351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351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351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351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351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352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333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7" workbookViewId="0">
      <selection activeCell="D38" sqref="D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295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337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226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230</v>
      </c>
    </row>
    <row r="20" spans="1:9" x14ac:dyDescent="0.2">
      <c r="A20">
        <v>19</v>
      </c>
      <c r="B20">
        <v>17</v>
      </c>
      <c r="C20" t="s">
        <v>155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231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232</v>
      </c>
    </row>
    <row r="22" spans="1:9" x14ac:dyDescent="0.2">
      <c r="A22">
        <v>21</v>
      </c>
      <c r="B22">
        <v>20</v>
      </c>
      <c r="C22" s="11" t="s">
        <v>227</v>
      </c>
      <c r="D22" s="4">
        <v>0</v>
      </c>
      <c r="E22" s="4">
        <v>0</v>
      </c>
      <c r="F22">
        <v>50</v>
      </c>
      <c r="G22" t="s">
        <v>252</v>
      </c>
      <c r="H22">
        <v>26</v>
      </c>
      <c r="I22" t="s">
        <v>246</v>
      </c>
    </row>
    <row r="23" spans="1:9" x14ac:dyDescent="0.2">
      <c r="A23">
        <v>22</v>
      </c>
      <c r="B23">
        <v>20</v>
      </c>
      <c r="C23" s="11" t="s">
        <v>156</v>
      </c>
      <c r="D23" s="4">
        <v>0</v>
      </c>
      <c r="E23" s="4">
        <v>0</v>
      </c>
      <c r="F23">
        <v>150</v>
      </c>
      <c r="G23" t="s">
        <v>253</v>
      </c>
      <c r="H23">
        <v>27</v>
      </c>
      <c r="I23" t="s">
        <v>247</v>
      </c>
    </row>
    <row r="24" spans="1:9" x14ac:dyDescent="0.2">
      <c r="A24">
        <v>23</v>
      </c>
      <c r="B24">
        <v>20</v>
      </c>
      <c r="C24" s="11" t="s">
        <v>157</v>
      </c>
      <c r="D24" s="4">
        <v>0</v>
      </c>
      <c r="E24" s="4">
        <v>0</v>
      </c>
      <c r="F24">
        <v>250</v>
      </c>
      <c r="G24" t="s">
        <v>254</v>
      </c>
      <c r="H24">
        <v>28</v>
      </c>
      <c r="I24" t="s">
        <v>243</v>
      </c>
    </row>
    <row r="25" spans="1:9" x14ac:dyDescent="0.2">
      <c r="A25">
        <v>24</v>
      </c>
      <c r="B25">
        <v>20</v>
      </c>
      <c r="C25" s="11" t="s">
        <v>158</v>
      </c>
      <c r="D25" s="4">
        <v>0</v>
      </c>
      <c r="E25" s="4">
        <v>0</v>
      </c>
      <c r="F25">
        <v>450</v>
      </c>
      <c r="G25" t="s">
        <v>255</v>
      </c>
      <c r="H25">
        <v>29</v>
      </c>
      <c r="I25" t="s">
        <v>242</v>
      </c>
    </row>
    <row r="26" spans="1:9" x14ac:dyDescent="0.2">
      <c r="A26">
        <v>25</v>
      </c>
      <c r="B26">
        <v>21</v>
      </c>
      <c r="C26" s="11" t="s">
        <v>219</v>
      </c>
      <c r="D26" s="4">
        <v>0</v>
      </c>
      <c r="E26" s="4">
        <v>0</v>
      </c>
      <c r="F26">
        <v>10</v>
      </c>
      <c r="G26" t="s">
        <v>222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220</v>
      </c>
      <c r="D27" s="4">
        <v>0</v>
      </c>
      <c r="E27" s="4">
        <v>0</v>
      </c>
      <c r="F27">
        <v>50</v>
      </c>
      <c r="G27" t="s">
        <v>223</v>
      </c>
      <c r="H27">
        <v>31</v>
      </c>
      <c r="I27" t="s">
        <v>341</v>
      </c>
    </row>
    <row r="28" spans="1:9" x14ac:dyDescent="0.2">
      <c r="A28">
        <v>27</v>
      </c>
      <c r="B28">
        <v>21</v>
      </c>
      <c r="C28" s="11" t="s">
        <v>221</v>
      </c>
      <c r="D28" s="4">
        <v>0</v>
      </c>
      <c r="E28" s="4">
        <v>0</v>
      </c>
      <c r="F28">
        <v>100</v>
      </c>
      <c r="G28" t="s">
        <v>224</v>
      </c>
      <c r="H28">
        <v>32</v>
      </c>
      <c r="I28" t="s">
        <v>342</v>
      </c>
    </row>
    <row r="29" spans="1:9" x14ac:dyDescent="0.2">
      <c r="A29">
        <v>28</v>
      </c>
      <c r="B29">
        <v>22</v>
      </c>
      <c r="C29" s="11" t="s">
        <v>229</v>
      </c>
      <c r="D29" s="4">
        <v>0</v>
      </c>
      <c r="E29" s="4">
        <v>0</v>
      </c>
      <c r="F29">
        <v>100</v>
      </c>
      <c r="G29" t="s">
        <v>228</v>
      </c>
      <c r="H29">
        <v>33</v>
      </c>
      <c r="I29" t="s">
        <v>343</v>
      </c>
    </row>
    <row r="30" spans="1:9" x14ac:dyDescent="0.2">
      <c r="A30">
        <v>29</v>
      </c>
      <c r="B30">
        <v>23</v>
      </c>
      <c r="C30" t="s">
        <v>250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298</v>
      </c>
      <c r="D31" s="4">
        <v>0</v>
      </c>
      <c r="E31" s="4">
        <v>0</v>
      </c>
      <c r="F31">
        <v>500</v>
      </c>
      <c r="G31" t="s">
        <v>297</v>
      </c>
    </row>
    <row r="32" spans="1:9" x14ac:dyDescent="0.2">
      <c r="A32">
        <v>31</v>
      </c>
      <c r="B32">
        <v>25</v>
      </c>
      <c r="C32" t="s">
        <v>239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244</v>
      </c>
      <c r="D33" s="4">
        <v>0</v>
      </c>
      <c r="E33" s="4">
        <v>0</v>
      </c>
      <c r="F33">
        <v>100</v>
      </c>
      <c r="G33" t="s">
        <v>241</v>
      </c>
    </row>
    <row r="34" spans="1:7" x14ac:dyDescent="0.2">
      <c r="A34">
        <v>33</v>
      </c>
      <c r="B34">
        <v>29</v>
      </c>
      <c r="C34" t="s">
        <v>245</v>
      </c>
      <c r="D34" s="4">
        <v>0</v>
      </c>
      <c r="E34" s="4">
        <v>0</v>
      </c>
      <c r="F34">
        <v>100</v>
      </c>
      <c r="G34" t="s">
        <v>242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332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344</v>
      </c>
    </row>
    <row r="38" spans="1:7" x14ac:dyDescent="0.2">
      <c r="A38">
        <v>37</v>
      </c>
      <c r="B38">
        <v>33</v>
      </c>
      <c r="C38" t="s">
        <v>345</v>
      </c>
      <c r="D38" s="4">
        <v>0</v>
      </c>
      <c r="E38" s="4">
        <v>0</v>
      </c>
      <c r="F38">
        <v>0</v>
      </c>
      <c r="G38" t="s">
        <v>346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49" sqref="C4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260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261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160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159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270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271</v>
      </c>
      <c r="F17" s="15">
        <f t="shared" si="1"/>
        <v>35</v>
      </c>
      <c r="G17" s="15">
        <v>0</v>
      </c>
      <c r="H17" s="15" t="s">
        <v>233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161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290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272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273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274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288</v>
      </c>
      <c r="D25" s="15" t="s">
        <v>289</v>
      </c>
      <c r="E25" s="16" t="s">
        <v>275</v>
      </c>
      <c r="F25" s="15" t="s">
        <v>288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163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162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276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166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165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167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169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296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164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277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2">IF(C36,1/C36,0)</f>
        <v>1</v>
      </c>
      <c r="E36" s="17" t="s">
        <v>278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3">IF(C37,1/C37,0)</f>
        <v>1</v>
      </c>
      <c r="E37" s="17" t="s">
        <v>279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3"/>
        <v>0.02</v>
      </c>
      <c r="E38" s="15" t="s">
        <v>258</v>
      </c>
      <c r="F38" s="15">
        <f t="shared" ref="F38:F51" si="4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168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280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328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281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282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283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284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285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163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329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286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287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340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347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2020-05-25T10:12:06Z</dcterms:modified>
</cp:coreProperties>
</file>