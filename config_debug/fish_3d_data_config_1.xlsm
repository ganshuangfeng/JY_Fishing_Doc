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autoCompressPictures="0" defaultThemeVersion="164011"/>
  <bookViews>
    <workbookView xWindow="-38400" yWindow="465" windowWidth="38400" windowHeight="21135" activeTab="7"/>
  </bookViews>
  <sheets>
    <sheet name="profit" sheetId="17" r:id="rId1"/>
    <sheet name="random_wave" sheetId="30" r:id="rId2"/>
    <sheet name="wave" sheetId="26" r:id="rId3"/>
    <sheet name="image_type_cfg" sheetId="34" r:id="rId4"/>
    <sheet name="image_cfg" sheetId="28" r:id="rId5"/>
    <sheet name="group" sheetId="7" r:id="rId6"/>
    <sheet name="use_fish" sheetId="14" r:id="rId7"/>
    <sheet name="activity" sheetId="5" r:id="rId8"/>
    <sheet name="box_fish_activity" sheetId="33" r:id="rId9"/>
    <sheet name="base_fish" sheetId="1" r:id="rId10"/>
    <sheet name="path" sheetId="2" r:id="rId11"/>
    <sheet name="laser" sheetId="18" r:id="rId12"/>
    <sheet name="gun" sheetId="25" r:id="rId13"/>
    <sheet name="skill" sheetId="29" r:id="rId14"/>
    <sheet name="dead_mode" sheetId="31" r:id="rId15"/>
    <sheet name="box_fish_award" sheetId="32" r:id="rId16"/>
    <sheet name="match_award" sheetId="35" r:id="rId17"/>
    <sheet name="ue_event_map" sheetId="36" r:id="rId18"/>
    <sheet name="summon_fish" sheetId="37" r:id="rId19"/>
  </sheets>
  <definedNames>
    <definedName name="_xlnm._FilterDatabase" localSheetId="5" hidden="1">group!$I$1:$I$46</definedName>
  </definedNames>
  <calcPr calcId="162913" concurrentCalc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H95" i="7" l="1"/>
  <c r="I95" i="7"/>
  <c r="J95" i="7"/>
  <c r="H69" i="7"/>
  <c r="I69" i="7"/>
  <c r="J69" i="7"/>
  <c r="H70" i="7"/>
  <c r="I70" i="7"/>
  <c r="J70" i="7"/>
  <c r="H71" i="7"/>
  <c r="I71" i="7"/>
  <c r="J71" i="7"/>
  <c r="H72" i="7"/>
  <c r="I72" i="7"/>
  <c r="J72" i="7"/>
  <c r="H73" i="7"/>
  <c r="I73" i="7"/>
  <c r="J73" i="7"/>
  <c r="H74" i="7"/>
  <c r="I74" i="7"/>
  <c r="J74" i="7"/>
  <c r="H75" i="7"/>
  <c r="I75" i="7"/>
  <c r="J75" i="7"/>
  <c r="H76" i="7"/>
  <c r="I76" i="7"/>
  <c r="J76" i="7"/>
  <c r="H77" i="7"/>
  <c r="I77" i="7"/>
  <c r="J77" i="7"/>
  <c r="H78" i="7"/>
  <c r="I78" i="7"/>
  <c r="J78" i="7"/>
  <c r="H79" i="7"/>
  <c r="I79" i="7"/>
  <c r="J79" i="7"/>
  <c r="H80" i="7"/>
  <c r="I80" i="7"/>
  <c r="J80" i="7"/>
  <c r="H81" i="7"/>
  <c r="I81" i="7"/>
  <c r="J81" i="7"/>
  <c r="H82" i="7"/>
  <c r="I82" i="7"/>
  <c r="J82" i="7"/>
  <c r="H83" i="7"/>
  <c r="I83" i="7"/>
  <c r="J83" i="7"/>
  <c r="H84" i="7"/>
  <c r="I84" i="7"/>
  <c r="J84" i="7"/>
  <c r="H85" i="7"/>
  <c r="I85" i="7"/>
  <c r="J85" i="7"/>
  <c r="H86" i="7"/>
  <c r="I86" i="7"/>
  <c r="J86" i="7"/>
  <c r="H87" i="7"/>
  <c r="I87" i="7"/>
  <c r="J87" i="7"/>
  <c r="H88" i="7"/>
  <c r="I88" i="7"/>
  <c r="J88" i="7"/>
  <c r="H89" i="7"/>
  <c r="I89" i="7"/>
  <c r="J89" i="7"/>
  <c r="H90" i="7"/>
  <c r="I90" i="7"/>
  <c r="J90" i="7"/>
  <c r="H91" i="7"/>
  <c r="I91" i="7"/>
  <c r="J91" i="7"/>
  <c r="H92" i="7"/>
  <c r="I92" i="7"/>
  <c r="J92" i="7"/>
  <c r="H93" i="7"/>
  <c r="I93" i="7"/>
  <c r="J93" i="7"/>
  <c r="H94" i="7"/>
  <c r="I94" i="7"/>
  <c r="J94" i="7"/>
  <c r="H68" i="7"/>
  <c r="I68" i="7"/>
  <c r="J68" i="7"/>
  <c r="I79" i="14"/>
  <c r="L79" i="14"/>
  <c r="K79" i="14"/>
  <c r="H79" i="14"/>
  <c r="F79" i="14"/>
  <c r="I78" i="14"/>
  <c r="L78" i="14"/>
  <c r="K78" i="14"/>
  <c r="H78" i="14"/>
  <c r="F78" i="14"/>
  <c r="I77" i="14"/>
  <c r="L77" i="14"/>
  <c r="K77" i="14"/>
  <c r="H77" i="14"/>
  <c r="F77" i="14"/>
  <c r="I76" i="14"/>
  <c r="L76" i="14"/>
  <c r="K76" i="14"/>
  <c r="H76" i="14"/>
  <c r="F76" i="14"/>
  <c r="I75" i="14"/>
  <c r="L75" i="14"/>
  <c r="K75" i="14"/>
  <c r="H75" i="14"/>
  <c r="F75" i="14"/>
  <c r="I74" i="14"/>
  <c r="L74" i="14"/>
  <c r="K74" i="14"/>
  <c r="H74" i="14"/>
  <c r="F74" i="14"/>
  <c r="I73" i="14"/>
  <c r="L73" i="14"/>
  <c r="K73" i="14"/>
  <c r="H73" i="14"/>
  <c r="E73" i="14"/>
  <c r="F73" i="14"/>
  <c r="I72" i="14"/>
  <c r="L72" i="14"/>
  <c r="K72" i="14"/>
  <c r="H72" i="14"/>
  <c r="E72" i="14"/>
  <c r="F72" i="14"/>
  <c r="N71" i="14"/>
  <c r="I71" i="14"/>
  <c r="L71" i="14"/>
  <c r="K71" i="14"/>
  <c r="H71" i="14"/>
  <c r="E71" i="14"/>
  <c r="F71" i="14"/>
  <c r="N70" i="14"/>
  <c r="I70" i="14"/>
  <c r="L70" i="14"/>
  <c r="K70" i="14"/>
  <c r="H70" i="14"/>
  <c r="E70" i="14"/>
  <c r="F70" i="14"/>
  <c r="N69" i="14"/>
  <c r="I69" i="14"/>
  <c r="L69" i="14"/>
  <c r="K69" i="14"/>
  <c r="H69" i="14"/>
  <c r="E69" i="14"/>
  <c r="F69" i="14"/>
  <c r="N68" i="14"/>
  <c r="I68" i="14"/>
  <c r="L68" i="14"/>
  <c r="K68" i="14"/>
  <c r="H68" i="14"/>
  <c r="E68" i="14"/>
  <c r="F68" i="14"/>
  <c r="N67" i="14"/>
  <c r="I67" i="14"/>
  <c r="L67" i="14"/>
  <c r="K67" i="14"/>
  <c r="H67" i="14"/>
  <c r="E67" i="14"/>
  <c r="F67" i="14"/>
  <c r="N66" i="14"/>
  <c r="I66" i="14"/>
  <c r="L66" i="14"/>
  <c r="K66" i="14"/>
  <c r="H66" i="14"/>
  <c r="E66" i="14"/>
  <c r="F66" i="14"/>
  <c r="I65" i="14"/>
  <c r="L65" i="14"/>
  <c r="K65" i="14"/>
  <c r="H65" i="14"/>
  <c r="F65" i="14"/>
  <c r="I64" i="14"/>
  <c r="L64" i="14"/>
  <c r="K64" i="14"/>
  <c r="H64" i="14"/>
  <c r="F64" i="14"/>
  <c r="I63" i="14"/>
  <c r="L63" i="14"/>
  <c r="K63" i="14"/>
  <c r="H63" i="14"/>
  <c r="F63" i="14"/>
  <c r="I62" i="14"/>
  <c r="L62" i="14"/>
  <c r="K62" i="14"/>
  <c r="H62" i="14"/>
  <c r="F62" i="14"/>
  <c r="I61" i="14"/>
  <c r="L61" i="14"/>
  <c r="K61" i="14"/>
  <c r="H61" i="14"/>
  <c r="F61" i="14"/>
  <c r="I60" i="14"/>
  <c r="L60" i="14"/>
  <c r="K60" i="14"/>
  <c r="H60" i="14"/>
  <c r="F60" i="14"/>
  <c r="I59" i="14"/>
  <c r="L59" i="14"/>
  <c r="K59" i="14"/>
  <c r="H59" i="14"/>
  <c r="E59" i="14"/>
  <c r="F59" i="14"/>
  <c r="I58" i="14"/>
  <c r="L58" i="14"/>
  <c r="K58" i="14"/>
  <c r="H58" i="14"/>
  <c r="E58" i="14"/>
  <c r="F58" i="14"/>
  <c r="N57" i="14"/>
  <c r="I57" i="14"/>
  <c r="L57" i="14"/>
  <c r="K57" i="14"/>
  <c r="H57" i="14"/>
  <c r="E57" i="14"/>
  <c r="F57" i="14"/>
  <c r="N56" i="14"/>
  <c r="I56" i="14"/>
  <c r="L56" i="14"/>
  <c r="K56" i="14"/>
  <c r="H56" i="14"/>
  <c r="E56" i="14"/>
  <c r="F56" i="14"/>
  <c r="N55" i="14"/>
  <c r="I55" i="14"/>
  <c r="L55" i="14"/>
  <c r="K55" i="14"/>
  <c r="H55" i="14"/>
  <c r="E55" i="14"/>
  <c r="F55" i="14"/>
  <c r="N54" i="14"/>
  <c r="I54" i="14"/>
  <c r="L54" i="14"/>
  <c r="K54" i="14"/>
  <c r="H54" i="14"/>
  <c r="E54" i="14"/>
  <c r="F54" i="14"/>
  <c r="N53" i="14"/>
  <c r="I53" i="14"/>
  <c r="L53" i="14"/>
  <c r="K53" i="14"/>
  <c r="H53" i="14"/>
  <c r="E53" i="14"/>
  <c r="F53" i="14"/>
  <c r="N52" i="14"/>
  <c r="I52" i="14"/>
  <c r="L52" i="14"/>
  <c r="K52" i="14"/>
  <c r="H52" i="14"/>
  <c r="E52" i="14"/>
  <c r="F52" i="14"/>
  <c r="G31" i="5"/>
  <c r="G32" i="5"/>
  <c r="G33" i="5"/>
  <c r="F42" i="1"/>
  <c r="F39" i="1"/>
  <c r="H40" i="7"/>
  <c r="F26" i="1"/>
  <c r="I26" i="14"/>
  <c r="I40" i="7"/>
  <c r="D26" i="1"/>
  <c r="F26" i="14"/>
  <c r="L26" i="14"/>
  <c r="G36" i="5"/>
  <c r="F51" i="1"/>
  <c r="D51" i="1"/>
  <c r="I7" i="14"/>
  <c r="E7" i="14"/>
  <c r="F7" i="14"/>
  <c r="F7" i="1"/>
  <c r="D7" i="1"/>
  <c r="D39" i="1"/>
  <c r="D40" i="1"/>
  <c r="D41" i="1"/>
  <c r="D42" i="1"/>
  <c r="D43" i="1"/>
  <c r="D44" i="1"/>
  <c r="D45" i="1"/>
  <c r="D46" i="1"/>
  <c r="D47" i="1"/>
  <c r="D48" i="1"/>
  <c r="D49" i="1"/>
  <c r="D50" i="1"/>
  <c r="E9" i="14"/>
  <c r="E10" i="14"/>
  <c r="E11" i="14"/>
  <c r="E12" i="14"/>
  <c r="E13" i="14"/>
  <c r="E14" i="14"/>
  <c r="E15" i="14"/>
  <c r="E16" i="14"/>
  <c r="E17" i="14"/>
  <c r="E18" i="14"/>
  <c r="E19" i="14"/>
  <c r="E20" i="14"/>
  <c r="E29" i="14"/>
  <c r="H43" i="7"/>
  <c r="E30" i="14"/>
  <c r="E31" i="14"/>
  <c r="E32" i="14"/>
  <c r="F40" i="1"/>
  <c r="F41" i="1"/>
  <c r="F43" i="1"/>
  <c r="F44" i="1"/>
  <c r="F45" i="1"/>
  <c r="F46" i="1"/>
  <c r="F47" i="1"/>
  <c r="F48" i="1"/>
  <c r="F49" i="1"/>
  <c r="F50" i="1"/>
  <c r="F28" i="1"/>
  <c r="F29" i="1"/>
  <c r="F30" i="1"/>
  <c r="F24" i="1"/>
  <c r="I24" i="14"/>
  <c r="D24" i="1"/>
  <c r="F9" i="1"/>
  <c r="I9" i="14"/>
  <c r="F10" i="1"/>
  <c r="I10" i="14"/>
  <c r="D9" i="1"/>
  <c r="D10" i="1"/>
  <c r="L10" i="14"/>
  <c r="I9" i="7"/>
  <c r="H34" i="7"/>
  <c r="H42" i="7"/>
  <c r="H37" i="7"/>
  <c r="H33" i="7"/>
  <c r="H11" i="7"/>
  <c r="H41" i="7"/>
  <c r="H36" i="7"/>
  <c r="H32" i="7"/>
  <c r="H35" i="7"/>
  <c r="F24" i="14"/>
  <c r="H38" i="7"/>
  <c r="L24" i="14"/>
  <c r="I38" i="7"/>
  <c r="H17" i="7"/>
  <c r="H10" i="7"/>
  <c r="H12" i="7"/>
  <c r="L9" i="14"/>
  <c r="H9" i="7"/>
  <c r="F10" i="14"/>
  <c r="I10" i="7"/>
  <c r="F9" i="14"/>
  <c r="F38" i="1"/>
  <c r="D38" i="1"/>
  <c r="E8" i="14"/>
  <c r="H67" i="7"/>
  <c r="H16" i="7"/>
  <c r="H15" i="7"/>
  <c r="H22" i="7"/>
  <c r="F32" i="1"/>
  <c r="F33" i="1"/>
  <c r="F34" i="1"/>
  <c r="F36" i="1"/>
  <c r="F37" i="1"/>
  <c r="D37" i="1"/>
  <c r="D36" i="1"/>
  <c r="H31" i="14"/>
  <c r="G30" i="5"/>
  <c r="H32" i="14"/>
  <c r="D35" i="1"/>
  <c r="D34" i="1"/>
  <c r="D28" i="1"/>
  <c r="D29" i="1"/>
  <c r="D30" i="1"/>
  <c r="D31" i="1"/>
  <c r="D32" i="1"/>
  <c r="D33" i="1"/>
  <c r="K50" i="14"/>
  <c r="J64" i="7"/>
  <c r="E50" i="14"/>
  <c r="K49" i="14"/>
  <c r="E49" i="14"/>
  <c r="K48" i="14"/>
  <c r="E48" i="14"/>
  <c r="K47" i="14"/>
  <c r="E47" i="14"/>
  <c r="F47" i="14"/>
  <c r="K46" i="14"/>
  <c r="E46" i="14"/>
  <c r="K45" i="14"/>
  <c r="E45" i="14"/>
  <c r="K44" i="14"/>
  <c r="E44" i="14"/>
  <c r="K43" i="14"/>
  <c r="E43" i="14"/>
  <c r="K42" i="14"/>
  <c r="E42" i="14"/>
  <c r="K41" i="14"/>
  <c r="E41" i="14"/>
  <c r="K40" i="14"/>
  <c r="E40" i="14"/>
  <c r="K39" i="14"/>
  <c r="E39" i="14"/>
  <c r="K38" i="14"/>
  <c r="E38" i="14"/>
  <c r="K37" i="14"/>
  <c r="E37" i="14"/>
  <c r="K36" i="14"/>
  <c r="E36" i="14"/>
  <c r="K35" i="14"/>
  <c r="J49" i="7"/>
  <c r="E35" i="14"/>
  <c r="K34" i="14"/>
  <c r="E34" i="14"/>
  <c r="K33" i="14"/>
  <c r="E33" i="14"/>
  <c r="J60" i="7"/>
  <c r="H8" i="7"/>
  <c r="F8" i="1"/>
  <c r="D8" i="1"/>
  <c r="F8" i="14"/>
  <c r="F29" i="14"/>
  <c r="K29" i="14"/>
  <c r="J43" i="7"/>
  <c r="F30" i="14"/>
  <c r="I30" i="14"/>
  <c r="K30" i="14"/>
  <c r="J44" i="7"/>
  <c r="F31" i="14"/>
  <c r="K31" i="14"/>
  <c r="J45" i="7"/>
  <c r="F32" i="14"/>
  <c r="K32" i="14"/>
  <c r="J46" i="7"/>
  <c r="F20" i="14"/>
  <c r="K20" i="14"/>
  <c r="J34" i="7"/>
  <c r="F21" i="14"/>
  <c r="H21" i="14"/>
  <c r="K21" i="14"/>
  <c r="J35" i="7"/>
  <c r="F22" i="14"/>
  <c r="K22" i="14"/>
  <c r="J36" i="7"/>
  <c r="F23" i="14"/>
  <c r="H23" i="14"/>
  <c r="K23" i="14"/>
  <c r="J37" i="7"/>
  <c r="H24" i="14"/>
  <c r="K24" i="14"/>
  <c r="J38" i="7"/>
  <c r="H25" i="14"/>
  <c r="K25" i="14"/>
  <c r="J39" i="7"/>
  <c r="H26" i="14"/>
  <c r="K26" i="14"/>
  <c r="J40" i="7"/>
  <c r="K27" i="14"/>
  <c r="J41" i="7"/>
  <c r="F28" i="14"/>
  <c r="H28" i="14"/>
  <c r="K28" i="14"/>
  <c r="J42" i="7"/>
  <c r="I29" i="14"/>
  <c r="F31" i="1"/>
  <c r="I31" i="14"/>
  <c r="I32" i="14"/>
  <c r="G20" i="5"/>
  <c r="H27" i="14"/>
  <c r="G21" i="5"/>
  <c r="H48" i="14"/>
  <c r="G19" i="5"/>
  <c r="N3" i="14"/>
  <c r="N4" i="14"/>
  <c r="N5" i="14"/>
  <c r="N6" i="14"/>
  <c r="N7" i="14"/>
  <c r="N8" i="14"/>
  <c r="N9" i="14"/>
  <c r="N10" i="14"/>
  <c r="N11" i="14"/>
  <c r="N12" i="14"/>
  <c r="N13" i="14"/>
  <c r="N14" i="14"/>
  <c r="N15" i="14"/>
  <c r="N16" i="14"/>
  <c r="N17" i="14"/>
  <c r="N2" i="14"/>
  <c r="E2" i="14"/>
  <c r="D27" i="1"/>
  <c r="F27" i="1"/>
  <c r="I27" i="14"/>
  <c r="D23" i="1"/>
  <c r="F23" i="1"/>
  <c r="D22" i="1"/>
  <c r="F22" i="1"/>
  <c r="D12" i="18"/>
  <c r="D13" i="18"/>
  <c r="D14" i="18"/>
  <c r="D15" i="18"/>
  <c r="D16" i="18"/>
  <c r="D17" i="18"/>
  <c r="D18" i="18"/>
  <c r="D19" i="18"/>
  <c r="D20" i="18"/>
  <c r="D21" i="18"/>
  <c r="D22" i="18"/>
  <c r="D23" i="18"/>
  <c r="D24" i="18"/>
  <c r="D25" i="18"/>
  <c r="D26" i="18"/>
  <c r="D27" i="18"/>
  <c r="D28" i="18"/>
  <c r="D29" i="18"/>
  <c r="D30" i="18"/>
  <c r="D31" i="18"/>
  <c r="D32" i="18"/>
  <c r="D33" i="18"/>
  <c r="D34" i="18"/>
  <c r="D35" i="18"/>
  <c r="D36" i="18"/>
  <c r="D37" i="18"/>
  <c r="D38" i="18"/>
  <c r="D39" i="18"/>
  <c r="D40" i="18"/>
  <c r="D41" i="18"/>
  <c r="D21" i="1"/>
  <c r="F21" i="1"/>
  <c r="K3" i="14"/>
  <c r="K4" i="14"/>
  <c r="K5" i="14"/>
  <c r="J65" i="7"/>
  <c r="K6" i="14"/>
  <c r="J66" i="7"/>
  <c r="K7" i="14"/>
  <c r="K8" i="14"/>
  <c r="K9" i="14"/>
  <c r="J9" i="7"/>
  <c r="K10" i="14"/>
  <c r="K11" i="14"/>
  <c r="K12" i="14"/>
  <c r="K13" i="14"/>
  <c r="J27" i="7"/>
  <c r="K14" i="14"/>
  <c r="J28" i="7"/>
  <c r="K15" i="14"/>
  <c r="J29" i="7"/>
  <c r="K16" i="14"/>
  <c r="K17" i="14"/>
  <c r="J31" i="7"/>
  <c r="K18" i="14"/>
  <c r="J32" i="7"/>
  <c r="K19" i="14"/>
  <c r="J33" i="7"/>
  <c r="K2" i="14"/>
  <c r="J6" i="7"/>
  <c r="D2" i="1"/>
  <c r="F2" i="1"/>
  <c r="F3" i="1"/>
  <c r="F4" i="1"/>
  <c r="I4" i="14"/>
  <c r="F5" i="1"/>
  <c r="F6" i="1"/>
  <c r="F11" i="1"/>
  <c r="I11" i="14"/>
  <c r="F12" i="1"/>
  <c r="I12" i="14"/>
  <c r="L12" i="14"/>
  <c r="F13" i="1"/>
  <c r="I13" i="14"/>
  <c r="F16" i="1"/>
  <c r="I49" i="14"/>
  <c r="F15" i="1"/>
  <c r="I15" i="14"/>
  <c r="I16" i="14"/>
  <c r="F17" i="1"/>
  <c r="I17" i="14"/>
  <c r="F18" i="1"/>
  <c r="F19" i="1"/>
  <c r="I19" i="14"/>
  <c r="F20" i="1"/>
  <c r="E3" i="14"/>
  <c r="E4" i="14"/>
  <c r="E5" i="14"/>
  <c r="E6" i="14"/>
  <c r="F12" i="14"/>
  <c r="F13" i="14"/>
  <c r="H29" i="7"/>
  <c r="H30" i="7"/>
  <c r="H31" i="7"/>
  <c r="F18" i="14"/>
  <c r="F19" i="14"/>
  <c r="D3" i="1"/>
  <c r="D4" i="1"/>
  <c r="D5" i="1"/>
  <c r="D6" i="1"/>
  <c r="D11" i="1"/>
  <c r="D12" i="1"/>
  <c r="D13" i="1"/>
  <c r="D14" i="1"/>
  <c r="D15" i="1"/>
  <c r="D16" i="1"/>
  <c r="D17" i="1"/>
  <c r="D18" i="1"/>
  <c r="D19" i="1"/>
  <c r="D20" i="1"/>
  <c r="F14" i="1"/>
  <c r="I47" i="14"/>
  <c r="F14" i="14"/>
  <c r="G16" i="5"/>
  <c r="G2" i="30"/>
  <c r="F2" i="30"/>
  <c r="G17" i="5"/>
  <c r="H2" i="14"/>
  <c r="H3" i="14"/>
  <c r="H4" i="14"/>
  <c r="H5" i="14"/>
  <c r="H6" i="14"/>
  <c r="H7" i="14"/>
  <c r="H8" i="14"/>
  <c r="H9" i="14"/>
  <c r="H10" i="14"/>
  <c r="H11" i="14"/>
  <c r="H12" i="14"/>
  <c r="H13" i="14"/>
  <c r="H14" i="14"/>
  <c r="H15" i="14"/>
  <c r="H16" i="14"/>
  <c r="H17" i="14"/>
  <c r="H18" i="14"/>
  <c r="G3" i="5"/>
  <c r="G4" i="5"/>
  <c r="G6" i="5"/>
  <c r="G8" i="5"/>
  <c r="G11" i="5"/>
  <c r="G13" i="5"/>
  <c r="H35" i="14"/>
  <c r="G15" i="5"/>
  <c r="H41" i="14"/>
  <c r="G5" i="5"/>
  <c r="G7" i="5"/>
  <c r="H19" i="14"/>
  <c r="G14" i="5"/>
  <c r="G12" i="5"/>
  <c r="D3" i="18"/>
  <c r="D4" i="18"/>
  <c r="D5" i="18"/>
  <c r="D6" i="18"/>
  <c r="D7" i="18"/>
  <c r="D8" i="18"/>
  <c r="D9" i="18"/>
  <c r="D10" i="18"/>
  <c r="D11" i="18"/>
  <c r="D2" i="18"/>
  <c r="G2" i="5"/>
  <c r="G9" i="5"/>
  <c r="H22" i="14"/>
  <c r="G10" i="5"/>
  <c r="I45" i="14"/>
  <c r="J12" i="7"/>
  <c r="J11" i="7"/>
  <c r="J8" i="7"/>
  <c r="J67" i="7"/>
  <c r="H7" i="7"/>
  <c r="H20" i="14"/>
  <c r="H30" i="14"/>
  <c r="I11" i="7"/>
  <c r="L15" i="14"/>
  <c r="L17" i="14"/>
  <c r="I41" i="7"/>
  <c r="L29" i="14"/>
  <c r="L30" i="14"/>
  <c r="I30" i="7"/>
  <c r="F36" i="14"/>
  <c r="F40" i="14"/>
  <c r="F42" i="14"/>
  <c r="F44" i="14"/>
  <c r="F49" i="14"/>
  <c r="H65" i="7"/>
  <c r="F34" i="14"/>
  <c r="F33" i="14"/>
  <c r="F35" i="14"/>
  <c r="F37" i="14"/>
  <c r="F39" i="14"/>
  <c r="F41" i="14"/>
  <c r="H21" i="7"/>
  <c r="H66" i="7"/>
  <c r="J30" i="7"/>
  <c r="J26" i="7"/>
  <c r="H20" i="7"/>
  <c r="L19" i="14"/>
  <c r="I33" i="7"/>
  <c r="H60" i="7"/>
  <c r="H13" i="7"/>
  <c r="H23" i="7"/>
  <c r="H26" i="7"/>
  <c r="H18" i="7"/>
  <c r="I12" i="7"/>
  <c r="H52" i="7"/>
  <c r="I17" i="7"/>
  <c r="H19" i="7"/>
  <c r="H14" i="7"/>
  <c r="F50" i="14"/>
  <c r="J57" i="7"/>
  <c r="J47" i="7"/>
  <c r="J53" i="7"/>
  <c r="J50" i="7"/>
  <c r="J54" i="7"/>
  <c r="J58" i="7"/>
  <c r="J48" i="7"/>
  <c r="J51" i="7"/>
  <c r="J55" i="7"/>
  <c r="J59" i="7"/>
  <c r="J62" i="7"/>
  <c r="J52" i="7"/>
  <c r="J56" i="7"/>
  <c r="J61" i="7"/>
  <c r="J63" i="7"/>
  <c r="J24" i="7"/>
  <c r="I43" i="14"/>
  <c r="I39" i="14"/>
  <c r="I20" i="14"/>
  <c r="I41" i="14"/>
  <c r="I8" i="14"/>
  <c r="I2" i="14"/>
  <c r="I28" i="14"/>
  <c r="H46" i="14"/>
  <c r="H50" i="14"/>
  <c r="H42" i="14"/>
  <c r="H49" i="14"/>
  <c r="H45" i="14"/>
  <c r="H47" i="14"/>
  <c r="H43" i="14"/>
  <c r="L25" i="14"/>
  <c r="H34" i="14"/>
  <c r="H39" i="14"/>
  <c r="H33" i="14"/>
  <c r="H36" i="14"/>
  <c r="H37" i="14"/>
  <c r="H38" i="14"/>
  <c r="H29" i="14"/>
  <c r="H40" i="14"/>
  <c r="H44" i="14"/>
  <c r="J3" i="7"/>
  <c r="J16" i="7"/>
  <c r="J18" i="7"/>
  <c r="J5" i="7"/>
  <c r="J20" i="7"/>
  <c r="J13" i="7"/>
  <c r="J17" i="7"/>
  <c r="J10" i="7"/>
  <c r="J2" i="7"/>
  <c r="J15" i="7"/>
  <c r="I23" i="14"/>
  <c r="I59" i="7"/>
  <c r="I18" i="14"/>
  <c r="I38" i="14"/>
  <c r="I36" i="14"/>
  <c r="I14" i="14"/>
  <c r="H4" i="7"/>
  <c r="F3" i="14"/>
  <c r="L16" i="14"/>
  <c r="H53" i="7"/>
  <c r="I5" i="14"/>
  <c r="H62" i="7"/>
  <c r="F17" i="14"/>
  <c r="L45" i="14"/>
  <c r="H44" i="7"/>
  <c r="H45" i="7"/>
  <c r="F16" i="14"/>
  <c r="I31" i="7"/>
  <c r="F4" i="14"/>
  <c r="H28" i="7"/>
  <c r="H63" i="7"/>
  <c r="I29" i="7"/>
  <c r="H46" i="7"/>
  <c r="F15" i="14"/>
  <c r="H59" i="7"/>
  <c r="H64" i="7"/>
  <c r="H27" i="7"/>
  <c r="H50" i="7"/>
  <c r="F48" i="14"/>
  <c r="F27" i="14"/>
  <c r="J14" i="7"/>
  <c r="H5" i="7"/>
  <c r="I43" i="7"/>
  <c r="I44" i="7"/>
  <c r="H6" i="7"/>
  <c r="J19" i="7"/>
  <c r="F5" i="14"/>
  <c r="H48" i="7"/>
  <c r="L11" i="14"/>
  <c r="H24" i="7"/>
  <c r="F2" i="14"/>
  <c r="F6" i="14"/>
  <c r="H3" i="7"/>
  <c r="H2" i="7"/>
  <c r="H57" i="7"/>
  <c r="L4" i="14"/>
  <c r="J23" i="7"/>
  <c r="H58" i="7"/>
  <c r="H56" i="7"/>
  <c r="H25" i="7"/>
  <c r="H55" i="7"/>
  <c r="L47" i="14"/>
  <c r="L49" i="14"/>
  <c r="L27" i="14"/>
  <c r="I46" i="7"/>
  <c r="L32" i="14"/>
  <c r="I45" i="7"/>
  <c r="L31" i="14"/>
  <c r="I27" i="7"/>
  <c r="F11" i="14"/>
  <c r="J25" i="7"/>
  <c r="J7" i="7"/>
  <c r="J4" i="7"/>
  <c r="J22" i="7"/>
  <c r="J21" i="7"/>
  <c r="I50" i="14"/>
  <c r="I44" i="14"/>
  <c r="I37" i="14"/>
  <c r="I48" i="14"/>
  <c r="I42" i="14"/>
  <c r="H47" i="7"/>
  <c r="I34" i="14"/>
  <c r="L13" i="14"/>
  <c r="H49" i="7"/>
  <c r="I46" i="14"/>
  <c r="I40" i="14"/>
  <c r="I33" i="14"/>
  <c r="I6" i="14"/>
  <c r="I3" i="14"/>
  <c r="I22" i="14"/>
  <c r="I21" i="14"/>
  <c r="H51" i="7"/>
  <c r="H54" i="7"/>
  <c r="H61" i="7"/>
  <c r="I7" i="7"/>
  <c r="K67" i="7" a="1"/>
  <c r="K67" i="7"/>
  <c r="I48" i="7"/>
  <c r="I61" i="7"/>
  <c r="L14" i="14"/>
  <c r="L41" i="14"/>
  <c r="I36" i="7"/>
  <c r="L36" i="14"/>
  <c r="I66" i="7"/>
  <c r="I65" i="7"/>
  <c r="L38" i="14"/>
  <c r="I6" i="7"/>
  <c r="I35" i="7"/>
  <c r="I47" i="7"/>
  <c r="I63" i="7"/>
  <c r="L18" i="14"/>
  <c r="I67" i="7"/>
  <c r="L43" i="14"/>
  <c r="K34" i="7" a="1"/>
  <c r="K34" i="7"/>
  <c r="K37" i="7" a="1"/>
  <c r="K37" i="7"/>
  <c r="K36" i="7" a="1"/>
  <c r="K36" i="7"/>
  <c r="K35" i="7" a="1"/>
  <c r="K35" i="7"/>
  <c r="K38" i="7" a="1"/>
  <c r="K38" i="7"/>
  <c r="I20" i="7"/>
  <c r="L23" i="14"/>
  <c r="I37" i="7"/>
  <c r="L28" i="14"/>
  <c r="I42" i="7"/>
  <c r="L20" i="14"/>
  <c r="I34" i="7"/>
  <c r="K12" i="7" a="1"/>
  <c r="K12" i="7"/>
  <c r="I14" i="7"/>
  <c r="I19" i="7"/>
  <c r="I18" i="7"/>
  <c r="I26" i="7"/>
  <c r="I23" i="7"/>
  <c r="I13" i="7"/>
  <c r="I8" i="7"/>
  <c r="I21" i="7"/>
  <c r="I16" i="7"/>
  <c r="I15" i="7"/>
  <c r="I22" i="7"/>
  <c r="L39" i="14"/>
  <c r="L8" i="14"/>
  <c r="I4" i="7"/>
  <c r="I2" i="7"/>
  <c r="I3" i="7"/>
  <c r="L2" i="14"/>
  <c r="I5" i="7"/>
  <c r="I28" i="7"/>
  <c r="K33" i="7" a="1"/>
  <c r="K33" i="7"/>
  <c r="K40" i="7" a="1"/>
  <c r="K40" i="7"/>
  <c r="I53" i="7"/>
  <c r="K44" i="7" a="1"/>
  <c r="K44" i="7"/>
  <c r="K17" i="7" a="1"/>
  <c r="K17" i="7"/>
  <c r="K10" i="7" a="1"/>
  <c r="K10" i="7"/>
  <c r="L15" i="7" a="1"/>
  <c r="L15" i="7"/>
  <c r="K18" i="7" a="1"/>
  <c r="K18" i="7"/>
  <c r="K39" i="7" a="1"/>
  <c r="K39" i="7"/>
  <c r="K41" i="7" a="1"/>
  <c r="K41" i="7"/>
  <c r="L16" i="7" a="1"/>
  <c r="L16" i="7"/>
  <c r="K11" i="7" a="1"/>
  <c r="K11" i="7"/>
  <c r="K8" i="7" a="1"/>
  <c r="K8" i="7"/>
  <c r="K9" i="7" a="1"/>
  <c r="K9" i="7"/>
  <c r="K45" i="7" a="1"/>
  <c r="K45" i="7"/>
  <c r="I32" i="7"/>
  <c r="L7" i="14"/>
  <c r="L5" i="14"/>
  <c r="I55" i="7"/>
  <c r="I51" i="7"/>
  <c r="L21" i="14"/>
  <c r="L22" i="14"/>
  <c r="L3" i="14"/>
  <c r="L6" i="14"/>
  <c r="I25" i="7"/>
  <c r="I24" i="7"/>
  <c r="I54" i="7"/>
  <c r="I56" i="7"/>
  <c r="L33" i="14"/>
  <c r="L40" i="14"/>
  <c r="L46" i="14"/>
  <c r="I62" i="7"/>
  <c r="I57" i="7"/>
  <c r="I50" i="7"/>
  <c r="I49" i="7"/>
  <c r="I52" i="7"/>
  <c r="L34" i="14"/>
  <c r="I64" i="7"/>
  <c r="I58" i="7"/>
  <c r="L35" i="14"/>
  <c r="L42" i="14"/>
  <c r="L48" i="14"/>
  <c r="I60" i="7"/>
  <c r="L37" i="14"/>
  <c r="L44" i="14"/>
  <c r="L50" i="14"/>
</calcChain>
</file>

<file path=xl/comments1.xml><?xml version="1.0" encoding="utf-8"?>
<comments xmlns="http://schemas.openxmlformats.org/spreadsheetml/2006/main">
  <authors>
    <author>作者</author>
  </authors>
  <commentList>
    <comment ref="B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单炮抽水率</t>
        </r>
      </text>
    </comment>
    <comment ref="C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每炮之间的时间间隔</t>
        </r>
      </text>
    </comment>
    <comment ref="D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额外扣除的百分比，用于之后的返奖</t>
        </r>
      </text>
    </comment>
  </commentList>
</comments>
</file>

<file path=xl/comments2.xml><?xml version="1.0" encoding="utf-8"?>
<comments xmlns="http://schemas.openxmlformats.org/spreadsheetml/2006/main">
  <authors>
    <author>作者</author>
  </authors>
  <commentList>
    <comment ref="E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单位0.1秒</t>
        </r>
      </text>
    </comment>
  </commentList>
</comments>
</file>

<file path=xl/comments3.xml><?xml version="1.0" encoding="utf-8"?>
<comments xmlns="http://schemas.openxmlformats.org/spreadsheetml/2006/main">
  <authors>
    <author>作者</author>
  </authors>
  <commentList>
    <comment ref="C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引用usefish中ID</t>
        </r>
      </text>
    </comment>
    <comment ref="E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标准速度100</t>
        </r>
      </text>
    </comment>
    <comment ref="F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单位0.1s</t>
        </r>
      </text>
    </comment>
  </commentList>
</comments>
</file>

<file path=xl/comments4.xml><?xml version="1.0" encoding="utf-8"?>
<comments xmlns="http://schemas.openxmlformats.org/spreadsheetml/2006/main">
  <authors>
    <author>作者</author>
  </authors>
  <commentList>
    <comment ref="B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宝箱鱼存活时间</t>
        </r>
      </text>
    </comment>
    <comment ref="C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box_fish_award中奖励分配方式</t>
        </r>
      </text>
    </comment>
    <comment ref="D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总血量</t>
        </r>
      </text>
    </comment>
  </commentList>
</comments>
</file>

<file path=xl/comments5.xml><?xml version="1.0" encoding="utf-8"?>
<comments xmlns="http://schemas.openxmlformats.org/spreadsheetml/2006/main">
  <authors>
    <author>作者</author>
  </authors>
  <commentList>
    <comment ref="B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暂未使用</t>
        </r>
      </text>
    </comment>
  </commentList>
</comments>
</file>

<file path=xl/comments6.xml><?xml version="1.0" encoding="utf-8"?>
<comments xmlns="http://schemas.openxmlformats.org/spreadsheetml/2006/main">
  <authors>
    <author>作者</author>
  </authors>
  <commentList>
    <comment ref="A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对应fish_path_config.lua文件中的路径</t>
        </r>
      </text>
    </comment>
    <comment ref="C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对应左上、右上、左下、右下四个区域</t>
        </r>
      </text>
    </comment>
  </commentList>
</comments>
</file>

<file path=xl/sharedStrings.xml><?xml version="1.0" encoding="utf-8"?>
<sst xmlns="http://schemas.openxmlformats.org/spreadsheetml/2006/main" count="547" uniqueCount="400">
  <si>
    <t>shoot|命中率</t>
    <phoneticPr fontId="1" type="noConversion"/>
  </si>
  <si>
    <t>id|路径编号</t>
    <phoneticPr fontId="1" type="noConversion"/>
  </si>
  <si>
    <t>|活动类型备注</t>
    <phoneticPr fontId="1" type="noConversion"/>
  </si>
  <si>
    <t>id|编号</t>
    <phoneticPr fontId="1" type="noConversion"/>
  </si>
  <si>
    <t>acti_type|活动类型</t>
    <phoneticPr fontId="1" type="noConversion"/>
  </si>
  <si>
    <t>num|活动数值，两项参数的先时间后倍数</t>
    <phoneticPr fontId="1" type="noConversion"/>
  </si>
  <si>
    <t>show|显隐1显0隐</t>
    <phoneticPr fontId="1" type="noConversion"/>
  </si>
  <si>
    <t>|鱼名</t>
    <phoneticPr fontId="1" type="noConversion"/>
  </si>
  <si>
    <t>小丑鱼</t>
  </si>
  <si>
    <t>魔鬼鱼</t>
  </si>
  <si>
    <t>ID|鱼组编号</t>
    <phoneticPr fontId="1" type="noConversion"/>
  </si>
  <si>
    <t>speed|速度</t>
    <phoneticPr fontId="1" type="noConversion"/>
  </si>
  <si>
    <t>int|间隔时间</t>
    <phoneticPr fontId="1" type="noConversion"/>
  </si>
  <si>
    <t>fish_form|鱼组成</t>
    <phoneticPr fontId="1" type="noConversion"/>
  </si>
  <si>
    <t>count|鱼数量，群鱼生效</t>
    <phoneticPr fontId="1" type="noConversion"/>
  </si>
  <si>
    <t>type|鱼类型</t>
    <phoneticPr fontId="1" type="noConversion"/>
  </si>
  <si>
    <t>act_id|活动ID</t>
    <phoneticPr fontId="1" type="noConversion"/>
  </si>
  <si>
    <t>id|基础鱼的ID</t>
    <phoneticPr fontId="1" type="noConversion"/>
  </si>
  <si>
    <t>|组合名</t>
    <phoneticPr fontId="1" type="noConversion"/>
  </si>
  <si>
    <t>no</t>
    <phoneticPr fontId="1" type="noConversion"/>
  </si>
  <si>
    <t>region|所属区域</t>
    <phoneticPr fontId="1" type="noConversion"/>
  </si>
  <si>
    <t>id|在group使用的鱼ID</t>
    <phoneticPr fontId="1" type="noConversion"/>
  </si>
  <si>
    <t>activity</t>
  </si>
  <si>
    <t>act_type|活动类型</t>
    <phoneticPr fontId="1" type="noConversion"/>
  </si>
  <si>
    <t>no</t>
    <phoneticPr fontId="1" type="noConversion"/>
  </si>
  <si>
    <t>tax</t>
    <phoneticPr fontId="1" type="noConversion"/>
  </si>
  <si>
    <t>fire_interval</t>
  </si>
  <si>
    <t>storage</t>
    <phoneticPr fontId="1" type="noConversion"/>
  </si>
  <si>
    <t>max_times|最大随机次数</t>
  </si>
  <si>
    <t>min_times|最小随机次数</t>
  </si>
  <si>
    <t>max_bodong_value|最大波动概率</t>
  </si>
  <si>
    <t>min_bodong_value</t>
  </si>
  <si>
    <t>per_storage|每炮增加能量</t>
    <phoneticPr fontId="1" type="noConversion"/>
  </si>
  <si>
    <t>value|价值</t>
    <phoneticPr fontId="1" type="noConversion"/>
  </si>
  <si>
    <t>value|价值炮弹</t>
    <phoneticPr fontId="1" type="noConversion"/>
  </si>
  <si>
    <t>no</t>
    <phoneticPr fontId="1" type="noConversion"/>
  </si>
  <si>
    <t>level</t>
    <phoneticPr fontId="1" type="noConversion"/>
  </si>
  <si>
    <t>|最大随机次数需要的时间(秒)</t>
  </si>
  <si>
    <t>|最小随机次数需要的时间</t>
  </si>
  <si>
    <t>|最大波动峰值</t>
  </si>
  <si>
    <t>|最小波动峰值</t>
  </si>
  <si>
    <t>|最大波动低值</t>
  </si>
  <si>
    <t>|最小波动低值</t>
  </si>
  <si>
    <t>1,</t>
    <phoneticPr fontId="1" type="noConversion"/>
  </si>
  <si>
    <t>1,</t>
    <phoneticPr fontId="1" type="noConversion"/>
  </si>
  <si>
    <t>|活动名</t>
    <phoneticPr fontId="1" type="noConversion"/>
  </si>
  <si>
    <t>免费子弹</t>
  </si>
  <si>
    <t>威力提升</t>
  </si>
  <si>
    <t>暴击时刻</t>
  </si>
  <si>
    <t>炸弹</t>
  </si>
  <si>
    <t>闪电</t>
  </si>
  <si>
    <t>红包</t>
  </si>
  <si>
    <t>锁定卡</t>
    <phoneticPr fontId="1" type="noConversion"/>
  </si>
  <si>
    <t>冰冻卡</t>
    <phoneticPr fontId="1" type="noConversion"/>
  </si>
  <si>
    <t>1,</t>
    <phoneticPr fontId="1" type="noConversion"/>
  </si>
  <si>
    <t>|查询use_fish编号,按F9计算</t>
    <phoneticPr fontId="1" type="noConversion"/>
  </si>
  <si>
    <t>|辅助</t>
    <phoneticPr fontId="1" type="noConversion"/>
  </si>
  <si>
    <t>50,</t>
    <phoneticPr fontId="1" type="noConversion"/>
  </si>
  <si>
    <t>30,</t>
    <phoneticPr fontId="1" type="noConversion"/>
  </si>
  <si>
    <t>50,</t>
    <phoneticPr fontId="1" type="noConversion"/>
  </si>
  <si>
    <t>time|0.1秒</t>
    <phoneticPr fontId="1" type="noConversion"/>
  </si>
  <si>
    <t>|备注</t>
    <phoneticPr fontId="1" type="noConversion"/>
  </si>
  <si>
    <t>skill</t>
    <phoneticPr fontId="1" type="noConversion"/>
  </si>
  <si>
    <t>time</t>
    <phoneticPr fontId="1" type="noConversion"/>
  </si>
  <si>
    <t>cd_time</t>
    <phoneticPr fontId="1" type="noConversion"/>
  </si>
  <si>
    <t>frozen</t>
    <phoneticPr fontId="1" type="noConversion"/>
  </si>
  <si>
    <t>lock</t>
    <phoneticPr fontId="1" type="noConversion"/>
  </si>
  <si>
    <t>海龟</t>
  </si>
  <si>
    <t>虎鲸</t>
  </si>
  <si>
    <t>63,</t>
    <phoneticPr fontId="1" type="noConversion"/>
  </si>
  <si>
    <t>63,</t>
    <phoneticPr fontId="1" type="noConversion"/>
  </si>
  <si>
    <t>|花费时间min</t>
    <phoneticPr fontId="1" type="noConversion"/>
  </si>
  <si>
    <t>63,2,</t>
    <phoneticPr fontId="1" type="noConversion"/>
  </si>
  <si>
    <t>0.01,</t>
    <phoneticPr fontId="1" type="noConversion"/>
  </si>
  <si>
    <t>random_wave_js_limit|随机波动沮丧值，也是开关 -1表示关闭</t>
    <phoneticPr fontId="1" type="noConversion"/>
  </si>
  <si>
    <t>no</t>
    <phoneticPr fontId="1" type="noConversion"/>
  </si>
  <si>
    <t>change_times</t>
    <phoneticPr fontId="1" type="noConversion"/>
  </si>
  <si>
    <t>change_times_power</t>
    <phoneticPr fontId="1" type="noConversion"/>
  </si>
  <si>
    <t>bd_factor</t>
    <phoneticPr fontId="1" type="noConversion"/>
  </si>
  <si>
    <t>bd_power</t>
    <phoneticPr fontId="1" type="noConversion"/>
  </si>
  <si>
    <t>|all_change_times_power</t>
    <phoneticPr fontId="1" type="noConversion"/>
  </si>
  <si>
    <t>|all_bodong_power</t>
    <phoneticPr fontId="1" type="noConversion"/>
  </si>
  <si>
    <t>ID12389活动不要随意修改</t>
    <phoneticPr fontId="1" type="noConversion"/>
  </si>
  <si>
    <t>award_id|奖励组合</t>
    <phoneticPr fontId="1" type="noConversion"/>
  </si>
  <si>
    <t>id</t>
    <phoneticPr fontId="1" type="noConversion"/>
  </si>
  <si>
    <t>mode_name</t>
    <phoneticPr fontId="1" type="noConversion"/>
  </si>
  <si>
    <t>rate</t>
    <phoneticPr fontId="1" type="noConversion"/>
  </si>
  <si>
    <t>固定掉一滴血</t>
    <phoneticPr fontId="1" type="noConversion"/>
  </si>
  <si>
    <t>按子弹的1倍</t>
    <phoneticPr fontId="1" type="noConversion"/>
  </si>
  <si>
    <t>no</t>
    <phoneticPr fontId="1" type="noConversion"/>
  </si>
  <si>
    <t>id|奖励组合id</t>
    <phoneticPr fontId="1" type="noConversion"/>
  </si>
  <si>
    <t>mode</t>
    <phoneticPr fontId="1" type="noConversion"/>
  </si>
  <si>
    <t>weight</t>
    <phoneticPr fontId="1" type="noConversion"/>
  </si>
  <si>
    <t>data</t>
    <phoneticPr fontId="1" type="noConversion"/>
  </si>
  <si>
    <t>|备注</t>
    <phoneticPr fontId="1" type="noConversion"/>
  </si>
  <si>
    <t>A</t>
    <phoneticPr fontId="1" type="noConversion"/>
  </si>
  <si>
    <t>A模式是直接按照输出贡献比例作为概率获取全部奖励</t>
    <phoneticPr fontId="1" type="noConversion"/>
  </si>
  <si>
    <t>B</t>
    <phoneticPr fontId="1" type="noConversion"/>
  </si>
  <si>
    <t>B</t>
    <phoneticPr fontId="1" type="noConversion"/>
  </si>
  <si>
    <t>奇数是倍数，偶数是权重，必须两两一组</t>
    <phoneticPr fontId="1" type="noConversion"/>
  </si>
  <si>
    <t>0.5,455,1,240,1.5,155,2,150</t>
    <phoneticPr fontId="1" type="noConversion"/>
  </si>
  <si>
    <t>0.1,527,0,0,0,0,2,473</t>
    <phoneticPr fontId="1" type="noConversion"/>
  </si>
  <si>
    <t>临时活动</t>
    <phoneticPr fontId="1" type="noConversion"/>
  </si>
  <si>
    <t>life|生命</t>
    <phoneticPr fontId="1" type="noConversion"/>
  </si>
  <si>
    <t>life|生命</t>
    <phoneticPr fontId="1" type="noConversion"/>
  </si>
  <si>
    <t>dead_mode|死亡模式</t>
    <phoneticPr fontId="1" type="noConversion"/>
  </si>
  <si>
    <t>gd_blood</t>
    <phoneticPr fontId="1" type="noConversion"/>
  </si>
  <si>
    <t>blood</t>
    <phoneticPr fontId="1" type="noConversion"/>
  </si>
  <si>
    <t>life|生命</t>
    <phoneticPr fontId="1" type="noConversion"/>
  </si>
  <si>
    <t>金币活动</t>
    <phoneticPr fontId="1" type="noConversion"/>
  </si>
  <si>
    <t>rate|奖励倍数</t>
    <phoneticPr fontId="1" type="noConversion"/>
  </si>
  <si>
    <t>rate|倍数</t>
    <phoneticPr fontId="1" type="noConversion"/>
  </si>
  <si>
    <t>gd_award|固定奖励</t>
  </si>
  <si>
    <t>gd_award|固定奖励</t>
    <phoneticPr fontId="1" type="noConversion"/>
  </si>
  <si>
    <t>rate|倍率</t>
    <phoneticPr fontId="1" type="noConversion"/>
  </si>
  <si>
    <t>临时活动</t>
  </si>
  <si>
    <t>survive_time</t>
    <phoneticPr fontId="1" type="noConversion"/>
  </si>
  <si>
    <t>award_id</t>
    <phoneticPr fontId="1" type="noConversion"/>
  </si>
  <si>
    <t>value|价值</t>
    <phoneticPr fontId="1" type="noConversion"/>
  </si>
  <si>
    <t>image_cfg</t>
    <phoneticPr fontId="1" type="noConversion"/>
  </si>
  <si>
    <t>type|鱼图类别</t>
    <phoneticPr fontId="1" type="noConversion"/>
  </si>
  <si>
    <t>over_time_min</t>
    <phoneticPr fontId="1" type="noConversion"/>
  </si>
  <si>
    <t>over_time_max</t>
    <phoneticPr fontId="1" type="noConversion"/>
  </si>
  <si>
    <t>ctor_in_min_round|最小创建间隔轮次</t>
    <phoneticPr fontId="1" type="noConversion"/>
  </si>
  <si>
    <t>ctor_in_max_round|最大创建间隔轮次</t>
    <phoneticPr fontId="1" type="noConversion"/>
  </si>
  <si>
    <t>ctor_in_max_round|最大创建间隔轮次</t>
    <phoneticPr fontId="1" type="noConversion"/>
  </si>
  <si>
    <t>ctor_count|最大创建次数  9999999999代表无限制</t>
    <phoneticPr fontId="1" type="noConversion"/>
  </si>
  <si>
    <t>power|权值</t>
    <phoneticPr fontId="1" type="noConversion"/>
  </si>
  <si>
    <t>random</t>
    <phoneticPr fontId="1" type="noConversion"/>
  </si>
  <si>
    <t>guding</t>
    <phoneticPr fontId="1" type="noConversion"/>
  </si>
  <si>
    <t>power|权值</t>
    <phoneticPr fontId="1" type="noConversion"/>
  </si>
  <si>
    <t>ctor_count|最大创建次数  9999999999代表无限制</t>
    <phoneticPr fontId="1" type="noConversion"/>
  </si>
  <si>
    <t>first_ctor_min_round</t>
    <phoneticPr fontId="1" type="noConversion"/>
  </si>
  <si>
    <t>ranking_rate|排行榜赢金</t>
    <phoneticPr fontId="1" type="noConversion"/>
  </si>
  <si>
    <t>ranking_show_rate|排行榜赢金客户端倍数</t>
    <phoneticPr fontId="1" type="noConversion"/>
  </si>
  <si>
    <t>enter_bag|掉落后是否进入背包</t>
    <phoneticPr fontId="1" type="noConversion"/>
  </si>
  <si>
    <t>ID</t>
    <phoneticPr fontId="1" type="noConversion"/>
  </si>
  <si>
    <t>yuchao|鱼潮</t>
    <phoneticPr fontId="1" type="noConversion"/>
  </si>
  <si>
    <t>yc_weight</t>
    <phoneticPr fontId="1" type="noConversion"/>
  </si>
  <si>
    <t>activity</t>
    <phoneticPr fontId="1" type="noConversion"/>
  </si>
  <si>
    <t>activity_weight</t>
    <phoneticPr fontId="1" type="noConversion"/>
  </si>
  <si>
    <t>money</t>
    <phoneticPr fontId="1" type="noConversion"/>
  </si>
  <si>
    <t>money_weight</t>
    <phoneticPr fontId="1" type="noConversion"/>
  </si>
  <si>
    <t>ranking</t>
    <phoneticPr fontId="1" type="noConversion"/>
  </si>
  <si>
    <t>ranking_weight</t>
    <phoneticPr fontId="1" type="noConversion"/>
  </si>
  <si>
    <t>no</t>
    <phoneticPr fontId="1" type="noConversion"/>
  </si>
  <si>
    <t>map_id</t>
    <phoneticPr fontId="1" type="noConversion"/>
  </si>
  <si>
    <t>B模式，按照打到的血量的倍数返奖</t>
    <phoneticPr fontId="1" type="noConversion"/>
  </si>
  <si>
    <t>钻头弹</t>
    <phoneticPr fontId="1" type="noConversion"/>
  </si>
  <si>
    <t>穿透钢弹</t>
    <phoneticPr fontId="1" type="noConversion"/>
  </si>
  <si>
    <t>group_id|鱼组分页ID</t>
    <phoneticPr fontId="1" type="noConversion"/>
  </si>
  <si>
    <t>|备注</t>
    <phoneticPr fontId="1" type="noConversion"/>
  </si>
  <si>
    <t>召唤鱼从鱼组中随机生成一条</t>
    <phoneticPr fontId="1" type="noConversion"/>
  </si>
  <si>
    <t>神灯</t>
    <phoneticPr fontId="1" type="noConversion"/>
  </si>
  <si>
    <t>63,2</t>
    <phoneticPr fontId="1" type="noConversion"/>
  </si>
  <si>
    <t>100,150</t>
    <phoneticPr fontId="1" type="noConversion"/>
  </si>
  <si>
    <t>200,250</t>
    <phoneticPr fontId="1" type="noConversion"/>
  </si>
  <si>
    <t>300,450</t>
    <phoneticPr fontId="1" type="noConversion"/>
  </si>
  <si>
    <t>蝴蝶鱼</t>
  </si>
  <si>
    <t>河豚</t>
  </si>
  <si>
    <t>炸弹鱼</t>
  </si>
  <si>
    <t>大金鲨</t>
  </si>
  <si>
    <t>金蟾</t>
  </si>
  <si>
    <t>美人鱼</t>
  </si>
  <si>
    <t>穿云蟹</t>
  </si>
  <si>
    <t>闪电海鳗</t>
  </si>
  <si>
    <t>电磁蟹</t>
  </si>
  <si>
    <t>黄金巨龙</t>
  </si>
  <si>
    <t>奇遇蟹</t>
  </si>
  <si>
    <t>5,</t>
    <phoneticPr fontId="1" type="noConversion"/>
  </si>
  <si>
    <t>8,</t>
    <phoneticPr fontId="1" type="noConversion"/>
  </si>
  <si>
    <t>14,</t>
    <phoneticPr fontId="1" type="noConversion"/>
  </si>
  <si>
    <t>15,</t>
    <phoneticPr fontId="1" type="noConversion"/>
  </si>
  <si>
    <t>16,</t>
    <phoneticPr fontId="1" type="noConversion"/>
  </si>
  <si>
    <t>17,</t>
    <phoneticPr fontId="1" type="noConversion"/>
  </si>
  <si>
    <t>18,</t>
    <phoneticPr fontId="1" type="noConversion"/>
  </si>
  <si>
    <t>19,</t>
    <phoneticPr fontId="1" type="noConversion"/>
  </si>
  <si>
    <t>20,</t>
    <phoneticPr fontId="1" type="noConversion"/>
  </si>
  <si>
    <t>21,</t>
    <phoneticPr fontId="1" type="noConversion"/>
  </si>
  <si>
    <t>22,</t>
    <phoneticPr fontId="1" type="noConversion"/>
  </si>
  <si>
    <t>23,</t>
    <phoneticPr fontId="1" type="noConversion"/>
  </si>
  <si>
    <t>24,</t>
    <phoneticPr fontId="1" type="noConversion"/>
  </si>
  <si>
    <t>25,</t>
    <phoneticPr fontId="1" type="noConversion"/>
  </si>
  <si>
    <t>26,</t>
    <phoneticPr fontId="1" type="noConversion"/>
  </si>
  <si>
    <t>28,</t>
    <phoneticPr fontId="1" type="noConversion"/>
  </si>
  <si>
    <t>29,</t>
    <phoneticPr fontId="1" type="noConversion"/>
  </si>
  <si>
    <t>30,</t>
    <phoneticPr fontId="1" type="noConversion"/>
  </si>
  <si>
    <t>27,</t>
    <phoneticPr fontId="1" type="noConversion"/>
  </si>
  <si>
    <t>4,9,4,</t>
    <phoneticPr fontId="1" type="noConversion"/>
  </si>
  <si>
    <t>3,9,16</t>
    <phoneticPr fontId="1" type="noConversion"/>
  </si>
  <si>
    <t>1,7,14</t>
    <phoneticPr fontId="1" type="noConversion"/>
  </si>
  <si>
    <t>2,8,15</t>
    <phoneticPr fontId="1" type="noConversion"/>
  </si>
  <si>
    <t>2,8,15,22</t>
    <phoneticPr fontId="1" type="noConversion"/>
  </si>
  <si>
    <t>4,10,17,24</t>
    <phoneticPr fontId="1" type="noConversion"/>
  </si>
  <si>
    <t>32,</t>
  </si>
  <si>
    <t>31,</t>
  </si>
  <si>
    <t>33,</t>
  </si>
  <si>
    <t>34,</t>
  </si>
  <si>
    <t>35,</t>
  </si>
  <si>
    <t>36,</t>
  </si>
  <si>
    <t>37,</t>
  </si>
  <si>
    <t>38,</t>
  </si>
  <si>
    <t>39,</t>
  </si>
  <si>
    <t>40,</t>
  </si>
  <si>
    <t>41,</t>
  </si>
  <si>
    <t>42,</t>
  </si>
  <si>
    <t>43,</t>
  </si>
  <si>
    <t>44,</t>
  </si>
  <si>
    <t>45,</t>
  </si>
  <si>
    <t>47,</t>
  </si>
  <si>
    <t>48,</t>
  </si>
  <si>
    <t>49,</t>
  </si>
  <si>
    <t>5,7,5,</t>
    <phoneticPr fontId="1" type="noConversion"/>
  </si>
  <si>
    <t>7,9,7,</t>
    <phoneticPr fontId="1" type="noConversion"/>
  </si>
  <si>
    <t>9,12,9,</t>
    <phoneticPr fontId="1" type="noConversion"/>
  </si>
  <si>
    <t>4,9,4,</t>
    <phoneticPr fontId="1" type="noConversion"/>
  </si>
  <si>
    <t>财神：奖励区间</t>
    <phoneticPr fontId="1" type="noConversion"/>
  </si>
  <si>
    <t>彩贝：数量，掉彩贝ID（0代表不掉），权重</t>
    <phoneticPr fontId="1" type="noConversion"/>
  </si>
  <si>
    <t>broadcast|广播</t>
    <phoneticPr fontId="1" type="noConversion"/>
  </si>
  <si>
    <t>金币大爆发</t>
    <phoneticPr fontId="1" type="noConversion"/>
  </si>
  <si>
    <t>0,50</t>
    <phoneticPr fontId="1" type="noConversion"/>
  </si>
  <si>
    <t>100倍金币爆发</t>
    <phoneticPr fontId="1" type="noConversion"/>
  </si>
  <si>
    <t>0,50,3</t>
    <phoneticPr fontId="1" type="noConversion"/>
  </si>
  <si>
    <t>电磁弹</t>
    <phoneticPr fontId="1" type="noConversion"/>
  </si>
  <si>
    <t xml:space="preserve">    </t>
    <phoneticPr fontId="1" type="noConversion"/>
  </si>
  <si>
    <t>image_no</t>
    <phoneticPr fontId="1" type="noConversion"/>
  </si>
  <si>
    <t>guding</t>
    <phoneticPr fontId="1" type="noConversion"/>
  </si>
  <si>
    <t>clear_level|鱼潮清理等级</t>
    <phoneticPr fontId="1" type="noConversion"/>
  </si>
  <si>
    <t>fish_3d_yutu_gd_1</t>
    <phoneticPr fontId="1" type="noConversion"/>
  </si>
  <si>
    <t>base_id|基础鱼id</t>
    <phoneticPr fontId="1" type="noConversion"/>
  </si>
  <si>
    <t>4,10,17</t>
    <phoneticPr fontId="1" type="noConversion"/>
  </si>
  <si>
    <t>疯狂6选一</t>
    <phoneticPr fontId="1" type="noConversion"/>
  </si>
  <si>
    <t>原子弹</t>
    <phoneticPr fontId="1" type="noConversion"/>
  </si>
  <si>
    <t>4,</t>
  </si>
  <si>
    <t>5,</t>
  </si>
  <si>
    <t>10,2,</t>
    <phoneticPr fontId="1" type="noConversion"/>
  </si>
  <si>
    <t>append_image_id|附加的鱼途id</t>
    <phoneticPr fontId="1" type="noConversion"/>
  </si>
  <si>
    <t>财神-50</t>
    <phoneticPr fontId="1" type="noConversion"/>
  </si>
  <si>
    <t>财神-150</t>
    <phoneticPr fontId="1" type="noConversion"/>
  </si>
  <si>
    <t>财神-250</t>
    <phoneticPr fontId="1" type="noConversion"/>
  </si>
  <si>
    <t>财神-450</t>
    <phoneticPr fontId="1" type="noConversion"/>
  </si>
  <si>
    <t>fish_3d_yutu_random_1</t>
    <phoneticPr fontId="1" type="noConversion"/>
  </si>
  <si>
    <t>财神</t>
  </si>
  <si>
    <t>小牛角</t>
  </si>
  <si>
    <t>小气泡</t>
  </si>
  <si>
    <t>小燕鱼</t>
  </si>
  <si>
    <t>小黄鳍</t>
  </si>
  <si>
    <t>小灯笼</t>
  </si>
  <si>
    <t>小旗鱼</t>
  </si>
  <si>
    <t>小水母</t>
  </si>
  <si>
    <t>小章鱼</t>
  </si>
  <si>
    <t>小海龟</t>
  </si>
  <si>
    <t>狮子鱼</t>
  </si>
  <si>
    <t>巨大小丑鱼</t>
  </si>
  <si>
    <t>巨大灯笼鱼</t>
  </si>
  <si>
    <t>巨大燕鱼</t>
  </si>
  <si>
    <t>黄金炸弹鱼</t>
  </si>
  <si>
    <t>黄金狮子鱼</t>
  </si>
  <si>
    <t>黄金海龟</t>
  </si>
  <si>
    <t>黄金河豚</t>
  </si>
  <si>
    <t>黄金锤头鲨</t>
  </si>
  <si>
    <t>骰子龟</t>
  </si>
  <si>
    <t>金龙转盘</t>
  </si>
  <si>
    <t>炽火龙王</t>
  </si>
  <si>
    <t>霸王蟹</t>
  </si>
  <si>
    <t>鲨鱼武士</t>
  </si>
  <si>
    <t>荧光女皇</t>
  </si>
  <si>
    <t>龙龟</t>
  </si>
  <si>
    <t>麒麟兽</t>
  </si>
  <si>
    <t>海盗船</t>
  </si>
  <si>
    <t>鳄鱼</t>
  </si>
  <si>
    <t>大王乌贼</t>
  </si>
  <si>
    <t>50,50,50,50,100,</t>
    <phoneticPr fontId="1" type="noConversion"/>
  </si>
  <si>
    <t>0.02,0.02,0.02,0.02,0.01</t>
    <phoneticPr fontId="1" type="noConversion"/>
  </si>
  <si>
    <t>黄金灯笼鱼</t>
    <phoneticPr fontId="1" type="noConversion"/>
  </si>
  <si>
    <t>3,</t>
  </si>
  <si>
    <t>8,7,8,</t>
    <phoneticPr fontId="1" type="noConversion"/>
  </si>
  <si>
    <t>11,</t>
    <phoneticPr fontId="1" type="noConversion"/>
  </si>
  <si>
    <t>path|一网打尽时路径</t>
    <phoneticPr fontId="1" type="noConversion"/>
  </si>
  <si>
    <t>100,</t>
    <phoneticPr fontId="1" type="noConversion"/>
  </si>
  <si>
    <t>宝藏章鱼</t>
    <phoneticPr fontId="1" type="noConversion"/>
  </si>
  <si>
    <t>2,</t>
    <phoneticPr fontId="1" type="noConversion"/>
  </si>
  <si>
    <t>fish_type|鱼类型,1A群鱼   2B群鱼  3敢死队  4一网打尽</t>
    <phoneticPr fontId="1" type="noConversion"/>
  </si>
  <si>
    <t>12,13,17,</t>
    <phoneticPr fontId="1" type="noConversion"/>
  </si>
  <si>
    <t>5,8,18,</t>
    <phoneticPr fontId="1" type="noConversion"/>
  </si>
  <si>
    <t>4,5,18,</t>
    <phoneticPr fontId="1" type="noConversion"/>
  </si>
  <si>
    <t>3,7,17,</t>
    <phoneticPr fontId="1" type="noConversion"/>
  </si>
  <si>
    <t>12,14,16,20,</t>
    <phoneticPr fontId="1" type="noConversion"/>
  </si>
  <si>
    <t>8,13,15,23</t>
    <phoneticPr fontId="1" type="noConversion"/>
  </si>
  <si>
    <t>13,14,17,26</t>
    <phoneticPr fontId="1" type="noConversion"/>
  </si>
  <si>
    <t>15,16,18,27</t>
    <phoneticPr fontId="1" type="noConversion"/>
  </si>
  <si>
    <t>3,9,16,22</t>
    <phoneticPr fontId="1" type="noConversion"/>
  </si>
  <si>
    <t>46,</t>
    <phoneticPr fontId="1" type="noConversion"/>
  </si>
  <si>
    <t>5,</t>
    <phoneticPr fontId="1" type="noConversion"/>
  </si>
  <si>
    <t>13,13,13,13,13,</t>
    <phoneticPr fontId="1" type="noConversion"/>
  </si>
  <si>
    <t>79,7,5,32,23,</t>
    <phoneticPr fontId="1" type="noConversion"/>
  </si>
  <si>
    <t>4,</t>
    <phoneticPr fontId="1" type="noConversion"/>
  </si>
  <si>
    <t>5,</t>
    <phoneticPr fontId="1" type="noConversion"/>
  </si>
  <si>
    <t>5,36,31,20,23,</t>
    <phoneticPr fontId="1" type="noConversion"/>
  </si>
  <si>
    <t>深海鲸</t>
    <phoneticPr fontId="1" type="noConversion"/>
  </si>
  <si>
    <t>深海狂鲨</t>
    <phoneticPr fontId="1" type="noConversion"/>
  </si>
  <si>
    <t>吞噬天下</t>
    <phoneticPr fontId="1" type="noConversion"/>
  </si>
  <si>
    <t>200,</t>
    <phoneticPr fontId="1" type="noConversion"/>
  </si>
  <si>
    <t>吞噬天下</t>
    <phoneticPr fontId="1" type="noConversion"/>
  </si>
  <si>
    <t>append_life_rate|随机的倍率和奖励</t>
    <phoneticPr fontId="1" type="noConversion"/>
  </si>
  <si>
    <t>60,50,50</t>
    <phoneticPr fontId="1" type="noConversion"/>
  </si>
  <si>
    <t>宝箱</t>
    <phoneticPr fontId="1" type="noConversion"/>
  </si>
  <si>
    <t>宝箱（持续时间，基础倍率，基础血量）</t>
    <phoneticPr fontId="1" type="noConversion"/>
  </si>
  <si>
    <t>0,20</t>
    <phoneticPr fontId="1" type="noConversion"/>
  </si>
  <si>
    <t>贝壳鱼</t>
  </si>
  <si>
    <t>贝壳鱼</t>
    <phoneticPr fontId="1" type="noConversion"/>
  </si>
  <si>
    <t>连环炸弹</t>
    <phoneticPr fontId="1" type="noConversion"/>
  </si>
  <si>
    <t>炽火龙王</t>
    <phoneticPr fontId="1" type="noConversion"/>
  </si>
  <si>
    <t>骰子龟</t>
    <phoneticPr fontId="1" type="noConversion"/>
  </si>
  <si>
    <t>炽火龙王</t>
    <phoneticPr fontId="1" type="noConversion"/>
  </si>
  <si>
    <t>骰子龟</t>
    <phoneticPr fontId="1" type="noConversion"/>
  </si>
  <si>
    <t>34,35,36,37,38,39,40,41,</t>
    <phoneticPr fontId="1" type="noConversion"/>
  </si>
  <si>
    <t>fish_3d_yutu_gd_smallboss</t>
    <phoneticPr fontId="1" type="noConversion"/>
  </si>
  <si>
    <t>guding</t>
    <phoneticPr fontId="1" type="noConversion"/>
  </si>
  <si>
    <t>0,200</t>
    <phoneticPr fontId="1" type="noConversion"/>
  </si>
  <si>
    <t>时限免费超级活力子弹</t>
    <phoneticPr fontId="1" type="noConversion"/>
  </si>
  <si>
    <t>120,180</t>
    <phoneticPr fontId="1" type="noConversion"/>
  </si>
  <si>
    <t>250,2,</t>
    <phoneticPr fontId="1" type="noConversion"/>
  </si>
  <si>
    <t>强击弹（超级火力）</t>
    <phoneticPr fontId="1" type="noConversion"/>
  </si>
  <si>
    <t>强击弹</t>
    <phoneticPr fontId="1" type="noConversion"/>
  </si>
  <si>
    <t>强击弹（双倍）</t>
    <phoneticPr fontId="1" type="noConversion"/>
  </si>
  <si>
    <t>强击弹（双倍）</t>
    <phoneticPr fontId="1" type="noConversion"/>
  </si>
  <si>
    <t>300,</t>
    <phoneticPr fontId="1" type="noConversion"/>
  </si>
  <si>
    <t>6,6,6,6,6,</t>
    <phoneticPr fontId="1" type="noConversion"/>
  </si>
  <si>
    <t>77,39,12,35,15,</t>
    <phoneticPr fontId="1" type="noConversion"/>
  </si>
  <si>
    <t>7,7,7,7,7,</t>
    <phoneticPr fontId="1" type="noConversion"/>
  </si>
  <si>
    <t>26,24,6,28,4,</t>
    <phoneticPr fontId="1" type="noConversion"/>
  </si>
  <si>
    <t>80,</t>
    <phoneticPr fontId="1" type="noConversion"/>
  </si>
  <si>
    <t>9,9,9,9,9,</t>
    <phoneticPr fontId="1" type="noConversion"/>
  </si>
  <si>
    <t>10,10,10,10,10,</t>
    <phoneticPr fontId="1" type="noConversion"/>
  </si>
  <si>
    <t>11,11,11,11,11,</t>
    <phoneticPr fontId="1" type="noConversion"/>
  </si>
  <si>
    <t>4,11,19,5,34,26,76,</t>
    <phoneticPr fontId="1" type="noConversion"/>
  </si>
  <si>
    <t>39,12,35,16,15,29,5,</t>
    <phoneticPr fontId="1" type="noConversion"/>
  </si>
  <si>
    <t>24,7,6,28,4,75,17,</t>
    <phoneticPr fontId="1" type="noConversion"/>
  </si>
  <si>
    <t>0,40</t>
    <phoneticPr fontId="1" type="noConversion"/>
  </si>
  <si>
    <t>0,60</t>
    <phoneticPr fontId="1" type="noConversion"/>
  </si>
  <si>
    <t>0,40</t>
    <phoneticPr fontId="1" type="noConversion"/>
  </si>
  <si>
    <t>0,100</t>
    <phoneticPr fontId="1" type="noConversion"/>
  </si>
  <si>
    <t>0,300</t>
    <phoneticPr fontId="1" type="noConversion"/>
  </si>
  <si>
    <t>0,300</t>
    <phoneticPr fontId="1" type="noConversion"/>
  </si>
  <si>
    <t>0,200</t>
    <phoneticPr fontId="1" type="noConversion"/>
  </si>
  <si>
    <t>200,400</t>
    <phoneticPr fontId="1" type="noConversion"/>
  </si>
  <si>
    <t>0,200</t>
    <phoneticPr fontId="1" type="noConversion"/>
  </si>
  <si>
    <t>0,200</t>
    <phoneticPr fontId="1" type="noConversion"/>
  </si>
  <si>
    <t>0,400</t>
    <phoneticPr fontId="1" type="noConversion"/>
  </si>
  <si>
    <t>4,20,30,50,100,</t>
    <phoneticPr fontId="1" type="noConversion"/>
  </si>
  <si>
    <t>1,300,</t>
    <phoneticPr fontId="1" type="noConversion"/>
  </si>
  <si>
    <t>150,</t>
    <phoneticPr fontId="1" type="noConversion"/>
  </si>
  <si>
    <t>53,53,53,53,103,</t>
    <phoneticPr fontId="1" type="noConversion"/>
  </si>
  <si>
    <t>0.018867925,0.018867925,0.018867925,0.018867925,0.009708738</t>
    <phoneticPr fontId="1" type="noConversion"/>
  </si>
  <si>
    <t>疯狂原子弹</t>
    <phoneticPr fontId="1" type="noConversion"/>
  </si>
  <si>
    <t>金币转盘</t>
    <phoneticPr fontId="1" type="noConversion"/>
  </si>
  <si>
    <t>连环转盘</t>
    <phoneticPr fontId="1" type="noConversion"/>
  </si>
  <si>
    <t>200,</t>
    <phoneticPr fontId="1" type="noConversion"/>
  </si>
  <si>
    <t>1,0,90,1,10</t>
    <phoneticPr fontId="1" type="noConversion"/>
  </si>
  <si>
    <t>彩贝-试炼场</t>
    <phoneticPr fontId="1" type="noConversion"/>
  </si>
  <si>
    <t>彩贝-场次1</t>
    <phoneticPr fontId="1" type="noConversion"/>
  </si>
  <si>
    <t>1,0,85,1,10,2,5</t>
    <phoneticPr fontId="1" type="noConversion"/>
  </si>
  <si>
    <t>彩贝-场次2</t>
    <phoneticPr fontId="1" type="noConversion"/>
  </si>
  <si>
    <t>1,0,70,1,10,2,15,3,5</t>
    <phoneticPr fontId="1" type="noConversion"/>
  </si>
  <si>
    <t>彩贝-场次3</t>
    <phoneticPr fontId="1" type="noConversion"/>
  </si>
  <si>
    <t>彩贝-场次4</t>
    <phoneticPr fontId="1" type="noConversion"/>
  </si>
  <si>
    <t>1,0,70,1,0,2,15,3,7,4,3</t>
    <phoneticPr fontId="1" type="noConversion"/>
  </si>
  <si>
    <t>1,0,84,1,0,2,0,3,10,4,5,5,1</t>
    <phoneticPr fontId="1" type="noConversion"/>
  </si>
  <si>
    <t>炸弹</t>
    <phoneticPr fontId="1" type="noConversion"/>
  </si>
  <si>
    <t>闪电</t>
    <phoneticPr fontId="1" type="noConversion"/>
  </si>
  <si>
    <t>51,</t>
    <phoneticPr fontId="1" type="noConversion"/>
  </si>
  <si>
    <t>52,</t>
    <phoneticPr fontId="1" type="noConversion"/>
  </si>
  <si>
    <t>53,</t>
    <phoneticPr fontId="1" type="noConversion"/>
  </si>
  <si>
    <t>54,</t>
  </si>
  <si>
    <t>55,</t>
  </si>
  <si>
    <t>56,</t>
  </si>
  <si>
    <t>57,</t>
  </si>
  <si>
    <t>58,</t>
  </si>
  <si>
    <t>59,</t>
  </si>
  <si>
    <t>60,</t>
  </si>
  <si>
    <t>61,</t>
  </si>
  <si>
    <t>62,</t>
  </si>
  <si>
    <t>63,</t>
  </si>
  <si>
    <t>64,</t>
  </si>
  <si>
    <t>65,</t>
  </si>
  <si>
    <t>66,</t>
  </si>
  <si>
    <t>67,</t>
  </si>
  <si>
    <t>68,</t>
  </si>
  <si>
    <t>69,</t>
  </si>
  <si>
    <t>70,</t>
  </si>
  <si>
    <t>71,</t>
  </si>
  <si>
    <t>72,</t>
  </si>
  <si>
    <t>73,</t>
  </si>
  <si>
    <t>74,</t>
  </si>
  <si>
    <t>75,</t>
  </si>
  <si>
    <t>76,</t>
  </si>
  <si>
    <t>77,</t>
  </si>
  <si>
    <t>78,</t>
  </si>
  <si>
    <t>12,12,12,12,12,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</si>
</sst>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1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1"/>
      <name val="宋体"/>
      <family val="3"/>
      <charset val="134"/>
    </font>
    <font>
      <sz val="11"/>
      <color rgb="FF0B0B0B"/>
      <name val="宋体"/>
      <family val="3"/>
      <charset val="134"/>
    </font>
    <font>
      <sz val="12"/>
      <color rgb="FF000000"/>
      <name val="宋体"/>
      <family val="3"/>
      <charset val="134"/>
    </font>
    <font>
      <u/>
      <sz val="11"/>
      <color theme="10"/>
      <name val="等线"/>
      <family val="2"/>
      <scheme val="minor"/>
    </font>
    <font>
      <u/>
      <sz val="11"/>
      <color theme="11"/>
      <name val="等线"/>
      <family val="2"/>
      <scheme val="minor"/>
    </font>
    <font>
      <sz val="11"/>
      <color theme="1"/>
      <name val="等线"/>
      <family val="3"/>
      <charset val="134"/>
      <scheme val="minor"/>
    </font>
    <font>
      <sz val="9"/>
      <color indexed="81"/>
      <name val="宋体"/>
      <family val="3"/>
      <charset val="134"/>
    </font>
    <font>
      <b/>
      <sz val="9"/>
      <color indexed="81"/>
      <name val="宋体"/>
      <family val="3"/>
      <charset val="134"/>
    </font>
    <font>
      <sz val="11"/>
      <color theme="1"/>
      <name val="等线"/>
      <family val="3"/>
      <charset val="134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8DB4E2"/>
        <bgColor rgb="FFFFFFFF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99FF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34998626667073579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14">
    <xf numFmtId="0" fontId="0" fillId="0" borderId="0"/>
    <xf numFmtId="0" fontId="2" fillId="0" borderId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</cellStyleXfs>
  <cellXfs count="53">
    <xf numFmtId="0" fontId="0" fillId="0" borderId="0" xfId="0"/>
    <xf numFmtId="0" fontId="3" fillId="2" borderId="1" xfId="1" applyNumberFormat="1" applyFont="1" applyFill="1" applyBorder="1" applyAlignment="1" applyProtection="1">
      <alignment horizontal="center" vertical="center" wrapText="1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Fill="1" applyBorder="1" applyAlignment="1">
      <alignment horizontal="center" vertical="center"/>
    </xf>
    <xf numFmtId="10" fontId="0" fillId="0" borderId="0" xfId="0" applyNumberFormat="1"/>
    <xf numFmtId="9" fontId="0" fillId="0" borderId="0" xfId="0" applyNumberFormat="1"/>
    <xf numFmtId="3" fontId="0" fillId="0" borderId="0" xfId="0" quotePrefix="1" applyNumberFormat="1"/>
    <xf numFmtId="0" fontId="3" fillId="2" borderId="2" xfId="1" applyNumberFormat="1" applyFont="1" applyFill="1" applyBorder="1" applyAlignment="1" applyProtection="1">
      <alignment horizontal="center" vertical="center" wrapText="1"/>
    </xf>
    <xf numFmtId="0" fontId="3" fillId="2" borderId="2" xfId="0" applyFont="1" applyFill="1" applyBorder="1" applyAlignment="1">
      <alignment horizontal="center" vertical="center" wrapText="1"/>
    </xf>
    <xf numFmtId="0" fontId="7" fillId="0" borderId="0" xfId="0" applyFont="1" applyAlignment="1">
      <alignment horizontal="center" vertical="center"/>
    </xf>
    <xf numFmtId="49" fontId="0" fillId="0" borderId="0" xfId="0" applyNumberFormat="1"/>
    <xf numFmtId="0" fontId="0" fillId="3" borderId="0" xfId="0" applyFill="1"/>
    <xf numFmtId="0" fontId="0" fillId="3" borderId="0" xfId="0" applyFill="1" applyAlignment="1">
      <alignment horizontal="center" vertical="center"/>
    </xf>
    <xf numFmtId="0" fontId="0" fillId="0" borderId="0" xfId="0" applyFill="1" applyAlignment="1">
      <alignment horizontal="center"/>
    </xf>
    <xf numFmtId="0" fontId="0" fillId="0" borderId="0" xfId="0" applyFill="1" applyAlignment="1">
      <alignment horizontal="center" vertical="center"/>
    </xf>
    <xf numFmtId="0" fontId="10" fillId="0" borderId="0" xfId="0" applyFont="1" applyFill="1" applyAlignment="1">
      <alignment horizontal="center"/>
    </xf>
    <xf numFmtId="0" fontId="7" fillId="0" borderId="0" xfId="0" applyFont="1" applyFill="1" applyAlignment="1">
      <alignment horizontal="center"/>
    </xf>
    <xf numFmtId="0" fontId="0" fillId="4" borderId="0" xfId="0" applyFill="1" applyAlignment="1">
      <alignment horizontal="center"/>
    </xf>
    <xf numFmtId="0" fontId="0" fillId="4" borderId="0" xfId="0" applyFill="1" applyAlignment="1">
      <alignment horizontal="center" vertical="center"/>
    </xf>
    <xf numFmtId="0" fontId="4" fillId="4" borderId="0" xfId="0" applyFont="1" applyFill="1" applyAlignment="1">
      <alignment horizontal="center" vertical="center"/>
    </xf>
    <xf numFmtId="0" fontId="0" fillId="4" borderId="0" xfId="0" applyFill="1"/>
    <xf numFmtId="0" fontId="0" fillId="5" borderId="0" xfId="0" applyFill="1" applyAlignment="1">
      <alignment horizontal="center"/>
    </xf>
    <xf numFmtId="0" fontId="0" fillId="5" borderId="0" xfId="0" applyFill="1" applyAlignment="1">
      <alignment horizontal="center" vertical="center"/>
    </xf>
    <xf numFmtId="0" fontId="4" fillId="5" borderId="0" xfId="0" applyFont="1" applyFill="1" applyAlignment="1">
      <alignment horizontal="center" vertical="center"/>
    </xf>
    <xf numFmtId="0" fontId="0" fillId="5" borderId="0" xfId="0" applyFill="1"/>
    <xf numFmtId="0" fontId="0" fillId="6" borderId="0" xfId="0" applyFill="1" applyAlignment="1">
      <alignment horizontal="center"/>
    </xf>
    <xf numFmtId="0" fontId="0" fillId="6" borderId="0" xfId="0" applyFill="1" applyAlignment="1">
      <alignment horizontal="center" vertical="center"/>
    </xf>
    <xf numFmtId="0" fontId="4" fillId="6" borderId="0" xfId="0" applyFont="1" applyFill="1" applyAlignment="1">
      <alignment horizontal="center" vertical="center"/>
    </xf>
    <xf numFmtId="0" fontId="0" fillId="6" borderId="0" xfId="0" applyFill="1"/>
    <xf numFmtId="0" fontId="0" fillId="7" borderId="0" xfId="0" applyFill="1" applyAlignment="1">
      <alignment horizontal="center"/>
    </xf>
    <xf numFmtId="0" fontId="0" fillId="7" borderId="0" xfId="0" applyFill="1"/>
    <xf numFmtId="0" fontId="0" fillId="7" borderId="0" xfId="0" applyFill="1" applyAlignment="1">
      <alignment horizontal="center" vertical="center"/>
    </xf>
    <xf numFmtId="0" fontId="4" fillId="7" borderId="0" xfId="0" applyFont="1" applyFill="1" applyAlignment="1">
      <alignment horizontal="center" vertical="center"/>
    </xf>
    <xf numFmtId="0" fontId="0" fillId="8" borderId="0" xfId="0" applyFill="1" applyAlignment="1">
      <alignment horizontal="center"/>
    </xf>
    <xf numFmtId="0" fontId="0" fillId="8" borderId="0" xfId="0" applyFill="1"/>
    <xf numFmtId="0" fontId="0" fillId="8" borderId="0" xfId="0" applyFill="1" applyAlignment="1">
      <alignment horizontal="center" vertical="center"/>
    </xf>
    <xf numFmtId="0" fontId="4" fillId="8" borderId="0" xfId="0" applyFont="1" applyFill="1" applyAlignment="1">
      <alignment horizontal="center" vertical="center"/>
    </xf>
    <xf numFmtId="0" fontId="0" fillId="9" borderId="0" xfId="0" applyFill="1" applyAlignment="1">
      <alignment horizontal="center"/>
    </xf>
    <xf numFmtId="0" fontId="0" fillId="9" borderId="0" xfId="0" applyFill="1" applyAlignment="1">
      <alignment horizontal="center" vertical="center"/>
    </xf>
    <xf numFmtId="0" fontId="4" fillId="9" borderId="0" xfId="0" applyFont="1" applyFill="1" applyAlignment="1">
      <alignment horizontal="center" vertical="center"/>
    </xf>
    <xf numFmtId="0" fontId="0" fillId="9" borderId="0" xfId="0" applyFill="1"/>
    <xf numFmtId="0" fontId="0" fillId="10" borderId="0" xfId="0" applyFill="1" applyAlignment="1">
      <alignment horizontal="center"/>
    </xf>
    <xf numFmtId="0" fontId="0" fillId="10" borderId="0" xfId="0" applyFill="1" applyAlignment="1">
      <alignment horizontal="center" vertical="center"/>
    </xf>
    <xf numFmtId="0" fontId="0" fillId="10" borderId="0" xfId="0" applyFill="1"/>
    <xf numFmtId="0" fontId="0" fillId="6" borderId="0" xfId="0" applyFill="1" applyAlignment="1">
      <alignment horizontal="left" vertical="center"/>
    </xf>
    <xf numFmtId="0" fontId="0" fillId="6" borderId="0" xfId="0" applyFill="1" applyAlignment="1">
      <alignment horizontal="left"/>
    </xf>
    <xf numFmtId="3" fontId="0" fillId="5" borderId="0" xfId="0" applyNumberFormat="1" applyFill="1" applyAlignment="1">
      <alignment horizontal="center"/>
    </xf>
    <xf numFmtId="0" fontId="0" fillId="11" borderId="0" xfId="0" applyFill="1" applyAlignment="1">
      <alignment horizontal="center"/>
    </xf>
    <xf numFmtId="0" fontId="0" fillId="11" borderId="0" xfId="0" applyFill="1" applyAlignment="1">
      <alignment horizontal="center" vertical="center"/>
    </xf>
    <xf numFmtId="0" fontId="4" fillId="11" borderId="0" xfId="0" applyFont="1" applyFill="1" applyAlignment="1">
      <alignment horizontal="center" vertical="center"/>
    </xf>
    <xf numFmtId="0" fontId="0" fillId="11" borderId="0" xfId="0" applyFill="1"/>
    <xf numFmtId="0" fontId="0" fillId="0" borderId="0" xfId="0" applyAlignment="1">
      <alignment horizontal="left"/>
    </xf>
  </cellXfs>
  <cellStyles count="14">
    <cellStyle name="常规" xfId="0" builtinId="0"/>
    <cellStyle name="常规 4" xfId="1"/>
    <cellStyle name="超链接" xfId="2" builtinId="8" hidden="1"/>
    <cellStyle name="超链接" xfId="4" builtinId="8" hidden="1"/>
    <cellStyle name="超链接" xfId="6" builtinId="8" hidden="1"/>
    <cellStyle name="超链接" xfId="8" builtinId="8" hidden="1"/>
    <cellStyle name="超链接" xfId="10" builtinId="8" hidden="1"/>
    <cellStyle name="超链接" xfId="12" builtinId="8" hidden="1"/>
    <cellStyle name="已访问的超链接" xfId="3" builtinId="9" hidden="1"/>
    <cellStyle name="已访问的超链接" xfId="5" builtinId="9" hidden="1"/>
    <cellStyle name="已访问的超链接" xfId="7" builtinId="9" hidden="1"/>
    <cellStyle name="已访问的超链接" xfId="9" builtinId="9" hidden="1"/>
    <cellStyle name="已访问的超链接" xfId="11" builtinId="9" hidden="1"/>
    <cellStyle name="已访问的超链接" xfId="13" builtinId="9" hidden="1"/>
  </cellStyles>
  <dxfs count="0"/>
  <tableStyles count="0" defaultTableStyle="TableStyleMedium2" defaultPivotStyle="PivotStyleLight16"/>
  <colors>
    <mruColors>
      <color rgb="FFFF99FF"/>
      <color rgb="FFFF00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E11"/>
  <sheetViews>
    <sheetView workbookViewId="0">
      <selection activeCell="E9" sqref="E9"/>
    </sheetView>
  </sheetViews>
  <sheetFormatPr defaultColWidth="8.875" defaultRowHeight="14.25" x14ac:dyDescent="0.2"/>
  <cols>
    <col min="3" max="3" width="15.5" customWidth="1"/>
    <col min="5" max="5" width="26.875" customWidth="1"/>
  </cols>
  <sheetData>
    <row r="1" spans="1:5" s="1" customFormat="1" ht="71.25" customHeight="1" x14ac:dyDescent="0.2">
      <c r="A1" s="1" t="s">
        <v>24</v>
      </c>
      <c r="B1" s="1" t="s">
        <v>25</v>
      </c>
      <c r="C1" s="1" t="s">
        <v>26</v>
      </c>
      <c r="D1" s="1" t="s">
        <v>27</v>
      </c>
      <c r="E1" s="1" t="s">
        <v>74</v>
      </c>
    </row>
    <row r="2" spans="1:5" x14ac:dyDescent="0.2">
      <c r="A2">
        <v>1</v>
      </c>
      <c r="B2" s="5">
        <v>0.03</v>
      </c>
      <c r="C2">
        <v>0.16</v>
      </c>
      <c r="D2" s="6">
        <v>0.03</v>
      </c>
      <c r="E2">
        <v>-1</v>
      </c>
    </row>
    <row r="3" spans="1:5" x14ac:dyDescent="0.2">
      <c r="A3">
        <v>2</v>
      </c>
      <c r="B3" s="5">
        <v>0.03</v>
      </c>
      <c r="C3">
        <v>0.16</v>
      </c>
      <c r="D3" s="6">
        <v>0.03</v>
      </c>
      <c r="E3">
        <v>-1</v>
      </c>
    </row>
    <row r="4" spans="1:5" x14ac:dyDescent="0.2">
      <c r="A4">
        <v>3</v>
      </c>
      <c r="B4" s="5">
        <v>0.03</v>
      </c>
      <c r="C4">
        <v>0.16</v>
      </c>
      <c r="D4" s="6">
        <v>0.03</v>
      </c>
      <c r="E4">
        <v>-1</v>
      </c>
    </row>
    <row r="5" spans="1:5" x14ac:dyDescent="0.2">
      <c r="A5">
        <v>4</v>
      </c>
      <c r="B5" s="5">
        <v>0.03</v>
      </c>
      <c r="C5">
        <v>0.16</v>
      </c>
      <c r="D5" s="6">
        <v>0.03</v>
      </c>
      <c r="E5">
        <v>-1</v>
      </c>
    </row>
    <row r="6" spans="1:5" x14ac:dyDescent="0.2">
      <c r="A6">
        <v>5</v>
      </c>
      <c r="B6" s="5">
        <v>0.03</v>
      </c>
      <c r="C6">
        <v>0.16</v>
      </c>
      <c r="D6" s="6">
        <v>0.03</v>
      </c>
      <c r="E6">
        <v>-1</v>
      </c>
    </row>
    <row r="7" spans="1:5" x14ac:dyDescent="0.2">
      <c r="A7">
        <v>6</v>
      </c>
      <c r="B7" s="5">
        <v>0.03</v>
      </c>
      <c r="C7">
        <v>0.16</v>
      </c>
      <c r="D7" s="6">
        <v>0.03</v>
      </c>
      <c r="E7">
        <v>-1</v>
      </c>
    </row>
    <row r="8" spans="1:5" x14ac:dyDescent="0.2">
      <c r="A8">
        <v>7</v>
      </c>
      <c r="B8" s="5">
        <v>0.03</v>
      </c>
      <c r="C8">
        <v>0.16</v>
      </c>
      <c r="D8" s="6">
        <v>0.03</v>
      </c>
      <c r="E8">
        <v>-1</v>
      </c>
    </row>
    <row r="9" spans="1:5" x14ac:dyDescent="0.2">
      <c r="A9">
        <v>8</v>
      </c>
      <c r="B9" s="5">
        <v>0.03</v>
      </c>
      <c r="C9">
        <v>0.16</v>
      </c>
      <c r="D9" s="6">
        <v>0.03</v>
      </c>
      <c r="E9">
        <v>-1</v>
      </c>
    </row>
    <row r="10" spans="1:5" x14ac:dyDescent="0.2">
      <c r="A10">
        <v>9</v>
      </c>
      <c r="B10" s="5">
        <v>0.03</v>
      </c>
      <c r="C10">
        <v>0.16</v>
      </c>
      <c r="D10" s="6">
        <v>0.03</v>
      </c>
      <c r="E10">
        <v>-1</v>
      </c>
    </row>
    <row r="11" spans="1:5" x14ac:dyDescent="0.2">
      <c r="A11">
        <v>10</v>
      </c>
      <c r="B11" s="5">
        <v>0.03</v>
      </c>
      <c r="C11">
        <v>0.16</v>
      </c>
      <c r="D11" s="6">
        <v>0.03</v>
      </c>
      <c r="E11">
        <v>-1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G8"/>
  <sheetViews>
    <sheetView workbookViewId="0">
      <selection activeCell="E28" sqref="E28"/>
    </sheetView>
  </sheetViews>
  <sheetFormatPr defaultColWidth="11" defaultRowHeight="14.25" x14ac:dyDescent="0.2"/>
  <cols>
    <col min="2" max="3" width="20.625" customWidth="1"/>
    <col min="4" max="4" width="14.625" customWidth="1"/>
    <col min="5" max="5" width="17.625" customWidth="1"/>
    <col min="6" max="6" width="30.625" customWidth="1"/>
    <col min="7" max="7" width="19.375" customWidth="1"/>
  </cols>
  <sheetData>
    <row r="1" spans="1:7" x14ac:dyDescent="0.2">
      <c r="A1" s="2" t="s">
        <v>75</v>
      </c>
      <c r="B1" s="2" t="s">
        <v>76</v>
      </c>
      <c r="C1" s="2" t="s">
        <v>77</v>
      </c>
      <c r="D1" s="2" t="s">
        <v>78</v>
      </c>
      <c r="E1" s="2" t="s">
        <v>79</v>
      </c>
      <c r="F1" s="2" t="s">
        <v>80</v>
      </c>
      <c r="G1" s="2" t="s">
        <v>81</v>
      </c>
    </row>
    <row r="2" spans="1:7" x14ac:dyDescent="0.2">
      <c r="A2" s="2">
        <v>1</v>
      </c>
      <c r="B2" s="2">
        <v>200</v>
      </c>
      <c r="C2" s="2">
        <v>10</v>
      </c>
      <c r="D2" s="2">
        <v>0.45</v>
      </c>
      <c r="E2" s="2">
        <v>10</v>
      </c>
      <c r="F2" s="2">
        <f>SUM(C2:C8)</f>
        <v>100</v>
      </c>
      <c r="G2" s="2">
        <f>SUM(E2:E8)</f>
        <v>100</v>
      </c>
    </row>
    <row r="3" spans="1:7" x14ac:dyDescent="0.2">
      <c r="A3" s="2">
        <v>2</v>
      </c>
      <c r="B3" s="2">
        <v>175</v>
      </c>
      <c r="C3" s="2">
        <v>10</v>
      </c>
      <c r="D3" s="2">
        <v>0.4</v>
      </c>
      <c r="E3" s="2">
        <v>10</v>
      </c>
      <c r="F3" s="2"/>
      <c r="G3" s="2"/>
    </row>
    <row r="4" spans="1:7" x14ac:dyDescent="0.2">
      <c r="A4" s="2">
        <v>3</v>
      </c>
      <c r="B4" s="2">
        <v>150</v>
      </c>
      <c r="C4" s="2">
        <v>20</v>
      </c>
      <c r="D4" s="2">
        <v>0.3</v>
      </c>
      <c r="E4" s="2">
        <v>20</v>
      </c>
      <c r="F4" s="2"/>
      <c r="G4" s="2"/>
    </row>
    <row r="5" spans="1:7" x14ac:dyDescent="0.2">
      <c r="A5" s="2">
        <v>4</v>
      </c>
      <c r="B5" s="2">
        <v>125</v>
      </c>
      <c r="C5" s="2">
        <v>20</v>
      </c>
      <c r="D5" s="2">
        <v>0.2</v>
      </c>
      <c r="E5" s="2">
        <v>20</v>
      </c>
      <c r="F5" s="2"/>
      <c r="G5" s="2"/>
    </row>
    <row r="6" spans="1:7" x14ac:dyDescent="0.2">
      <c r="A6" s="2">
        <v>5</v>
      </c>
      <c r="B6" s="2">
        <v>100</v>
      </c>
      <c r="C6" s="2">
        <v>20</v>
      </c>
      <c r="D6" s="2">
        <v>0.15</v>
      </c>
      <c r="E6" s="2">
        <v>20</v>
      </c>
      <c r="F6" s="2"/>
      <c r="G6" s="2"/>
    </row>
    <row r="7" spans="1:7" x14ac:dyDescent="0.2">
      <c r="A7" s="2">
        <v>6</v>
      </c>
      <c r="B7" s="2">
        <v>75</v>
      </c>
      <c r="C7" s="2">
        <v>10</v>
      </c>
      <c r="D7" s="2">
        <v>0.1</v>
      </c>
      <c r="E7" s="2">
        <v>10</v>
      </c>
      <c r="F7" s="2"/>
      <c r="G7" s="2"/>
    </row>
    <row r="8" spans="1:7" x14ac:dyDescent="0.2">
      <c r="A8" s="2">
        <v>7</v>
      </c>
      <c r="B8" s="2">
        <v>50</v>
      </c>
      <c r="C8" s="2">
        <v>10</v>
      </c>
      <c r="D8" s="2">
        <v>0.05</v>
      </c>
      <c r="E8" s="2">
        <v>10</v>
      </c>
      <c r="F8" s="2"/>
      <c r="G8" s="2"/>
    </row>
  </sheetData>
  <phoneticPr fontId="1" type="noConversion"/>
  <pageMargins left="0.75" right="0.75" top="1" bottom="1" header="0.5" footer="0.5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11"/>
  <sheetViews>
    <sheetView workbookViewId="0">
      <selection activeCell="C36" sqref="C36"/>
    </sheetView>
  </sheetViews>
  <sheetFormatPr defaultColWidth="8.875" defaultRowHeight="14.25" x14ac:dyDescent="0.2"/>
  <sheetData>
    <row r="1" spans="1:11" ht="54" x14ac:dyDescent="0.2">
      <c r="A1" s="1" t="s">
        <v>19</v>
      </c>
      <c r="B1" s="1" t="s">
        <v>28</v>
      </c>
      <c r="C1" s="1" t="s">
        <v>29</v>
      </c>
      <c r="D1" s="1" t="s">
        <v>30</v>
      </c>
      <c r="E1" s="1" t="s">
        <v>31</v>
      </c>
      <c r="F1" t="s">
        <v>37</v>
      </c>
      <c r="G1" t="s">
        <v>38</v>
      </c>
      <c r="H1" t="s">
        <v>39</v>
      </c>
      <c r="I1" t="s">
        <v>40</v>
      </c>
      <c r="J1" t="s">
        <v>41</v>
      </c>
      <c r="K1" t="s">
        <v>42</v>
      </c>
    </row>
    <row r="2" spans="1:11" x14ac:dyDescent="0.2">
      <c r="A2">
        <v>1</v>
      </c>
      <c r="B2">
        <v>175</v>
      </c>
      <c r="C2">
        <v>70</v>
      </c>
      <c r="D2">
        <v>0.12</v>
      </c>
      <c r="E2">
        <v>0.05</v>
      </c>
      <c r="F2">
        <v>28</v>
      </c>
      <c r="G2">
        <v>11.2</v>
      </c>
      <c r="H2">
        <v>1.0874999999999999</v>
      </c>
      <c r="I2">
        <v>1.0175000000000001</v>
      </c>
      <c r="J2">
        <v>0.84750000000000003</v>
      </c>
      <c r="K2">
        <v>0.91749999999999998</v>
      </c>
    </row>
    <row r="3" spans="1:11" x14ac:dyDescent="0.2">
      <c r="A3">
        <v>2</v>
      </c>
      <c r="B3">
        <v>175</v>
      </c>
      <c r="C3">
        <v>70</v>
      </c>
      <c r="D3">
        <v>0.12</v>
      </c>
      <c r="E3">
        <v>0.05</v>
      </c>
      <c r="F3">
        <v>28</v>
      </c>
      <c r="G3">
        <v>11.2</v>
      </c>
      <c r="H3">
        <v>1.0874999999999999</v>
      </c>
      <c r="I3">
        <v>1.0175000000000001</v>
      </c>
      <c r="J3">
        <v>0.84750000000000003</v>
      </c>
      <c r="K3">
        <v>0.91749999999999998</v>
      </c>
    </row>
    <row r="4" spans="1:11" x14ac:dyDescent="0.2">
      <c r="A4">
        <v>3</v>
      </c>
      <c r="B4">
        <v>175</v>
      </c>
      <c r="C4">
        <v>70</v>
      </c>
      <c r="D4">
        <v>0.12</v>
      </c>
      <c r="E4">
        <v>0.05</v>
      </c>
      <c r="F4">
        <v>28</v>
      </c>
      <c r="G4">
        <v>11.2</v>
      </c>
      <c r="H4">
        <v>1.0874999999999999</v>
      </c>
      <c r="I4">
        <v>1.0175000000000001</v>
      </c>
      <c r="J4">
        <v>0.84750000000000003</v>
      </c>
      <c r="K4">
        <v>0.91749999999999998</v>
      </c>
    </row>
    <row r="5" spans="1:11" x14ac:dyDescent="0.2">
      <c r="A5">
        <v>4</v>
      </c>
      <c r="B5">
        <v>175</v>
      </c>
      <c r="C5">
        <v>70</v>
      </c>
      <c r="D5">
        <v>0.12</v>
      </c>
      <c r="E5">
        <v>0.05</v>
      </c>
      <c r="F5">
        <v>28</v>
      </c>
      <c r="G5">
        <v>11.2</v>
      </c>
      <c r="H5">
        <v>1.0874999999999999</v>
      </c>
      <c r="I5">
        <v>1.0175000000000001</v>
      </c>
      <c r="J5">
        <v>0.84750000000000003</v>
      </c>
      <c r="K5">
        <v>0.91749999999999998</v>
      </c>
    </row>
    <row r="6" spans="1:11" x14ac:dyDescent="0.2">
      <c r="A6">
        <v>5</v>
      </c>
      <c r="B6">
        <v>175</v>
      </c>
      <c r="C6">
        <v>70</v>
      </c>
      <c r="D6">
        <v>0.12</v>
      </c>
      <c r="E6">
        <v>0.05</v>
      </c>
      <c r="F6">
        <v>28</v>
      </c>
      <c r="G6">
        <v>11.2</v>
      </c>
      <c r="H6">
        <v>1.0874999999999999</v>
      </c>
      <c r="I6">
        <v>1.0175000000000001</v>
      </c>
      <c r="J6">
        <v>0.84750000000000003</v>
      </c>
      <c r="K6">
        <v>0.91749999999999998</v>
      </c>
    </row>
    <row r="7" spans="1:11" x14ac:dyDescent="0.2">
      <c r="A7">
        <v>6</v>
      </c>
      <c r="B7">
        <v>175</v>
      </c>
      <c r="C7">
        <v>70</v>
      </c>
      <c r="D7">
        <v>0.12</v>
      </c>
      <c r="E7">
        <v>0.05</v>
      </c>
      <c r="F7">
        <v>28</v>
      </c>
      <c r="G7">
        <v>11.2</v>
      </c>
      <c r="H7">
        <v>1.0874999999999999</v>
      </c>
      <c r="I7">
        <v>1.0175000000000001</v>
      </c>
      <c r="J7">
        <v>0.84750000000000003</v>
      </c>
      <c r="K7">
        <v>0.91749999999999998</v>
      </c>
    </row>
    <row r="8" spans="1:11" x14ac:dyDescent="0.2">
      <c r="A8">
        <v>7</v>
      </c>
      <c r="B8">
        <v>175</v>
      </c>
      <c r="C8">
        <v>70</v>
      </c>
      <c r="D8">
        <v>0.12</v>
      </c>
      <c r="E8">
        <v>0.05</v>
      </c>
      <c r="F8">
        <v>28</v>
      </c>
      <c r="G8">
        <v>11.2</v>
      </c>
      <c r="H8">
        <v>1.0874999999999999</v>
      </c>
      <c r="I8">
        <v>1.0175000000000001</v>
      </c>
      <c r="J8">
        <v>0.84750000000000003</v>
      </c>
      <c r="K8">
        <v>0.91749999999999998</v>
      </c>
    </row>
    <row r="9" spans="1:11" x14ac:dyDescent="0.2">
      <c r="A9">
        <v>8</v>
      </c>
      <c r="B9">
        <v>175</v>
      </c>
      <c r="C9">
        <v>70</v>
      </c>
      <c r="D9">
        <v>0.12</v>
      </c>
      <c r="E9">
        <v>0.05</v>
      </c>
      <c r="F9">
        <v>28</v>
      </c>
      <c r="G9">
        <v>11.2</v>
      </c>
      <c r="H9">
        <v>1.0874999999999999</v>
      </c>
      <c r="I9">
        <v>1.0175000000000001</v>
      </c>
      <c r="J9">
        <v>0.84750000000000003</v>
      </c>
      <c r="K9">
        <v>0.91749999999999998</v>
      </c>
    </row>
    <row r="10" spans="1:11" x14ac:dyDescent="0.2">
      <c r="A10">
        <v>9</v>
      </c>
      <c r="B10">
        <v>175</v>
      </c>
      <c r="C10">
        <v>70</v>
      </c>
      <c r="D10">
        <v>0.12</v>
      </c>
      <c r="E10">
        <v>0.05</v>
      </c>
      <c r="F10">
        <v>28</v>
      </c>
      <c r="G10">
        <v>11.2</v>
      </c>
      <c r="H10">
        <v>1.0874999999999999</v>
      </c>
      <c r="I10">
        <v>1.0175000000000001</v>
      </c>
      <c r="J10">
        <v>0.84750000000000003</v>
      </c>
      <c r="K10">
        <v>0.91749999999999998</v>
      </c>
    </row>
    <row r="11" spans="1:11" x14ac:dyDescent="0.2">
      <c r="A11">
        <v>10</v>
      </c>
      <c r="B11">
        <v>175</v>
      </c>
      <c r="C11">
        <v>70</v>
      </c>
      <c r="D11">
        <v>0.12</v>
      </c>
      <c r="E11">
        <v>0.05</v>
      </c>
      <c r="F11">
        <v>28</v>
      </c>
      <c r="G11">
        <v>11.2</v>
      </c>
      <c r="H11">
        <v>1.0874999999999999</v>
      </c>
      <c r="I11">
        <v>1.0175000000000001</v>
      </c>
      <c r="J11">
        <v>0.84750000000000003</v>
      </c>
      <c r="K11">
        <v>0.91749999999999998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3"/>
  <sheetViews>
    <sheetView zoomScaleNormal="100" workbookViewId="0">
      <selection activeCell="C2" sqref="C2"/>
    </sheetView>
  </sheetViews>
  <sheetFormatPr defaultColWidth="10.875" defaultRowHeight="14.25" x14ac:dyDescent="0.2"/>
  <cols>
    <col min="1" max="1" width="10.875" style="2"/>
    <col min="2" max="2" width="16.875" style="2" customWidth="1"/>
    <col min="3" max="3" width="21.125" style="2" customWidth="1"/>
    <col min="4" max="4" width="26.375" style="2" customWidth="1"/>
    <col min="5" max="5" width="31.5" style="2" customWidth="1"/>
    <col min="6" max="6" width="20.375" style="2" customWidth="1"/>
    <col min="7" max="7" width="19.5" style="2" customWidth="1"/>
    <col min="8" max="16384" width="10.875" style="2"/>
  </cols>
  <sheetData>
    <row r="1" spans="1:7" ht="27" x14ac:dyDescent="0.2">
      <c r="A1" s="1" t="s">
        <v>19</v>
      </c>
      <c r="B1" s="1" t="s">
        <v>120</v>
      </c>
      <c r="C1" s="1" t="s">
        <v>123</v>
      </c>
      <c r="D1" s="1" t="s">
        <v>124</v>
      </c>
      <c r="E1" s="1" t="s">
        <v>131</v>
      </c>
      <c r="F1" s="1" t="s">
        <v>132</v>
      </c>
      <c r="G1" s="1" t="s">
        <v>130</v>
      </c>
    </row>
    <row r="2" spans="1:7" x14ac:dyDescent="0.2">
      <c r="A2" s="2">
        <v>1</v>
      </c>
      <c r="B2" s="2" t="s">
        <v>128</v>
      </c>
      <c r="C2" s="2">
        <v>1</v>
      </c>
      <c r="D2" s="2">
        <v>1</v>
      </c>
      <c r="E2" s="2">
        <v>9999999999</v>
      </c>
      <c r="F2" s="2">
        <v>0</v>
      </c>
      <c r="G2" s="2">
        <v>10</v>
      </c>
    </row>
    <row r="3" spans="1:7" x14ac:dyDescent="0.2">
      <c r="A3" s="2">
        <v>2</v>
      </c>
      <c r="B3" s="2" t="s">
        <v>129</v>
      </c>
      <c r="C3" s="2">
        <v>2</v>
      </c>
      <c r="D3" s="2">
        <v>2</v>
      </c>
      <c r="E3" s="2">
        <v>9999999999</v>
      </c>
      <c r="F3" s="2">
        <v>2</v>
      </c>
      <c r="G3" s="2">
        <v>10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M10"/>
  <sheetViews>
    <sheetView workbookViewId="0">
      <selection activeCell="J3" sqref="J3:J8"/>
    </sheetView>
  </sheetViews>
  <sheetFormatPr defaultColWidth="8.875" defaultRowHeight="14.25" x14ac:dyDescent="0.2"/>
  <cols>
    <col min="2" max="2" width="24.375" bestFit="1" customWidth="1"/>
    <col min="7" max="7" width="14.875" customWidth="1"/>
    <col min="9" max="9" width="11.5" customWidth="1"/>
    <col min="10" max="10" width="11.625" customWidth="1"/>
  </cols>
  <sheetData>
    <row r="1" spans="1:13" s="2" customFormat="1" ht="38.25" customHeight="1" x14ac:dyDescent="0.2">
      <c r="A1" s="1" t="s">
        <v>19</v>
      </c>
      <c r="B1" s="1" t="s">
        <v>119</v>
      </c>
      <c r="C1" s="1" t="s">
        <v>225</v>
      </c>
      <c r="D1" s="1" t="s">
        <v>120</v>
      </c>
      <c r="E1" s="1" t="s">
        <v>121</v>
      </c>
      <c r="F1" s="1" t="s">
        <v>122</v>
      </c>
      <c r="G1" s="1" t="s">
        <v>123</v>
      </c>
      <c r="H1" s="1" t="s">
        <v>125</v>
      </c>
      <c r="I1" s="1" t="s">
        <v>126</v>
      </c>
      <c r="J1" s="1" t="s">
        <v>132</v>
      </c>
      <c r="K1" s="1" t="s">
        <v>127</v>
      </c>
      <c r="L1" s="8" t="s">
        <v>227</v>
      </c>
      <c r="M1" s="8" t="s">
        <v>236</v>
      </c>
    </row>
    <row r="2" spans="1:13" x14ac:dyDescent="0.2">
      <c r="A2" s="2">
        <v>1</v>
      </c>
      <c r="B2" s="2" t="s">
        <v>241</v>
      </c>
      <c r="C2" s="2">
        <v>1</v>
      </c>
      <c r="D2" t="s">
        <v>128</v>
      </c>
      <c r="E2" s="2">
        <v>3000</v>
      </c>
      <c r="F2" s="2">
        <v>4800</v>
      </c>
      <c r="G2" s="2">
        <v>1</v>
      </c>
      <c r="H2" s="2">
        <v>9999999</v>
      </c>
      <c r="I2" s="2">
        <v>9999999</v>
      </c>
      <c r="J2" s="2">
        <v>0</v>
      </c>
      <c r="K2" s="2">
        <v>1</v>
      </c>
      <c r="L2" s="2">
        <v>3</v>
      </c>
      <c r="M2" s="2">
        <v>9</v>
      </c>
    </row>
    <row r="3" spans="1:13" x14ac:dyDescent="0.2">
      <c r="A3" s="2">
        <v>2</v>
      </c>
      <c r="B3" s="2" t="s">
        <v>228</v>
      </c>
      <c r="C3" s="2">
        <v>1</v>
      </c>
      <c r="D3" t="s">
        <v>226</v>
      </c>
      <c r="E3" s="2">
        <v>550</v>
      </c>
      <c r="F3" s="2">
        <v>550</v>
      </c>
      <c r="G3" s="2">
        <v>1</v>
      </c>
      <c r="H3" s="2">
        <v>9999999</v>
      </c>
      <c r="I3" s="2">
        <v>9999999</v>
      </c>
      <c r="J3" s="2">
        <v>1</v>
      </c>
      <c r="K3" s="2">
        <v>1</v>
      </c>
      <c r="L3" s="2">
        <v>3</v>
      </c>
    </row>
    <row r="4" spans="1:13" x14ac:dyDescent="0.2">
      <c r="A4" s="2">
        <v>3</v>
      </c>
      <c r="B4" s="2" t="s">
        <v>228</v>
      </c>
      <c r="C4" s="2">
        <v>2</v>
      </c>
      <c r="D4" t="s">
        <v>129</v>
      </c>
      <c r="E4" s="2">
        <v>550</v>
      </c>
      <c r="F4" s="2">
        <v>550</v>
      </c>
      <c r="G4" s="2">
        <v>1</v>
      </c>
      <c r="H4" s="2">
        <v>9999999</v>
      </c>
      <c r="I4" s="2">
        <v>9999999</v>
      </c>
      <c r="J4" s="2">
        <v>1</v>
      </c>
      <c r="K4" s="2">
        <v>1</v>
      </c>
      <c r="L4" s="2">
        <v>3</v>
      </c>
    </row>
    <row r="5" spans="1:13" x14ac:dyDescent="0.2">
      <c r="A5" s="2">
        <v>4</v>
      </c>
      <c r="B5" s="2" t="s">
        <v>228</v>
      </c>
      <c r="C5" s="2">
        <v>3</v>
      </c>
      <c r="D5" t="s">
        <v>129</v>
      </c>
      <c r="E5" s="2">
        <v>550</v>
      </c>
      <c r="F5" s="2">
        <v>550</v>
      </c>
      <c r="G5" s="2">
        <v>1</v>
      </c>
      <c r="H5" s="2">
        <v>9999999</v>
      </c>
      <c r="I5" s="2">
        <v>9999999</v>
      </c>
      <c r="J5" s="2">
        <v>1</v>
      </c>
      <c r="K5" s="2">
        <v>1</v>
      </c>
      <c r="L5" s="2">
        <v>3</v>
      </c>
    </row>
    <row r="6" spans="1:13" x14ac:dyDescent="0.2">
      <c r="A6" s="2">
        <v>5</v>
      </c>
      <c r="B6" s="2" t="s">
        <v>228</v>
      </c>
      <c r="C6" s="2">
        <v>4</v>
      </c>
      <c r="D6" t="s">
        <v>129</v>
      </c>
      <c r="E6" s="2">
        <v>550</v>
      </c>
      <c r="F6" s="2">
        <v>550</v>
      </c>
      <c r="G6" s="2">
        <v>1</v>
      </c>
      <c r="H6" s="2">
        <v>9999999</v>
      </c>
      <c r="I6" s="2">
        <v>9999999</v>
      </c>
      <c r="J6" s="2">
        <v>1</v>
      </c>
      <c r="K6" s="2">
        <v>1</v>
      </c>
      <c r="L6" s="2">
        <v>3</v>
      </c>
    </row>
    <row r="7" spans="1:13" x14ac:dyDescent="0.2">
      <c r="A7" s="2">
        <v>6</v>
      </c>
      <c r="B7" s="2" t="s">
        <v>228</v>
      </c>
      <c r="C7" s="2">
        <v>5</v>
      </c>
      <c r="D7" t="s">
        <v>129</v>
      </c>
      <c r="E7" s="2">
        <v>650</v>
      </c>
      <c r="F7" s="2">
        <v>650</v>
      </c>
      <c r="G7" s="2">
        <v>1</v>
      </c>
      <c r="H7" s="2">
        <v>9999999</v>
      </c>
      <c r="I7" s="2">
        <v>9999999</v>
      </c>
      <c r="J7" s="2">
        <v>1</v>
      </c>
      <c r="K7" s="2">
        <v>1</v>
      </c>
      <c r="L7" s="2">
        <v>3</v>
      </c>
    </row>
    <row r="8" spans="1:13" x14ac:dyDescent="0.2">
      <c r="A8" s="2">
        <v>7</v>
      </c>
      <c r="B8" s="2" t="s">
        <v>228</v>
      </c>
      <c r="C8" s="2">
        <v>6</v>
      </c>
      <c r="D8" t="s">
        <v>129</v>
      </c>
      <c r="E8" s="2">
        <v>600</v>
      </c>
      <c r="F8" s="2">
        <v>600</v>
      </c>
      <c r="G8" s="2">
        <v>1</v>
      </c>
      <c r="H8" s="2">
        <v>9999999</v>
      </c>
      <c r="I8" s="2">
        <v>9999999</v>
      </c>
      <c r="J8" s="2">
        <v>1</v>
      </c>
      <c r="K8" s="2">
        <v>1</v>
      </c>
      <c r="L8" s="2">
        <v>3</v>
      </c>
    </row>
    <row r="9" spans="1:13" x14ac:dyDescent="0.2">
      <c r="A9" s="2">
        <v>8</v>
      </c>
      <c r="B9" s="2" t="s">
        <v>228</v>
      </c>
      <c r="C9" s="2">
        <v>7</v>
      </c>
      <c r="D9" t="s">
        <v>129</v>
      </c>
      <c r="E9" s="2">
        <v>300</v>
      </c>
      <c r="F9" s="2">
        <v>300</v>
      </c>
      <c r="G9" s="2">
        <v>1</v>
      </c>
      <c r="H9" s="2">
        <v>9999999</v>
      </c>
      <c r="I9" s="2">
        <v>9999999</v>
      </c>
      <c r="J9" s="2">
        <v>1</v>
      </c>
      <c r="K9" s="2">
        <v>1</v>
      </c>
      <c r="L9" s="2">
        <v>3</v>
      </c>
    </row>
    <row r="10" spans="1:13" x14ac:dyDescent="0.2">
      <c r="A10" s="2">
        <v>9</v>
      </c>
      <c r="B10" s="2" t="s">
        <v>317</v>
      </c>
      <c r="C10" s="2">
        <v>1</v>
      </c>
      <c r="D10" t="s">
        <v>318</v>
      </c>
      <c r="E10" s="2">
        <v>1200</v>
      </c>
      <c r="F10" s="2">
        <v>1200</v>
      </c>
      <c r="G10" s="2">
        <v>9999999</v>
      </c>
      <c r="H10" s="2">
        <v>9999999</v>
      </c>
      <c r="I10" s="2">
        <v>9999999</v>
      </c>
      <c r="J10" s="2">
        <v>9999999</v>
      </c>
      <c r="K10" s="2">
        <v>0</v>
      </c>
      <c r="L10" s="2">
        <v>3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W95"/>
  <sheetViews>
    <sheetView workbookViewId="0">
      <pane ySplit="1" topLeftCell="A79" activePane="bottomLeft" state="frozen"/>
      <selection pane="bottomLeft" activeCell="C72" sqref="C72"/>
    </sheetView>
  </sheetViews>
  <sheetFormatPr defaultColWidth="8.625" defaultRowHeight="14.25" outlineLevelCol="1" x14ac:dyDescent="0.2"/>
  <cols>
    <col min="2" max="2" width="17.125" customWidth="1"/>
    <col min="3" max="3" width="38.875" bestFit="1" customWidth="1"/>
    <col min="7" max="7" width="40.625" bestFit="1" customWidth="1"/>
    <col min="8" max="8" width="10.625" customWidth="1"/>
    <col min="9" max="9" width="12" customWidth="1"/>
    <col min="10" max="10" width="19.625" customWidth="1"/>
    <col min="11" max="11" width="29.5" customWidth="1"/>
    <col min="17" max="23" width="8.625" customWidth="1" outlineLevel="1"/>
  </cols>
  <sheetData>
    <row r="1" spans="1:23" s="1" customFormat="1" ht="63.75" customHeight="1" x14ac:dyDescent="0.2">
      <c r="A1" s="1" t="s">
        <v>10</v>
      </c>
      <c r="B1" s="1" t="s">
        <v>282</v>
      </c>
      <c r="C1" s="1" t="s">
        <v>13</v>
      </c>
      <c r="D1" s="1" t="s">
        <v>14</v>
      </c>
      <c r="E1" s="1" t="s">
        <v>11</v>
      </c>
      <c r="F1" s="1" t="s">
        <v>12</v>
      </c>
      <c r="G1" s="1" t="s">
        <v>278</v>
      </c>
      <c r="H1" s="1" t="s">
        <v>108</v>
      </c>
      <c r="I1" s="1" t="s">
        <v>114</v>
      </c>
      <c r="J1" s="9" t="s">
        <v>112</v>
      </c>
      <c r="K1" s="1" t="s">
        <v>83</v>
      </c>
      <c r="L1" s="1" t="s">
        <v>55</v>
      </c>
      <c r="Q1" s="1" t="s">
        <v>56</v>
      </c>
      <c r="R1" s="1" t="s">
        <v>56</v>
      </c>
      <c r="S1" s="1" t="s">
        <v>56</v>
      </c>
      <c r="T1" s="1" t="s">
        <v>56</v>
      </c>
      <c r="U1" s="1" t="s">
        <v>56</v>
      </c>
      <c r="V1" s="1" t="s">
        <v>56</v>
      </c>
      <c r="W1" s="1" t="s">
        <v>56</v>
      </c>
    </row>
    <row r="2" spans="1:23" s="29" customFormat="1" x14ac:dyDescent="0.2">
      <c r="A2" s="29">
        <v>1</v>
      </c>
      <c r="B2" s="29">
        <v>1</v>
      </c>
      <c r="C2" s="29" t="s">
        <v>296</v>
      </c>
      <c r="D2" s="29" t="s">
        <v>169</v>
      </c>
      <c r="F2" s="29">
        <v>5</v>
      </c>
      <c r="G2" s="27"/>
      <c r="H2" s="29">
        <f>SUM(_xlfn.IFNA(LOOKUP(Q2,use_fish!A:A,use_fish!E:E),0),_xlfn.IFNA(LOOKUP(R2,use_fish!A:A,use_fish!E:E),0),_xlfn.IFNA(LOOKUP(S2,use_fish!A:A,use_fish!E:E),0),_xlfn.IFNA(LOOKUP(T2,use_fish!A:A,use_fish!E:E),0),_xlfn.IFNA(LOOKUP(U2,use_fish!A:A,use_fish!E:E),0),_xlfn.IFNA(LOOKUP(V2,use_fish!A:A,use_fish!E:E),0),_xlfn.IFNA(LOOKUP(W2,use_fish!A:A,use_fish!E:E),0),)</f>
        <v>2</v>
      </c>
      <c r="I2" s="29">
        <f>SUM(_xlfn.IFNA(LOOKUP(Q2,use_fish!A:A,use_fish!I:I),0),_xlfn.IFNA(LOOKUP(R2,use_fish!A:A,use_fish!I:I),0),_xlfn.IFNA(LOOKUP(S2,use_fish!A:A,use_fish!I:I),0),_xlfn.IFNA(LOOKUP(T2,use_fish!A:A,use_fish!I:I),0),_xlfn.IFNA(LOOKUP(U2,use_fish!A:A,use_fish!I:I),0),_xlfn.IFNA(LOOKUP(V2,use_fish!A:A,use_fish!I:I),0),_xlfn.IFNA(LOOKUP(W2,use_fish!A:A,use_fish!I:I),0),)</f>
        <v>2</v>
      </c>
      <c r="J2" s="27">
        <f>SUM(_xlfn.IFNA(LOOKUP(Q2,use_fish!A:A,use_fish!K:K),0),_xlfn.IFNA(LOOKUP(R2,use_fish!A:A,use_fish!K:K),0),_xlfn.IFNA(LOOKUP(S2,use_fish!A:A,use_fish!K:K),0),_xlfn.IFNA(LOOKUP(T2,use_fish!A:A,use_fish!K:K),0),_xlfn.IFNA(LOOKUP(U2,use_fish!A:A,use_fish!K:K),0),_xlfn.IFNA(LOOKUP(V2,use_fish!A:A,use_fish!K:K),0),_xlfn.IFNA(LOOKUP(W2,use_fish!A:A,use_fish!K:K),0),)</f>
        <v>0</v>
      </c>
      <c r="L2" s="29" t="s">
        <v>67</v>
      </c>
      <c r="Q2" s="29">
        <v>1</v>
      </c>
    </row>
    <row r="3" spans="1:23" s="29" customFormat="1" x14ac:dyDescent="0.2">
      <c r="A3" s="29">
        <v>2</v>
      </c>
      <c r="B3" s="29">
        <v>1</v>
      </c>
      <c r="C3" s="29" t="s">
        <v>297</v>
      </c>
      <c r="D3" s="29" t="s">
        <v>169</v>
      </c>
      <c r="F3" s="29">
        <v>5</v>
      </c>
      <c r="G3" s="27"/>
      <c r="H3" s="29">
        <f>SUM(_xlfn.IFNA(LOOKUP(Q3,use_fish!A:A,use_fish!E:E),0),_xlfn.IFNA(LOOKUP(R3,use_fish!A:A,use_fish!E:E),0),_xlfn.IFNA(LOOKUP(S3,use_fish!A:A,use_fish!E:E),0),_xlfn.IFNA(LOOKUP(T3,use_fish!A:A,use_fish!E:E),0),_xlfn.IFNA(LOOKUP(U3,use_fish!A:A,use_fish!E:E),0),_xlfn.IFNA(LOOKUP(V3,use_fish!A:A,use_fish!E:E),0),_xlfn.IFNA(LOOKUP(W3,use_fish!A:A,use_fish!E:E),0),)</f>
        <v>2</v>
      </c>
      <c r="I3" s="29">
        <f>SUM(_xlfn.IFNA(LOOKUP(Q3,use_fish!A:A,use_fish!I:I),0),_xlfn.IFNA(LOOKUP(R3,use_fish!A:A,use_fish!I:I),0),_xlfn.IFNA(LOOKUP(S3,use_fish!A:A,use_fish!I:I),0),_xlfn.IFNA(LOOKUP(T3,use_fish!A:A,use_fish!I:I),0),_xlfn.IFNA(LOOKUP(U3,use_fish!A:A,use_fish!I:I),0),_xlfn.IFNA(LOOKUP(V3,use_fish!A:A,use_fish!I:I),0),_xlfn.IFNA(LOOKUP(W3,use_fish!A:A,use_fish!I:I),0),)</f>
        <v>2</v>
      </c>
      <c r="J3" s="27">
        <f>SUM(_xlfn.IFNA(LOOKUP(Q3,use_fish!A:A,use_fish!K:K),0),_xlfn.IFNA(LOOKUP(R3,use_fish!A:A,use_fish!K:K),0),_xlfn.IFNA(LOOKUP(S3,use_fish!A:A,use_fish!K:K),0),_xlfn.IFNA(LOOKUP(T3,use_fish!A:A,use_fish!K:K),0),_xlfn.IFNA(LOOKUP(U3,use_fish!A:A,use_fish!K:K),0),_xlfn.IFNA(LOOKUP(V3,use_fish!A:A,use_fish!K:K),0),_xlfn.IFNA(LOOKUP(W3,use_fish!A:A,use_fish!K:K),0),)</f>
        <v>0</v>
      </c>
      <c r="Q3" s="29">
        <v>1</v>
      </c>
    </row>
    <row r="4" spans="1:23" s="29" customFormat="1" x14ac:dyDescent="0.2">
      <c r="A4" s="29">
        <v>3</v>
      </c>
      <c r="B4" s="29">
        <v>2</v>
      </c>
      <c r="C4" s="29" t="s">
        <v>275</v>
      </c>
      <c r="D4" s="29" t="s">
        <v>169</v>
      </c>
      <c r="G4" s="27"/>
      <c r="H4" s="29">
        <f>SUM(_xlfn.IFNA(LOOKUP(Q4,use_fish!A:A,use_fish!E:E),0),_xlfn.IFNA(LOOKUP(R4,use_fish!A:A,use_fish!E:E),0),_xlfn.IFNA(LOOKUP(S4,use_fish!A:A,use_fish!E:E),0),_xlfn.IFNA(LOOKUP(T4,use_fish!A:A,use_fish!E:E),0),_xlfn.IFNA(LOOKUP(U4,use_fish!A:A,use_fish!E:E),0),_xlfn.IFNA(LOOKUP(V4,use_fish!A:A,use_fish!E:E),0),_xlfn.IFNA(LOOKUP(W4,use_fish!A:A,use_fish!E:E),0),)</f>
        <v>2</v>
      </c>
      <c r="I4" s="29">
        <f>SUM(_xlfn.IFNA(LOOKUP(Q4,use_fish!A:A,use_fish!I:I),0),_xlfn.IFNA(LOOKUP(R4,use_fish!A:A,use_fish!I:I),0),_xlfn.IFNA(LOOKUP(S4,use_fish!A:A,use_fish!I:I),0),_xlfn.IFNA(LOOKUP(T4,use_fish!A:A,use_fish!I:I),0),_xlfn.IFNA(LOOKUP(U4,use_fish!A:A,use_fish!I:I),0),_xlfn.IFNA(LOOKUP(V4,use_fish!A:A,use_fish!I:I),0),_xlfn.IFNA(LOOKUP(W4,use_fish!A:A,use_fish!I:I),0),)</f>
        <v>2</v>
      </c>
      <c r="J4" s="27">
        <f>SUM(_xlfn.IFNA(LOOKUP(Q4,use_fish!A:A,use_fish!K:K),0),_xlfn.IFNA(LOOKUP(R4,use_fish!A:A,use_fish!K:K),0),_xlfn.IFNA(LOOKUP(S4,use_fish!A:A,use_fish!K:K),0),_xlfn.IFNA(LOOKUP(T4,use_fish!A:A,use_fish!K:K),0),_xlfn.IFNA(LOOKUP(U4,use_fish!A:A,use_fish!K:K),0),_xlfn.IFNA(LOOKUP(V4,use_fish!A:A,use_fish!K:K),0),_xlfn.IFNA(LOOKUP(W4,use_fish!A:A,use_fish!K:K),0),)</f>
        <v>0</v>
      </c>
      <c r="Q4" s="29">
        <v>1</v>
      </c>
    </row>
    <row r="5" spans="1:23" s="29" customFormat="1" x14ac:dyDescent="0.2">
      <c r="A5" s="29">
        <v>4</v>
      </c>
      <c r="B5" s="29">
        <v>2</v>
      </c>
      <c r="C5" s="29" t="s">
        <v>233</v>
      </c>
      <c r="D5" s="29" t="s">
        <v>169</v>
      </c>
      <c r="G5" s="27"/>
      <c r="H5" s="29">
        <f>SUM(_xlfn.IFNA(LOOKUP(Q5,use_fish!A:A,use_fish!E:E),0),_xlfn.IFNA(LOOKUP(R5,use_fish!A:A,use_fish!E:E),0),_xlfn.IFNA(LOOKUP(S5,use_fish!A:A,use_fish!E:E),0),_xlfn.IFNA(LOOKUP(T5,use_fish!A:A,use_fish!E:E),0),_xlfn.IFNA(LOOKUP(U5,use_fish!A:A,use_fish!E:E),0),_xlfn.IFNA(LOOKUP(V5,use_fish!A:A,use_fish!E:E),0),_xlfn.IFNA(LOOKUP(W5,use_fish!A:A,use_fish!E:E),0),)</f>
        <v>2</v>
      </c>
      <c r="I5" s="29">
        <f>SUM(_xlfn.IFNA(LOOKUP(Q5,use_fish!A:A,use_fish!I:I),0),_xlfn.IFNA(LOOKUP(R5,use_fish!A:A,use_fish!I:I),0),_xlfn.IFNA(LOOKUP(S5,use_fish!A:A,use_fish!I:I),0),_xlfn.IFNA(LOOKUP(T5,use_fish!A:A,use_fish!I:I),0),_xlfn.IFNA(LOOKUP(U5,use_fish!A:A,use_fish!I:I),0),_xlfn.IFNA(LOOKUP(V5,use_fish!A:A,use_fish!I:I),0),_xlfn.IFNA(LOOKUP(W5,use_fish!A:A,use_fish!I:I),0),)</f>
        <v>2</v>
      </c>
      <c r="J5" s="27">
        <f>SUM(_xlfn.IFNA(LOOKUP(Q5,use_fish!A:A,use_fish!K:K),0),_xlfn.IFNA(LOOKUP(R5,use_fish!A:A,use_fish!K:K),0),_xlfn.IFNA(LOOKUP(S5,use_fish!A:A,use_fish!K:K),0),_xlfn.IFNA(LOOKUP(T5,use_fish!A:A,use_fish!K:K),0),_xlfn.IFNA(LOOKUP(U5,use_fish!A:A,use_fish!K:K),0),_xlfn.IFNA(LOOKUP(V5,use_fish!A:A,use_fish!K:K),0),_xlfn.IFNA(LOOKUP(W5,use_fish!A:A,use_fish!K:K),0),)</f>
        <v>0</v>
      </c>
      <c r="Q5" s="29">
        <v>1</v>
      </c>
    </row>
    <row r="6" spans="1:23" s="29" customFormat="1" x14ac:dyDescent="0.2">
      <c r="A6" s="29">
        <v>5</v>
      </c>
      <c r="B6" s="29">
        <v>2</v>
      </c>
      <c r="C6" s="29" t="s">
        <v>234</v>
      </c>
      <c r="D6" s="29" t="s">
        <v>169</v>
      </c>
      <c r="G6" s="27"/>
      <c r="H6" s="29">
        <f>SUM(_xlfn.IFNA(LOOKUP(Q6,use_fish!A:A,use_fish!E:E),0),_xlfn.IFNA(LOOKUP(R6,use_fish!A:A,use_fish!E:E),0),_xlfn.IFNA(LOOKUP(S6,use_fish!A:A,use_fish!E:E),0),_xlfn.IFNA(LOOKUP(T6,use_fish!A:A,use_fish!E:E),0),_xlfn.IFNA(LOOKUP(U6,use_fish!A:A,use_fish!E:E),0),_xlfn.IFNA(LOOKUP(V6,use_fish!A:A,use_fish!E:E),0),_xlfn.IFNA(LOOKUP(W6,use_fish!A:A,use_fish!E:E),0),)</f>
        <v>2</v>
      </c>
      <c r="I6" s="29">
        <f>SUM(_xlfn.IFNA(LOOKUP(Q6,use_fish!A:A,use_fish!I:I),0),_xlfn.IFNA(LOOKUP(R6,use_fish!A:A,use_fish!I:I),0),_xlfn.IFNA(LOOKUP(S6,use_fish!A:A,use_fish!I:I),0),_xlfn.IFNA(LOOKUP(T6,use_fish!A:A,use_fish!I:I),0),_xlfn.IFNA(LOOKUP(U6,use_fish!A:A,use_fish!I:I),0),_xlfn.IFNA(LOOKUP(V6,use_fish!A:A,use_fish!I:I),0),_xlfn.IFNA(LOOKUP(W6,use_fish!A:A,use_fish!I:I),0),)</f>
        <v>2</v>
      </c>
      <c r="J6" s="27">
        <f>SUM(_xlfn.IFNA(LOOKUP(Q6,use_fish!A:A,use_fish!K:K),0),_xlfn.IFNA(LOOKUP(R6,use_fish!A:A,use_fish!K:K),0),_xlfn.IFNA(LOOKUP(S6,use_fish!A:A,use_fish!K:K),0),_xlfn.IFNA(LOOKUP(T6,use_fish!A:A,use_fish!K:K),0),_xlfn.IFNA(LOOKUP(U6,use_fish!A:A,use_fish!K:K),0),_xlfn.IFNA(LOOKUP(V6,use_fish!A:A,use_fish!K:K),0),_xlfn.IFNA(LOOKUP(W6,use_fish!A:A,use_fish!K:K),0),)</f>
        <v>0</v>
      </c>
      <c r="Q6" s="29">
        <v>1</v>
      </c>
    </row>
    <row r="7" spans="1:23" s="29" customFormat="1" x14ac:dyDescent="0.2">
      <c r="A7" s="29">
        <v>6</v>
      </c>
      <c r="B7" s="29">
        <v>2</v>
      </c>
      <c r="C7" s="29" t="s">
        <v>328</v>
      </c>
      <c r="G7" s="45" t="s">
        <v>329</v>
      </c>
      <c r="H7" s="29">
        <f>SUM(_xlfn.IFNA(LOOKUP(Q7,use_fish!A:A,use_fish!E:E),0),_xlfn.IFNA(LOOKUP(R7,use_fish!A:A,use_fish!E:E),0),_xlfn.IFNA(LOOKUP(S7,use_fish!A:A,use_fish!E:E),0),_xlfn.IFNA(LOOKUP(T7,use_fish!A:A,use_fish!E:E),0),_xlfn.IFNA(LOOKUP(U7,use_fish!A:A,use_fish!E:E),0),_xlfn.IFNA(LOOKUP(V7,use_fish!A:A,use_fish!E:E),0),_xlfn.IFNA(LOOKUP(W7,use_fish!A:A,use_fish!E:E),0),)</f>
        <v>2</v>
      </c>
      <c r="I7" s="29">
        <f>SUM(_xlfn.IFNA(LOOKUP(Q7,use_fish!A:A,use_fish!I:I),0),_xlfn.IFNA(LOOKUP(R7,use_fish!A:A,use_fish!I:I),0),_xlfn.IFNA(LOOKUP(S7,use_fish!A:A,use_fish!I:I),0),_xlfn.IFNA(LOOKUP(T7,use_fish!A:A,use_fish!I:I),0),_xlfn.IFNA(LOOKUP(U7,use_fish!A:A,use_fish!I:I),0),_xlfn.IFNA(LOOKUP(V7,use_fish!A:A,use_fish!I:I),0),_xlfn.IFNA(LOOKUP(W7,use_fish!A:A,use_fish!I:I),0),)</f>
        <v>2</v>
      </c>
      <c r="J7" s="27">
        <f>SUM(_xlfn.IFNA(LOOKUP(Q7,use_fish!A:A,use_fish!K:K),0),_xlfn.IFNA(LOOKUP(R7,use_fish!A:A,use_fish!K:K),0),_xlfn.IFNA(LOOKUP(S7,use_fish!A:A,use_fish!K:K),0),_xlfn.IFNA(LOOKUP(T7,use_fish!A:A,use_fish!K:K),0),_xlfn.IFNA(LOOKUP(U7,use_fish!A:A,use_fish!K:K),0),_xlfn.IFNA(LOOKUP(V7,use_fish!A:A,use_fish!K:K),0),_xlfn.IFNA(LOOKUP(W7,use_fish!A:A,use_fish!K:K),0),)</f>
        <v>0</v>
      </c>
      <c r="Q7" s="29">
        <v>1</v>
      </c>
    </row>
    <row r="8" spans="1:23" s="29" customFormat="1" x14ac:dyDescent="0.2">
      <c r="A8" s="29">
        <v>7</v>
      </c>
      <c r="B8" s="29">
        <v>2</v>
      </c>
      <c r="C8" s="29" t="s">
        <v>330</v>
      </c>
      <c r="G8" s="45" t="s">
        <v>331</v>
      </c>
      <c r="H8" s="29">
        <f>SUM(_xlfn.IFNA(LOOKUP(Q8,use_fish!A:A,use_fish!E:E),0),_xlfn.IFNA(LOOKUP(R8,use_fish!A:A,use_fish!E:E),0),_xlfn.IFNA(LOOKUP(S8,use_fish!A:A,use_fish!E:E),0),_xlfn.IFNA(LOOKUP(T8,use_fish!A:A,use_fish!E:E),0),_xlfn.IFNA(LOOKUP(U8,use_fish!A:A,use_fish!E:E),0),_xlfn.IFNA(LOOKUP(V8,use_fish!A:A,use_fish!E:E),0),_xlfn.IFNA(LOOKUP(W8,use_fish!A:A,use_fish!E:E),0),)</f>
        <v>7</v>
      </c>
      <c r="I8" s="29">
        <f>SUM(_xlfn.IFNA(LOOKUP(Q8,use_fish!A:A,use_fish!I:I),0),_xlfn.IFNA(LOOKUP(R8,use_fish!A:A,use_fish!I:I),0),_xlfn.IFNA(LOOKUP(S8,use_fish!A:A,use_fish!I:I),0),_xlfn.IFNA(LOOKUP(T8,use_fish!A:A,use_fish!I:I),0),_xlfn.IFNA(LOOKUP(U8,use_fish!A:A,use_fish!I:I),0),_xlfn.IFNA(LOOKUP(V8,use_fish!A:A,use_fish!I:I),0),_xlfn.IFNA(LOOKUP(W8,use_fish!A:A,use_fish!I:I),0),)</f>
        <v>7</v>
      </c>
      <c r="J8" s="27">
        <f>SUM(_xlfn.IFNA(LOOKUP(Q8,use_fish!A:A,use_fish!K:K),0),_xlfn.IFNA(LOOKUP(R8,use_fish!A:A,use_fish!K:K),0),_xlfn.IFNA(LOOKUP(S8,use_fish!A:A,use_fish!K:K),0),_xlfn.IFNA(LOOKUP(T8,use_fish!A:A,use_fish!K:K),0),_xlfn.IFNA(LOOKUP(U8,use_fish!A:A,use_fish!K:K),0),_xlfn.IFNA(LOOKUP(V8,use_fish!A:A,use_fish!K:K),0),_xlfn.IFNA(LOOKUP(W8,use_fish!A:A,use_fish!K:K),0),)</f>
        <v>0</v>
      </c>
      <c r="K8" s="29" t="str">
        <f t="array" ref="K8">INDEX(use_fish!A:A,SMALL(IF(group!$L$2&amp;IF(ISBLANK($L$14),$L$14,"+"&amp;$L$14)=use_fish!H:H,ROW(use_fish!H:H),4^8),ROW(16:16)))&amp;""</f>
        <v/>
      </c>
      <c r="Q8" s="29">
        <v>7</v>
      </c>
    </row>
    <row r="9" spans="1:23" s="29" customFormat="1" x14ac:dyDescent="0.2">
      <c r="A9" s="29">
        <v>8</v>
      </c>
      <c r="B9" s="29">
        <v>2</v>
      </c>
      <c r="C9" s="29" t="s">
        <v>170</v>
      </c>
      <c r="D9" s="29" t="s">
        <v>293</v>
      </c>
      <c r="F9" s="29">
        <v>10</v>
      </c>
      <c r="H9" s="29">
        <f>SUM(_xlfn.IFNA(LOOKUP(Q9,use_fish!A:A,use_fish!E:E),0),_xlfn.IFNA(LOOKUP(R9,use_fish!A:A,use_fish!E:E),0),_xlfn.IFNA(LOOKUP(S9,use_fish!A:A,use_fish!E:E),0),_xlfn.IFNA(LOOKUP(T9,use_fish!A:A,use_fish!E:E),0),_xlfn.IFNA(LOOKUP(U9,use_fish!A:A,use_fish!E:E),0),_xlfn.IFNA(LOOKUP(V9,use_fish!A:A,use_fish!E:E),0),_xlfn.IFNA(LOOKUP(W9,use_fish!A:A,use_fish!E:E),0),)</f>
        <v>8</v>
      </c>
      <c r="I9" s="29">
        <f>SUM(_xlfn.IFNA(LOOKUP(Q9,use_fish!A:A,use_fish!I:I),0),_xlfn.IFNA(LOOKUP(R9,use_fish!A:A,use_fish!I:I),0),_xlfn.IFNA(LOOKUP(S9,use_fish!A:A,use_fish!I:I),0),_xlfn.IFNA(LOOKUP(T9,use_fish!A:A,use_fish!I:I),0),_xlfn.IFNA(LOOKUP(U9,use_fish!A:A,use_fish!I:I),0),_xlfn.IFNA(LOOKUP(V9,use_fish!A:A,use_fish!I:I),0),_xlfn.IFNA(LOOKUP(W9,use_fish!A:A,use_fish!I:I),0),)</f>
        <v>8</v>
      </c>
      <c r="J9" s="27">
        <f>SUM(_xlfn.IFNA(LOOKUP(Q9,use_fish!A:A,use_fish!K:K),0),_xlfn.IFNA(LOOKUP(R9,use_fish!A:A,use_fish!K:K),0),_xlfn.IFNA(LOOKUP(S9,use_fish!A:A,use_fish!K:K),0),_xlfn.IFNA(LOOKUP(T9,use_fish!A:A,use_fish!K:K),0),_xlfn.IFNA(LOOKUP(U9,use_fish!A:A,use_fish!K:K),0),_xlfn.IFNA(LOOKUP(V9,use_fish!A:A,use_fish!K:K),0),_xlfn.IFNA(LOOKUP(W9,use_fish!A:A,use_fish!K:K),0),)</f>
        <v>0</v>
      </c>
      <c r="K9" s="29" t="str">
        <f t="array" ref="K9">INDEX(use_fish!A:A,SMALL(IF(group!$L$2&amp;IF(ISBLANK($L$14),$L$14,"+"&amp;$L$14)=use_fish!H:H,ROW(use_fish!H:H),4^8),ROW(17:17)))&amp;""</f>
        <v/>
      </c>
      <c r="Q9" s="29">
        <v>8</v>
      </c>
    </row>
    <row r="10" spans="1:23" s="29" customFormat="1" x14ac:dyDescent="0.2">
      <c r="A10" s="29">
        <v>9</v>
      </c>
      <c r="B10" s="29">
        <v>1</v>
      </c>
      <c r="C10" s="29" t="s">
        <v>281</v>
      </c>
      <c r="D10" s="29" t="s">
        <v>169</v>
      </c>
      <c r="H10" s="29">
        <f>SUM(_xlfn.IFNA(LOOKUP(Q10,use_fish!A:A,use_fish!E:E),0),_xlfn.IFNA(LOOKUP(R10,use_fish!A:A,use_fish!E:E),0),_xlfn.IFNA(LOOKUP(S10,use_fish!A:A,use_fish!E:E),0),_xlfn.IFNA(LOOKUP(T10,use_fish!A:A,use_fish!E:E),0),_xlfn.IFNA(LOOKUP(U10,use_fish!A:A,use_fish!E:E),0),_xlfn.IFNA(LOOKUP(V10,use_fish!A:A,use_fish!E:E),0),_xlfn.IFNA(LOOKUP(W10,use_fish!A:A,use_fish!E:E),0),)</f>
        <v>10</v>
      </c>
      <c r="I10" s="29">
        <f>SUM(_xlfn.IFNA(LOOKUP(Q10,use_fish!A:A,use_fish!I:I),0),_xlfn.IFNA(LOOKUP(R10,use_fish!A:A,use_fish!I:I),0),_xlfn.IFNA(LOOKUP(S10,use_fish!A:A,use_fish!I:I),0),_xlfn.IFNA(LOOKUP(T10,use_fish!A:A,use_fish!I:I),0),_xlfn.IFNA(LOOKUP(U10,use_fish!A:A,use_fish!I:I),0),_xlfn.IFNA(LOOKUP(V10,use_fish!A:A,use_fish!I:I),0),_xlfn.IFNA(LOOKUP(W10,use_fish!A:A,use_fish!I:I),0),)</f>
        <v>10</v>
      </c>
      <c r="J10" s="27">
        <f>SUM(_xlfn.IFNA(LOOKUP(Q10,use_fish!A:A,use_fish!K:K),0),_xlfn.IFNA(LOOKUP(R10,use_fish!A:A,use_fish!K:K),0),_xlfn.IFNA(LOOKUP(S10,use_fish!A:A,use_fish!K:K),0),_xlfn.IFNA(LOOKUP(T10,use_fish!A:A,use_fish!K:K),0),_xlfn.IFNA(LOOKUP(U10,use_fish!A:A,use_fish!K:K),0),_xlfn.IFNA(LOOKUP(V10,use_fish!A:A,use_fish!K:K),0),_xlfn.IFNA(LOOKUP(W10,use_fish!A:A,use_fish!K:K),0),)</f>
        <v>0</v>
      </c>
      <c r="K10" s="29" t="str">
        <f t="array" ref="K10">INDEX(use_fish!A:A,SMALL(IF(group!$L$2&amp;IF(ISBLANK($L$14),$L$14,"+"&amp;$L$14)=use_fish!H:H,ROW(use_fish!H:H),4^8),ROW(18:18)))&amp;""</f>
        <v/>
      </c>
      <c r="Q10" s="29">
        <v>9</v>
      </c>
    </row>
    <row r="11" spans="1:23" s="29" customFormat="1" x14ac:dyDescent="0.2">
      <c r="A11" s="29">
        <v>10</v>
      </c>
      <c r="B11" s="29">
        <v>1</v>
      </c>
      <c r="C11" s="29" t="s">
        <v>43</v>
      </c>
      <c r="D11" s="29" t="s">
        <v>170</v>
      </c>
      <c r="H11" s="29">
        <f>SUM(_xlfn.IFNA(LOOKUP(Q11,use_fish!A:A,use_fish!E:E),0),_xlfn.IFNA(LOOKUP(R11,use_fish!A:A,use_fish!E:E),0),_xlfn.IFNA(LOOKUP(S11,use_fish!A:A,use_fish!E:E),0),_xlfn.IFNA(LOOKUP(T11,use_fish!A:A,use_fish!E:E),0),_xlfn.IFNA(LOOKUP(U11,use_fish!A:A,use_fish!E:E),0),_xlfn.IFNA(LOOKUP(V11,use_fish!A:A,use_fish!E:E),0),_xlfn.IFNA(LOOKUP(W11,use_fish!A:A,use_fish!E:E),0),)</f>
        <v>12</v>
      </c>
      <c r="I11" s="29">
        <f>SUM(_xlfn.IFNA(LOOKUP(Q11,use_fish!A:A,use_fish!I:I),0),_xlfn.IFNA(LOOKUP(R11,use_fish!A:A,use_fish!I:I),0),_xlfn.IFNA(LOOKUP(S11,use_fish!A:A,use_fish!I:I),0),_xlfn.IFNA(LOOKUP(T11,use_fish!A:A,use_fish!I:I),0),_xlfn.IFNA(LOOKUP(U11,use_fish!A:A,use_fish!I:I),0),_xlfn.IFNA(LOOKUP(V11,use_fish!A:A,use_fish!I:I),0),_xlfn.IFNA(LOOKUP(W11,use_fish!A:A,use_fish!I:I),0),)</f>
        <v>12</v>
      </c>
      <c r="J11" s="27">
        <f>SUM(_xlfn.IFNA(LOOKUP(Q11,use_fish!A:A,use_fish!K:K),0),_xlfn.IFNA(LOOKUP(R11,use_fish!A:A,use_fish!K:K),0),_xlfn.IFNA(LOOKUP(S11,use_fish!A:A,use_fish!K:K),0),_xlfn.IFNA(LOOKUP(T11,use_fish!A:A,use_fish!K:K),0),_xlfn.IFNA(LOOKUP(U11,use_fish!A:A,use_fish!K:K),0),_xlfn.IFNA(LOOKUP(V11,use_fish!A:A,use_fish!K:K),0),_xlfn.IFNA(LOOKUP(W11,use_fish!A:A,use_fish!K:K),0),)</f>
        <v>0</v>
      </c>
      <c r="K11" s="29" t="str">
        <f t="array" ref="K11">INDEX(use_fish!A:A,SMALL(IF(group!$L$2&amp;IF(ISBLANK($L$14),$L$14,"+"&amp;$L$14)=use_fish!H:H,ROW(use_fish!H:H),4^8),ROW(8:8)))&amp;""</f>
        <v/>
      </c>
      <c r="Q11" s="29">
        <v>10</v>
      </c>
    </row>
    <row r="12" spans="1:23" s="29" customFormat="1" x14ac:dyDescent="0.2">
      <c r="A12" s="29">
        <v>11</v>
      </c>
      <c r="B12" s="29">
        <v>1</v>
      </c>
      <c r="C12" s="29" t="s">
        <v>277</v>
      </c>
      <c r="D12" s="29" t="s">
        <v>169</v>
      </c>
      <c r="H12" s="29">
        <f>SUM(_xlfn.IFNA(LOOKUP(Q12,use_fish!A:A,use_fish!E:E),0),_xlfn.IFNA(LOOKUP(R12,use_fish!A:A,use_fish!E:E),0),_xlfn.IFNA(LOOKUP(S12,use_fish!A:A,use_fish!E:E),0),_xlfn.IFNA(LOOKUP(T12,use_fish!A:A,use_fish!E:E),0),_xlfn.IFNA(LOOKUP(U12,use_fish!A:A,use_fish!E:E),0),_xlfn.IFNA(LOOKUP(V12,use_fish!A:A,use_fish!E:E),0),_xlfn.IFNA(LOOKUP(W12,use_fish!A:A,use_fish!E:E),0),)</f>
        <v>12</v>
      </c>
      <c r="I12" s="29">
        <f>SUM(_xlfn.IFNA(LOOKUP(Q12,use_fish!A:A,use_fish!I:I),0),_xlfn.IFNA(LOOKUP(R12,use_fish!A:A,use_fish!I:I),0),_xlfn.IFNA(LOOKUP(S12,use_fish!A:A,use_fish!I:I),0),_xlfn.IFNA(LOOKUP(T12,use_fish!A:A,use_fish!I:I),0),_xlfn.IFNA(LOOKUP(U12,use_fish!A:A,use_fish!I:I),0),_xlfn.IFNA(LOOKUP(V12,use_fish!A:A,use_fish!I:I),0),_xlfn.IFNA(LOOKUP(W12,use_fish!A:A,use_fish!I:I),0),)</f>
        <v>12</v>
      </c>
      <c r="J12" s="27">
        <f>SUM(_xlfn.IFNA(LOOKUP(Q12,use_fish!A:A,use_fish!K:K),0),_xlfn.IFNA(LOOKUP(R12,use_fish!A:A,use_fish!K:K),0),_xlfn.IFNA(LOOKUP(S12,use_fish!A:A,use_fish!K:K),0),_xlfn.IFNA(LOOKUP(T12,use_fish!A:A,use_fish!K:K),0),_xlfn.IFNA(LOOKUP(U12,use_fish!A:A,use_fish!K:K),0),_xlfn.IFNA(LOOKUP(V12,use_fish!A:A,use_fish!K:K),0),_xlfn.IFNA(LOOKUP(W12,use_fish!A:A,use_fish!K:K),0),)</f>
        <v>0</v>
      </c>
      <c r="K12" s="29" t="str">
        <f t="array" ref="K12">INDEX(use_fish!A:A,SMALL(IF(group!$L$2&amp;IF(ISBLANK($L$14),$L$14,"+"&amp;$L$14)=use_fish!H:H,ROW(use_fish!H:H),4^8),ROW(9:9)))&amp;""</f>
        <v/>
      </c>
      <c r="Q12" s="29">
        <v>10</v>
      </c>
    </row>
    <row r="13" spans="1:23" s="12" customFormat="1" x14ac:dyDescent="0.2">
      <c r="A13" s="12">
        <v>12</v>
      </c>
      <c r="B13" s="12">
        <v>3</v>
      </c>
      <c r="C13" s="12" t="s">
        <v>188</v>
      </c>
      <c r="H13" s="12">
        <f>SUM(_xlfn.IFNA(LOOKUP(Q13,use_fish!A:A,use_fish!E:E),0),_xlfn.IFNA(LOOKUP(R13,use_fish!A:A,use_fish!E:E),0),_xlfn.IFNA(LOOKUP(S13,use_fish!A:A,use_fish!E:E),0),_xlfn.IFNA(LOOKUP(T13,use_fish!A:A,use_fish!E:E),0),_xlfn.IFNA(LOOKUP(U13,use_fish!A:A,use_fish!E:E),0),_xlfn.IFNA(LOOKUP(V13,use_fish!A:A,use_fish!E:E),0),_xlfn.IFNA(LOOKUP(W13,use_fish!A:A,use_fish!E:E),0),)</f>
        <v>18</v>
      </c>
      <c r="I13" s="12">
        <f>SUM(_xlfn.IFNA(LOOKUP(Q13,use_fish!A:A,use_fish!I:I),0),_xlfn.IFNA(LOOKUP(R13,use_fish!A:A,use_fish!I:I),0),_xlfn.IFNA(LOOKUP(S13,use_fish!A:A,use_fish!I:I),0),_xlfn.IFNA(LOOKUP(T13,use_fish!A:A,use_fish!I:I),0),_xlfn.IFNA(LOOKUP(U13,use_fish!A:A,use_fish!I:I),0),_xlfn.IFNA(LOOKUP(V13,use_fish!A:A,use_fish!I:I),0),_xlfn.IFNA(LOOKUP(W13,use_fish!A:A,use_fish!I:I),0),)</f>
        <v>18</v>
      </c>
      <c r="J13" s="13">
        <f>SUM(_xlfn.IFNA(LOOKUP(Q13,use_fish!A:A,use_fish!K:K),0),_xlfn.IFNA(LOOKUP(R13,use_fish!A:A,use_fish!K:K),0),_xlfn.IFNA(LOOKUP(S13,use_fish!A:A,use_fish!K:K),0),_xlfn.IFNA(LOOKUP(T13,use_fish!A:A,use_fish!K:K),0),_xlfn.IFNA(LOOKUP(U13,use_fish!A:A,use_fish!K:K),0),_xlfn.IFNA(LOOKUP(V13,use_fish!A:A,use_fish!K:K),0),_xlfn.IFNA(LOOKUP(W13,use_fish!A:A,use_fish!K:K),0),)</f>
        <v>0</v>
      </c>
      <c r="Q13" s="12">
        <v>4</v>
      </c>
      <c r="R13" s="12">
        <v>9</v>
      </c>
      <c r="S13" s="12">
        <v>4</v>
      </c>
    </row>
    <row r="14" spans="1:23" s="12" customFormat="1" x14ac:dyDescent="0.2">
      <c r="A14" s="12">
        <v>13</v>
      </c>
      <c r="B14" s="12">
        <v>3</v>
      </c>
      <c r="C14" s="12" t="s">
        <v>212</v>
      </c>
      <c r="H14" s="12">
        <f>SUM(_xlfn.IFNA(LOOKUP(Q14,use_fish!A:A,use_fish!E:E),0),_xlfn.IFNA(LOOKUP(R14,use_fish!A:A,use_fish!E:E),0),_xlfn.IFNA(LOOKUP(S14,use_fish!A:A,use_fish!E:E),0),_xlfn.IFNA(LOOKUP(T14,use_fish!A:A,use_fish!E:E),0),_xlfn.IFNA(LOOKUP(U14,use_fish!A:A,use_fish!E:E),0),_xlfn.IFNA(LOOKUP(V14,use_fish!A:A,use_fish!E:E),0),_xlfn.IFNA(LOOKUP(W14,use_fish!A:A,use_fish!E:E),0),)</f>
        <v>17</v>
      </c>
      <c r="I14" s="12">
        <f>SUM(_xlfn.IFNA(LOOKUP(Q14,use_fish!A:A,use_fish!I:I),0),_xlfn.IFNA(LOOKUP(R14,use_fish!A:A,use_fish!I:I),0),_xlfn.IFNA(LOOKUP(S14,use_fish!A:A,use_fish!I:I),0),_xlfn.IFNA(LOOKUP(T14,use_fish!A:A,use_fish!I:I),0),_xlfn.IFNA(LOOKUP(U14,use_fish!A:A,use_fish!I:I),0),_xlfn.IFNA(LOOKUP(V14,use_fish!A:A,use_fish!I:I),0),_xlfn.IFNA(LOOKUP(W14,use_fish!A:A,use_fish!I:I),0),)</f>
        <v>17</v>
      </c>
      <c r="J14" s="13">
        <f>SUM(_xlfn.IFNA(LOOKUP(Q14,use_fish!A:A,use_fish!K:K),0),_xlfn.IFNA(LOOKUP(R14,use_fish!A:A,use_fish!K:K),0),_xlfn.IFNA(LOOKUP(S14,use_fish!A:A,use_fish!K:K),0),_xlfn.IFNA(LOOKUP(T14,use_fish!A:A,use_fish!K:K),0),_xlfn.IFNA(LOOKUP(U14,use_fish!A:A,use_fish!K:K),0),_xlfn.IFNA(LOOKUP(V14,use_fish!A:A,use_fish!K:K),0),_xlfn.IFNA(LOOKUP(W14,use_fish!A:A,use_fish!K:K),0),)</f>
        <v>0</v>
      </c>
      <c r="L14" s="12" t="s">
        <v>115</v>
      </c>
      <c r="Q14" s="12">
        <v>5</v>
      </c>
      <c r="R14" s="12">
        <v>7</v>
      </c>
      <c r="S14" s="12">
        <v>5</v>
      </c>
    </row>
    <row r="15" spans="1:23" s="12" customFormat="1" x14ac:dyDescent="0.2">
      <c r="A15" s="12">
        <v>14</v>
      </c>
      <c r="B15" s="12">
        <v>3</v>
      </c>
      <c r="C15" s="12" t="s">
        <v>276</v>
      </c>
      <c r="H15" s="12">
        <f>SUM(_xlfn.IFNA(LOOKUP(Q15,use_fish!A:A,use_fish!E:E),0),_xlfn.IFNA(LOOKUP(R15,use_fish!A:A,use_fish!E:E),0),_xlfn.IFNA(LOOKUP(S15,use_fish!A:A,use_fish!E:E),0),_xlfn.IFNA(LOOKUP(T15,use_fish!A:A,use_fish!E:E),0),_xlfn.IFNA(LOOKUP(U15,use_fish!A:A,use_fish!E:E),0),_xlfn.IFNA(LOOKUP(V15,use_fish!A:A,use_fish!E:E),0),_xlfn.IFNA(LOOKUP(W15,use_fish!A:A,use_fish!E:E),0),)</f>
        <v>23</v>
      </c>
      <c r="I15" s="12">
        <f>SUM(_xlfn.IFNA(LOOKUP(Q15,use_fish!A:A,use_fish!I:I),0),_xlfn.IFNA(LOOKUP(R15,use_fish!A:A,use_fish!I:I),0),_xlfn.IFNA(LOOKUP(S15,use_fish!A:A,use_fish!I:I),0),_xlfn.IFNA(LOOKUP(T15,use_fish!A:A,use_fish!I:I),0),_xlfn.IFNA(LOOKUP(U15,use_fish!A:A,use_fish!I:I),0),_xlfn.IFNA(LOOKUP(V15,use_fish!A:A,use_fish!I:I),0),_xlfn.IFNA(LOOKUP(W15,use_fish!A:A,use_fish!I:I),0),)</f>
        <v>23</v>
      </c>
      <c r="J15" s="13">
        <f>SUM(_xlfn.IFNA(LOOKUP(Q15,use_fish!A:A,use_fish!K:K),0),_xlfn.IFNA(LOOKUP(R15,use_fish!A:A,use_fish!K:K),0),_xlfn.IFNA(LOOKUP(S15,use_fish!A:A,use_fish!K:K),0),_xlfn.IFNA(LOOKUP(T15,use_fish!A:A,use_fish!K:K),0),_xlfn.IFNA(LOOKUP(U15,use_fish!A:A,use_fish!K:K),0),_xlfn.IFNA(LOOKUP(V15,use_fish!A:A,use_fish!K:K),0),_xlfn.IFNA(LOOKUP(W15,use_fish!A:A,use_fish!K:K),0),)</f>
        <v>0</v>
      </c>
      <c r="L15" s="12" t="str">
        <f t="array" ref="L15">INDEX(use_fish!A:A,SMALL(IF(group!$L$2&amp;IF(ISBLANK($L$14),$L$14,"+"&amp;$L$14)=use_fish!H:H,ROW(use_fish!H:H),4^8),ROW(1:1)))&amp;""</f>
        <v/>
      </c>
      <c r="Q15" s="12">
        <v>8</v>
      </c>
      <c r="R15" s="12">
        <v>7</v>
      </c>
      <c r="S15" s="12">
        <v>8</v>
      </c>
    </row>
    <row r="16" spans="1:23" s="12" customFormat="1" x14ac:dyDescent="0.2">
      <c r="A16" s="12">
        <v>15</v>
      </c>
      <c r="B16" s="12">
        <v>3</v>
      </c>
      <c r="C16" s="12" t="s">
        <v>213</v>
      </c>
      <c r="H16" s="12">
        <f>SUM(_xlfn.IFNA(LOOKUP(Q16,use_fish!A:A,use_fish!E:E),0),_xlfn.IFNA(LOOKUP(R16,use_fish!A:A,use_fish!E:E),0),_xlfn.IFNA(LOOKUP(S16,use_fish!A:A,use_fish!E:E),0),_xlfn.IFNA(LOOKUP(T16,use_fish!A:A,use_fish!E:E),0),_xlfn.IFNA(LOOKUP(U16,use_fish!A:A,use_fish!E:E),0),_xlfn.IFNA(LOOKUP(V16,use_fish!A:A,use_fish!E:E),0),_xlfn.IFNA(LOOKUP(W16,use_fish!A:A,use_fish!E:E),0),)</f>
        <v>24</v>
      </c>
      <c r="I16" s="12">
        <f>SUM(_xlfn.IFNA(LOOKUP(Q16,use_fish!A:A,use_fish!I:I),0),_xlfn.IFNA(LOOKUP(R16,use_fish!A:A,use_fish!I:I),0),_xlfn.IFNA(LOOKUP(S16,use_fish!A:A,use_fish!I:I),0),_xlfn.IFNA(LOOKUP(T16,use_fish!A:A,use_fish!I:I),0),_xlfn.IFNA(LOOKUP(U16,use_fish!A:A,use_fish!I:I),0),_xlfn.IFNA(LOOKUP(V16,use_fish!A:A,use_fish!I:I),0),_xlfn.IFNA(LOOKUP(W16,use_fish!A:A,use_fish!I:I),0),)</f>
        <v>24</v>
      </c>
      <c r="J16" s="13">
        <f>SUM(_xlfn.IFNA(LOOKUP(Q16,use_fish!A:A,use_fish!K:K),0),_xlfn.IFNA(LOOKUP(R16,use_fish!A:A,use_fish!K:K),0),_xlfn.IFNA(LOOKUP(S16,use_fish!A:A,use_fish!K:K),0),_xlfn.IFNA(LOOKUP(T16,use_fish!A:A,use_fish!K:K),0),_xlfn.IFNA(LOOKUP(U16,use_fish!A:A,use_fish!K:K),0),_xlfn.IFNA(LOOKUP(V16,use_fish!A:A,use_fish!K:K),0),_xlfn.IFNA(LOOKUP(W16,use_fish!A:A,use_fish!K:K),0),)</f>
        <v>0</v>
      </c>
      <c r="L16" s="12" t="str">
        <f t="array" ref="L16">INDEX(use_fish!A:A,SMALL(IF(group!$L$2&amp;IF(ISBLANK($L$14),$L$14,"+"&amp;$L$14)=use_fish!H:H,ROW(use_fish!H:H),4^8),ROW(2:2)))&amp;""</f>
        <v/>
      </c>
      <c r="Q16" s="12">
        <v>7</v>
      </c>
      <c r="R16" s="12">
        <v>9</v>
      </c>
      <c r="S16" s="12">
        <v>7</v>
      </c>
    </row>
    <row r="17" spans="1:20" s="12" customFormat="1" x14ac:dyDescent="0.2">
      <c r="A17" s="12">
        <v>16</v>
      </c>
      <c r="B17" s="12">
        <v>3</v>
      </c>
      <c r="C17" s="12" t="s">
        <v>214</v>
      </c>
      <c r="H17" s="12">
        <f>SUM(_xlfn.IFNA(LOOKUP(Q17,use_fish!A:A,use_fish!E:E),0),_xlfn.IFNA(LOOKUP(R17,use_fish!A:A,use_fish!E:E),0),_xlfn.IFNA(LOOKUP(S17,use_fish!A:A,use_fish!E:E),0),_xlfn.IFNA(LOOKUP(T17,use_fish!A:A,use_fish!E:E),0),_xlfn.IFNA(LOOKUP(U17,use_fish!A:A,use_fish!E:E),0),_xlfn.IFNA(LOOKUP(V17,use_fish!A:A,use_fish!E:E),0),_xlfn.IFNA(LOOKUP(W17,use_fish!A:A,use_fish!E:E),0),)</f>
        <v>38</v>
      </c>
      <c r="I17" s="12">
        <f>SUM(_xlfn.IFNA(LOOKUP(Q17,use_fish!A:A,use_fish!I:I),0),_xlfn.IFNA(LOOKUP(R17,use_fish!A:A,use_fish!I:I),0),_xlfn.IFNA(LOOKUP(S17,use_fish!A:A,use_fish!I:I),0),_xlfn.IFNA(LOOKUP(T17,use_fish!A:A,use_fish!I:I),0),_xlfn.IFNA(LOOKUP(U17,use_fish!A:A,use_fish!I:I),0),_xlfn.IFNA(LOOKUP(V17,use_fish!A:A,use_fish!I:I),0),_xlfn.IFNA(LOOKUP(W17,use_fish!A:A,use_fish!I:I),0),)</f>
        <v>38</v>
      </c>
      <c r="J17" s="13">
        <f>SUM(_xlfn.IFNA(LOOKUP(Q17,use_fish!A:A,use_fish!K:K),0),_xlfn.IFNA(LOOKUP(R17,use_fish!A:A,use_fish!K:K),0),_xlfn.IFNA(LOOKUP(S17,use_fish!A:A,use_fish!K:K),0),_xlfn.IFNA(LOOKUP(T17,use_fish!A:A,use_fish!K:K),0),_xlfn.IFNA(LOOKUP(U17,use_fish!A:A,use_fish!K:K),0),_xlfn.IFNA(LOOKUP(V17,use_fish!A:A,use_fish!K:K),0),_xlfn.IFNA(LOOKUP(W17,use_fish!A:A,use_fish!K:K),0),)</f>
        <v>0</v>
      </c>
      <c r="K17" s="12" t="str">
        <f t="array" ref="K17">INDEX(use_fish!A:A,SMALL(IF(group!$L$2&amp;IF(ISBLANK($L$14),$L$14,"+"&amp;$L$14)=use_fish!H:H,ROW(use_fish!H:H),4^8),ROW(14:14)))&amp;""</f>
        <v/>
      </c>
      <c r="Q17" s="12">
        <v>9</v>
      </c>
      <c r="R17" s="12">
        <v>12</v>
      </c>
      <c r="S17" s="12">
        <v>9</v>
      </c>
    </row>
    <row r="18" spans="1:20" s="12" customFormat="1" x14ac:dyDescent="0.2">
      <c r="A18" s="12">
        <v>17</v>
      </c>
      <c r="B18" s="12">
        <v>3</v>
      </c>
      <c r="C18" s="12" t="s">
        <v>215</v>
      </c>
      <c r="H18" s="12">
        <f>SUM(_xlfn.IFNA(LOOKUP(Q18,use_fish!A:A,use_fish!E:E),0),_xlfn.IFNA(LOOKUP(R18,use_fish!A:A,use_fish!E:E),0),_xlfn.IFNA(LOOKUP(S18,use_fish!A:A,use_fish!E:E),0),_xlfn.IFNA(LOOKUP(T18,use_fish!A:A,use_fish!E:E),0),_xlfn.IFNA(LOOKUP(U18,use_fish!A:A,use_fish!E:E),0),_xlfn.IFNA(LOOKUP(V18,use_fish!A:A,use_fish!E:E),0),_xlfn.IFNA(LOOKUP(W18,use_fish!A:A,use_fish!E:E),0),)</f>
        <v>18</v>
      </c>
      <c r="I18" s="12">
        <f>SUM(_xlfn.IFNA(LOOKUP(Q18,use_fish!A:A,use_fish!I:I),0),_xlfn.IFNA(LOOKUP(R18,use_fish!A:A,use_fish!I:I),0),_xlfn.IFNA(LOOKUP(S18,use_fish!A:A,use_fish!I:I),0),_xlfn.IFNA(LOOKUP(T18,use_fish!A:A,use_fish!I:I),0),_xlfn.IFNA(LOOKUP(U18,use_fish!A:A,use_fish!I:I),0),_xlfn.IFNA(LOOKUP(V18,use_fish!A:A,use_fish!I:I),0),_xlfn.IFNA(LOOKUP(W18,use_fish!A:A,use_fish!I:I),0),)</f>
        <v>18</v>
      </c>
      <c r="J18" s="13">
        <f>SUM(_xlfn.IFNA(LOOKUP(Q18,use_fish!A:A,use_fish!K:K),0),_xlfn.IFNA(LOOKUP(R18,use_fish!A:A,use_fish!K:K),0),_xlfn.IFNA(LOOKUP(S18,use_fish!A:A,use_fish!K:K),0),_xlfn.IFNA(LOOKUP(T18,use_fish!A:A,use_fish!K:K),0),_xlfn.IFNA(LOOKUP(U18,use_fish!A:A,use_fish!K:K),0),_xlfn.IFNA(LOOKUP(V18,use_fish!A:A,use_fish!K:K),0),_xlfn.IFNA(LOOKUP(W18,use_fish!A:A,use_fish!K:K),0),)</f>
        <v>0</v>
      </c>
      <c r="K18" s="12" t="str">
        <f t="array" ref="K18">INDEX(use_fish!A:A,SMALL(IF(group!$L$2&amp;IF(ISBLANK($L$14),$L$14,"+"&amp;$L$14)=use_fish!H:H,ROW(use_fish!H:H),4^8),ROW(15:15)))&amp;""</f>
        <v/>
      </c>
      <c r="Q18" s="12">
        <v>4</v>
      </c>
      <c r="R18" s="12">
        <v>9</v>
      </c>
      <c r="S18" s="12">
        <v>4</v>
      </c>
    </row>
    <row r="19" spans="1:20" s="41" customFormat="1" x14ac:dyDescent="0.2">
      <c r="A19" s="41">
        <v>18</v>
      </c>
      <c r="B19" s="41">
        <v>4</v>
      </c>
      <c r="C19" s="41" t="s">
        <v>286</v>
      </c>
      <c r="G19" s="41" t="s">
        <v>190</v>
      </c>
      <c r="H19" s="41">
        <f>SUM(_xlfn.IFNA(LOOKUP(Q19,use_fish!A:A,use_fish!E:E),0),_xlfn.IFNA(LOOKUP(R19,use_fish!A:A,use_fish!E:E),0),_xlfn.IFNA(LOOKUP(S19,use_fish!A:A,use_fish!E:E),0),_xlfn.IFNA(LOOKUP(T19,use_fish!A:A,use_fish!E:E),0),_xlfn.IFNA(LOOKUP(U19,use_fish!A:A,use_fish!E:E),0),_xlfn.IFNA(LOOKUP(V19,use_fish!A:A,use_fish!E:E),0),_xlfn.IFNA(LOOKUP(W19,use_fish!A:A,use_fish!E:E),0),)</f>
        <v>50</v>
      </c>
      <c r="I19" s="41">
        <f>SUM(_xlfn.IFNA(LOOKUP(Q19,use_fish!A:A,use_fish!I:I),0),_xlfn.IFNA(LOOKUP(R19,use_fish!A:A,use_fish!I:I),0),_xlfn.IFNA(LOOKUP(S19,use_fish!A:A,use_fish!I:I),0),_xlfn.IFNA(LOOKUP(T19,use_fish!A:A,use_fish!I:I),0),_xlfn.IFNA(LOOKUP(U19,use_fish!A:A,use_fish!I:I),0),_xlfn.IFNA(LOOKUP(V19,use_fish!A:A,use_fish!I:I),0),_xlfn.IFNA(LOOKUP(W19,use_fish!A:A,use_fish!I:I),0),)</f>
        <v>50</v>
      </c>
      <c r="J19" s="39">
        <f>SUM(_xlfn.IFNA(LOOKUP(Q19,use_fish!A:A,use_fish!K:K),0),_xlfn.IFNA(LOOKUP(R19,use_fish!A:A,use_fish!K:K),0),_xlfn.IFNA(LOOKUP(S19,use_fish!A:A,use_fish!K:K),0),_xlfn.IFNA(LOOKUP(T19,use_fish!A:A,use_fish!K:K),0),_xlfn.IFNA(LOOKUP(U19,use_fish!A:A,use_fish!K:K),0),_xlfn.IFNA(LOOKUP(V19,use_fish!A:A,use_fish!K:K),0),_xlfn.IFNA(LOOKUP(W19,use_fish!A:A,use_fish!K:K),0),)</f>
        <v>0</v>
      </c>
      <c r="Q19" s="41">
        <v>3</v>
      </c>
      <c r="R19" s="41">
        <v>7</v>
      </c>
      <c r="S19" s="41">
        <v>17</v>
      </c>
    </row>
    <row r="20" spans="1:20" s="41" customFormat="1" x14ac:dyDescent="0.2">
      <c r="A20" s="41">
        <v>19</v>
      </c>
      <c r="B20" s="41">
        <v>4</v>
      </c>
      <c r="C20" s="41" t="s">
        <v>285</v>
      </c>
      <c r="G20" s="41" t="s">
        <v>191</v>
      </c>
      <c r="H20" s="41">
        <f>SUM(_xlfn.IFNA(LOOKUP(Q20,use_fish!A:A,use_fish!E:E),0),_xlfn.IFNA(LOOKUP(R20,use_fish!A:A,use_fish!E:E),0),_xlfn.IFNA(LOOKUP(S20,use_fish!A:A,use_fish!E:E),0),_xlfn.IFNA(LOOKUP(T20,use_fish!A:A,use_fish!E:E),0),_xlfn.IFNA(LOOKUP(U20,use_fish!A:A,use_fish!E:E),0),_xlfn.IFNA(LOOKUP(V20,use_fish!A:A,use_fish!E:E),0),_xlfn.IFNA(LOOKUP(W20,use_fish!A:A,use_fish!E:E),0),)</f>
        <v>69</v>
      </c>
      <c r="I20" s="41">
        <f>SUM(_xlfn.IFNA(LOOKUP(Q20,use_fish!A:A,use_fish!I:I),0),_xlfn.IFNA(LOOKUP(R20,use_fish!A:A,use_fish!I:I),0),_xlfn.IFNA(LOOKUP(S20,use_fish!A:A,use_fish!I:I),0),_xlfn.IFNA(LOOKUP(T20,use_fish!A:A,use_fish!I:I),0),_xlfn.IFNA(LOOKUP(U20,use_fish!A:A,use_fish!I:I),0),_xlfn.IFNA(LOOKUP(V20,use_fish!A:A,use_fish!I:I),0),_xlfn.IFNA(LOOKUP(W20,use_fish!A:A,use_fish!I:I),0),)</f>
        <v>69</v>
      </c>
      <c r="J20" s="39">
        <f>SUM(_xlfn.IFNA(LOOKUP(Q20,use_fish!A:A,use_fish!K:K),0),_xlfn.IFNA(LOOKUP(R20,use_fish!A:A,use_fish!K:K),0),_xlfn.IFNA(LOOKUP(S20,use_fish!A:A,use_fish!K:K),0),_xlfn.IFNA(LOOKUP(T20,use_fish!A:A,use_fish!K:K),0),_xlfn.IFNA(LOOKUP(U20,use_fish!A:A,use_fish!K:K),0),_xlfn.IFNA(LOOKUP(V20,use_fish!A:A,use_fish!K:K),0),_xlfn.IFNA(LOOKUP(W20,use_fish!A:A,use_fish!K:K),0),)</f>
        <v>0</v>
      </c>
      <c r="Q20" s="41">
        <v>4</v>
      </c>
      <c r="R20" s="41">
        <v>5</v>
      </c>
      <c r="S20" s="41">
        <v>18</v>
      </c>
    </row>
    <row r="21" spans="1:20" s="41" customFormat="1" x14ac:dyDescent="0.2">
      <c r="A21" s="41">
        <v>20</v>
      </c>
      <c r="B21" s="41">
        <v>4</v>
      </c>
      <c r="C21" s="41" t="s">
        <v>284</v>
      </c>
      <c r="G21" s="41" t="s">
        <v>189</v>
      </c>
      <c r="H21" s="41">
        <f>SUM(_xlfn.IFNA(LOOKUP(Q21,use_fish!A:A,use_fish!E:E),0),_xlfn.IFNA(LOOKUP(R21,use_fish!A:A,use_fish!E:E),0),_xlfn.IFNA(LOOKUP(S21,use_fish!A:A,use_fish!E:E),0),_xlfn.IFNA(LOOKUP(T21,use_fish!A:A,use_fish!E:E),0),_xlfn.IFNA(LOOKUP(U21,use_fish!A:A,use_fish!E:E),0),_xlfn.IFNA(LOOKUP(V21,use_fish!A:A,use_fish!E:E),0),_xlfn.IFNA(LOOKUP(W21,use_fish!A:A,use_fish!E:E),0),)</f>
        <v>73</v>
      </c>
      <c r="I21" s="41">
        <f>SUM(_xlfn.IFNA(LOOKUP(Q21,use_fish!A:A,use_fish!I:I),0),_xlfn.IFNA(LOOKUP(R21,use_fish!A:A,use_fish!I:I),0),_xlfn.IFNA(LOOKUP(S21,use_fish!A:A,use_fish!I:I),0),_xlfn.IFNA(LOOKUP(T21,use_fish!A:A,use_fish!I:I),0),_xlfn.IFNA(LOOKUP(U21,use_fish!A:A,use_fish!I:I),0),_xlfn.IFNA(LOOKUP(V21,use_fish!A:A,use_fish!I:I),0),_xlfn.IFNA(LOOKUP(W21,use_fish!A:A,use_fish!I:I),0),)</f>
        <v>73</v>
      </c>
      <c r="J21" s="39">
        <f>SUM(_xlfn.IFNA(LOOKUP(Q21,use_fish!A:A,use_fish!K:K),0),_xlfn.IFNA(LOOKUP(R21,use_fish!A:A,use_fish!K:K),0),_xlfn.IFNA(LOOKUP(S21,use_fish!A:A,use_fish!K:K),0),_xlfn.IFNA(LOOKUP(T21,use_fish!A:A,use_fish!K:K),0),_xlfn.IFNA(LOOKUP(U21,use_fish!A:A,use_fish!K:K),0),_xlfn.IFNA(LOOKUP(V21,use_fish!A:A,use_fish!K:K),0),_xlfn.IFNA(LOOKUP(W21,use_fish!A:A,use_fish!K:K),0),)</f>
        <v>0</v>
      </c>
      <c r="Q21" s="41">
        <v>5</v>
      </c>
      <c r="R21" s="41">
        <v>8</v>
      </c>
      <c r="S21" s="41">
        <v>18</v>
      </c>
    </row>
    <row r="22" spans="1:20" s="41" customFormat="1" x14ac:dyDescent="0.2">
      <c r="A22" s="41">
        <v>21</v>
      </c>
      <c r="B22" s="41">
        <v>4</v>
      </c>
      <c r="C22" s="41" t="s">
        <v>283</v>
      </c>
      <c r="G22" s="41" t="s">
        <v>230</v>
      </c>
      <c r="H22" s="41">
        <f>SUM(_xlfn.IFNA(LOOKUP(Q22,use_fish!A:A,use_fish!E:E),0),_xlfn.IFNA(LOOKUP(R22,use_fish!A:A,use_fish!E:E),0),_xlfn.IFNA(LOOKUP(S22,use_fish!A:A,use_fish!E:E),0),_xlfn.IFNA(LOOKUP(T22,use_fish!A:A,use_fish!E:E),0),_xlfn.IFNA(LOOKUP(U22,use_fish!A:A,use_fish!E:E),0),_xlfn.IFNA(LOOKUP(V22,use_fish!A:A,use_fish!E:E),0),_xlfn.IFNA(LOOKUP(W22,use_fish!A:A,use_fish!E:E),0),)</f>
        <v>78</v>
      </c>
      <c r="I22" s="41">
        <f>SUM(_xlfn.IFNA(LOOKUP(Q22,use_fish!A:A,use_fish!I:I),0),_xlfn.IFNA(LOOKUP(R22,use_fish!A:A,use_fish!I:I),0),_xlfn.IFNA(LOOKUP(S22,use_fish!A:A,use_fish!I:I),0),_xlfn.IFNA(LOOKUP(T22,use_fish!A:A,use_fish!I:I),0),_xlfn.IFNA(LOOKUP(U22,use_fish!A:A,use_fish!I:I),0),_xlfn.IFNA(LOOKUP(V22,use_fish!A:A,use_fish!I:I),0),_xlfn.IFNA(LOOKUP(W22,use_fish!A:A,use_fish!I:I),0),)</f>
        <v>78</v>
      </c>
      <c r="J22" s="39">
        <f>SUM(_xlfn.IFNA(LOOKUP(Q22,use_fish!A:A,use_fish!K:K),0),_xlfn.IFNA(LOOKUP(R22,use_fish!A:A,use_fish!K:K),0),_xlfn.IFNA(LOOKUP(S22,use_fish!A:A,use_fish!K:K),0),_xlfn.IFNA(LOOKUP(T22,use_fish!A:A,use_fish!K:K),0),_xlfn.IFNA(LOOKUP(U22,use_fish!A:A,use_fish!K:K),0),_xlfn.IFNA(LOOKUP(V22,use_fish!A:A,use_fish!K:K),0),_xlfn.IFNA(LOOKUP(W22,use_fish!A:A,use_fish!K:K),0),)</f>
        <v>0</v>
      </c>
      <c r="Q22" s="41">
        <v>12</v>
      </c>
      <c r="R22" s="41">
        <v>13</v>
      </c>
      <c r="S22" s="41">
        <v>17</v>
      </c>
    </row>
    <row r="23" spans="1:20" s="21" customFormat="1" x14ac:dyDescent="0.2">
      <c r="A23" s="21">
        <v>22</v>
      </c>
      <c r="B23" s="21">
        <v>4</v>
      </c>
      <c r="C23" s="21" t="s">
        <v>287</v>
      </c>
      <c r="G23" s="21" t="s">
        <v>291</v>
      </c>
      <c r="H23" s="21">
        <f>SUM(_xlfn.IFNA(LOOKUP(Q23,use_fish!A:A,use_fish!E:E),0),_xlfn.IFNA(LOOKUP(R23,use_fish!A:A,use_fish!E:E),0),_xlfn.IFNA(LOOKUP(S23,use_fish!A:A,use_fish!E:E),0),_xlfn.IFNA(LOOKUP(T23,use_fish!A:A,use_fish!E:E),0),_xlfn.IFNA(LOOKUP(U23,use_fish!A:A,use_fish!E:E),0),_xlfn.IFNA(LOOKUP(V23,use_fish!A:A,use_fish!E:E),0),_xlfn.IFNA(LOOKUP(W23,use_fish!A:A,use_fish!E:E),0),)</f>
        <v>141</v>
      </c>
      <c r="I23" s="21">
        <f>SUM(_xlfn.IFNA(LOOKUP(Q23,use_fish!A:A,use_fish!I:I),0),_xlfn.IFNA(LOOKUP(R23,use_fish!A:A,use_fish!I:I),0),_xlfn.IFNA(LOOKUP(S23,use_fish!A:A,use_fish!I:I),0),_xlfn.IFNA(LOOKUP(T23,use_fish!A:A,use_fish!I:I),0),_xlfn.IFNA(LOOKUP(U23,use_fish!A:A,use_fish!I:I),0),_xlfn.IFNA(LOOKUP(V23,use_fish!A:A,use_fish!I:I),0),_xlfn.IFNA(LOOKUP(W23,use_fish!A:A,use_fish!I:I),0),)</f>
        <v>138</v>
      </c>
      <c r="J23" s="19">
        <f>SUM(_xlfn.IFNA(LOOKUP(Q23,use_fish!A:A,use_fish!K:K),0),_xlfn.IFNA(LOOKUP(R23,use_fish!A:A,use_fish!K:K),0),_xlfn.IFNA(LOOKUP(S23,use_fish!A:A,use_fish!K:K),0),_xlfn.IFNA(LOOKUP(T23,use_fish!A:A,use_fish!K:K),0),_xlfn.IFNA(LOOKUP(U23,use_fish!A:A,use_fish!K:K),0),_xlfn.IFNA(LOOKUP(V23,use_fish!A:A,use_fish!K:K),0),_xlfn.IFNA(LOOKUP(W23,use_fish!A:A,use_fish!K:K),0),)</f>
        <v>0</v>
      </c>
      <c r="Q23" s="21">
        <v>12</v>
      </c>
      <c r="R23" s="21">
        <v>14</v>
      </c>
      <c r="S23" s="21">
        <v>16</v>
      </c>
      <c r="T23" s="21">
        <v>20</v>
      </c>
    </row>
    <row r="24" spans="1:20" s="21" customFormat="1" x14ac:dyDescent="0.2">
      <c r="A24" s="21">
        <v>23</v>
      </c>
      <c r="B24" s="21">
        <v>4</v>
      </c>
      <c r="C24" s="21" t="s">
        <v>288</v>
      </c>
      <c r="G24" s="21" t="s">
        <v>192</v>
      </c>
      <c r="H24" s="21">
        <f>SUM(_xlfn.IFNA(LOOKUP(Q24,use_fish!A:A,use_fish!E:E),0),_xlfn.IFNA(LOOKUP(R24,use_fish!A:A,use_fish!E:E),0),_xlfn.IFNA(LOOKUP(S24,use_fish!A:A,use_fish!E:E),0),_xlfn.IFNA(LOOKUP(T24,use_fish!A:A,use_fish!E:E),0),_xlfn.IFNA(LOOKUP(U24,use_fish!A:A,use_fish!E:E),0),_xlfn.IFNA(LOOKUP(V24,use_fish!A:A,use_fish!E:E),0),_xlfn.IFNA(LOOKUP(W24,use_fish!A:A,use_fish!E:E),0),)</f>
        <v>163</v>
      </c>
      <c r="I24" s="21">
        <f>SUM(_xlfn.IFNA(LOOKUP(Q24,use_fish!A:A,use_fish!I:I),0),_xlfn.IFNA(LOOKUP(R24,use_fish!A:A,use_fish!I:I),0),_xlfn.IFNA(LOOKUP(S24,use_fish!A:A,use_fish!I:I),0),_xlfn.IFNA(LOOKUP(T24,use_fish!A:A,use_fish!I:I),0),_xlfn.IFNA(LOOKUP(U24,use_fish!A:A,use_fish!I:I),0),_xlfn.IFNA(LOOKUP(V24,use_fish!A:A,use_fish!I:I),0),_xlfn.IFNA(LOOKUP(W24,use_fish!A:A,use_fish!I:I),0),)</f>
        <v>118</v>
      </c>
      <c r="J24" s="19">
        <f>SUM(_xlfn.IFNA(LOOKUP(Q24,use_fish!A:A,use_fish!K:K),0),_xlfn.IFNA(LOOKUP(R24,use_fish!A:A,use_fish!K:K),0),_xlfn.IFNA(LOOKUP(S24,use_fish!A:A,use_fish!K:K),0),_xlfn.IFNA(LOOKUP(T24,use_fish!A:A,use_fish!K:K),0),_xlfn.IFNA(LOOKUP(U24,use_fish!A:A,use_fish!K:K),0),_xlfn.IFNA(LOOKUP(V24,use_fish!A:A,use_fish!K:K),0),_xlfn.IFNA(LOOKUP(W24,use_fish!A:A,use_fish!K:K),0),)</f>
        <v>0</v>
      </c>
      <c r="Q24" s="21">
        <v>13</v>
      </c>
      <c r="R24" s="21">
        <v>8</v>
      </c>
      <c r="S24" s="21">
        <v>15</v>
      </c>
      <c r="T24" s="21">
        <v>23</v>
      </c>
    </row>
    <row r="25" spans="1:20" s="21" customFormat="1" x14ac:dyDescent="0.2">
      <c r="A25" s="21">
        <v>24</v>
      </c>
      <c r="B25" s="21">
        <v>4</v>
      </c>
      <c r="C25" s="21" t="s">
        <v>289</v>
      </c>
      <c r="G25" s="21" t="s">
        <v>193</v>
      </c>
      <c r="H25" s="21">
        <f>SUM(_xlfn.IFNA(LOOKUP(Q25,use_fish!A:A,use_fish!E:E),0),_xlfn.IFNA(LOOKUP(R25,use_fish!A:A,use_fish!E:E),0),_xlfn.IFNA(LOOKUP(S25,use_fish!A:A,use_fish!E:E),0),_xlfn.IFNA(LOOKUP(T25,use_fish!A:A,use_fish!E:E),0),_xlfn.IFNA(LOOKUP(U25,use_fish!A:A,use_fish!E:E),0),_xlfn.IFNA(LOOKUP(V25,use_fish!A:A,use_fish!E:E),0),_xlfn.IFNA(LOOKUP(W25,use_fish!A:A,use_fish!E:E),0),)</f>
        <v>190</v>
      </c>
      <c r="I25" s="21">
        <f>SUM(_xlfn.IFNA(LOOKUP(Q25,use_fish!A:A,use_fish!I:I),0),_xlfn.IFNA(LOOKUP(R25,use_fish!A:A,use_fish!I:I),0),_xlfn.IFNA(LOOKUP(S25,use_fish!A:A,use_fish!I:I),0),_xlfn.IFNA(LOOKUP(T25,use_fish!A:A,use_fish!I:I),0),_xlfn.IFNA(LOOKUP(U25,use_fish!A:A,use_fish!I:I),0),_xlfn.IFNA(LOOKUP(V25,use_fish!A:A,use_fish!I:I),0),_xlfn.IFNA(LOOKUP(W25,use_fish!A:A,use_fish!I:I),0),)</f>
        <v>185</v>
      </c>
      <c r="J25" s="19">
        <f>SUM(_xlfn.IFNA(LOOKUP(Q25,use_fish!A:A,use_fish!K:K),0),_xlfn.IFNA(LOOKUP(R25,use_fish!A:A,use_fish!K:K),0),_xlfn.IFNA(LOOKUP(S25,use_fish!A:A,use_fish!K:K),0),_xlfn.IFNA(LOOKUP(T25,use_fish!A:A,use_fish!K:K),0),_xlfn.IFNA(LOOKUP(U25,use_fish!A:A,use_fish!K:K),0),_xlfn.IFNA(LOOKUP(V25,use_fish!A:A,use_fish!K:K),0),_xlfn.IFNA(LOOKUP(W25,use_fish!A:A,use_fish!K:K),0),)</f>
        <v>0</v>
      </c>
      <c r="Q25" s="21">
        <v>13</v>
      </c>
      <c r="R25" s="21">
        <v>14</v>
      </c>
      <c r="S25" s="21">
        <v>17</v>
      </c>
      <c r="T25" s="21">
        <v>26</v>
      </c>
    </row>
    <row r="26" spans="1:20" s="21" customFormat="1" x14ac:dyDescent="0.2">
      <c r="A26" s="21">
        <v>25</v>
      </c>
      <c r="B26" s="21">
        <v>4</v>
      </c>
      <c r="C26" s="21" t="s">
        <v>290</v>
      </c>
      <c r="G26" s="21" t="s">
        <v>193</v>
      </c>
      <c r="H26" s="21">
        <f>SUM(_xlfn.IFNA(LOOKUP(Q26,use_fish!A:A,use_fish!E:E),0),_xlfn.IFNA(LOOKUP(R26,use_fish!A:A,use_fish!E:E),0),_xlfn.IFNA(LOOKUP(S26,use_fish!A:A,use_fish!E:E),0),_xlfn.IFNA(LOOKUP(T26,use_fish!A:A,use_fish!E:E),0),_xlfn.IFNA(LOOKUP(U26,use_fish!A:A,use_fish!E:E),0),_xlfn.IFNA(LOOKUP(V26,use_fish!A:A,use_fish!E:E),0),_xlfn.IFNA(LOOKUP(W26,use_fish!A:A,use_fish!E:E),0),)</f>
        <v>230</v>
      </c>
      <c r="I26" s="21">
        <f>SUM(_xlfn.IFNA(LOOKUP(Q26,use_fish!A:A,use_fish!I:I),0),_xlfn.IFNA(LOOKUP(R26,use_fish!A:A,use_fish!I:I),0),_xlfn.IFNA(LOOKUP(S26,use_fish!A:A,use_fish!I:I),0),_xlfn.IFNA(LOOKUP(T26,use_fish!A:A,use_fish!I:I),0),_xlfn.IFNA(LOOKUP(U26,use_fish!A:A,use_fish!I:I),0),_xlfn.IFNA(LOOKUP(V26,use_fish!A:A,use_fish!I:I),0),_xlfn.IFNA(LOOKUP(W26,use_fish!A:A,use_fish!I:I),0),)</f>
        <v>225</v>
      </c>
      <c r="J26" s="19">
        <f>SUM(_xlfn.IFNA(LOOKUP(Q26,use_fish!A:A,use_fish!K:K),0),_xlfn.IFNA(LOOKUP(R26,use_fish!A:A,use_fish!K:K),0),_xlfn.IFNA(LOOKUP(S26,use_fish!A:A,use_fish!K:K),0),_xlfn.IFNA(LOOKUP(T26,use_fish!A:A,use_fish!K:K),0),_xlfn.IFNA(LOOKUP(U26,use_fish!A:A,use_fish!K:K),0),_xlfn.IFNA(LOOKUP(V26,use_fish!A:A,use_fish!K:K),0),_xlfn.IFNA(LOOKUP(W26,use_fish!A:A,use_fish!K:K),0),)</f>
        <v>0</v>
      </c>
      <c r="Q26" s="21">
        <v>15</v>
      </c>
      <c r="R26" s="21">
        <v>16</v>
      </c>
      <c r="S26" s="21">
        <v>18</v>
      </c>
      <c r="T26" s="21">
        <v>27</v>
      </c>
    </row>
    <row r="27" spans="1:20" s="41" customFormat="1" x14ac:dyDescent="0.2">
      <c r="A27" s="41">
        <v>26</v>
      </c>
      <c r="B27" s="41">
        <v>2</v>
      </c>
      <c r="C27" s="41" t="s">
        <v>399</v>
      </c>
      <c r="G27" s="41" t="s">
        <v>295</v>
      </c>
      <c r="H27" s="41">
        <f>SUM(_xlfn.IFNA(LOOKUP(Q27,use_fish!A:A,use_fish!E:E),0),_xlfn.IFNA(LOOKUP(R27,use_fish!A:A,use_fish!E:E),0),_xlfn.IFNA(LOOKUP(S27,use_fish!A:A,use_fish!E:E),0),_xlfn.IFNA(LOOKUP(T27,use_fish!A:A,use_fish!E:E),0),_xlfn.IFNA(LOOKUP(U27,use_fish!A:A,use_fish!E:E),0),_xlfn.IFNA(LOOKUP(V27,use_fish!A:A,use_fish!E:E),0),_xlfn.IFNA(LOOKUP(W27,use_fish!A:A,use_fish!E:E),0),)</f>
        <v>18</v>
      </c>
      <c r="I27" s="41">
        <f>SUM(_xlfn.IFNA(LOOKUP(Q27,use_fish!A:A,use_fish!I:I),0),_xlfn.IFNA(LOOKUP(R27,use_fish!A:A,use_fish!I:I),0),_xlfn.IFNA(LOOKUP(S27,use_fish!A:A,use_fish!I:I),0),_xlfn.IFNA(LOOKUP(T27,use_fish!A:A,use_fish!I:I),0),_xlfn.IFNA(LOOKUP(U27,use_fish!A:A,use_fish!I:I),0),_xlfn.IFNA(LOOKUP(V27,use_fish!A:A,use_fish!I:I),0),_xlfn.IFNA(LOOKUP(W27,use_fish!A:A,use_fish!I:I),0),)</f>
        <v>18</v>
      </c>
      <c r="J27" s="39">
        <f>SUM(_xlfn.IFNA(LOOKUP(Q27,use_fish!A:A,use_fish!K:K),0),_xlfn.IFNA(LOOKUP(R27,use_fish!A:A,use_fish!K:K),0),_xlfn.IFNA(LOOKUP(S27,use_fish!A:A,use_fish!K:K),0),_xlfn.IFNA(LOOKUP(T27,use_fish!A:A,use_fish!K:K),0),_xlfn.IFNA(LOOKUP(U27,use_fish!A:A,use_fish!K:K),0),_xlfn.IFNA(LOOKUP(V27,use_fish!A:A,use_fish!K:K),0),_xlfn.IFNA(LOOKUP(W27,use_fish!A:A,use_fish!K:K),0),)</f>
        <v>0</v>
      </c>
      <c r="Q27" s="41">
        <v>12</v>
      </c>
    </row>
    <row r="28" spans="1:20" s="41" customFormat="1" x14ac:dyDescent="0.2">
      <c r="A28" s="41">
        <v>27</v>
      </c>
      <c r="B28" s="41">
        <v>2</v>
      </c>
      <c r="C28" s="41" t="s">
        <v>294</v>
      </c>
      <c r="G28" s="41" t="s">
        <v>298</v>
      </c>
      <c r="H28" s="41">
        <f>SUM(_xlfn.IFNA(LOOKUP(Q28,use_fish!A:A,use_fish!E:E),0),_xlfn.IFNA(LOOKUP(R28,use_fish!A:A,use_fish!E:E),0),_xlfn.IFNA(LOOKUP(S28,use_fish!A:A,use_fish!E:E),0),_xlfn.IFNA(LOOKUP(T28,use_fish!A:A,use_fish!E:E),0),_xlfn.IFNA(LOOKUP(U28,use_fish!A:A,use_fish!E:E),0),_xlfn.IFNA(LOOKUP(V28,use_fish!A:A,use_fish!E:E),0),_xlfn.IFNA(LOOKUP(W28,use_fish!A:A,use_fish!E:E),0),)</f>
        <v>20</v>
      </c>
      <c r="I28" s="41">
        <f>SUM(_xlfn.IFNA(LOOKUP(Q28,use_fish!A:A,use_fish!I:I),0),_xlfn.IFNA(LOOKUP(R28,use_fish!A:A,use_fish!I:I),0),_xlfn.IFNA(LOOKUP(S28,use_fish!A:A,use_fish!I:I),0),_xlfn.IFNA(LOOKUP(T28,use_fish!A:A,use_fish!I:I),0),_xlfn.IFNA(LOOKUP(U28,use_fish!A:A,use_fish!I:I),0),_xlfn.IFNA(LOOKUP(V28,use_fish!A:A,use_fish!I:I),0),_xlfn.IFNA(LOOKUP(W28,use_fish!A:A,use_fish!I:I),0),)</f>
        <v>20</v>
      </c>
      <c r="J28" s="39">
        <f>SUM(_xlfn.IFNA(LOOKUP(Q28,use_fish!A:A,use_fish!K:K),0),_xlfn.IFNA(LOOKUP(R28,use_fish!A:A,use_fish!K:K),0),_xlfn.IFNA(LOOKUP(S28,use_fish!A:A,use_fish!K:K),0),_xlfn.IFNA(LOOKUP(T28,use_fish!A:A,use_fish!K:K),0),_xlfn.IFNA(LOOKUP(U28,use_fish!A:A,use_fish!K:K),0),_xlfn.IFNA(LOOKUP(V28,use_fish!A:A,use_fish!K:K),0),_xlfn.IFNA(LOOKUP(W28,use_fish!A:A,use_fish!K:K),0),)</f>
        <v>0</v>
      </c>
      <c r="Q28" s="41">
        <v>13</v>
      </c>
    </row>
    <row r="29" spans="1:20" s="41" customFormat="1" x14ac:dyDescent="0.2">
      <c r="A29" s="41">
        <v>28</v>
      </c>
      <c r="B29" s="41">
        <v>1</v>
      </c>
      <c r="C29" s="41" t="s">
        <v>171</v>
      </c>
      <c r="H29" s="41">
        <f>SUM(_xlfn.IFNA(LOOKUP(Q29,use_fish!A:A,use_fish!E:E),0),_xlfn.IFNA(LOOKUP(R29,use_fish!A:A,use_fish!E:E),0),_xlfn.IFNA(LOOKUP(S29,use_fish!A:A,use_fish!E:E),0),_xlfn.IFNA(LOOKUP(T29,use_fish!A:A,use_fish!E:E),0),_xlfn.IFNA(LOOKUP(U29,use_fish!A:A,use_fish!E:E),0),_xlfn.IFNA(LOOKUP(V29,use_fish!A:A,use_fish!E:E),0),_xlfn.IFNA(LOOKUP(W29,use_fish!A:A,use_fish!E:E),0),)</f>
        <v>25</v>
      </c>
      <c r="I29" s="41">
        <f>SUM(_xlfn.IFNA(LOOKUP(Q29,use_fish!A:A,use_fish!I:I),0),_xlfn.IFNA(LOOKUP(R29,use_fish!A:A,use_fish!I:I),0),_xlfn.IFNA(LOOKUP(S29,use_fish!A:A,use_fish!I:I),0),_xlfn.IFNA(LOOKUP(T29,use_fish!A:A,use_fish!I:I),0),_xlfn.IFNA(LOOKUP(U29,use_fish!A:A,use_fish!I:I),0),_xlfn.IFNA(LOOKUP(V29,use_fish!A:A,use_fish!I:I),0),_xlfn.IFNA(LOOKUP(W29,use_fish!A:A,use_fish!I:I),0),)</f>
        <v>25</v>
      </c>
      <c r="J29" s="39">
        <f>SUM(_xlfn.IFNA(LOOKUP(Q29,use_fish!A:A,use_fish!K:K),0),_xlfn.IFNA(LOOKUP(R29,use_fish!A:A,use_fish!K:K),0),_xlfn.IFNA(LOOKUP(S29,use_fish!A:A,use_fish!K:K),0),_xlfn.IFNA(LOOKUP(T29,use_fish!A:A,use_fish!K:K),0),_xlfn.IFNA(LOOKUP(U29,use_fish!A:A,use_fish!K:K),0),_xlfn.IFNA(LOOKUP(V29,use_fish!A:A,use_fish!K:K),0),_xlfn.IFNA(LOOKUP(W29,use_fish!A:A,use_fish!K:K),0),)</f>
        <v>0</v>
      </c>
      <c r="Q29" s="41">
        <v>14</v>
      </c>
    </row>
    <row r="30" spans="1:20" s="41" customFormat="1" x14ac:dyDescent="0.2">
      <c r="A30" s="41">
        <v>29</v>
      </c>
      <c r="B30" s="41">
        <v>1</v>
      </c>
      <c r="C30" s="41" t="s">
        <v>172</v>
      </c>
      <c r="H30" s="41">
        <f>SUM(_xlfn.IFNA(LOOKUP(Q30,use_fish!A:A,use_fish!E:E),0),_xlfn.IFNA(LOOKUP(R30,use_fish!A:A,use_fish!E:E),0),_xlfn.IFNA(LOOKUP(S30,use_fish!A:A,use_fish!E:E),0),_xlfn.IFNA(LOOKUP(T30,use_fish!A:A,use_fish!E:E),0),_xlfn.IFNA(LOOKUP(U30,use_fish!A:A,use_fish!E:E),0),_xlfn.IFNA(LOOKUP(V30,use_fish!A:A,use_fish!E:E),0),_xlfn.IFNA(LOOKUP(W30,use_fish!A:A,use_fish!E:E),0),)</f>
        <v>30</v>
      </c>
      <c r="I30" s="41">
        <f>SUM(_xlfn.IFNA(LOOKUP(Q30,use_fish!A:A,use_fish!I:I),0),_xlfn.IFNA(LOOKUP(R30,use_fish!A:A,use_fish!I:I),0),_xlfn.IFNA(LOOKUP(S30,use_fish!A:A,use_fish!I:I),0),_xlfn.IFNA(LOOKUP(T30,use_fish!A:A,use_fish!I:I),0),_xlfn.IFNA(LOOKUP(U30,use_fish!A:A,use_fish!I:I),0),_xlfn.IFNA(LOOKUP(V30,use_fish!A:A,use_fish!I:I),0),_xlfn.IFNA(LOOKUP(W30,use_fish!A:A,use_fish!I:I),0),)</f>
        <v>30</v>
      </c>
      <c r="J30" s="39">
        <f>SUM(_xlfn.IFNA(LOOKUP(Q30,use_fish!A:A,use_fish!K:K),0),_xlfn.IFNA(LOOKUP(R30,use_fish!A:A,use_fish!K:K),0),_xlfn.IFNA(LOOKUP(S30,use_fish!A:A,use_fish!K:K),0),_xlfn.IFNA(LOOKUP(T30,use_fish!A:A,use_fish!K:K),0),_xlfn.IFNA(LOOKUP(U30,use_fish!A:A,use_fish!K:K),0),_xlfn.IFNA(LOOKUP(V30,use_fish!A:A,use_fish!K:K),0),_xlfn.IFNA(LOOKUP(W30,use_fish!A:A,use_fish!K:K),0),)</f>
        <v>0</v>
      </c>
      <c r="Q30" s="41">
        <v>15</v>
      </c>
    </row>
    <row r="31" spans="1:20" s="41" customFormat="1" x14ac:dyDescent="0.2">
      <c r="A31" s="41">
        <v>30</v>
      </c>
      <c r="B31" s="41">
        <v>1</v>
      </c>
      <c r="C31" s="41" t="s">
        <v>173</v>
      </c>
      <c r="H31" s="41">
        <f>SUM(_xlfn.IFNA(LOOKUP(Q31,use_fish!A:A,use_fish!E:E),0),_xlfn.IFNA(LOOKUP(R31,use_fish!A:A,use_fish!E:E),0),_xlfn.IFNA(LOOKUP(S31,use_fish!A:A,use_fish!E:E),0),_xlfn.IFNA(LOOKUP(T31,use_fish!A:A,use_fish!E:E),0),_xlfn.IFNA(LOOKUP(U31,use_fish!A:A,use_fish!E:E),0),_xlfn.IFNA(LOOKUP(V31,use_fish!A:A,use_fish!E:E),0),_xlfn.IFNA(LOOKUP(W31,use_fish!A:A,use_fish!E:E),0),)</f>
        <v>35</v>
      </c>
      <c r="I31" s="41">
        <f>SUM(_xlfn.IFNA(LOOKUP(Q31,use_fish!A:A,use_fish!I:I),0),_xlfn.IFNA(LOOKUP(R31,use_fish!A:A,use_fish!I:I),0),_xlfn.IFNA(LOOKUP(S31,use_fish!A:A,use_fish!I:I),0),_xlfn.IFNA(LOOKUP(T31,use_fish!A:A,use_fish!I:I),0),_xlfn.IFNA(LOOKUP(U31,use_fish!A:A,use_fish!I:I),0),_xlfn.IFNA(LOOKUP(V31,use_fish!A:A,use_fish!I:I),0),_xlfn.IFNA(LOOKUP(W31,use_fish!A:A,use_fish!I:I),0),)</f>
        <v>35</v>
      </c>
      <c r="J31" s="39">
        <f>SUM(_xlfn.IFNA(LOOKUP(Q31,use_fish!A:A,use_fish!K:K),0),_xlfn.IFNA(LOOKUP(R31,use_fish!A:A,use_fish!K:K),0),_xlfn.IFNA(LOOKUP(S31,use_fish!A:A,use_fish!K:K),0),_xlfn.IFNA(LOOKUP(T31,use_fish!A:A,use_fish!K:K),0),_xlfn.IFNA(LOOKUP(U31,use_fish!A:A,use_fish!K:K),0),_xlfn.IFNA(LOOKUP(V31,use_fish!A:A,use_fish!K:K),0),_xlfn.IFNA(LOOKUP(W31,use_fish!A:A,use_fish!K:K),0),)</f>
        <v>0</v>
      </c>
      <c r="Q31" s="41">
        <v>16</v>
      </c>
    </row>
    <row r="32" spans="1:20" s="41" customFormat="1" x14ac:dyDescent="0.2">
      <c r="A32" s="41">
        <v>31</v>
      </c>
      <c r="B32" s="41">
        <v>1</v>
      </c>
      <c r="C32" s="41" t="s">
        <v>174</v>
      </c>
      <c r="H32" s="41">
        <f>SUM(_xlfn.IFNA(LOOKUP(Q32,use_fish!A:A,use_fish!E:E),0),_xlfn.IFNA(LOOKUP(R32,use_fish!A:A,use_fish!E:E),0),_xlfn.IFNA(LOOKUP(S32,use_fish!A:A,use_fish!E:E),0),_xlfn.IFNA(LOOKUP(T32,use_fish!A:A,use_fish!E:E),0),_xlfn.IFNA(LOOKUP(U32,use_fish!A:A,use_fish!E:E),0),_xlfn.IFNA(LOOKUP(V32,use_fish!A:A,use_fish!E:E),0),_xlfn.IFNA(LOOKUP(W32,use_fish!A:A,use_fish!E:E),0),)</f>
        <v>40</v>
      </c>
      <c r="I32" s="41">
        <f>SUM(_xlfn.IFNA(LOOKUP(Q32,use_fish!A:A,use_fish!I:I),0),_xlfn.IFNA(LOOKUP(R32,use_fish!A:A,use_fish!I:I),0),_xlfn.IFNA(LOOKUP(S32,use_fish!A:A,use_fish!I:I),0),_xlfn.IFNA(LOOKUP(T32,use_fish!A:A,use_fish!I:I),0),_xlfn.IFNA(LOOKUP(U32,use_fish!A:A,use_fish!I:I),0),_xlfn.IFNA(LOOKUP(V32,use_fish!A:A,use_fish!I:I),0),_xlfn.IFNA(LOOKUP(W32,use_fish!A:A,use_fish!I:I),0),)</f>
        <v>40</v>
      </c>
      <c r="J32" s="39">
        <f>SUM(_xlfn.IFNA(LOOKUP(Q32,use_fish!A:A,use_fish!K:K),0),_xlfn.IFNA(LOOKUP(R32,use_fish!A:A,use_fish!K:K),0),_xlfn.IFNA(LOOKUP(S32,use_fish!A:A,use_fish!K:K),0),_xlfn.IFNA(LOOKUP(T32,use_fish!A:A,use_fish!K:K),0),_xlfn.IFNA(LOOKUP(U32,use_fish!A:A,use_fish!K:K),0),_xlfn.IFNA(LOOKUP(V32,use_fish!A:A,use_fish!K:K),0),_xlfn.IFNA(LOOKUP(W32,use_fish!A:A,use_fish!K:K),0),)</f>
        <v>0</v>
      </c>
      <c r="Q32" s="41">
        <v>17</v>
      </c>
    </row>
    <row r="33" spans="1:17" s="41" customFormat="1" x14ac:dyDescent="0.2">
      <c r="A33" s="41">
        <v>32</v>
      </c>
      <c r="B33" s="41">
        <v>1</v>
      </c>
      <c r="C33" s="41" t="s">
        <v>175</v>
      </c>
      <c r="H33" s="41">
        <f>SUM(_xlfn.IFNA(LOOKUP(Q33,use_fish!A:A,use_fish!E:E),0),_xlfn.IFNA(LOOKUP(R33,use_fish!A:A,use_fish!E:E),0),_xlfn.IFNA(LOOKUP(S33,use_fish!A:A,use_fish!E:E),0),_xlfn.IFNA(LOOKUP(T33,use_fish!A:A,use_fish!E:E),0),_xlfn.IFNA(LOOKUP(U33,use_fish!A:A,use_fish!E:E),0),_xlfn.IFNA(LOOKUP(V33,use_fish!A:A,use_fish!E:E),0),_xlfn.IFNA(LOOKUP(W33,use_fish!A:A,use_fish!E:E),0),)</f>
        <v>60</v>
      </c>
      <c r="I33" s="41">
        <f>SUM(_xlfn.IFNA(LOOKUP(Q33,use_fish!A:A,use_fish!I:I),0),_xlfn.IFNA(LOOKUP(R33,use_fish!A:A,use_fish!I:I),0),_xlfn.IFNA(LOOKUP(S33,use_fish!A:A,use_fish!I:I),0),_xlfn.IFNA(LOOKUP(T33,use_fish!A:A,use_fish!I:I),0),_xlfn.IFNA(LOOKUP(U33,use_fish!A:A,use_fish!I:I),0),_xlfn.IFNA(LOOKUP(V33,use_fish!A:A,use_fish!I:I),0),_xlfn.IFNA(LOOKUP(W33,use_fish!A:A,use_fish!I:I),0),)</f>
        <v>60</v>
      </c>
      <c r="J33" s="39">
        <f>SUM(_xlfn.IFNA(LOOKUP(Q33,use_fish!A:A,use_fish!K:K),0),_xlfn.IFNA(LOOKUP(R33,use_fish!A:A,use_fish!K:K),0),_xlfn.IFNA(LOOKUP(S33,use_fish!A:A,use_fish!K:K),0),_xlfn.IFNA(LOOKUP(T33,use_fish!A:A,use_fish!K:K),0),_xlfn.IFNA(LOOKUP(U33,use_fish!A:A,use_fish!K:K),0),_xlfn.IFNA(LOOKUP(V33,use_fish!A:A,use_fish!K:K),0),_xlfn.IFNA(LOOKUP(W33,use_fish!A:A,use_fish!K:K),0),)</f>
        <v>0</v>
      </c>
      <c r="K33" s="41" t="str">
        <f t="array" ref="K33">INDEX(use_fish!A:A,SMALL(IF(group!$L$2&amp;IF(ISBLANK($L$14),$L$14,"+"&amp;$L$14)=use_fish!H:H,ROW(use_fish!H:H),4^8),ROW(10:10)))&amp;""</f>
        <v/>
      </c>
      <c r="Q33" s="41">
        <v>18</v>
      </c>
    </row>
    <row r="34" spans="1:17" s="41" customFormat="1" x14ac:dyDescent="0.2">
      <c r="A34" s="41">
        <v>33</v>
      </c>
      <c r="B34" s="41">
        <v>1</v>
      </c>
      <c r="C34" s="41" t="s">
        <v>176</v>
      </c>
      <c r="H34" s="41">
        <f>SUM(_xlfn.IFNA(LOOKUP(Q34,use_fish!A:A,use_fish!E:E),0),_xlfn.IFNA(LOOKUP(R34,use_fish!A:A,use_fish!E:E),0),_xlfn.IFNA(LOOKUP(S34,use_fish!A:A,use_fish!E:E),0),_xlfn.IFNA(LOOKUP(T34,use_fish!A:A,use_fish!E:E),0),_xlfn.IFNA(LOOKUP(U34,use_fish!A:A,use_fish!E:E),0),_xlfn.IFNA(LOOKUP(V34,use_fish!A:A,use_fish!E:E),0),_xlfn.IFNA(LOOKUP(W34,use_fish!A:A,use_fish!E:E),0),)</f>
        <v>30</v>
      </c>
      <c r="I34" s="41">
        <f>SUM(_xlfn.IFNA(LOOKUP(Q34,use_fish!A:A,use_fish!I:I),0),_xlfn.IFNA(LOOKUP(R34,use_fish!A:A,use_fish!I:I),0),_xlfn.IFNA(LOOKUP(S34,use_fish!A:A,use_fish!I:I),0),_xlfn.IFNA(LOOKUP(T34,use_fish!A:A,use_fish!I:I),0),_xlfn.IFNA(LOOKUP(U34,use_fish!A:A,use_fish!I:I),0),_xlfn.IFNA(LOOKUP(V34,use_fish!A:A,use_fish!I:I),0),_xlfn.IFNA(LOOKUP(W34,use_fish!A:A,use_fish!I:I),0),)</f>
        <v>30</v>
      </c>
      <c r="J34" s="39">
        <f>SUM(_xlfn.IFNA(LOOKUP(Q34,use_fish!A:A,use_fish!K:K),0),_xlfn.IFNA(LOOKUP(R34,use_fish!A:A,use_fish!K:K),0),_xlfn.IFNA(LOOKUP(S34,use_fish!A:A,use_fish!K:K),0),_xlfn.IFNA(LOOKUP(T34,use_fish!A:A,use_fish!K:K),0),_xlfn.IFNA(LOOKUP(U34,use_fish!A:A,use_fish!K:K),0),_xlfn.IFNA(LOOKUP(V34,use_fish!A:A,use_fish!K:K),0),_xlfn.IFNA(LOOKUP(W34,use_fish!A:A,use_fish!K:K),0),)</f>
        <v>0</v>
      </c>
      <c r="K34" s="41" t="str">
        <f t="array" ref="K34">INDEX(use_fish!A:A,SMALL(IF(group!$L$2&amp;IF(ISBLANK($L$14),$L$14,"+"&amp;$L$14)=use_fish!H:H,ROW(use_fish!H:H),4^8),ROW(11:11)))&amp;""</f>
        <v/>
      </c>
      <c r="Q34" s="41">
        <v>19</v>
      </c>
    </row>
    <row r="35" spans="1:17" s="21" customFormat="1" x14ac:dyDescent="0.2">
      <c r="A35" s="21">
        <v>34</v>
      </c>
      <c r="B35" s="21">
        <v>1</v>
      </c>
      <c r="C35" s="21" t="s">
        <v>177</v>
      </c>
      <c r="H35" s="21">
        <f>SUM(_xlfn.IFNA(LOOKUP(Q35,use_fish!A:A,use_fish!E:E),0),_xlfn.IFNA(LOOKUP(R35,use_fish!A:A,use_fish!E:E),0),_xlfn.IFNA(LOOKUP(S35,use_fish!A:A,use_fish!E:E),0),_xlfn.IFNA(LOOKUP(T35,use_fish!A:A,use_fish!E:E),0),_xlfn.IFNA(LOOKUP(U35,use_fish!A:A,use_fish!E:E),0),_xlfn.IFNA(LOOKUP(V35,use_fish!A:A,use_fish!E:E),0),_xlfn.IFNA(LOOKUP(W35,use_fish!A:A,use_fish!E:E),0),)</f>
        <v>63</v>
      </c>
      <c r="I35" s="21">
        <f>SUM(_xlfn.IFNA(LOOKUP(Q35,use_fish!A:A,use_fish!I:I),0),_xlfn.IFNA(LOOKUP(R35,use_fish!A:A,use_fish!I:I),0),_xlfn.IFNA(LOOKUP(S35,use_fish!A:A,use_fish!I:I),0),_xlfn.IFNA(LOOKUP(T35,use_fish!A:A,use_fish!I:I),0),_xlfn.IFNA(LOOKUP(U35,use_fish!A:A,use_fish!I:I),0),_xlfn.IFNA(LOOKUP(V35,use_fish!A:A,use_fish!I:I),0),_xlfn.IFNA(LOOKUP(W35,use_fish!A:A,use_fish!I:I),0),)</f>
        <v>60</v>
      </c>
      <c r="J35" s="19">
        <f>SUM(_xlfn.IFNA(LOOKUP(Q35,use_fish!A:A,use_fish!K:K),0),_xlfn.IFNA(LOOKUP(R35,use_fish!A:A,use_fish!K:K),0),_xlfn.IFNA(LOOKUP(S35,use_fish!A:A,use_fish!K:K),0),_xlfn.IFNA(LOOKUP(T35,use_fish!A:A,use_fish!K:K),0),_xlfn.IFNA(LOOKUP(U35,use_fish!A:A,use_fish!K:K),0),_xlfn.IFNA(LOOKUP(V35,use_fish!A:A,use_fish!K:K),0),_xlfn.IFNA(LOOKUP(W35,use_fish!A:A,use_fish!K:K),0),)</f>
        <v>0</v>
      </c>
      <c r="K35" s="21" t="str">
        <f t="array" ref="K35">INDEX(use_fish!A:A,SMALL(IF(group!$L$2&amp;IF(ISBLANK($L$14),$L$14,"+"&amp;$L$14)=use_fish!H:H,ROW(use_fish!H:H),4^8),ROW(12:12)))&amp;""</f>
        <v/>
      </c>
      <c r="Q35" s="21">
        <v>20</v>
      </c>
    </row>
    <row r="36" spans="1:17" s="21" customFormat="1" x14ac:dyDescent="0.2">
      <c r="A36" s="21">
        <v>35</v>
      </c>
      <c r="B36" s="21">
        <v>1</v>
      </c>
      <c r="C36" s="21" t="s">
        <v>178</v>
      </c>
      <c r="H36" s="21">
        <f>SUM(_xlfn.IFNA(LOOKUP(Q36,use_fish!A:A,use_fish!E:E),0),_xlfn.IFNA(LOOKUP(R36,use_fish!A:A,use_fish!E:E),0),_xlfn.IFNA(LOOKUP(S36,use_fish!A:A,use_fish!E:E),0),_xlfn.IFNA(LOOKUP(T36,use_fish!A:A,use_fish!E:E),0),_xlfn.IFNA(LOOKUP(U36,use_fish!A:A,use_fish!E:E),0),_xlfn.IFNA(LOOKUP(V36,use_fish!A:A,use_fish!E:E),0),_xlfn.IFNA(LOOKUP(W36,use_fish!A:A,use_fish!E:E),0),)</f>
        <v>80</v>
      </c>
      <c r="I36" s="21">
        <f>SUM(_xlfn.IFNA(LOOKUP(Q36,use_fish!A:A,use_fish!I:I),0),_xlfn.IFNA(LOOKUP(R36,use_fish!A:A,use_fish!I:I),0),_xlfn.IFNA(LOOKUP(S36,use_fish!A:A,use_fish!I:I),0),_xlfn.IFNA(LOOKUP(T36,use_fish!A:A,use_fish!I:I),0),_xlfn.IFNA(LOOKUP(U36,use_fish!A:A,use_fish!I:I),0),_xlfn.IFNA(LOOKUP(V36,use_fish!A:A,use_fish!I:I),0),_xlfn.IFNA(LOOKUP(W36,use_fish!A:A,use_fish!I:I),0),)</f>
        <v>80</v>
      </c>
      <c r="J36" s="19">
        <f>SUM(_xlfn.IFNA(LOOKUP(Q36,use_fish!A:A,use_fish!K:K),0),_xlfn.IFNA(LOOKUP(R36,use_fish!A:A,use_fish!K:K),0),_xlfn.IFNA(LOOKUP(S36,use_fish!A:A,use_fish!K:K),0),_xlfn.IFNA(LOOKUP(T36,use_fish!A:A,use_fish!K:K),0),_xlfn.IFNA(LOOKUP(U36,use_fish!A:A,use_fish!K:K),0),_xlfn.IFNA(LOOKUP(V36,use_fish!A:A,use_fish!K:K),0),_xlfn.IFNA(LOOKUP(W36,use_fish!A:A,use_fish!K:K),0),)</f>
        <v>0</v>
      </c>
      <c r="K36" s="21" t="str">
        <f t="array" ref="K36">INDEX(use_fish!A:A,SMALL(IF(group!$L$2&amp;IF(ISBLANK($L$14),$L$14,"+"&amp;$L$14)=use_fish!H:H,ROW(use_fish!H:H),4^8),ROW(13:13)))&amp;""</f>
        <v/>
      </c>
      <c r="Q36" s="21">
        <v>21</v>
      </c>
    </row>
    <row r="37" spans="1:17" s="21" customFormat="1" x14ac:dyDescent="0.2">
      <c r="A37" s="21">
        <v>36</v>
      </c>
      <c r="B37" s="21">
        <v>1</v>
      </c>
      <c r="C37" s="21" t="s">
        <v>179</v>
      </c>
      <c r="H37" s="21">
        <f>SUM(_xlfn.IFNA(LOOKUP(Q37,use_fish!A:A,use_fish!E:E),0),_xlfn.IFNA(LOOKUP(R37,use_fish!A:A,use_fish!E:E),0),_xlfn.IFNA(LOOKUP(S37,use_fish!A:A,use_fish!E:E),0),_xlfn.IFNA(LOOKUP(T37,use_fish!A:A,use_fish!E:E),0),_xlfn.IFNA(LOOKUP(U37,use_fish!A:A,use_fish!E:E),0),_xlfn.IFNA(LOOKUP(V37,use_fish!A:A,use_fish!E:E),0),_xlfn.IFNA(LOOKUP(W37,use_fish!A:A,use_fish!E:E),0),)</f>
        <v>63</v>
      </c>
      <c r="I37" s="21">
        <f>SUM(_xlfn.IFNA(LOOKUP(Q37,use_fish!A:A,use_fish!I:I),0),_xlfn.IFNA(LOOKUP(R37,use_fish!A:A,use_fish!I:I),0),_xlfn.IFNA(LOOKUP(S37,use_fish!A:A,use_fish!I:I),0),_xlfn.IFNA(LOOKUP(T37,use_fish!A:A,use_fish!I:I),0),_xlfn.IFNA(LOOKUP(U37,use_fish!A:A,use_fish!I:I),0),_xlfn.IFNA(LOOKUP(V37,use_fish!A:A,use_fish!I:I),0),_xlfn.IFNA(LOOKUP(W37,use_fish!A:A,use_fish!I:I),0),)</f>
        <v>60</v>
      </c>
      <c r="J37" s="19">
        <f>SUM(_xlfn.IFNA(LOOKUP(Q37,use_fish!A:A,use_fish!K:K),0),_xlfn.IFNA(LOOKUP(R37,use_fish!A:A,use_fish!K:K),0),_xlfn.IFNA(LOOKUP(S37,use_fish!A:A,use_fish!K:K),0),_xlfn.IFNA(LOOKUP(T37,use_fish!A:A,use_fish!K:K),0),_xlfn.IFNA(LOOKUP(U37,use_fish!A:A,use_fish!K:K),0),_xlfn.IFNA(LOOKUP(V37,use_fish!A:A,use_fish!K:K),0),_xlfn.IFNA(LOOKUP(W37,use_fish!A:A,use_fish!K:K),0),)</f>
        <v>0</v>
      </c>
      <c r="K37" s="21" t="str">
        <f t="array" ref="K37">INDEX(use_fish!A:A,SMALL(IF(group!$L$2&amp;IF(ISBLANK($L$14),$L$14,"+"&amp;$L$14)=use_fish!H:H,ROW(use_fish!H:H),4^8),ROW(14:14)))&amp;""</f>
        <v/>
      </c>
      <c r="Q37" s="21">
        <v>22</v>
      </c>
    </row>
    <row r="38" spans="1:17" s="21" customFormat="1" x14ac:dyDescent="0.2">
      <c r="A38" s="21">
        <v>37</v>
      </c>
      <c r="B38" s="21">
        <v>1</v>
      </c>
      <c r="C38" s="21" t="s">
        <v>180</v>
      </c>
      <c r="H38" s="21">
        <f>SUM(_xlfn.IFNA(LOOKUP(Q38,use_fish!A:A,use_fish!E:E),0),_xlfn.IFNA(LOOKUP(R38,use_fish!A:A,use_fish!E:E),0),_xlfn.IFNA(LOOKUP(S38,use_fish!A:A,use_fish!E:E),0),_xlfn.IFNA(LOOKUP(T38,use_fish!A:A,use_fish!E:E),0),_xlfn.IFNA(LOOKUP(U38,use_fish!A:A,use_fish!E:E),0),_xlfn.IFNA(LOOKUP(V38,use_fish!A:A,use_fish!E:E),0),_xlfn.IFNA(LOOKUP(W38,use_fish!A:A,use_fish!E:E),0),)</f>
        <v>105</v>
      </c>
      <c r="I38" s="21">
        <f>SUM(_xlfn.IFNA(LOOKUP(Q38,use_fish!A:A,use_fish!I:I),0),_xlfn.IFNA(LOOKUP(R38,use_fish!A:A,use_fish!I:I),0),_xlfn.IFNA(LOOKUP(S38,use_fish!A:A,use_fish!I:I),0),_xlfn.IFNA(LOOKUP(T38,use_fish!A:A,use_fish!I:I),0),_xlfn.IFNA(LOOKUP(U38,use_fish!A:A,use_fish!I:I),0),_xlfn.IFNA(LOOKUP(V38,use_fish!A:A,use_fish!I:I),0),_xlfn.IFNA(LOOKUP(W38,use_fish!A:A,use_fish!I:I),0),)</f>
        <v>60</v>
      </c>
      <c r="J38" s="19">
        <f>SUM(_xlfn.IFNA(LOOKUP(Q38,use_fish!A:A,use_fish!K:K),0),_xlfn.IFNA(LOOKUP(R38,use_fish!A:A,use_fish!K:K),0),_xlfn.IFNA(LOOKUP(S38,use_fish!A:A,use_fish!K:K),0),_xlfn.IFNA(LOOKUP(T38,use_fish!A:A,use_fish!K:K),0),_xlfn.IFNA(LOOKUP(U38,use_fish!A:A,use_fish!K:K),0),_xlfn.IFNA(LOOKUP(V38,use_fish!A:A,use_fish!K:K),0),_xlfn.IFNA(LOOKUP(W38,use_fish!A:A,use_fish!K:K),0),)</f>
        <v>0</v>
      </c>
      <c r="K38" s="21" t="str">
        <f t="array" ref="K38">INDEX(use_fish!A:A,SMALL(IF(group!$L$2&amp;IF(ISBLANK($L$14),$L$14,"+"&amp;$L$14)=use_fish!H:H,ROW(use_fish!H:H),4^8),ROW(15:15)))&amp;""</f>
        <v/>
      </c>
      <c r="Q38" s="21">
        <v>23</v>
      </c>
    </row>
    <row r="39" spans="1:17" s="21" customFormat="1" x14ac:dyDescent="0.2">
      <c r="A39" s="21">
        <v>38</v>
      </c>
      <c r="B39" s="21">
        <v>1</v>
      </c>
      <c r="C39" s="21" t="s">
        <v>181</v>
      </c>
      <c r="H39" s="19" t="s">
        <v>272</v>
      </c>
      <c r="I39" s="19" t="s">
        <v>273</v>
      </c>
      <c r="J39" s="19">
        <f>SUM(_xlfn.IFNA(LOOKUP(Q39,use_fish!A:A,use_fish!K:K),0),_xlfn.IFNA(LOOKUP(R39,use_fish!A:A,use_fish!K:K),0),_xlfn.IFNA(LOOKUP(S39,use_fish!A:A,use_fish!K:K),0),_xlfn.IFNA(LOOKUP(T39,use_fish!A:A,use_fish!K:K),0),_xlfn.IFNA(LOOKUP(U39,use_fish!A:A,use_fish!K:K),0),_xlfn.IFNA(LOOKUP(V39,use_fish!A:A,use_fish!K:K),0),_xlfn.IFNA(LOOKUP(W39,use_fish!A:A,use_fish!K:K),0),)</f>
        <v>0</v>
      </c>
      <c r="K39" s="21" t="str">
        <f t="array" ref="K39">INDEX(use_fish!A:A,SMALL(IF(group!$L$2&amp;IF(ISBLANK($L$14),$L$14,"+"&amp;$L$14)=use_fish!H:H,ROW(use_fish!H:H),4^8),ROW(36:36)))&amp;""</f>
        <v/>
      </c>
      <c r="Q39" s="21">
        <v>24</v>
      </c>
    </row>
    <row r="40" spans="1:17" s="21" customFormat="1" x14ac:dyDescent="0.2">
      <c r="A40" s="21">
        <v>39</v>
      </c>
      <c r="B40" s="21">
        <v>1</v>
      </c>
      <c r="C40" s="21" t="s">
        <v>182</v>
      </c>
      <c r="H40" s="21">
        <f>SUM(_xlfn.IFNA(LOOKUP(Q40,use_fish!A:A,use_fish!E:E),0),_xlfn.IFNA(LOOKUP(R40,use_fish!A:A,use_fish!E:E),0),_xlfn.IFNA(LOOKUP(S40,use_fish!A:A,use_fish!E:E),0),_xlfn.IFNA(LOOKUP(T40,use_fish!A:A,use_fish!E:E),0),_xlfn.IFNA(LOOKUP(U40,use_fish!A:A,use_fish!E:E),0),_xlfn.IFNA(LOOKUP(V40,use_fish!A:A,use_fish!E:E),0),_xlfn.IFNA(LOOKUP(W40,use_fish!A:A,use_fish!E:E),0),)</f>
        <v>84</v>
      </c>
      <c r="I40" s="21">
        <f>SUM(_xlfn.IFNA(LOOKUP(Q40,use_fish!A:A,use_fish!I:I),0),_xlfn.IFNA(LOOKUP(R40,use_fish!A:A,use_fish!I:I),0),_xlfn.IFNA(LOOKUP(S40,use_fish!A:A,use_fish!I:I),0),_xlfn.IFNA(LOOKUP(T40,use_fish!A:A,use_fish!I:I),0),_xlfn.IFNA(LOOKUP(U40,use_fish!A:A,use_fish!I:I),0),_xlfn.IFNA(LOOKUP(V40,use_fish!A:A,use_fish!I:I),0),_xlfn.IFNA(LOOKUP(W40,use_fish!A:A,use_fish!I:I),0),)</f>
        <v>80</v>
      </c>
      <c r="J40" s="19">
        <f>SUM(_xlfn.IFNA(LOOKUP(Q40,use_fish!A:A,use_fish!K:K),0),_xlfn.IFNA(LOOKUP(R40,use_fish!A:A,use_fish!K:K),0),_xlfn.IFNA(LOOKUP(S40,use_fish!A:A,use_fish!K:K),0),_xlfn.IFNA(LOOKUP(T40,use_fish!A:A,use_fish!K:K),0),_xlfn.IFNA(LOOKUP(U40,use_fish!A:A,use_fish!K:K),0),_xlfn.IFNA(LOOKUP(V40,use_fish!A:A,use_fish!K:K),0),_xlfn.IFNA(LOOKUP(W40,use_fish!A:A,use_fish!K:K),0),)</f>
        <v>0</v>
      </c>
      <c r="K40" s="21" t="str">
        <f t="array" ref="K40">INDEX(use_fish!A:A,SMALL(IF(group!$L$2&amp;IF(ISBLANK($L$14),$L$14,"+"&amp;$L$14)=use_fish!H:H,ROW(use_fish!H:H),4^8),ROW(37:37)))&amp;""</f>
        <v/>
      </c>
      <c r="Q40" s="21">
        <v>25</v>
      </c>
    </row>
    <row r="41" spans="1:17" s="21" customFormat="1" x14ac:dyDescent="0.2">
      <c r="A41" s="21">
        <v>40</v>
      </c>
      <c r="B41" s="21">
        <v>1</v>
      </c>
      <c r="C41" s="21" t="s">
        <v>183</v>
      </c>
      <c r="H41" s="21">
        <f>SUM(_xlfn.IFNA(LOOKUP(Q41,use_fish!A:A,use_fish!E:E),0),_xlfn.IFNA(LOOKUP(R41,use_fish!A:A,use_fish!E:E),0),_xlfn.IFNA(LOOKUP(S41,use_fish!A:A,use_fish!E:E),0),_xlfn.IFNA(LOOKUP(T41,use_fish!A:A,use_fish!E:E),0),_xlfn.IFNA(LOOKUP(U41,use_fish!A:A,use_fish!E:E),0),_xlfn.IFNA(LOOKUP(V41,use_fish!A:A,use_fish!E:E),0),_xlfn.IFNA(LOOKUP(W41,use_fish!A:A,use_fish!E:E),0),)</f>
        <v>105</v>
      </c>
      <c r="I41" s="21">
        <f>SUM(_xlfn.IFNA(LOOKUP(Q41,use_fish!A:A,use_fish!I:I),0),_xlfn.IFNA(LOOKUP(R41,use_fish!A:A,use_fish!I:I),0),_xlfn.IFNA(LOOKUP(S41,use_fish!A:A,use_fish!I:I),0),_xlfn.IFNA(LOOKUP(T41,use_fish!A:A,use_fish!I:I),0),_xlfn.IFNA(LOOKUP(U41,use_fish!A:A,use_fish!I:I),0),_xlfn.IFNA(LOOKUP(V41,use_fish!A:A,use_fish!I:I),0),_xlfn.IFNA(LOOKUP(W41,use_fish!A:A,use_fish!I:I),0),)</f>
        <v>100</v>
      </c>
      <c r="J41" s="19">
        <f>SUM(_xlfn.IFNA(LOOKUP(Q41,use_fish!A:A,use_fish!K:K),0),_xlfn.IFNA(LOOKUP(R41,use_fish!A:A,use_fish!K:K),0),_xlfn.IFNA(LOOKUP(S41,use_fish!A:A,use_fish!K:K),0),_xlfn.IFNA(LOOKUP(T41,use_fish!A:A,use_fish!K:K),0),_xlfn.IFNA(LOOKUP(U41,use_fish!A:A,use_fish!K:K),0),_xlfn.IFNA(LOOKUP(V41,use_fish!A:A,use_fish!K:K),0),_xlfn.IFNA(LOOKUP(W41,use_fish!A:A,use_fish!K:K),0),)</f>
        <v>0</v>
      </c>
      <c r="K41" s="21" t="str">
        <f t="array" ref="K41">INDEX(use_fish!A:A,SMALL(IF(group!$L$2&amp;IF(ISBLANK($L$14),$L$14,"+"&amp;$L$14)=use_fish!H:H,ROW(use_fish!H:H),4^8),ROW(38:38)))&amp;""</f>
        <v/>
      </c>
      <c r="Q41" s="21">
        <v>26</v>
      </c>
    </row>
    <row r="42" spans="1:17" s="21" customFormat="1" x14ac:dyDescent="0.2">
      <c r="A42" s="21">
        <v>41</v>
      </c>
      <c r="B42" s="21">
        <v>1</v>
      </c>
      <c r="C42" s="21" t="s">
        <v>187</v>
      </c>
      <c r="H42" s="21">
        <f>SUM(_xlfn.IFNA(LOOKUP(Q42,use_fish!A:A,use_fish!E:E),0),_xlfn.IFNA(LOOKUP(R42,use_fish!A:A,use_fish!E:E),0),_xlfn.IFNA(LOOKUP(S42,use_fish!A:A,use_fish!E:E),0),_xlfn.IFNA(LOOKUP(T42,use_fish!A:A,use_fish!E:E),0),_xlfn.IFNA(LOOKUP(U42,use_fish!A:A,use_fish!E:E),0),_xlfn.IFNA(LOOKUP(V42,use_fish!A:A,use_fish!E:E),0),_xlfn.IFNA(LOOKUP(W42,use_fish!A:A,use_fish!E:E),0),)</f>
        <v>105</v>
      </c>
      <c r="I42" s="21">
        <f>SUM(_xlfn.IFNA(LOOKUP(Q42,use_fish!A:A,use_fish!I:I),0),_xlfn.IFNA(LOOKUP(R42,use_fish!A:A,use_fish!I:I),0),_xlfn.IFNA(LOOKUP(S42,use_fish!A:A,use_fish!I:I),0),_xlfn.IFNA(LOOKUP(T42,use_fish!A:A,use_fish!I:I),0),_xlfn.IFNA(LOOKUP(U42,use_fish!A:A,use_fish!I:I),0),_xlfn.IFNA(LOOKUP(V42,use_fish!A:A,use_fish!I:I),0),_xlfn.IFNA(LOOKUP(W42,use_fish!A:A,use_fish!I:I),0),)</f>
        <v>100</v>
      </c>
      <c r="J42" s="19">
        <f>SUM(_xlfn.IFNA(LOOKUP(Q42,use_fish!A:A,use_fish!K:K),0),_xlfn.IFNA(LOOKUP(R42,use_fish!A:A,use_fish!K:K),0),_xlfn.IFNA(LOOKUP(S42,use_fish!A:A,use_fish!K:K),0),_xlfn.IFNA(LOOKUP(T42,use_fish!A:A,use_fish!K:K),0),_xlfn.IFNA(LOOKUP(U42,use_fish!A:A,use_fish!K:K),0),_xlfn.IFNA(LOOKUP(V42,use_fish!A:A,use_fish!K:K),0),_xlfn.IFNA(LOOKUP(W42,use_fish!A:A,use_fish!K:K),0),)</f>
        <v>0</v>
      </c>
      <c r="Q42" s="21">
        <v>27</v>
      </c>
    </row>
    <row r="43" spans="1:17" s="44" customFormat="1" x14ac:dyDescent="0.2">
      <c r="A43" s="44">
        <v>42</v>
      </c>
      <c r="B43" s="44">
        <v>1</v>
      </c>
      <c r="C43" s="44" t="s">
        <v>184</v>
      </c>
      <c r="H43" s="44">
        <f>SUM(_xlfn.IFNA(LOOKUP(Q43,use_fish!A:A,use_fish!E:E),0),_xlfn.IFNA(LOOKUP(R43,use_fish!A:A,use_fish!E:E),0),_xlfn.IFNA(LOOKUP(S43,use_fish!A:A,use_fish!E:E),0),_xlfn.IFNA(LOOKUP(T43,use_fish!A:A,use_fish!E:E),0),_xlfn.IFNA(LOOKUP(U43,use_fish!A:A,use_fish!E:E),0),_xlfn.IFNA(LOOKUP(V43,use_fish!A:A,use_fish!E:E),0),_xlfn.IFNA(LOOKUP(W43,use_fish!A:A,use_fish!E:E),0),)</f>
        <v>100</v>
      </c>
      <c r="I43" s="44">
        <f>SUM(_xlfn.IFNA(LOOKUP(Q43,use_fish!A:A,use_fish!I:I),0),_xlfn.IFNA(LOOKUP(R43,use_fish!A:A,use_fish!I:I),0),_xlfn.IFNA(LOOKUP(S43,use_fish!A:A,use_fish!I:I),0),_xlfn.IFNA(LOOKUP(T43,use_fish!A:A,use_fish!I:I),0),_xlfn.IFNA(LOOKUP(U43,use_fish!A:A,use_fish!I:I),0),_xlfn.IFNA(LOOKUP(V43,use_fish!A:A,use_fish!I:I),0),_xlfn.IFNA(LOOKUP(W43,use_fish!A:A,use_fish!I:I),0),)</f>
        <v>100</v>
      </c>
      <c r="J43" s="43">
        <f>SUM(_xlfn.IFNA(LOOKUP(Q43,use_fish!A:A,use_fish!K:K),0),_xlfn.IFNA(LOOKUP(R43,use_fish!A:A,use_fish!K:K),0),_xlfn.IFNA(LOOKUP(S43,use_fish!A:A,use_fish!K:K),0),_xlfn.IFNA(LOOKUP(T43,use_fish!A:A,use_fish!K:K),0),_xlfn.IFNA(LOOKUP(U43,use_fish!A:A,use_fish!K:K),0),_xlfn.IFNA(LOOKUP(V43,use_fish!A:A,use_fish!K:K),0),_xlfn.IFNA(LOOKUP(W43,use_fish!A:A,use_fish!K:K),0),)</f>
        <v>0</v>
      </c>
      <c r="Q43" s="44">
        <v>28</v>
      </c>
    </row>
    <row r="44" spans="1:17" s="44" customFormat="1" x14ac:dyDescent="0.2">
      <c r="A44" s="44">
        <v>43</v>
      </c>
      <c r="B44" s="44">
        <v>1</v>
      </c>
      <c r="C44" s="44" t="s">
        <v>185</v>
      </c>
      <c r="H44" s="44">
        <f>SUM(_xlfn.IFNA(LOOKUP(Q44,use_fish!A:A,use_fish!E:E),0),_xlfn.IFNA(LOOKUP(R44,use_fish!A:A,use_fish!E:E),0),_xlfn.IFNA(LOOKUP(S44,use_fish!A:A,use_fish!E:E),0),_xlfn.IFNA(LOOKUP(T44,use_fish!A:A,use_fish!E:E),0),_xlfn.IFNA(LOOKUP(U44,use_fish!A:A,use_fish!E:E),0),_xlfn.IFNA(LOOKUP(V44,use_fish!A:A,use_fish!E:E),0),_xlfn.IFNA(LOOKUP(W44,use_fish!A:A,use_fish!E:E),0),)</f>
        <v>300</v>
      </c>
      <c r="I44" s="44">
        <f>SUM(_xlfn.IFNA(LOOKUP(Q44,use_fish!A:A,use_fish!I:I),0),_xlfn.IFNA(LOOKUP(R44,use_fish!A:A,use_fish!I:I),0),_xlfn.IFNA(LOOKUP(S44,use_fish!A:A,use_fish!I:I),0),_xlfn.IFNA(LOOKUP(T44,use_fish!A:A,use_fish!I:I),0),_xlfn.IFNA(LOOKUP(U44,use_fish!A:A,use_fish!I:I),0),_xlfn.IFNA(LOOKUP(V44,use_fish!A:A,use_fish!I:I),0),_xlfn.IFNA(LOOKUP(W44,use_fish!A:A,use_fish!I:I),0),)</f>
        <v>300</v>
      </c>
      <c r="J44" s="43">
        <f>SUM(_xlfn.IFNA(LOOKUP(Q44,use_fish!A:A,use_fish!K:K),0),_xlfn.IFNA(LOOKUP(R44,use_fish!A:A,use_fish!K:K),0),_xlfn.IFNA(LOOKUP(S44,use_fish!A:A,use_fish!K:K),0),_xlfn.IFNA(LOOKUP(T44,use_fish!A:A,use_fish!K:K),0),_xlfn.IFNA(LOOKUP(U44,use_fish!A:A,use_fish!K:K),0),_xlfn.IFNA(LOOKUP(V44,use_fish!A:A,use_fish!K:K),0),_xlfn.IFNA(LOOKUP(W44,use_fish!A:A,use_fish!K:K),0),)</f>
        <v>0</v>
      </c>
      <c r="K44" s="44" t="str">
        <f t="array" ref="K44">INDEX(use_fish!A:A,SMALL(IF(group!$L$2&amp;IF(ISBLANK($L$14),$L$14,"+"&amp;$L$14)=use_fish!H:H,ROW(use_fish!H:H),4^8),ROW(41:41)))&amp;""</f>
        <v/>
      </c>
      <c r="Q44" s="44">
        <v>29</v>
      </c>
    </row>
    <row r="45" spans="1:17" s="44" customFormat="1" x14ac:dyDescent="0.2">
      <c r="A45" s="44">
        <v>44</v>
      </c>
      <c r="B45" s="44">
        <v>1</v>
      </c>
      <c r="C45" s="44" t="s">
        <v>186</v>
      </c>
      <c r="H45" s="44">
        <f>SUM(_xlfn.IFNA(LOOKUP(Q45,use_fish!A:A,use_fish!E:E),0),_xlfn.IFNA(LOOKUP(R45,use_fish!A:A,use_fish!E:E),0),_xlfn.IFNA(LOOKUP(S45,use_fish!A:A,use_fish!E:E),0),_xlfn.IFNA(LOOKUP(T45,use_fish!A:A,use_fish!E:E),0),_xlfn.IFNA(LOOKUP(U45,use_fish!A:A,use_fish!E:E),0),_xlfn.IFNA(LOOKUP(V45,use_fish!A:A,use_fish!E:E),0),_xlfn.IFNA(LOOKUP(W45,use_fish!A:A,use_fish!E:E),0),)</f>
        <v>200</v>
      </c>
      <c r="I45" s="44">
        <f>SUM(_xlfn.IFNA(LOOKUP(Q45,use_fish!A:A,use_fish!I:I),0),_xlfn.IFNA(LOOKUP(R45,use_fish!A:A,use_fish!I:I),0),_xlfn.IFNA(LOOKUP(S45,use_fish!A:A,use_fish!I:I),0),_xlfn.IFNA(LOOKUP(T45,use_fish!A:A,use_fish!I:I),0),_xlfn.IFNA(LOOKUP(U45,use_fish!A:A,use_fish!I:I),0),_xlfn.IFNA(LOOKUP(V45,use_fish!A:A,use_fish!I:I),0),_xlfn.IFNA(LOOKUP(W45,use_fish!A:A,use_fish!I:I),0),)</f>
        <v>200</v>
      </c>
      <c r="J45" s="43">
        <f>SUM(_xlfn.IFNA(LOOKUP(Q45,use_fish!A:A,use_fish!K:K),0),_xlfn.IFNA(LOOKUP(R45,use_fish!A:A,use_fish!K:K),0),_xlfn.IFNA(LOOKUP(S45,use_fish!A:A,use_fish!K:K),0),_xlfn.IFNA(LOOKUP(T45,use_fish!A:A,use_fish!K:K),0),_xlfn.IFNA(LOOKUP(U45,use_fish!A:A,use_fish!K:K),0),_xlfn.IFNA(LOOKUP(V45,use_fish!A:A,use_fish!K:K),0),_xlfn.IFNA(LOOKUP(W45,use_fish!A:A,use_fish!K:K),0),)</f>
        <v>0</v>
      </c>
      <c r="K45" s="44" t="str">
        <f t="array" ref="K45">INDEX(use_fish!A:A,SMALL(IF(group!$L$2&amp;IF(ISBLANK($L$14),$L$14,"+"&amp;$L$14)=use_fish!H:H,ROW(use_fish!H:H),4^8),ROW(42:42)))&amp;""</f>
        <v/>
      </c>
      <c r="Q45" s="44">
        <v>30</v>
      </c>
    </row>
    <row r="46" spans="1:17" s="44" customFormat="1" x14ac:dyDescent="0.2">
      <c r="A46" s="44">
        <v>45</v>
      </c>
      <c r="B46" s="44">
        <v>1</v>
      </c>
      <c r="C46" s="44" t="s">
        <v>195</v>
      </c>
      <c r="H46" s="44">
        <f>SUM(_xlfn.IFNA(LOOKUP(Q46,use_fish!A:A,use_fish!E:E),0),_xlfn.IFNA(LOOKUP(R46,use_fish!A:A,use_fish!E:E),0),_xlfn.IFNA(LOOKUP(S46,use_fish!A:A,use_fish!E:E),0),_xlfn.IFNA(LOOKUP(T46,use_fish!A:A,use_fish!E:E),0),_xlfn.IFNA(LOOKUP(U46,use_fish!A:A,use_fish!E:E),0),_xlfn.IFNA(LOOKUP(V46,use_fish!A:A,use_fish!E:E),0),_xlfn.IFNA(LOOKUP(W46,use_fish!A:A,use_fish!E:E),0),)</f>
        <v>250</v>
      </c>
      <c r="I46" s="44">
        <f>SUM(_xlfn.IFNA(LOOKUP(Q46,use_fish!A:A,use_fish!I:I),0),_xlfn.IFNA(LOOKUP(R46,use_fish!A:A,use_fish!I:I),0),_xlfn.IFNA(LOOKUP(S46,use_fish!A:A,use_fish!I:I),0),_xlfn.IFNA(LOOKUP(T46,use_fish!A:A,use_fish!I:I),0),_xlfn.IFNA(LOOKUP(U46,use_fish!A:A,use_fish!I:I),0),_xlfn.IFNA(LOOKUP(V46,use_fish!A:A,use_fish!I:I),0),_xlfn.IFNA(LOOKUP(W46,use_fish!A:A,use_fish!I:I),0),)</f>
        <v>250</v>
      </c>
      <c r="J46" s="43">
        <f>SUM(_xlfn.IFNA(LOOKUP(Q46,use_fish!A:A,use_fish!K:K),0),_xlfn.IFNA(LOOKUP(R46,use_fish!A:A,use_fish!K:K),0),_xlfn.IFNA(LOOKUP(S46,use_fish!A:A,use_fish!K:K),0),_xlfn.IFNA(LOOKUP(T46,use_fish!A:A,use_fish!K:K),0),_xlfn.IFNA(LOOKUP(U46,use_fish!A:A,use_fish!K:K),0),_xlfn.IFNA(LOOKUP(V46,use_fish!A:A,use_fish!K:K),0),_xlfn.IFNA(LOOKUP(W46,use_fish!A:A,use_fish!K:K),0),)</f>
        <v>0</v>
      </c>
      <c r="Q46" s="44">
        <v>31</v>
      </c>
    </row>
    <row r="47" spans="1:17" s="44" customFormat="1" x14ac:dyDescent="0.2">
      <c r="A47" s="44">
        <v>46</v>
      </c>
      <c r="B47" s="44">
        <v>1</v>
      </c>
      <c r="C47" s="44" t="s">
        <v>194</v>
      </c>
      <c r="H47" s="44">
        <f>SUM(_xlfn.IFNA(LOOKUP(Q47,use_fish!A:A,use_fish!E:E),0),_xlfn.IFNA(LOOKUP(R47,use_fish!A:A,use_fish!E:E),0),_xlfn.IFNA(LOOKUP(S47,use_fish!A:A,use_fish!E:E),0),_xlfn.IFNA(LOOKUP(T47,use_fish!A:A,use_fish!E:E),0),_xlfn.IFNA(LOOKUP(U47,use_fish!A:A,use_fish!E:E),0),_xlfn.IFNA(LOOKUP(V47,use_fish!A:A,use_fish!E:E),0),_xlfn.IFNA(LOOKUP(W47,use_fish!A:A,use_fish!E:E),0),)</f>
        <v>200</v>
      </c>
      <c r="I47" s="44">
        <f>SUM(_xlfn.IFNA(LOOKUP(Q47,use_fish!A:A,use_fish!I:I),0),_xlfn.IFNA(LOOKUP(R47,use_fish!A:A,use_fish!I:I),0),_xlfn.IFNA(LOOKUP(S47,use_fish!A:A,use_fish!I:I),0),_xlfn.IFNA(LOOKUP(T47,use_fish!A:A,use_fish!I:I),0),_xlfn.IFNA(LOOKUP(U47,use_fish!A:A,use_fish!I:I),0),_xlfn.IFNA(LOOKUP(V47,use_fish!A:A,use_fish!I:I),0),_xlfn.IFNA(LOOKUP(W47,use_fish!A:A,use_fish!I:I),0),)</f>
        <v>200</v>
      </c>
      <c r="J47" s="43">
        <f>SUM(_xlfn.IFNA(LOOKUP(Q47,use_fish!A:A,use_fish!K:K),0),_xlfn.IFNA(LOOKUP(R47,use_fish!A:A,use_fish!K:K),0),_xlfn.IFNA(LOOKUP(S47,use_fish!A:A,use_fish!K:K),0),_xlfn.IFNA(LOOKUP(T47,use_fish!A:A,use_fish!K:K),0),_xlfn.IFNA(LOOKUP(U47,use_fish!A:A,use_fish!K:K),0),_xlfn.IFNA(LOOKUP(V47,use_fish!A:A,use_fish!K:K),0),_xlfn.IFNA(LOOKUP(W47,use_fish!A:A,use_fish!K:K),0),)</f>
        <v>0</v>
      </c>
      <c r="Q47" s="42">
        <v>32</v>
      </c>
    </row>
    <row r="48" spans="1:17" s="44" customFormat="1" x14ac:dyDescent="0.2">
      <c r="A48" s="44">
        <v>47</v>
      </c>
      <c r="B48" s="44">
        <v>1</v>
      </c>
      <c r="C48" s="44" t="s">
        <v>196</v>
      </c>
      <c r="H48" s="44">
        <f>SUM(_xlfn.IFNA(LOOKUP(Q48,use_fish!A:A,use_fish!E:E),0),_xlfn.IFNA(LOOKUP(R48,use_fish!A:A,use_fish!E:E),0),_xlfn.IFNA(LOOKUP(S48,use_fish!A:A,use_fish!E:E),0),_xlfn.IFNA(LOOKUP(T48,use_fish!A:A,use_fish!E:E),0),_xlfn.IFNA(LOOKUP(U48,use_fish!A:A,use_fish!E:E),0),_xlfn.IFNA(LOOKUP(V48,use_fish!A:A,use_fish!E:E),0),_xlfn.IFNA(LOOKUP(W48,use_fish!A:A,use_fish!E:E),0),)</f>
        <v>300</v>
      </c>
      <c r="I48" s="44">
        <f>SUM(_xlfn.IFNA(LOOKUP(Q48,use_fish!A:A,use_fish!I:I),0),_xlfn.IFNA(LOOKUP(R48,use_fish!A:A,use_fish!I:I),0),_xlfn.IFNA(LOOKUP(S48,use_fish!A:A,use_fish!I:I),0),_xlfn.IFNA(LOOKUP(T48,use_fish!A:A,use_fish!I:I),0),_xlfn.IFNA(LOOKUP(U48,use_fish!A:A,use_fish!I:I),0),_xlfn.IFNA(LOOKUP(V48,use_fish!A:A,use_fish!I:I),0),_xlfn.IFNA(LOOKUP(W48,use_fish!A:A,use_fish!I:I),0),)</f>
        <v>300</v>
      </c>
      <c r="J48" s="43">
        <f>SUM(_xlfn.IFNA(LOOKUP(Q48,use_fish!A:A,use_fish!K:K),0),_xlfn.IFNA(LOOKUP(R48,use_fish!A:A,use_fish!K:K),0),_xlfn.IFNA(LOOKUP(S48,use_fish!A:A,use_fish!K:K),0),_xlfn.IFNA(LOOKUP(T48,use_fish!A:A,use_fish!K:K),0),_xlfn.IFNA(LOOKUP(U48,use_fish!A:A,use_fish!K:K),0),_xlfn.IFNA(LOOKUP(V48,use_fish!A:A,use_fish!K:K),0),_xlfn.IFNA(LOOKUP(W48,use_fish!A:A,use_fish!K:K),0),)</f>
        <v>0</v>
      </c>
      <c r="Q48" s="42">
        <v>33</v>
      </c>
    </row>
    <row r="49" spans="1:17" s="44" customFormat="1" x14ac:dyDescent="0.2">
      <c r="A49" s="44">
        <v>48</v>
      </c>
      <c r="B49" s="44">
        <v>1</v>
      </c>
      <c r="C49" s="44" t="s">
        <v>197</v>
      </c>
      <c r="H49" s="44">
        <f>SUM(_xlfn.IFNA(LOOKUP(Q49,use_fish!A:A,use_fish!E:E),0),_xlfn.IFNA(LOOKUP(R49,use_fish!A:A,use_fish!E:E),0),_xlfn.IFNA(LOOKUP(S49,use_fish!A:A,use_fish!E:E),0),_xlfn.IFNA(LOOKUP(T49,use_fish!A:A,use_fish!E:E),0),_xlfn.IFNA(LOOKUP(U49,use_fish!A:A,use_fish!E:E),0),_xlfn.IFNA(LOOKUP(V49,use_fish!A:A,use_fish!E:E),0),_xlfn.IFNA(LOOKUP(W49,use_fish!A:A,use_fish!E:E),0),)</f>
        <v>200</v>
      </c>
      <c r="I49" s="44">
        <f>SUM(_xlfn.IFNA(LOOKUP(Q49,use_fish!A:A,use_fish!I:I),0),_xlfn.IFNA(LOOKUP(R49,use_fish!A:A,use_fish!I:I),0),_xlfn.IFNA(LOOKUP(S49,use_fish!A:A,use_fish!I:I),0),_xlfn.IFNA(LOOKUP(T49,use_fish!A:A,use_fish!I:I),0),_xlfn.IFNA(LOOKUP(U49,use_fish!A:A,use_fish!I:I),0),_xlfn.IFNA(LOOKUP(V49,use_fish!A:A,use_fish!I:I),0),_xlfn.IFNA(LOOKUP(W49,use_fish!A:A,use_fish!I:I),0),)</f>
        <v>20</v>
      </c>
      <c r="J49" s="43">
        <f>SUM(_xlfn.IFNA(LOOKUP(Q49,use_fish!A:A,use_fish!K:K),0),_xlfn.IFNA(LOOKUP(R49,use_fish!A:A,use_fish!K:K),0),_xlfn.IFNA(LOOKUP(S49,use_fish!A:A,use_fish!K:K),0),_xlfn.IFNA(LOOKUP(T49,use_fish!A:A,use_fish!K:K),0),_xlfn.IFNA(LOOKUP(U49,use_fish!A:A,use_fish!K:K),0),_xlfn.IFNA(LOOKUP(V49,use_fish!A:A,use_fish!K:K),0),_xlfn.IFNA(LOOKUP(W49,use_fish!A:A,use_fish!K:K),0),)</f>
        <v>0</v>
      </c>
      <c r="Q49" s="42">
        <v>34</v>
      </c>
    </row>
    <row r="50" spans="1:17" s="44" customFormat="1" x14ac:dyDescent="0.2">
      <c r="A50" s="44">
        <v>49</v>
      </c>
      <c r="B50" s="44">
        <v>1</v>
      </c>
      <c r="C50" s="44" t="s">
        <v>198</v>
      </c>
      <c r="H50" s="44">
        <f>SUM(_xlfn.IFNA(LOOKUP(Q50,use_fish!A:A,use_fish!E:E),0),_xlfn.IFNA(LOOKUP(R50,use_fish!A:A,use_fish!E:E),0),_xlfn.IFNA(LOOKUP(S50,use_fish!A:A,use_fish!E:E),0),_xlfn.IFNA(LOOKUP(T50,use_fish!A:A,use_fish!E:E),0),_xlfn.IFNA(LOOKUP(U50,use_fish!A:A,use_fish!E:E),0),_xlfn.IFNA(LOOKUP(V50,use_fish!A:A,use_fish!E:E),0),_xlfn.IFNA(LOOKUP(W50,use_fish!A:A,use_fish!E:E),0),)</f>
        <v>300</v>
      </c>
      <c r="I50" s="44">
        <f>SUM(_xlfn.IFNA(LOOKUP(Q50,use_fish!A:A,use_fish!I:I),0),_xlfn.IFNA(LOOKUP(R50,use_fish!A:A,use_fish!I:I),0),_xlfn.IFNA(LOOKUP(S50,use_fish!A:A,use_fish!I:I),0),_xlfn.IFNA(LOOKUP(T50,use_fish!A:A,use_fish!I:I),0),_xlfn.IFNA(LOOKUP(U50,use_fish!A:A,use_fish!I:I),0),_xlfn.IFNA(LOOKUP(V50,use_fish!A:A,use_fish!I:I),0),_xlfn.IFNA(LOOKUP(W50,use_fish!A:A,use_fish!I:I),0),)</f>
        <v>300</v>
      </c>
      <c r="J50" s="43">
        <f>SUM(_xlfn.IFNA(LOOKUP(Q50,use_fish!A:A,use_fish!K:K),0),_xlfn.IFNA(LOOKUP(R50,use_fish!A:A,use_fish!K:K),0),_xlfn.IFNA(LOOKUP(S50,use_fish!A:A,use_fish!K:K),0),_xlfn.IFNA(LOOKUP(T50,use_fish!A:A,use_fish!K:K),0),_xlfn.IFNA(LOOKUP(U50,use_fish!A:A,use_fish!K:K),0),_xlfn.IFNA(LOOKUP(V50,use_fish!A:A,use_fish!K:K),0),_xlfn.IFNA(LOOKUP(W50,use_fish!A:A,use_fish!K:K),0),)</f>
        <v>0</v>
      </c>
      <c r="Q50" s="42">
        <v>35</v>
      </c>
    </row>
    <row r="51" spans="1:17" s="44" customFormat="1" x14ac:dyDescent="0.2">
      <c r="A51" s="44">
        <v>50</v>
      </c>
      <c r="B51" s="44">
        <v>1</v>
      </c>
      <c r="C51" s="44" t="s">
        <v>199</v>
      </c>
      <c r="H51" s="44">
        <f>SUM(_xlfn.IFNA(LOOKUP(Q51,use_fish!A:A,use_fish!E:E),0),_xlfn.IFNA(LOOKUP(R51,use_fish!A:A,use_fish!E:E),0),_xlfn.IFNA(LOOKUP(S51,use_fish!A:A,use_fish!E:E),0),_xlfn.IFNA(LOOKUP(T51,use_fish!A:A,use_fish!E:E),0),_xlfn.IFNA(LOOKUP(U51,use_fish!A:A,use_fish!E:E),0),_xlfn.IFNA(LOOKUP(V51,use_fish!A:A,use_fish!E:E),0),_xlfn.IFNA(LOOKUP(W51,use_fish!A:A,use_fish!E:E),0),)</f>
        <v>300</v>
      </c>
      <c r="I51" s="44">
        <f>SUM(_xlfn.IFNA(LOOKUP(Q51,use_fish!A:A,use_fish!I:I),0),_xlfn.IFNA(LOOKUP(R51,use_fish!A:A,use_fish!I:I),0),_xlfn.IFNA(LOOKUP(S51,use_fish!A:A,use_fish!I:I),0),_xlfn.IFNA(LOOKUP(T51,use_fish!A:A,use_fish!I:I),0),_xlfn.IFNA(LOOKUP(U51,use_fish!A:A,use_fish!I:I),0),_xlfn.IFNA(LOOKUP(V51,use_fish!A:A,use_fish!I:I),0),_xlfn.IFNA(LOOKUP(W51,use_fish!A:A,use_fish!I:I),0),)</f>
        <v>300</v>
      </c>
      <c r="J51" s="43">
        <f>SUM(_xlfn.IFNA(LOOKUP(Q51,use_fish!A:A,use_fish!K:K),0),_xlfn.IFNA(LOOKUP(R51,use_fish!A:A,use_fish!K:K),0),_xlfn.IFNA(LOOKUP(S51,use_fish!A:A,use_fish!K:K),0),_xlfn.IFNA(LOOKUP(T51,use_fish!A:A,use_fish!K:K),0),_xlfn.IFNA(LOOKUP(U51,use_fish!A:A,use_fish!K:K),0),_xlfn.IFNA(LOOKUP(V51,use_fish!A:A,use_fish!K:K),0),_xlfn.IFNA(LOOKUP(W51,use_fish!A:A,use_fish!K:K),0),)</f>
        <v>0</v>
      </c>
      <c r="Q51" s="42">
        <v>36</v>
      </c>
    </row>
    <row r="52" spans="1:17" s="44" customFormat="1" x14ac:dyDescent="0.2">
      <c r="A52" s="44">
        <v>51</v>
      </c>
      <c r="B52" s="44">
        <v>1</v>
      </c>
      <c r="C52" s="44" t="s">
        <v>200</v>
      </c>
      <c r="H52" s="44">
        <f>SUM(_xlfn.IFNA(LOOKUP(Q52,use_fish!A:A,use_fish!E:E),0),_xlfn.IFNA(LOOKUP(R52,use_fish!A:A,use_fish!E:E),0),_xlfn.IFNA(LOOKUP(S52,use_fish!A:A,use_fish!E:E),0),_xlfn.IFNA(LOOKUP(T52,use_fish!A:A,use_fish!E:E),0),_xlfn.IFNA(LOOKUP(U52,use_fish!A:A,use_fish!E:E),0),_xlfn.IFNA(LOOKUP(V52,use_fish!A:A,use_fish!E:E),0),_xlfn.IFNA(LOOKUP(W52,use_fish!A:A,use_fish!E:E),0),)</f>
        <v>0</v>
      </c>
      <c r="I52" s="44">
        <f>SUM(_xlfn.IFNA(LOOKUP(Q52,use_fish!A:A,use_fish!I:I),0),_xlfn.IFNA(LOOKUP(R52,use_fish!A:A,use_fish!I:I),0),_xlfn.IFNA(LOOKUP(S52,use_fish!A:A,use_fish!I:I),0),_xlfn.IFNA(LOOKUP(T52,use_fish!A:A,use_fish!I:I),0),_xlfn.IFNA(LOOKUP(U52,use_fish!A:A,use_fish!I:I),0),_xlfn.IFNA(LOOKUP(V52,use_fish!A:A,use_fish!I:I),0),_xlfn.IFNA(LOOKUP(W52,use_fish!A:A,use_fish!I:I),0),)</f>
        <v>0</v>
      </c>
      <c r="J52" s="43">
        <f>SUM(_xlfn.IFNA(LOOKUP(Q52,use_fish!A:A,use_fish!K:K),0),_xlfn.IFNA(LOOKUP(R52,use_fish!A:A,use_fish!K:K),0),_xlfn.IFNA(LOOKUP(S52,use_fish!A:A,use_fish!K:K),0),_xlfn.IFNA(LOOKUP(T52,use_fish!A:A,use_fish!K:K),0),_xlfn.IFNA(LOOKUP(U52,use_fish!A:A,use_fish!K:K),0),_xlfn.IFNA(LOOKUP(V52,use_fish!A:A,use_fish!K:K),0),_xlfn.IFNA(LOOKUP(W52,use_fish!A:A,use_fish!K:K),0),)</f>
        <v>0</v>
      </c>
      <c r="Q52" s="42">
        <v>37</v>
      </c>
    </row>
    <row r="53" spans="1:17" s="31" customFormat="1" x14ac:dyDescent="0.2">
      <c r="A53" s="31">
        <v>52</v>
      </c>
      <c r="B53" s="31">
        <v>1</v>
      </c>
      <c r="C53" s="31" t="s">
        <v>201</v>
      </c>
      <c r="H53" s="31">
        <f>SUM(_xlfn.IFNA(LOOKUP(Q53,use_fish!A:A,use_fish!E:E),0),_xlfn.IFNA(LOOKUP(R53,use_fish!A:A,use_fish!E:E),0),_xlfn.IFNA(LOOKUP(S53,use_fish!A:A,use_fish!E:E),0),_xlfn.IFNA(LOOKUP(T53,use_fish!A:A,use_fish!E:E),0),_xlfn.IFNA(LOOKUP(U53,use_fish!A:A,use_fish!E:E),0),_xlfn.IFNA(LOOKUP(V53,use_fish!A:A,use_fish!E:E),0),_xlfn.IFNA(LOOKUP(W53,use_fish!A:A,use_fish!E:E),0),)</f>
        <v>102</v>
      </c>
      <c r="I53" s="31">
        <f>SUM(_xlfn.IFNA(LOOKUP(Q53,use_fish!A:A,use_fish!I:I),0),_xlfn.IFNA(LOOKUP(R53,use_fish!A:A,use_fish!I:I),0),_xlfn.IFNA(LOOKUP(S53,use_fish!A:A,use_fish!I:I),0),_xlfn.IFNA(LOOKUP(T53,use_fish!A:A,use_fish!I:I),0),_xlfn.IFNA(LOOKUP(U53,use_fish!A:A,use_fish!I:I),0),_xlfn.IFNA(LOOKUP(V53,use_fish!A:A,use_fish!I:I),0),_xlfn.IFNA(LOOKUP(W53,use_fish!A:A,use_fish!I:I),0),)</f>
        <v>102</v>
      </c>
      <c r="J53" s="32">
        <f>SUM(_xlfn.IFNA(LOOKUP(Q53,use_fish!A:A,use_fish!K:K),0),_xlfn.IFNA(LOOKUP(R53,use_fish!A:A,use_fish!K:K),0),_xlfn.IFNA(LOOKUP(S53,use_fish!A:A,use_fish!K:K),0),_xlfn.IFNA(LOOKUP(T53,use_fish!A:A,use_fish!K:K),0),_xlfn.IFNA(LOOKUP(U53,use_fish!A:A,use_fish!K:K),0),_xlfn.IFNA(LOOKUP(V53,use_fish!A:A,use_fish!K:K),0),_xlfn.IFNA(LOOKUP(W53,use_fish!A:A,use_fish!K:K),0),)</f>
        <v>0</v>
      </c>
      <c r="Q53" s="30">
        <v>38</v>
      </c>
    </row>
    <row r="54" spans="1:17" s="31" customFormat="1" x14ac:dyDescent="0.2">
      <c r="A54" s="31">
        <v>53</v>
      </c>
      <c r="B54" s="31">
        <v>1</v>
      </c>
      <c r="C54" s="31" t="s">
        <v>202</v>
      </c>
      <c r="H54" s="31">
        <f>SUM(_xlfn.IFNA(LOOKUP(Q54,use_fish!A:A,use_fish!E:E),0),_xlfn.IFNA(LOOKUP(R54,use_fish!A:A,use_fish!E:E),0),_xlfn.IFNA(LOOKUP(S54,use_fish!A:A,use_fish!E:E),0),_xlfn.IFNA(LOOKUP(T54,use_fish!A:A,use_fish!E:E),0),_xlfn.IFNA(LOOKUP(U54,use_fish!A:A,use_fish!E:E),0),_xlfn.IFNA(LOOKUP(V54,use_fish!A:A,use_fish!E:E),0),_xlfn.IFNA(LOOKUP(W54,use_fish!A:A,use_fish!E:E),0),)</f>
        <v>105</v>
      </c>
      <c r="I54" s="31">
        <f>SUM(_xlfn.IFNA(LOOKUP(Q54,use_fish!A:A,use_fish!I:I),0),_xlfn.IFNA(LOOKUP(R54,use_fish!A:A,use_fish!I:I),0),_xlfn.IFNA(LOOKUP(S54,use_fish!A:A,use_fish!I:I),0),_xlfn.IFNA(LOOKUP(T54,use_fish!A:A,use_fish!I:I),0),_xlfn.IFNA(LOOKUP(U54,use_fish!A:A,use_fish!I:I),0),_xlfn.IFNA(LOOKUP(V54,use_fish!A:A,use_fish!I:I),0),_xlfn.IFNA(LOOKUP(W54,use_fish!A:A,use_fish!I:I),0),)</f>
        <v>105</v>
      </c>
      <c r="J54" s="32">
        <f>SUM(_xlfn.IFNA(LOOKUP(Q54,use_fish!A:A,use_fish!K:K),0),_xlfn.IFNA(LOOKUP(R54,use_fish!A:A,use_fish!K:K),0),_xlfn.IFNA(LOOKUP(S54,use_fish!A:A,use_fish!K:K),0),_xlfn.IFNA(LOOKUP(T54,use_fish!A:A,use_fish!K:K),0),_xlfn.IFNA(LOOKUP(U54,use_fish!A:A,use_fish!K:K),0),_xlfn.IFNA(LOOKUP(V54,use_fish!A:A,use_fish!K:K),0),_xlfn.IFNA(LOOKUP(W54,use_fish!A:A,use_fish!K:K),0),)</f>
        <v>0</v>
      </c>
      <c r="Q54" s="30">
        <v>39</v>
      </c>
    </row>
    <row r="55" spans="1:17" s="31" customFormat="1" x14ac:dyDescent="0.2">
      <c r="A55" s="31">
        <v>54</v>
      </c>
      <c r="B55" s="31">
        <v>1</v>
      </c>
      <c r="C55" s="31" t="s">
        <v>203</v>
      </c>
      <c r="H55" s="31">
        <f>SUM(_xlfn.IFNA(LOOKUP(Q55,use_fish!A:A,use_fish!E:E),0),_xlfn.IFNA(LOOKUP(R55,use_fish!A:A,use_fish!E:E),0),_xlfn.IFNA(LOOKUP(S55,use_fish!A:A,use_fish!E:E),0),_xlfn.IFNA(LOOKUP(T55,use_fish!A:A,use_fish!E:E),0),_xlfn.IFNA(LOOKUP(U55,use_fish!A:A,use_fish!E:E),0),_xlfn.IFNA(LOOKUP(V55,use_fish!A:A,use_fish!E:E),0),_xlfn.IFNA(LOOKUP(W55,use_fish!A:A,use_fish!E:E),0),)</f>
        <v>302</v>
      </c>
      <c r="I55" s="31">
        <f>SUM(_xlfn.IFNA(LOOKUP(Q55,use_fish!A:A,use_fish!I:I),0),_xlfn.IFNA(LOOKUP(R55,use_fish!A:A,use_fish!I:I),0),_xlfn.IFNA(LOOKUP(S55,use_fish!A:A,use_fish!I:I),0),_xlfn.IFNA(LOOKUP(T55,use_fish!A:A,use_fish!I:I),0),_xlfn.IFNA(LOOKUP(U55,use_fish!A:A,use_fish!I:I),0),_xlfn.IFNA(LOOKUP(V55,use_fish!A:A,use_fish!I:I),0),_xlfn.IFNA(LOOKUP(W55,use_fish!A:A,use_fish!I:I),0),)</f>
        <v>302</v>
      </c>
      <c r="J55" s="32">
        <f>SUM(_xlfn.IFNA(LOOKUP(Q55,use_fish!A:A,use_fish!K:K),0),_xlfn.IFNA(LOOKUP(R55,use_fish!A:A,use_fish!K:K),0),_xlfn.IFNA(LOOKUP(S55,use_fish!A:A,use_fish!K:K),0),_xlfn.IFNA(LOOKUP(T55,use_fish!A:A,use_fish!K:K),0),_xlfn.IFNA(LOOKUP(U55,use_fish!A:A,use_fish!K:K),0),_xlfn.IFNA(LOOKUP(V55,use_fish!A:A,use_fish!K:K),0),_xlfn.IFNA(LOOKUP(W55,use_fish!A:A,use_fish!K:K),0),)</f>
        <v>0</v>
      </c>
      <c r="Q55" s="30">
        <v>40</v>
      </c>
    </row>
    <row r="56" spans="1:17" s="31" customFormat="1" x14ac:dyDescent="0.2">
      <c r="A56" s="31">
        <v>55</v>
      </c>
      <c r="B56" s="31">
        <v>1</v>
      </c>
      <c r="C56" s="31" t="s">
        <v>204</v>
      </c>
      <c r="H56" s="31">
        <f>SUM(_xlfn.IFNA(LOOKUP(Q56,use_fish!A:A,use_fish!E:E),0),_xlfn.IFNA(LOOKUP(R56,use_fish!A:A,use_fish!E:E),0),_xlfn.IFNA(LOOKUP(S56,use_fish!A:A,use_fish!E:E),0),_xlfn.IFNA(LOOKUP(T56,use_fish!A:A,use_fish!E:E),0),_xlfn.IFNA(LOOKUP(U56,use_fish!A:A,use_fish!E:E),0),_xlfn.IFNA(LOOKUP(V56,use_fish!A:A,use_fish!E:E),0),_xlfn.IFNA(LOOKUP(W56,use_fish!A:A,use_fish!E:E),0),)</f>
        <v>206</v>
      </c>
      <c r="I56" s="31">
        <f>SUM(_xlfn.IFNA(LOOKUP(Q56,use_fish!A:A,use_fish!I:I),0),_xlfn.IFNA(LOOKUP(R56,use_fish!A:A,use_fish!I:I),0),_xlfn.IFNA(LOOKUP(S56,use_fish!A:A,use_fish!I:I),0),_xlfn.IFNA(LOOKUP(T56,use_fish!A:A,use_fish!I:I),0),_xlfn.IFNA(LOOKUP(U56,use_fish!A:A,use_fish!I:I),0),_xlfn.IFNA(LOOKUP(V56,use_fish!A:A,use_fish!I:I),0),_xlfn.IFNA(LOOKUP(W56,use_fish!A:A,use_fish!I:I),0),)</f>
        <v>206</v>
      </c>
      <c r="J56" s="32">
        <f>SUM(_xlfn.IFNA(LOOKUP(Q56,use_fish!A:A,use_fish!K:K),0),_xlfn.IFNA(LOOKUP(R56,use_fish!A:A,use_fish!K:K),0),_xlfn.IFNA(LOOKUP(S56,use_fish!A:A,use_fish!K:K),0),_xlfn.IFNA(LOOKUP(T56,use_fish!A:A,use_fish!K:K),0),_xlfn.IFNA(LOOKUP(U56,use_fish!A:A,use_fish!K:K),0),_xlfn.IFNA(LOOKUP(V56,use_fish!A:A,use_fish!K:K),0),_xlfn.IFNA(LOOKUP(W56,use_fish!A:A,use_fish!K:K),0),)</f>
        <v>0</v>
      </c>
      <c r="Q56" s="30">
        <v>41</v>
      </c>
    </row>
    <row r="57" spans="1:17" s="31" customFormat="1" x14ac:dyDescent="0.2">
      <c r="A57" s="31">
        <v>56</v>
      </c>
      <c r="B57" s="31">
        <v>1</v>
      </c>
      <c r="C57" s="31" t="s">
        <v>205</v>
      </c>
      <c r="H57" s="31">
        <f>SUM(_xlfn.IFNA(LOOKUP(Q57,use_fish!A:A,use_fish!E:E),0),_xlfn.IFNA(LOOKUP(R57,use_fish!A:A,use_fish!E:E),0),_xlfn.IFNA(LOOKUP(S57,use_fish!A:A,use_fish!E:E),0),_xlfn.IFNA(LOOKUP(T57,use_fish!A:A,use_fish!E:E),0),_xlfn.IFNA(LOOKUP(U57,use_fish!A:A,use_fish!E:E),0),_xlfn.IFNA(LOOKUP(V57,use_fish!A:A,use_fish!E:E),0),_xlfn.IFNA(LOOKUP(W57,use_fish!A:A,use_fish!E:E),0),)</f>
        <v>0</v>
      </c>
      <c r="I57" s="31">
        <f>SUM(_xlfn.IFNA(LOOKUP(Q57,use_fish!A:A,use_fish!I:I),0),_xlfn.IFNA(LOOKUP(R57,use_fish!A:A,use_fish!I:I),0),_xlfn.IFNA(LOOKUP(S57,use_fish!A:A,use_fish!I:I),0),_xlfn.IFNA(LOOKUP(T57,use_fish!A:A,use_fish!I:I),0),_xlfn.IFNA(LOOKUP(U57,use_fish!A:A,use_fish!I:I),0),_xlfn.IFNA(LOOKUP(V57,use_fish!A:A,use_fish!I:I),0),_xlfn.IFNA(LOOKUP(W57,use_fish!A:A,use_fish!I:I),0),)</f>
        <v>0</v>
      </c>
      <c r="J57" s="32">
        <f>SUM(_xlfn.IFNA(LOOKUP(Q57,use_fish!A:A,use_fish!K:K),0),_xlfn.IFNA(LOOKUP(R57,use_fish!A:A,use_fish!K:K),0),_xlfn.IFNA(LOOKUP(S57,use_fish!A:A,use_fish!K:K),0),_xlfn.IFNA(LOOKUP(T57,use_fish!A:A,use_fish!K:K),0),_xlfn.IFNA(LOOKUP(U57,use_fish!A:A,use_fish!K:K),0),_xlfn.IFNA(LOOKUP(V57,use_fish!A:A,use_fish!K:K),0),_xlfn.IFNA(LOOKUP(W57,use_fish!A:A,use_fish!K:K),0),)</f>
        <v>0</v>
      </c>
      <c r="Q57" s="30">
        <v>42</v>
      </c>
    </row>
    <row r="58" spans="1:17" s="31" customFormat="1" x14ac:dyDescent="0.2">
      <c r="A58" s="31">
        <v>57</v>
      </c>
      <c r="B58" s="31">
        <v>1</v>
      </c>
      <c r="C58" s="31" t="s">
        <v>206</v>
      </c>
      <c r="H58" s="31">
        <f>SUM(_xlfn.IFNA(LOOKUP(Q58,use_fish!A:A,use_fish!E:E),0),_xlfn.IFNA(LOOKUP(R58,use_fish!A:A,use_fish!E:E),0),_xlfn.IFNA(LOOKUP(S58,use_fish!A:A,use_fish!E:E),0),_xlfn.IFNA(LOOKUP(T58,use_fish!A:A,use_fish!E:E),0),_xlfn.IFNA(LOOKUP(U58,use_fish!A:A,use_fish!E:E),0),_xlfn.IFNA(LOOKUP(V58,use_fish!A:A,use_fish!E:E),0),_xlfn.IFNA(LOOKUP(W58,use_fish!A:A,use_fish!E:E),0),)</f>
        <v>202</v>
      </c>
      <c r="I58" s="31">
        <f>SUM(_xlfn.IFNA(LOOKUP(Q58,use_fish!A:A,use_fish!I:I),0),_xlfn.IFNA(LOOKUP(R58,use_fish!A:A,use_fish!I:I),0),_xlfn.IFNA(LOOKUP(S58,use_fish!A:A,use_fish!I:I),0),_xlfn.IFNA(LOOKUP(T58,use_fish!A:A,use_fish!I:I),0),_xlfn.IFNA(LOOKUP(U58,use_fish!A:A,use_fish!I:I),0),_xlfn.IFNA(LOOKUP(V58,use_fish!A:A,use_fish!I:I),0),_xlfn.IFNA(LOOKUP(W58,use_fish!A:A,use_fish!I:I),0),)</f>
        <v>202</v>
      </c>
      <c r="J58" s="32">
        <f>SUM(_xlfn.IFNA(LOOKUP(Q58,use_fish!A:A,use_fish!K:K),0),_xlfn.IFNA(LOOKUP(R58,use_fish!A:A,use_fish!K:K),0),_xlfn.IFNA(LOOKUP(S58,use_fish!A:A,use_fish!K:K),0),_xlfn.IFNA(LOOKUP(T58,use_fish!A:A,use_fish!K:K),0),_xlfn.IFNA(LOOKUP(U58,use_fish!A:A,use_fish!K:K),0),_xlfn.IFNA(LOOKUP(V58,use_fish!A:A,use_fish!K:K),0),_xlfn.IFNA(LOOKUP(W58,use_fish!A:A,use_fish!K:K),0),)</f>
        <v>0</v>
      </c>
      <c r="Q58" s="30">
        <v>43</v>
      </c>
    </row>
    <row r="59" spans="1:17" s="31" customFormat="1" x14ac:dyDescent="0.2">
      <c r="A59" s="31">
        <v>58</v>
      </c>
      <c r="B59" s="31">
        <v>1</v>
      </c>
      <c r="C59" s="31" t="s">
        <v>207</v>
      </c>
      <c r="H59" s="31">
        <f>SUM(_xlfn.IFNA(LOOKUP(Q59,use_fish!A:A,use_fish!E:E),0),_xlfn.IFNA(LOOKUP(R59,use_fish!A:A,use_fish!E:E),0),_xlfn.IFNA(LOOKUP(S59,use_fish!A:A,use_fish!E:E),0),_xlfn.IFNA(LOOKUP(T59,use_fish!A:A,use_fish!E:E),0),_xlfn.IFNA(LOOKUP(U59,use_fish!A:A,use_fish!E:E),0),_xlfn.IFNA(LOOKUP(V59,use_fish!A:A,use_fish!E:E),0),_xlfn.IFNA(LOOKUP(W59,use_fish!A:A,use_fish!E:E),0),)</f>
        <v>0</v>
      </c>
      <c r="I59" s="31">
        <f>SUM(_xlfn.IFNA(LOOKUP(Q59,use_fish!A:A,use_fish!I:I),0),_xlfn.IFNA(LOOKUP(R59,use_fish!A:A,use_fish!I:I),0),_xlfn.IFNA(LOOKUP(S59,use_fish!A:A,use_fish!I:I),0),_xlfn.IFNA(LOOKUP(T59,use_fish!A:A,use_fish!I:I),0),_xlfn.IFNA(LOOKUP(U59,use_fish!A:A,use_fish!I:I),0),_xlfn.IFNA(LOOKUP(V59,use_fish!A:A,use_fish!I:I),0),_xlfn.IFNA(LOOKUP(W59,use_fish!A:A,use_fish!I:I),0),)</f>
        <v>0</v>
      </c>
      <c r="J59" s="32">
        <f>SUM(_xlfn.IFNA(LOOKUP(Q59,use_fish!A:A,use_fish!K:K),0),_xlfn.IFNA(LOOKUP(R59,use_fish!A:A,use_fish!K:K),0),_xlfn.IFNA(LOOKUP(S59,use_fish!A:A,use_fish!K:K),0),_xlfn.IFNA(LOOKUP(T59,use_fish!A:A,use_fish!K:K),0),_xlfn.IFNA(LOOKUP(U59,use_fish!A:A,use_fish!K:K),0),_xlfn.IFNA(LOOKUP(V59,use_fish!A:A,use_fish!K:K),0),_xlfn.IFNA(LOOKUP(W59,use_fish!A:A,use_fish!K:K),0),)</f>
        <v>0</v>
      </c>
      <c r="Q59" s="30">
        <v>44</v>
      </c>
    </row>
    <row r="60" spans="1:17" s="31" customFormat="1" x14ac:dyDescent="0.2">
      <c r="A60" s="31">
        <v>59</v>
      </c>
      <c r="B60" s="31">
        <v>1</v>
      </c>
      <c r="C60" s="31" t="s">
        <v>208</v>
      </c>
      <c r="H60" s="31">
        <f>SUM(_xlfn.IFNA(LOOKUP(Q60,use_fish!A:A,use_fish!E:E),0),_xlfn.IFNA(LOOKUP(R60,use_fish!A:A,use_fish!E:E),0),_xlfn.IFNA(LOOKUP(S60,use_fish!A:A,use_fish!E:E),0),_xlfn.IFNA(LOOKUP(T60,use_fish!A:A,use_fish!E:E),0),_xlfn.IFNA(LOOKUP(U60,use_fish!A:A,use_fish!E:E),0),_xlfn.IFNA(LOOKUP(V60,use_fish!A:A,use_fish!E:E),0),_xlfn.IFNA(LOOKUP(W60,use_fish!A:A,use_fish!E:E),0),)</f>
        <v>0</v>
      </c>
      <c r="I60" s="31">
        <f>SUM(_xlfn.IFNA(LOOKUP(Q60,use_fish!A:A,use_fish!I:I),0),_xlfn.IFNA(LOOKUP(R60,use_fish!A:A,use_fish!I:I),0),_xlfn.IFNA(LOOKUP(S60,use_fish!A:A,use_fish!I:I),0),_xlfn.IFNA(LOOKUP(T60,use_fish!A:A,use_fish!I:I),0),_xlfn.IFNA(LOOKUP(U60,use_fish!A:A,use_fish!I:I),0),_xlfn.IFNA(LOOKUP(V60,use_fish!A:A,use_fish!I:I),0),_xlfn.IFNA(LOOKUP(W60,use_fish!A:A,use_fish!I:I),0),)</f>
        <v>0</v>
      </c>
      <c r="J60" s="32">
        <f>SUM(_xlfn.IFNA(LOOKUP(Q60,use_fish!A:A,use_fish!K:K),0),_xlfn.IFNA(LOOKUP(R60,use_fish!A:A,use_fish!K:K),0),_xlfn.IFNA(LOOKUP(S60,use_fish!A:A,use_fish!K:K),0),_xlfn.IFNA(LOOKUP(T60,use_fish!A:A,use_fish!K:K),0),_xlfn.IFNA(LOOKUP(U60,use_fish!A:A,use_fish!K:K),0),_xlfn.IFNA(LOOKUP(V60,use_fish!A:A,use_fish!K:K),0),_xlfn.IFNA(LOOKUP(W60,use_fish!A:A,use_fish!K:K),0),)</f>
        <v>0</v>
      </c>
      <c r="Q60" s="30">
        <v>45</v>
      </c>
    </row>
    <row r="61" spans="1:17" s="35" customFormat="1" x14ac:dyDescent="0.2">
      <c r="A61" s="35">
        <v>60</v>
      </c>
      <c r="B61" s="35">
        <v>1</v>
      </c>
      <c r="C61" s="35" t="s">
        <v>292</v>
      </c>
      <c r="H61" s="35">
        <f>SUM(_xlfn.IFNA(LOOKUP(Q61,use_fish!A:A,use_fish!E:E),0),_xlfn.IFNA(LOOKUP(R61,use_fish!A:A,use_fish!E:E),0),_xlfn.IFNA(LOOKUP(S61,use_fish!A:A,use_fish!E:E),0),_xlfn.IFNA(LOOKUP(T61,use_fish!A:A,use_fish!E:E),0),_xlfn.IFNA(LOOKUP(U61,use_fish!A:A,use_fish!E:E),0),_xlfn.IFNA(LOOKUP(V61,use_fish!A:A,use_fish!E:E),0),_xlfn.IFNA(LOOKUP(W61,use_fish!A:A,use_fish!E:E),0),)</f>
        <v>200</v>
      </c>
      <c r="I61" s="35">
        <f>SUM(_xlfn.IFNA(LOOKUP(Q61,use_fish!A:A,use_fish!I:I),0),_xlfn.IFNA(LOOKUP(R61,use_fish!A:A,use_fish!I:I),0),_xlfn.IFNA(LOOKUP(S61,use_fish!A:A,use_fish!I:I),0),_xlfn.IFNA(LOOKUP(T61,use_fish!A:A,use_fish!I:I),0),_xlfn.IFNA(LOOKUP(U61,use_fish!A:A,use_fish!I:I),0),_xlfn.IFNA(LOOKUP(V61,use_fish!A:A,use_fish!I:I),0),_xlfn.IFNA(LOOKUP(W61,use_fish!A:A,use_fish!I:I),0),)</f>
        <v>200</v>
      </c>
      <c r="J61" s="36">
        <f>SUM(_xlfn.IFNA(LOOKUP(Q61,use_fish!A:A,use_fish!K:K),0),_xlfn.IFNA(LOOKUP(R61,use_fish!A:A,use_fish!K:K),0),_xlfn.IFNA(LOOKUP(S61,use_fish!A:A,use_fish!K:K),0),_xlfn.IFNA(LOOKUP(T61,use_fish!A:A,use_fish!K:K),0),_xlfn.IFNA(LOOKUP(U61,use_fish!A:A,use_fish!K:K),0),_xlfn.IFNA(LOOKUP(V61,use_fish!A:A,use_fish!K:K),0),_xlfn.IFNA(LOOKUP(W61,use_fish!A:A,use_fish!K:K),0),)</f>
        <v>0</v>
      </c>
      <c r="Q61" s="34">
        <v>46</v>
      </c>
    </row>
    <row r="62" spans="1:17" s="35" customFormat="1" x14ac:dyDescent="0.2">
      <c r="A62" s="35">
        <v>61</v>
      </c>
      <c r="B62" s="35">
        <v>1</v>
      </c>
      <c r="C62" s="35" t="s">
        <v>209</v>
      </c>
      <c r="H62" s="35">
        <f>SUM(_xlfn.IFNA(LOOKUP(Q62,use_fish!A:A,use_fish!E:E),0),_xlfn.IFNA(LOOKUP(R62,use_fish!A:A,use_fish!E:E),0),_xlfn.IFNA(LOOKUP(S62,use_fish!A:A,use_fish!E:E),0),_xlfn.IFNA(LOOKUP(T62,use_fish!A:A,use_fish!E:E),0),_xlfn.IFNA(LOOKUP(U62,use_fish!A:A,use_fish!E:E),0),_xlfn.IFNA(LOOKUP(V62,use_fish!A:A,use_fish!E:E),0),_xlfn.IFNA(LOOKUP(W62,use_fish!A:A,use_fish!E:E),0),)</f>
        <v>300</v>
      </c>
      <c r="I62" s="35">
        <f>SUM(_xlfn.IFNA(LOOKUP(Q62,use_fish!A:A,use_fish!I:I),0),_xlfn.IFNA(LOOKUP(R62,use_fish!A:A,use_fish!I:I),0),_xlfn.IFNA(LOOKUP(S62,use_fish!A:A,use_fish!I:I),0),_xlfn.IFNA(LOOKUP(T62,use_fish!A:A,use_fish!I:I),0),_xlfn.IFNA(LOOKUP(U62,use_fish!A:A,use_fish!I:I),0),_xlfn.IFNA(LOOKUP(V62,use_fish!A:A,use_fish!I:I),0),_xlfn.IFNA(LOOKUP(W62,use_fish!A:A,use_fish!I:I),0),)</f>
        <v>300</v>
      </c>
      <c r="J62" s="36">
        <f>SUM(_xlfn.IFNA(LOOKUP(Q62,use_fish!A:A,use_fish!K:K),0),_xlfn.IFNA(LOOKUP(R62,use_fish!A:A,use_fish!K:K),0),_xlfn.IFNA(LOOKUP(S62,use_fish!A:A,use_fish!K:K),0),_xlfn.IFNA(LOOKUP(T62,use_fish!A:A,use_fish!K:K),0),_xlfn.IFNA(LOOKUP(U62,use_fish!A:A,use_fish!K:K),0),_xlfn.IFNA(LOOKUP(V62,use_fish!A:A,use_fish!K:K),0),_xlfn.IFNA(LOOKUP(W62,use_fish!A:A,use_fish!K:K),0),)</f>
        <v>0</v>
      </c>
      <c r="Q62" s="34">
        <v>47</v>
      </c>
    </row>
    <row r="63" spans="1:17" s="35" customFormat="1" x14ac:dyDescent="0.2">
      <c r="A63" s="35">
        <v>62</v>
      </c>
      <c r="B63" s="35">
        <v>1</v>
      </c>
      <c r="C63" s="35" t="s">
        <v>210</v>
      </c>
      <c r="H63" s="35">
        <f>SUM(_xlfn.IFNA(LOOKUP(Q63,use_fish!A:A,use_fish!E:E),0),_xlfn.IFNA(LOOKUP(R63,use_fish!A:A,use_fish!E:E),0),_xlfn.IFNA(LOOKUP(S63,use_fish!A:A,use_fish!E:E),0),_xlfn.IFNA(LOOKUP(T63,use_fish!A:A,use_fish!E:E),0),_xlfn.IFNA(LOOKUP(U63,use_fish!A:A,use_fish!E:E),0),_xlfn.IFNA(LOOKUP(V63,use_fish!A:A,use_fish!E:E),0),_xlfn.IFNA(LOOKUP(W63,use_fish!A:A,use_fish!E:E),0),)</f>
        <v>400</v>
      </c>
      <c r="I63" s="35">
        <f>SUM(_xlfn.IFNA(LOOKUP(Q63,use_fish!A:A,use_fish!I:I),0),_xlfn.IFNA(LOOKUP(R63,use_fish!A:A,use_fish!I:I),0),_xlfn.IFNA(LOOKUP(S63,use_fish!A:A,use_fish!I:I),0),_xlfn.IFNA(LOOKUP(T63,use_fish!A:A,use_fish!I:I),0),_xlfn.IFNA(LOOKUP(U63,use_fish!A:A,use_fish!I:I),0),_xlfn.IFNA(LOOKUP(V63,use_fish!A:A,use_fish!I:I),0),_xlfn.IFNA(LOOKUP(W63,use_fish!A:A,use_fish!I:I),0),)</f>
        <v>400</v>
      </c>
      <c r="J63" s="36">
        <f>SUM(_xlfn.IFNA(LOOKUP(Q63,use_fish!A:A,use_fish!K:K),0),_xlfn.IFNA(LOOKUP(R63,use_fish!A:A,use_fish!K:K),0),_xlfn.IFNA(LOOKUP(S63,use_fish!A:A,use_fish!K:K),0),_xlfn.IFNA(LOOKUP(T63,use_fish!A:A,use_fish!K:K),0),_xlfn.IFNA(LOOKUP(U63,use_fish!A:A,use_fish!K:K),0),_xlfn.IFNA(LOOKUP(V63,use_fish!A:A,use_fish!K:K),0),_xlfn.IFNA(LOOKUP(W63,use_fish!A:A,use_fish!K:K),0),)</f>
        <v>0</v>
      </c>
      <c r="Q63" s="34">
        <v>48</v>
      </c>
    </row>
    <row r="64" spans="1:17" s="35" customFormat="1" x14ac:dyDescent="0.2">
      <c r="A64" s="35">
        <v>63</v>
      </c>
      <c r="B64" s="35">
        <v>1</v>
      </c>
      <c r="C64" s="35" t="s">
        <v>211</v>
      </c>
      <c r="H64" s="35">
        <f>SUM(_xlfn.IFNA(LOOKUP(Q64,use_fish!A:A,use_fish!E:E),0),_xlfn.IFNA(LOOKUP(R64,use_fish!A:A,use_fish!E:E),0),_xlfn.IFNA(LOOKUP(S64,use_fish!A:A,use_fish!E:E),0),_xlfn.IFNA(LOOKUP(T64,use_fish!A:A,use_fish!E:E),0),_xlfn.IFNA(LOOKUP(U64,use_fish!A:A,use_fish!E:E),0),_xlfn.IFNA(LOOKUP(V64,use_fish!A:A,use_fish!E:E),0),_xlfn.IFNA(LOOKUP(W64,use_fish!A:A,use_fish!E:E),0),)</f>
        <v>400</v>
      </c>
      <c r="I64" s="35">
        <f>SUM(_xlfn.IFNA(LOOKUP(Q64,use_fish!A:A,use_fish!I:I),0),_xlfn.IFNA(LOOKUP(R64,use_fish!A:A,use_fish!I:I),0),_xlfn.IFNA(LOOKUP(S64,use_fish!A:A,use_fish!I:I),0),_xlfn.IFNA(LOOKUP(T64,use_fish!A:A,use_fish!I:I),0),_xlfn.IFNA(LOOKUP(U64,use_fish!A:A,use_fish!I:I),0),_xlfn.IFNA(LOOKUP(V64,use_fish!A:A,use_fish!I:I),0),_xlfn.IFNA(LOOKUP(W64,use_fish!A:A,use_fish!I:I),0),)</f>
        <v>400</v>
      </c>
      <c r="J64" s="36">
        <f>SUM(_xlfn.IFNA(LOOKUP(Q64,use_fish!A:A,use_fish!K:K),0),_xlfn.IFNA(LOOKUP(R64,use_fish!A:A,use_fish!K:K),0),_xlfn.IFNA(LOOKUP(S64,use_fish!A:A,use_fish!K:K),0),_xlfn.IFNA(LOOKUP(T64,use_fish!A:A,use_fish!K:K),0),_xlfn.IFNA(LOOKUP(U64,use_fish!A:A,use_fish!K:K),0),_xlfn.IFNA(LOOKUP(V64,use_fish!A:A,use_fish!K:K),0),_xlfn.IFNA(LOOKUP(W64,use_fish!A:A,use_fish!K:K),0),)</f>
        <v>0</v>
      </c>
      <c r="Q64" s="34">
        <v>49</v>
      </c>
    </row>
    <row r="65" spans="1:17" s="29" customFormat="1" x14ac:dyDescent="0.2">
      <c r="A65" s="29">
        <v>64</v>
      </c>
      <c r="B65" s="29">
        <v>2</v>
      </c>
      <c r="C65" s="29" t="s">
        <v>333</v>
      </c>
      <c r="G65" s="45" t="s">
        <v>338</v>
      </c>
      <c r="H65" s="29">
        <f>SUM(_xlfn.IFNA(LOOKUP(Q65,use_fish!A:A,use_fish!E:E),0),_xlfn.IFNA(LOOKUP(R65,use_fish!A:A,use_fish!E:E),0),_xlfn.IFNA(LOOKUP(S65,use_fish!A:A,use_fish!E:E),0),_xlfn.IFNA(LOOKUP(T65,use_fish!A:A,use_fish!E:E),0),_xlfn.IFNA(LOOKUP(U65,use_fish!A:A,use_fish!E:E),0),_xlfn.IFNA(LOOKUP(V65,use_fish!A:A,use_fish!E:E),0),_xlfn.IFNA(LOOKUP(W65,use_fish!A:A,use_fish!E:E),0),)</f>
        <v>4</v>
      </c>
      <c r="I65" s="29">
        <f>SUM(_xlfn.IFNA(LOOKUP(Q65,use_fish!A:A,use_fish!I:I),0),_xlfn.IFNA(LOOKUP(R65,use_fish!A:A,use_fish!I:I),0),_xlfn.IFNA(LOOKUP(S65,use_fish!A:A,use_fish!I:I),0),_xlfn.IFNA(LOOKUP(T65,use_fish!A:A,use_fish!I:I),0),_xlfn.IFNA(LOOKUP(U65,use_fish!A:A,use_fish!I:I),0),_xlfn.IFNA(LOOKUP(V65,use_fish!A:A,use_fish!I:I),0),_xlfn.IFNA(LOOKUP(W65,use_fish!A:A,use_fish!I:I),0),)</f>
        <v>4</v>
      </c>
      <c r="J65" s="27">
        <f>SUM(_xlfn.IFNA(LOOKUP(Q65,use_fish!A:A,use_fish!K:K),0),_xlfn.IFNA(LOOKUP(R65,use_fish!A:A,use_fish!K:K),0),_xlfn.IFNA(LOOKUP(S65,use_fish!A:A,use_fish!K:K),0),_xlfn.IFNA(LOOKUP(T65,use_fish!A:A,use_fish!K:K),0),_xlfn.IFNA(LOOKUP(U65,use_fish!A:A,use_fish!K:K),0),_xlfn.IFNA(LOOKUP(V65,use_fish!A:A,use_fish!K:K),0),_xlfn.IFNA(LOOKUP(W65,use_fish!A:A,use_fish!K:K),0),)</f>
        <v>0</v>
      </c>
      <c r="Q65" s="29">
        <v>4</v>
      </c>
    </row>
    <row r="66" spans="1:17" s="29" customFormat="1" x14ac:dyDescent="0.2">
      <c r="A66" s="29">
        <v>65</v>
      </c>
      <c r="B66" s="29">
        <v>2</v>
      </c>
      <c r="C66" s="29" t="s">
        <v>334</v>
      </c>
      <c r="G66" s="45" t="s">
        <v>337</v>
      </c>
      <c r="H66" s="29">
        <f>SUM(_xlfn.IFNA(LOOKUP(Q66,use_fish!A:A,use_fish!E:E),0),_xlfn.IFNA(LOOKUP(R66,use_fish!A:A,use_fish!E:E),0),_xlfn.IFNA(LOOKUP(S66,use_fish!A:A,use_fish!E:E),0),_xlfn.IFNA(LOOKUP(T66,use_fish!A:A,use_fish!E:E),0),_xlfn.IFNA(LOOKUP(U66,use_fish!A:A,use_fish!E:E),0),_xlfn.IFNA(LOOKUP(V66,use_fish!A:A,use_fish!E:E),0),_xlfn.IFNA(LOOKUP(W66,use_fish!A:A,use_fish!E:E),0),)</f>
        <v>5</v>
      </c>
      <c r="I66" s="29">
        <f>SUM(_xlfn.IFNA(LOOKUP(Q66,use_fish!A:A,use_fish!I:I),0),_xlfn.IFNA(LOOKUP(R66,use_fish!A:A,use_fish!I:I),0),_xlfn.IFNA(LOOKUP(S66,use_fish!A:A,use_fish!I:I),0),_xlfn.IFNA(LOOKUP(T66,use_fish!A:A,use_fish!I:I),0),_xlfn.IFNA(LOOKUP(U66,use_fish!A:A,use_fish!I:I),0),_xlfn.IFNA(LOOKUP(V66,use_fish!A:A,use_fish!I:I),0),_xlfn.IFNA(LOOKUP(W66,use_fish!A:A,use_fish!I:I),0),)</f>
        <v>5</v>
      </c>
      <c r="J66" s="27">
        <f>SUM(_xlfn.IFNA(LOOKUP(Q66,use_fish!A:A,use_fish!K:K),0),_xlfn.IFNA(LOOKUP(R66,use_fish!A:A,use_fish!K:K),0),_xlfn.IFNA(LOOKUP(S66,use_fish!A:A,use_fish!K:K),0),_xlfn.IFNA(LOOKUP(T66,use_fish!A:A,use_fish!K:K),0),_xlfn.IFNA(LOOKUP(U66,use_fish!A:A,use_fish!K:K),0),_xlfn.IFNA(LOOKUP(V66,use_fish!A:A,use_fish!K:K),0),_xlfn.IFNA(LOOKUP(W66,use_fish!A:A,use_fish!K:K),0),)</f>
        <v>0</v>
      </c>
      <c r="Q66" s="29">
        <v>5</v>
      </c>
    </row>
    <row r="67" spans="1:17" s="29" customFormat="1" x14ac:dyDescent="0.2">
      <c r="A67" s="29">
        <v>66</v>
      </c>
      <c r="B67" s="29">
        <v>2</v>
      </c>
      <c r="C67" s="29" t="s">
        <v>335</v>
      </c>
      <c r="G67" s="46" t="s">
        <v>336</v>
      </c>
      <c r="H67" s="29">
        <f>SUM(_xlfn.IFNA(LOOKUP(Q67,use_fish!A:A,use_fish!E:E),0),_xlfn.IFNA(LOOKUP(R67,use_fish!A:A,use_fish!E:E),0),_xlfn.IFNA(LOOKUP(S67,use_fish!A:A,use_fish!E:E),0),_xlfn.IFNA(LOOKUP(T67,use_fish!A:A,use_fish!E:E),0),_xlfn.IFNA(LOOKUP(U67,use_fish!A:A,use_fish!E:E),0),_xlfn.IFNA(LOOKUP(V67,use_fish!A:A,use_fish!E:E),0),_xlfn.IFNA(LOOKUP(W67,use_fish!A:A,use_fish!E:E),0),)</f>
        <v>7</v>
      </c>
      <c r="I67" s="29">
        <f>SUM(_xlfn.IFNA(LOOKUP(Q67,use_fish!A:A,use_fish!I:I),0),_xlfn.IFNA(LOOKUP(R67,use_fish!A:A,use_fish!I:I),0),_xlfn.IFNA(LOOKUP(S67,use_fish!A:A,use_fish!I:I),0),_xlfn.IFNA(LOOKUP(T67,use_fish!A:A,use_fish!I:I),0),_xlfn.IFNA(LOOKUP(U67,use_fish!A:A,use_fish!I:I),0),_xlfn.IFNA(LOOKUP(V67,use_fish!A:A,use_fish!I:I),0),_xlfn.IFNA(LOOKUP(W67,use_fish!A:A,use_fish!I:I),0),)</f>
        <v>7</v>
      </c>
      <c r="J67" s="27">
        <f>SUM(_xlfn.IFNA(LOOKUP(Q67,use_fish!A:A,use_fish!K:K),0),_xlfn.IFNA(LOOKUP(R67,use_fish!A:A,use_fish!K:K),0),_xlfn.IFNA(LOOKUP(S67,use_fish!A:A,use_fish!K:K),0),_xlfn.IFNA(LOOKUP(T67,use_fish!A:A,use_fish!K:K),0),_xlfn.IFNA(LOOKUP(U67,use_fish!A:A,use_fish!K:K),0),_xlfn.IFNA(LOOKUP(V67,use_fish!A:A,use_fish!K:K),0),_xlfn.IFNA(LOOKUP(W67,use_fish!A:A,use_fish!K:K),0),)</f>
        <v>0</v>
      </c>
      <c r="K67" s="29" t="str">
        <f t="array" ref="K67">INDEX(use_fish!A:A,SMALL(IF(group!$L$2&amp;IF(ISBLANK($L$14),$L$14,"+"&amp;$L$14)=use_fish!H:H,ROW(use_fish!H:H),4^8),ROW(69:69)))&amp;""</f>
        <v/>
      </c>
      <c r="Q67" s="29">
        <v>7</v>
      </c>
    </row>
    <row r="68" spans="1:17" s="31" customFormat="1" x14ac:dyDescent="0.2">
      <c r="A68" s="31">
        <v>67</v>
      </c>
      <c r="B68" s="31">
        <v>1</v>
      </c>
      <c r="C68" s="31" t="s">
        <v>371</v>
      </c>
      <c r="H68" s="31">
        <f>SUM(_xlfn.IFNA(LOOKUP(Q68,use_fish!A:A,use_fish!E:E),0),_xlfn.IFNA(LOOKUP(R68,use_fish!A:A,use_fish!E:E),0),_xlfn.IFNA(LOOKUP(S68,use_fish!A:A,use_fish!E:E),0),_xlfn.IFNA(LOOKUP(T68,use_fish!A:A,use_fish!E:E),0),_xlfn.IFNA(LOOKUP(U68,use_fish!A:A,use_fish!E:E),0),_xlfn.IFNA(LOOKUP(V68,use_fish!A:A,use_fish!E:E),0),_xlfn.IFNA(LOOKUP(W68,use_fish!A:A,use_fish!E:E),0),)</f>
        <v>45</v>
      </c>
      <c r="I68" s="31">
        <f>SUM(_xlfn.IFNA(LOOKUP(Q68,use_fish!A:A,use_fish!I:I),0),_xlfn.IFNA(LOOKUP(R68,use_fish!A:A,use_fish!I:I),0),_xlfn.IFNA(LOOKUP(S68,use_fish!A:A,use_fish!I:I),0),_xlfn.IFNA(LOOKUP(T68,use_fish!A:A,use_fish!I:I),0),_xlfn.IFNA(LOOKUP(U68,use_fish!A:A,use_fish!I:I),0),_xlfn.IFNA(LOOKUP(V68,use_fish!A:A,use_fish!I:I),0),_xlfn.IFNA(LOOKUP(W68,use_fish!A:A,use_fish!I:I),0),)</f>
        <v>45</v>
      </c>
      <c r="J68" s="32">
        <f>SUM(_xlfn.IFNA(LOOKUP(Q68,use_fish!A:A,use_fish!K:K),0),_xlfn.IFNA(LOOKUP(R68,use_fish!A:A,use_fish!K:K),0),_xlfn.IFNA(LOOKUP(S68,use_fish!A:A,use_fish!K:K),0),_xlfn.IFNA(LOOKUP(T68,use_fish!A:A,use_fish!K:K),0),_xlfn.IFNA(LOOKUP(U68,use_fish!A:A,use_fish!K:K),0),_xlfn.IFNA(LOOKUP(V68,use_fish!A:A,use_fish!K:K),0),_xlfn.IFNA(LOOKUP(W68,use_fish!A:A,use_fish!K:K),0),)</f>
        <v>0</v>
      </c>
      <c r="Q68" s="30">
        <v>51</v>
      </c>
    </row>
    <row r="69" spans="1:17" s="31" customFormat="1" x14ac:dyDescent="0.2">
      <c r="A69" s="31">
        <v>68</v>
      </c>
      <c r="B69" s="31">
        <v>1</v>
      </c>
      <c r="C69" s="31" t="s">
        <v>372</v>
      </c>
      <c r="H69" s="31">
        <f>SUM(_xlfn.IFNA(LOOKUP(Q69,use_fish!A:A,use_fish!E:E),0),_xlfn.IFNA(LOOKUP(R69,use_fish!A:A,use_fish!E:E),0),_xlfn.IFNA(LOOKUP(S69,use_fish!A:A,use_fish!E:E),0),_xlfn.IFNA(LOOKUP(T69,use_fish!A:A,use_fish!E:E),0),_xlfn.IFNA(LOOKUP(U69,use_fish!A:A,use_fish!E:E),0),_xlfn.IFNA(LOOKUP(V69,use_fish!A:A,use_fish!E:E),0),_xlfn.IFNA(LOOKUP(W69,use_fish!A:A,use_fish!E:E),0),)</f>
        <v>48</v>
      </c>
      <c r="I69" s="31">
        <f>SUM(_xlfn.IFNA(LOOKUP(Q69,use_fish!A:A,use_fish!I:I),0),_xlfn.IFNA(LOOKUP(R69,use_fish!A:A,use_fish!I:I),0),_xlfn.IFNA(LOOKUP(S69,use_fish!A:A,use_fish!I:I),0),_xlfn.IFNA(LOOKUP(T69,use_fish!A:A,use_fish!I:I),0),_xlfn.IFNA(LOOKUP(U69,use_fish!A:A,use_fish!I:I),0),_xlfn.IFNA(LOOKUP(V69,use_fish!A:A,use_fish!I:I),0),_xlfn.IFNA(LOOKUP(W69,use_fish!A:A,use_fish!I:I),0),)</f>
        <v>48</v>
      </c>
      <c r="J69" s="32">
        <f>SUM(_xlfn.IFNA(LOOKUP(Q69,use_fish!A:A,use_fish!K:K),0),_xlfn.IFNA(LOOKUP(R69,use_fish!A:A,use_fish!K:K),0),_xlfn.IFNA(LOOKUP(S69,use_fish!A:A,use_fish!K:K),0),_xlfn.IFNA(LOOKUP(T69,use_fish!A:A,use_fish!K:K),0),_xlfn.IFNA(LOOKUP(U69,use_fish!A:A,use_fish!K:K),0),_xlfn.IFNA(LOOKUP(V69,use_fish!A:A,use_fish!K:K),0),_xlfn.IFNA(LOOKUP(W69,use_fish!A:A,use_fish!K:K),0),)</f>
        <v>0</v>
      </c>
      <c r="Q69" s="30">
        <v>52</v>
      </c>
    </row>
    <row r="70" spans="1:17" s="31" customFormat="1" x14ac:dyDescent="0.2">
      <c r="A70" s="31">
        <v>69</v>
      </c>
      <c r="B70" s="31">
        <v>1</v>
      </c>
      <c r="C70" s="31" t="s">
        <v>373</v>
      </c>
      <c r="H70" s="31">
        <f>SUM(_xlfn.IFNA(LOOKUP(Q70,use_fish!A:A,use_fish!E:E),0),_xlfn.IFNA(LOOKUP(R70,use_fish!A:A,use_fish!E:E),0),_xlfn.IFNA(LOOKUP(S70,use_fish!A:A,use_fish!E:E),0),_xlfn.IFNA(LOOKUP(T70,use_fish!A:A,use_fish!E:E),0),_xlfn.IFNA(LOOKUP(U70,use_fish!A:A,use_fish!E:E),0),_xlfn.IFNA(LOOKUP(V70,use_fish!A:A,use_fish!E:E),0),_xlfn.IFNA(LOOKUP(W70,use_fish!A:A,use_fish!E:E),0),)</f>
        <v>50</v>
      </c>
      <c r="I70" s="31">
        <f>SUM(_xlfn.IFNA(LOOKUP(Q70,use_fish!A:A,use_fish!I:I),0),_xlfn.IFNA(LOOKUP(R70,use_fish!A:A,use_fish!I:I),0),_xlfn.IFNA(LOOKUP(S70,use_fish!A:A,use_fish!I:I),0),_xlfn.IFNA(LOOKUP(T70,use_fish!A:A,use_fish!I:I),0),_xlfn.IFNA(LOOKUP(U70,use_fish!A:A,use_fish!I:I),0),_xlfn.IFNA(LOOKUP(V70,use_fish!A:A,use_fish!I:I),0),_xlfn.IFNA(LOOKUP(W70,use_fish!A:A,use_fish!I:I),0),)</f>
        <v>50</v>
      </c>
      <c r="J70" s="32">
        <f>SUM(_xlfn.IFNA(LOOKUP(Q70,use_fish!A:A,use_fish!K:K),0),_xlfn.IFNA(LOOKUP(R70,use_fish!A:A,use_fish!K:K),0),_xlfn.IFNA(LOOKUP(S70,use_fish!A:A,use_fish!K:K),0),_xlfn.IFNA(LOOKUP(T70,use_fish!A:A,use_fish!K:K),0),_xlfn.IFNA(LOOKUP(U70,use_fish!A:A,use_fish!K:K),0),_xlfn.IFNA(LOOKUP(V70,use_fish!A:A,use_fish!K:K),0),_xlfn.IFNA(LOOKUP(W70,use_fish!A:A,use_fish!K:K),0),)</f>
        <v>0</v>
      </c>
      <c r="Q70" s="30">
        <v>53</v>
      </c>
    </row>
    <row r="71" spans="1:17" s="31" customFormat="1" x14ac:dyDescent="0.2">
      <c r="A71" s="31">
        <v>70</v>
      </c>
      <c r="B71" s="31">
        <v>1</v>
      </c>
      <c r="C71" s="31" t="s">
        <v>374</v>
      </c>
      <c r="H71" s="31">
        <f>SUM(_xlfn.IFNA(LOOKUP(Q71,use_fish!A:A,use_fish!E:E),0),_xlfn.IFNA(LOOKUP(R71,use_fish!A:A,use_fish!E:E),0),_xlfn.IFNA(LOOKUP(S71,use_fish!A:A,use_fish!E:E),0),_xlfn.IFNA(LOOKUP(T71,use_fish!A:A,use_fish!E:E),0),_xlfn.IFNA(LOOKUP(U71,use_fish!A:A,use_fish!E:E),0),_xlfn.IFNA(LOOKUP(V71,use_fish!A:A,use_fish!E:E),0),_xlfn.IFNA(LOOKUP(W71,use_fish!A:A,use_fish!E:E),0),)</f>
        <v>55</v>
      </c>
      <c r="I71" s="31">
        <f>SUM(_xlfn.IFNA(LOOKUP(Q71,use_fish!A:A,use_fish!I:I),0),_xlfn.IFNA(LOOKUP(R71,use_fish!A:A,use_fish!I:I),0),_xlfn.IFNA(LOOKUP(S71,use_fish!A:A,use_fish!I:I),0),_xlfn.IFNA(LOOKUP(T71,use_fish!A:A,use_fish!I:I),0),_xlfn.IFNA(LOOKUP(U71,use_fish!A:A,use_fish!I:I),0),_xlfn.IFNA(LOOKUP(V71,use_fish!A:A,use_fish!I:I),0),_xlfn.IFNA(LOOKUP(W71,use_fish!A:A,use_fish!I:I),0),)</f>
        <v>55</v>
      </c>
      <c r="J71" s="32">
        <f>SUM(_xlfn.IFNA(LOOKUP(Q71,use_fish!A:A,use_fish!K:K),0),_xlfn.IFNA(LOOKUP(R71,use_fish!A:A,use_fish!K:K),0),_xlfn.IFNA(LOOKUP(S71,use_fish!A:A,use_fish!K:K),0),_xlfn.IFNA(LOOKUP(T71,use_fish!A:A,use_fish!K:K),0),_xlfn.IFNA(LOOKUP(U71,use_fish!A:A,use_fish!K:K),0),_xlfn.IFNA(LOOKUP(V71,use_fish!A:A,use_fish!K:K),0),_xlfn.IFNA(LOOKUP(W71,use_fish!A:A,use_fish!K:K),0),)</f>
        <v>0</v>
      </c>
      <c r="Q71" s="30">
        <v>54</v>
      </c>
    </row>
    <row r="72" spans="1:17" s="31" customFormat="1" x14ac:dyDescent="0.2">
      <c r="A72" s="31">
        <v>71</v>
      </c>
      <c r="B72" s="31">
        <v>1</v>
      </c>
      <c r="C72" s="31" t="s">
        <v>375</v>
      </c>
      <c r="H72" s="31">
        <f>SUM(_xlfn.IFNA(LOOKUP(Q72,use_fish!A:A,use_fish!E:E),0),_xlfn.IFNA(LOOKUP(R72,use_fish!A:A,use_fish!E:E),0),_xlfn.IFNA(LOOKUP(S72,use_fish!A:A,use_fish!E:E),0),_xlfn.IFNA(LOOKUP(T72,use_fish!A:A,use_fish!E:E),0),_xlfn.IFNA(LOOKUP(U72,use_fish!A:A,use_fish!E:E),0),_xlfn.IFNA(LOOKUP(V72,use_fish!A:A,use_fish!E:E),0),_xlfn.IFNA(LOOKUP(W72,use_fish!A:A,use_fish!E:E),0),)</f>
        <v>60</v>
      </c>
      <c r="I72" s="31">
        <f>SUM(_xlfn.IFNA(LOOKUP(Q72,use_fish!A:A,use_fish!I:I),0),_xlfn.IFNA(LOOKUP(R72,use_fish!A:A,use_fish!I:I),0),_xlfn.IFNA(LOOKUP(S72,use_fish!A:A,use_fish!I:I),0),_xlfn.IFNA(LOOKUP(T72,use_fish!A:A,use_fish!I:I),0),_xlfn.IFNA(LOOKUP(U72,use_fish!A:A,use_fish!I:I),0),_xlfn.IFNA(LOOKUP(V72,use_fish!A:A,use_fish!I:I),0),_xlfn.IFNA(LOOKUP(W72,use_fish!A:A,use_fish!I:I),0),)</f>
        <v>60</v>
      </c>
      <c r="J72" s="32">
        <f>SUM(_xlfn.IFNA(LOOKUP(Q72,use_fish!A:A,use_fish!K:K),0),_xlfn.IFNA(LOOKUP(R72,use_fish!A:A,use_fish!K:K),0),_xlfn.IFNA(LOOKUP(S72,use_fish!A:A,use_fish!K:K),0),_xlfn.IFNA(LOOKUP(T72,use_fish!A:A,use_fish!K:K),0),_xlfn.IFNA(LOOKUP(U72,use_fish!A:A,use_fish!K:K),0),_xlfn.IFNA(LOOKUP(V72,use_fish!A:A,use_fish!K:K),0),_xlfn.IFNA(LOOKUP(W72,use_fish!A:A,use_fish!K:K),0),)</f>
        <v>0</v>
      </c>
      <c r="Q72" s="30">
        <v>55</v>
      </c>
    </row>
    <row r="73" spans="1:17" s="31" customFormat="1" x14ac:dyDescent="0.2">
      <c r="A73" s="31">
        <v>72</v>
      </c>
      <c r="B73" s="31">
        <v>1</v>
      </c>
      <c r="C73" s="31" t="s">
        <v>376</v>
      </c>
      <c r="H73" s="31">
        <f>SUM(_xlfn.IFNA(LOOKUP(Q73,use_fish!A:A,use_fish!E:E),0),_xlfn.IFNA(LOOKUP(R73,use_fish!A:A,use_fish!E:E),0),_xlfn.IFNA(LOOKUP(S73,use_fish!A:A,use_fish!E:E),0),_xlfn.IFNA(LOOKUP(T73,use_fish!A:A,use_fish!E:E),0),_xlfn.IFNA(LOOKUP(U73,use_fish!A:A,use_fish!E:E),0),_xlfn.IFNA(LOOKUP(V73,use_fish!A:A,use_fish!E:E),0),_xlfn.IFNA(LOOKUP(W73,use_fish!A:A,use_fish!E:E),0),)</f>
        <v>65</v>
      </c>
      <c r="I73" s="31">
        <f>SUM(_xlfn.IFNA(LOOKUP(Q73,use_fish!A:A,use_fish!I:I),0),_xlfn.IFNA(LOOKUP(R73,use_fish!A:A,use_fish!I:I),0),_xlfn.IFNA(LOOKUP(S73,use_fish!A:A,use_fish!I:I),0),_xlfn.IFNA(LOOKUP(T73,use_fish!A:A,use_fish!I:I),0),_xlfn.IFNA(LOOKUP(U73,use_fish!A:A,use_fish!I:I),0),_xlfn.IFNA(LOOKUP(V73,use_fish!A:A,use_fish!I:I),0),_xlfn.IFNA(LOOKUP(W73,use_fish!A:A,use_fish!I:I),0),)</f>
        <v>65</v>
      </c>
      <c r="J73" s="32">
        <f>SUM(_xlfn.IFNA(LOOKUP(Q73,use_fish!A:A,use_fish!K:K),0),_xlfn.IFNA(LOOKUP(R73,use_fish!A:A,use_fish!K:K),0),_xlfn.IFNA(LOOKUP(S73,use_fish!A:A,use_fish!K:K),0),_xlfn.IFNA(LOOKUP(T73,use_fish!A:A,use_fish!K:K),0),_xlfn.IFNA(LOOKUP(U73,use_fish!A:A,use_fish!K:K),0),_xlfn.IFNA(LOOKUP(V73,use_fish!A:A,use_fish!K:K),0),_xlfn.IFNA(LOOKUP(W73,use_fish!A:A,use_fish!K:K),0),)</f>
        <v>0</v>
      </c>
      <c r="Q73" s="30">
        <v>56</v>
      </c>
    </row>
    <row r="74" spans="1:17" s="31" customFormat="1" x14ac:dyDescent="0.2">
      <c r="A74" s="31">
        <v>73</v>
      </c>
      <c r="B74" s="31">
        <v>1</v>
      </c>
      <c r="C74" s="31" t="s">
        <v>377</v>
      </c>
      <c r="H74" s="31">
        <f>SUM(_xlfn.IFNA(LOOKUP(Q74,use_fish!A:A,use_fish!E:E),0),_xlfn.IFNA(LOOKUP(R74,use_fish!A:A,use_fish!E:E),0),_xlfn.IFNA(LOOKUP(S74,use_fish!A:A,use_fish!E:E),0),_xlfn.IFNA(LOOKUP(T74,use_fish!A:A,use_fish!E:E),0),_xlfn.IFNA(LOOKUP(U74,use_fish!A:A,use_fish!E:E),0),_xlfn.IFNA(LOOKUP(V74,use_fish!A:A,use_fish!E:E),0),_xlfn.IFNA(LOOKUP(W74,use_fish!A:A,use_fish!E:E),0),)</f>
        <v>70</v>
      </c>
      <c r="I74" s="31">
        <f>SUM(_xlfn.IFNA(LOOKUP(Q74,use_fish!A:A,use_fish!I:I),0),_xlfn.IFNA(LOOKUP(R74,use_fish!A:A,use_fish!I:I),0),_xlfn.IFNA(LOOKUP(S74,use_fish!A:A,use_fish!I:I),0),_xlfn.IFNA(LOOKUP(T74,use_fish!A:A,use_fish!I:I),0),_xlfn.IFNA(LOOKUP(U74,use_fish!A:A,use_fish!I:I),0),_xlfn.IFNA(LOOKUP(V74,use_fish!A:A,use_fish!I:I),0),_xlfn.IFNA(LOOKUP(W74,use_fish!A:A,use_fish!I:I),0),)</f>
        <v>70</v>
      </c>
      <c r="J74" s="32">
        <f>SUM(_xlfn.IFNA(LOOKUP(Q74,use_fish!A:A,use_fish!K:K),0),_xlfn.IFNA(LOOKUP(R74,use_fish!A:A,use_fish!K:K),0),_xlfn.IFNA(LOOKUP(S74,use_fish!A:A,use_fish!K:K),0),_xlfn.IFNA(LOOKUP(T74,use_fish!A:A,use_fish!K:K),0),_xlfn.IFNA(LOOKUP(U74,use_fish!A:A,use_fish!K:K),0),_xlfn.IFNA(LOOKUP(V74,use_fish!A:A,use_fish!K:K),0),_xlfn.IFNA(LOOKUP(W74,use_fish!A:A,use_fish!K:K),0),)</f>
        <v>0</v>
      </c>
      <c r="Q74" s="30">
        <v>57</v>
      </c>
    </row>
    <row r="75" spans="1:17" s="31" customFormat="1" x14ac:dyDescent="0.2">
      <c r="A75" s="31">
        <v>74</v>
      </c>
      <c r="B75" s="31">
        <v>1</v>
      </c>
      <c r="C75" s="31" t="s">
        <v>378</v>
      </c>
      <c r="H75" s="31">
        <f>SUM(_xlfn.IFNA(LOOKUP(Q75,use_fish!A:A,use_fish!E:E),0),_xlfn.IFNA(LOOKUP(R75,use_fish!A:A,use_fish!E:E),0),_xlfn.IFNA(LOOKUP(S75,use_fish!A:A,use_fish!E:E),0),_xlfn.IFNA(LOOKUP(T75,use_fish!A:A,use_fish!E:E),0),_xlfn.IFNA(LOOKUP(U75,use_fish!A:A,use_fish!E:E),0),_xlfn.IFNA(LOOKUP(V75,use_fish!A:A,use_fish!E:E),0),_xlfn.IFNA(LOOKUP(W75,use_fish!A:A,use_fish!E:E),0),)</f>
        <v>90</v>
      </c>
      <c r="I75" s="31">
        <f>SUM(_xlfn.IFNA(LOOKUP(Q75,use_fish!A:A,use_fish!I:I),0),_xlfn.IFNA(LOOKUP(R75,use_fish!A:A,use_fish!I:I),0),_xlfn.IFNA(LOOKUP(S75,use_fish!A:A,use_fish!I:I),0),_xlfn.IFNA(LOOKUP(T75,use_fish!A:A,use_fish!I:I),0),_xlfn.IFNA(LOOKUP(U75,use_fish!A:A,use_fish!I:I),0),_xlfn.IFNA(LOOKUP(V75,use_fish!A:A,use_fish!I:I),0),_xlfn.IFNA(LOOKUP(W75,use_fish!A:A,use_fish!I:I),0),)</f>
        <v>90</v>
      </c>
      <c r="J75" s="32">
        <f>SUM(_xlfn.IFNA(LOOKUP(Q75,use_fish!A:A,use_fish!K:K),0),_xlfn.IFNA(LOOKUP(R75,use_fish!A:A,use_fish!K:K),0),_xlfn.IFNA(LOOKUP(S75,use_fish!A:A,use_fish!K:K),0),_xlfn.IFNA(LOOKUP(T75,use_fish!A:A,use_fish!K:K),0),_xlfn.IFNA(LOOKUP(U75,use_fish!A:A,use_fish!K:K),0),_xlfn.IFNA(LOOKUP(V75,use_fish!A:A,use_fish!K:K),0),_xlfn.IFNA(LOOKUP(W75,use_fish!A:A,use_fish!K:K),0),)</f>
        <v>0</v>
      </c>
      <c r="Q75" s="30">
        <v>58</v>
      </c>
    </row>
    <row r="76" spans="1:17" s="31" customFormat="1" x14ac:dyDescent="0.2">
      <c r="A76" s="31">
        <v>75</v>
      </c>
      <c r="B76" s="31">
        <v>1</v>
      </c>
      <c r="C76" s="31" t="s">
        <v>379</v>
      </c>
      <c r="H76" s="31">
        <f>SUM(_xlfn.IFNA(LOOKUP(Q76,use_fish!A:A,use_fish!E:E),0),_xlfn.IFNA(LOOKUP(R76,use_fish!A:A,use_fish!E:E),0),_xlfn.IFNA(LOOKUP(S76,use_fish!A:A,use_fish!E:E),0),_xlfn.IFNA(LOOKUP(T76,use_fish!A:A,use_fish!E:E),0),_xlfn.IFNA(LOOKUP(U76,use_fish!A:A,use_fish!E:E),0),_xlfn.IFNA(LOOKUP(V76,use_fish!A:A,use_fish!E:E),0),_xlfn.IFNA(LOOKUP(W76,use_fish!A:A,use_fish!E:E),0),)</f>
        <v>93</v>
      </c>
      <c r="I76" s="31">
        <f>SUM(_xlfn.IFNA(LOOKUP(Q76,use_fish!A:A,use_fish!I:I),0),_xlfn.IFNA(LOOKUP(R76,use_fish!A:A,use_fish!I:I),0),_xlfn.IFNA(LOOKUP(S76,use_fish!A:A,use_fish!I:I),0),_xlfn.IFNA(LOOKUP(T76,use_fish!A:A,use_fish!I:I),0),_xlfn.IFNA(LOOKUP(U76,use_fish!A:A,use_fish!I:I),0),_xlfn.IFNA(LOOKUP(V76,use_fish!A:A,use_fish!I:I),0),_xlfn.IFNA(LOOKUP(W76,use_fish!A:A,use_fish!I:I),0),)</f>
        <v>90</v>
      </c>
      <c r="J76" s="32">
        <f>SUM(_xlfn.IFNA(LOOKUP(Q76,use_fish!A:A,use_fish!K:K),0),_xlfn.IFNA(LOOKUP(R76,use_fish!A:A,use_fish!K:K),0),_xlfn.IFNA(LOOKUP(S76,use_fish!A:A,use_fish!K:K),0),_xlfn.IFNA(LOOKUP(T76,use_fish!A:A,use_fish!K:K),0),_xlfn.IFNA(LOOKUP(U76,use_fish!A:A,use_fish!K:K),0),_xlfn.IFNA(LOOKUP(V76,use_fish!A:A,use_fish!K:K),0),_xlfn.IFNA(LOOKUP(W76,use_fish!A:A,use_fish!K:K),0),)</f>
        <v>0</v>
      </c>
      <c r="Q76" s="30">
        <v>59</v>
      </c>
    </row>
    <row r="77" spans="1:17" s="31" customFormat="1" x14ac:dyDescent="0.2">
      <c r="A77" s="31">
        <v>76</v>
      </c>
      <c r="B77" s="31">
        <v>1</v>
      </c>
      <c r="C77" s="31" t="s">
        <v>380</v>
      </c>
      <c r="H77" s="31">
        <f>SUM(_xlfn.IFNA(LOOKUP(Q77,use_fish!A:A,use_fish!E:E),0),_xlfn.IFNA(LOOKUP(R77,use_fish!A:A,use_fish!E:E),0),_xlfn.IFNA(LOOKUP(S77,use_fish!A:A,use_fish!E:E),0),_xlfn.IFNA(LOOKUP(T77,use_fish!A:A,use_fish!E:E),0),_xlfn.IFNA(LOOKUP(U77,use_fish!A:A,use_fish!E:E),0),_xlfn.IFNA(LOOKUP(V77,use_fish!A:A,use_fish!E:E),0),_xlfn.IFNA(LOOKUP(W77,use_fish!A:A,use_fish!E:E),0),)</f>
        <v>93</v>
      </c>
      <c r="I77" s="31">
        <f>SUM(_xlfn.IFNA(LOOKUP(Q77,use_fish!A:A,use_fish!I:I),0),_xlfn.IFNA(LOOKUP(R77,use_fish!A:A,use_fish!I:I),0),_xlfn.IFNA(LOOKUP(S77,use_fish!A:A,use_fish!I:I),0),_xlfn.IFNA(LOOKUP(T77,use_fish!A:A,use_fish!I:I),0),_xlfn.IFNA(LOOKUP(U77,use_fish!A:A,use_fish!I:I),0),_xlfn.IFNA(LOOKUP(V77,use_fish!A:A,use_fish!I:I),0),_xlfn.IFNA(LOOKUP(W77,use_fish!A:A,use_fish!I:I),0),)</f>
        <v>90</v>
      </c>
      <c r="J77" s="32">
        <f>SUM(_xlfn.IFNA(LOOKUP(Q77,use_fish!A:A,use_fish!K:K),0),_xlfn.IFNA(LOOKUP(R77,use_fish!A:A,use_fish!K:K),0),_xlfn.IFNA(LOOKUP(S77,use_fish!A:A,use_fish!K:K),0),_xlfn.IFNA(LOOKUP(T77,use_fish!A:A,use_fish!K:K),0),_xlfn.IFNA(LOOKUP(U77,use_fish!A:A,use_fish!K:K),0),_xlfn.IFNA(LOOKUP(V77,use_fish!A:A,use_fish!K:K),0),_xlfn.IFNA(LOOKUP(W77,use_fish!A:A,use_fish!K:K),0),)</f>
        <v>0</v>
      </c>
      <c r="Q77" s="30">
        <v>60</v>
      </c>
    </row>
    <row r="78" spans="1:17" s="31" customFormat="1" x14ac:dyDescent="0.2">
      <c r="A78" s="31">
        <v>77</v>
      </c>
      <c r="B78" s="31">
        <v>1</v>
      </c>
      <c r="C78" s="31" t="s">
        <v>381</v>
      </c>
      <c r="H78" s="31">
        <f>SUM(_xlfn.IFNA(LOOKUP(Q78,use_fish!A:A,use_fish!E:E),0),_xlfn.IFNA(LOOKUP(R78,use_fish!A:A,use_fish!E:E),0),_xlfn.IFNA(LOOKUP(S78,use_fish!A:A,use_fish!E:E),0),_xlfn.IFNA(LOOKUP(T78,use_fish!A:A,use_fish!E:E),0),_xlfn.IFNA(LOOKUP(U78,use_fish!A:A,use_fish!E:E),0),_xlfn.IFNA(LOOKUP(V78,use_fish!A:A,use_fish!E:E),0),_xlfn.IFNA(LOOKUP(W78,use_fish!A:A,use_fish!E:E),0),)</f>
        <v>135</v>
      </c>
      <c r="I78" s="31">
        <f>SUM(_xlfn.IFNA(LOOKUP(Q78,use_fish!A:A,use_fish!I:I),0),_xlfn.IFNA(LOOKUP(R78,use_fish!A:A,use_fish!I:I),0),_xlfn.IFNA(LOOKUP(S78,use_fish!A:A,use_fish!I:I),0),_xlfn.IFNA(LOOKUP(T78,use_fish!A:A,use_fish!I:I),0),_xlfn.IFNA(LOOKUP(U78,use_fish!A:A,use_fish!I:I),0),_xlfn.IFNA(LOOKUP(V78,use_fish!A:A,use_fish!I:I),0),_xlfn.IFNA(LOOKUP(W78,use_fish!A:A,use_fish!I:I),0),)</f>
        <v>90</v>
      </c>
      <c r="J78" s="32">
        <f>SUM(_xlfn.IFNA(LOOKUP(Q78,use_fish!A:A,use_fish!K:K),0),_xlfn.IFNA(LOOKUP(R78,use_fish!A:A,use_fish!K:K),0),_xlfn.IFNA(LOOKUP(S78,use_fish!A:A,use_fish!K:K),0),_xlfn.IFNA(LOOKUP(T78,use_fish!A:A,use_fish!K:K),0),_xlfn.IFNA(LOOKUP(U78,use_fish!A:A,use_fish!K:K),0),_xlfn.IFNA(LOOKUP(V78,use_fish!A:A,use_fish!K:K),0),_xlfn.IFNA(LOOKUP(W78,use_fish!A:A,use_fish!K:K),0),)</f>
        <v>0</v>
      </c>
      <c r="Q78" s="30">
        <v>61</v>
      </c>
    </row>
    <row r="79" spans="1:17" s="31" customFormat="1" x14ac:dyDescent="0.2">
      <c r="A79" s="31">
        <v>78</v>
      </c>
      <c r="B79" s="31">
        <v>1</v>
      </c>
      <c r="C79" s="31" t="s">
        <v>382</v>
      </c>
      <c r="H79" s="31">
        <f>SUM(_xlfn.IFNA(LOOKUP(Q79,use_fish!A:A,use_fish!E:E),0),_xlfn.IFNA(LOOKUP(R79,use_fish!A:A,use_fish!E:E),0),_xlfn.IFNA(LOOKUP(S79,use_fish!A:A,use_fish!E:E),0),_xlfn.IFNA(LOOKUP(T79,use_fish!A:A,use_fish!E:E),0),_xlfn.IFNA(LOOKUP(U79,use_fish!A:A,use_fish!E:E),0),_xlfn.IFNA(LOOKUP(V79,use_fish!A:A,use_fish!E:E),0),_xlfn.IFNA(LOOKUP(W79,use_fish!A:A,use_fish!E:E),0),)</f>
        <v>114</v>
      </c>
      <c r="I79" s="31">
        <f>SUM(_xlfn.IFNA(LOOKUP(Q79,use_fish!A:A,use_fish!I:I),0),_xlfn.IFNA(LOOKUP(R79,use_fish!A:A,use_fish!I:I),0),_xlfn.IFNA(LOOKUP(S79,use_fish!A:A,use_fish!I:I),0),_xlfn.IFNA(LOOKUP(T79,use_fish!A:A,use_fish!I:I),0),_xlfn.IFNA(LOOKUP(U79,use_fish!A:A,use_fish!I:I),0),_xlfn.IFNA(LOOKUP(V79,use_fish!A:A,use_fish!I:I),0),_xlfn.IFNA(LOOKUP(W79,use_fish!A:A,use_fish!I:I),0),)</f>
        <v>110</v>
      </c>
      <c r="J79" s="32">
        <f>SUM(_xlfn.IFNA(LOOKUP(Q79,use_fish!A:A,use_fish!K:K),0),_xlfn.IFNA(LOOKUP(R79,use_fish!A:A,use_fish!K:K),0),_xlfn.IFNA(LOOKUP(S79,use_fish!A:A,use_fish!K:K),0),_xlfn.IFNA(LOOKUP(T79,use_fish!A:A,use_fish!K:K),0),_xlfn.IFNA(LOOKUP(U79,use_fish!A:A,use_fish!K:K),0),_xlfn.IFNA(LOOKUP(V79,use_fish!A:A,use_fish!K:K),0),_xlfn.IFNA(LOOKUP(W79,use_fish!A:A,use_fish!K:K),0),)</f>
        <v>0</v>
      </c>
      <c r="Q79" s="30">
        <v>62</v>
      </c>
    </row>
    <row r="80" spans="1:17" s="31" customFormat="1" x14ac:dyDescent="0.2">
      <c r="A80" s="31">
        <v>79</v>
      </c>
      <c r="B80" s="31">
        <v>1</v>
      </c>
      <c r="C80" s="31" t="s">
        <v>383</v>
      </c>
      <c r="H80" s="31">
        <f>SUM(_xlfn.IFNA(LOOKUP(Q80,use_fish!A:A,use_fish!E:E),0),_xlfn.IFNA(LOOKUP(R80,use_fish!A:A,use_fish!E:E),0),_xlfn.IFNA(LOOKUP(S80,use_fish!A:A,use_fish!E:E),0),_xlfn.IFNA(LOOKUP(T80,use_fish!A:A,use_fish!E:E),0),_xlfn.IFNA(LOOKUP(U80,use_fish!A:A,use_fish!E:E),0),_xlfn.IFNA(LOOKUP(V80,use_fish!A:A,use_fish!E:E),0),_xlfn.IFNA(LOOKUP(W80,use_fish!A:A,use_fish!E:E),0),)</f>
        <v>135</v>
      </c>
      <c r="I80" s="31">
        <f>SUM(_xlfn.IFNA(LOOKUP(Q80,use_fish!A:A,use_fish!I:I),0),_xlfn.IFNA(LOOKUP(R80,use_fish!A:A,use_fish!I:I),0),_xlfn.IFNA(LOOKUP(S80,use_fish!A:A,use_fish!I:I),0),_xlfn.IFNA(LOOKUP(T80,use_fish!A:A,use_fish!I:I),0),_xlfn.IFNA(LOOKUP(U80,use_fish!A:A,use_fish!I:I),0),_xlfn.IFNA(LOOKUP(V80,use_fish!A:A,use_fish!I:I),0),_xlfn.IFNA(LOOKUP(W80,use_fish!A:A,use_fish!I:I),0),)</f>
        <v>130</v>
      </c>
      <c r="J80" s="32">
        <f>SUM(_xlfn.IFNA(LOOKUP(Q80,use_fish!A:A,use_fish!K:K),0),_xlfn.IFNA(LOOKUP(R80,use_fish!A:A,use_fish!K:K),0),_xlfn.IFNA(LOOKUP(S80,use_fish!A:A,use_fish!K:K),0),_xlfn.IFNA(LOOKUP(T80,use_fish!A:A,use_fish!K:K),0),_xlfn.IFNA(LOOKUP(U80,use_fish!A:A,use_fish!K:K),0),_xlfn.IFNA(LOOKUP(V80,use_fish!A:A,use_fish!K:K),0),_xlfn.IFNA(LOOKUP(W80,use_fish!A:A,use_fish!K:K),0),)</f>
        <v>0</v>
      </c>
      <c r="Q80" s="30">
        <v>63</v>
      </c>
    </row>
    <row r="81" spans="1:17" s="31" customFormat="1" x14ac:dyDescent="0.2">
      <c r="A81" s="31">
        <v>80</v>
      </c>
      <c r="B81" s="31">
        <v>1</v>
      </c>
      <c r="C81" s="31" t="s">
        <v>384</v>
      </c>
      <c r="H81" s="31">
        <f>SUM(_xlfn.IFNA(LOOKUP(Q81,use_fish!A:A,use_fish!E:E),0),_xlfn.IFNA(LOOKUP(R81,use_fish!A:A,use_fish!E:E),0),_xlfn.IFNA(LOOKUP(S81,use_fish!A:A,use_fish!E:E),0),_xlfn.IFNA(LOOKUP(T81,use_fish!A:A,use_fish!E:E),0),_xlfn.IFNA(LOOKUP(U81,use_fish!A:A,use_fish!E:E),0),_xlfn.IFNA(LOOKUP(V81,use_fish!A:A,use_fish!E:E),0),_xlfn.IFNA(LOOKUP(W81,use_fish!A:A,use_fish!E:E),0),)</f>
        <v>135</v>
      </c>
      <c r="I81" s="31">
        <f>SUM(_xlfn.IFNA(LOOKUP(Q81,use_fish!A:A,use_fish!I:I),0),_xlfn.IFNA(LOOKUP(R81,use_fish!A:A,use_fish!I:I),0),_xlfn.IFNA(LOOKUP(S81,use_fish!A:A,use_fish!I:I),0),_xlfn.IFNA(LOOKUP(T81,use_fish!A:A,use_fish!I:I),0),_xlfn.IFNA(LOOKUP(U81,use_fish!A:A,use_fish!I:I),0),_xlfn.IFNA(LOOKUP(V81,use_fish!A:A,use_fish!I:I),0),_xlfn.IFNA(LOOKUP(W81,use_fish!A:A,use_fish!I:I),0),)</f>
        <v>130</v>
      </c>
      <c r="J81" s="32">
        <f>SUM(_xlfn.IFNA(LOOKUP(Q81,use_fish!A:A,use_fish!K:K),0),_xlfn.IFNA(LOOKUP(R81,use_fish!A:A,use_fish!K:K),0),_xlfn.IFNA(LOOKUP(S81,use_fish!A:A,use_fish!K:K),0),_xlfn.IFNA(LOOKUP(T81,use_fish!A:A,use_fish!K:K),0),_xlfn.IFNA(LOOKUP(U81,use_fish!A:A,use_fish!K:K),0),_xlfn.IFNA(LOOKUP(V81,use_fish!A:A,use_fish!K:K),0),_xlfn.IFNA(LOOKUP(W81,use_fish!A:A,use_fish!K:K),0),)</f>
        <v>0</v>
      </c>
      <c r="Q81" s="30">
        <v>64</v>
      </c>
    </row>
    <row r="82" spans="1:17" s="31" customFormat="1" x14ac:dyDescent="0.2">
      <c r="A82" s="31">
        <v>81</v>
      </c>
      <c r="B82" s="31">
        <v>1</v>
      </c>
      <c r="C82" s="31" t="s">
        <v>385</v>
      </c>
      <c r="H82" s="31">
        <f>SUM(_xlfn.IFNA(LOOKUP(Q82,use_fish!A:A,use_fish!E:E),0),_xlfn.IFNA(LOOKUP(R82,use_fish!A:A,use_fish!E:E),0),_xlfn.IFNA(LOOKUP(S82,use_fish!A:A,use_fish!E:E),0),_xlfn.IFNA(LOOKUP(T82,use_fish!A:A,use_fish!E:E),0),_xlfn.IFNA(LOOKUP(U82,use_fish!A:A,use_fish!E:E),0),_xlfn.IFNA(LOOKUP(V82,use_fish!A:A,use_fish!E:E),0),_xlfn.IFNA(LOOKUP(W82,use_fish!A:A,use_fish!E:E),0),)</f>
        <v>65</v>
      </c>
      <c r="I82" s="31">
        <f>SUM(_xlfn.IFNA(LOOKUP(Q82,use_fish!A:A,use_fish!I:I),0),_xlfn.IFNA(LOOKUP(R82,use_fish!A:A,use_fish!I:I),0),_xlfn.IFNA(LOOKUP(S82,use_fish!A:A,use_fish!I:I),0),_xlfn.IFNA(LOOKUP(T82,use_fish!A:A,use_fish!I:I),0),_xlfn.IFNA(LOOKUP(U82,use_fish!A:A,use_fish!I:I),0),_xlfn.IFNA(LOOKUP(V82,use_fish!A:A,use_fish!I:I),0),_xlfn.IFNA(LOOKUP(W82,use_fish!A:A,use_fish!I:I),0),)</f>
        <v>65</v>
      </c>
      <c r="J82" s="32">
        <f>SUM(_xlfn.IFNA(LOOKUP(Q82,use_fish!A:A,use_fish!K:K),0),_xlfn.IFNA(LOOKUP(R82,use_fish!A:A,use_fish!K:K),0),_xlfn.IFNA(LOOKUP(S82,use_fish!A:A,use_fish!K:K),0),_xlfn.IFNA(LOOKUP(T82,use_fish!A:A,use_fish!K:K),0),_xlfn.IFNA(LOOKUP(U82,use_fish!A:A,use_fish!K:K),0),_xlfn.IFNA(LOOKUP(V82,use_fish!A:A,use_fish!K:K),0),_xlfn.IFNA(LOOKUP(W82,use_fish!A:A,use_fish!K:K),0),)</f>
        <v>0</v>
      </c>
      <c r="Q82" s="30">
        <v>65</v>
      </c>
    </row>
    <row r="83" spans="1:17" s="31" customFormat="1" x14ac:dyDescent="0.2">
      <c r="A83" s="31">
        <v>82</v>
      </c>
      <c r="B83" s="31">
        <v>1</v>
      </c>
      <c r="C83" s="31" t="s">
        <v>386</v>
      </c>
      <c r="H83" s="31">
        <f>SUM(_xlfn.IFNA(LOOKUP(Q83,use_fish!A:A,use_fish!E:E),0),_xlfn.IFNA(LOOKUP(R83,use_fish!A:A,use_fish!E:E),0),_xlfn.IFNA(LOOKUP(S83,use_fish!A:A,use_fish!E:E),0),_xlfn.IFNA(LOOKUP(T83,use_fish!A:A,use_fish!E:E),0),_xlfn.IFNA(LOOKUP(U83,use_fish!A:A,use_fish!E:E),0),_xlfn.IFNA(LOOKUP(V83,use_fish!A:A,use_fish!E:E),0),_xlfn.IFNA(LOOKUP(W83,use_fish!A:A,use_fish!E:E),0),)</f>
        <v>68</v>
      </c>
      <c r="I83" s="31">
        <f>SUM(_xlfn.IFNA(LOOKUP(Q83,use_fish!A:A,use_fish!I:I),0),_xlfn.IFNA(LOOKUP(R83,use_fish!A:A,use_fish!I:I),0),_xlfn.IFNA(LOOKUP(S83,use_fish!A:A,use_fish!I:I),0),_xlfn.IFNA(LOOKUP(T83,use_fish!A:A,use_fish!I:I),0),_xlfn.IFNA(LOOKUP(U83,use_fish!A:A,use_fish!I:I),0),_xlfn.IFNA(LOOKUP(V83,use_fish!A:A,use_fish!I:I),0),_xlfn.IFNA(LOOKUP(W83,use_fish!A:A,use_fish!I:I),0),)</f>
        <v>68</v>
      </c>
      <c r="J83" s="32">
        <f>SUM(_xlfn.IFNA(LOOKUP(Q83,use_fish!A:A,use_fish!K:K),0),_xlfn.IFNA(LOOKUP(R83,use_fish!A:A,use_fish!K:K),0),_xlfn.IFNA(LOOKUP(S83,use_fish!A:A,use_fish!K:K),0),_xlfn.IFNA(LOOKUP(T83,use_fish!A:A,use_fish!K:K),0),_xlfn.IFNA(LOOKUP(U83,use_fish!A:A,use_fish!K:K),0),_xlfn.IFNA(LOOKUP(V83,use_fish!A:A,use_fish!K:K),0),_xlfn.IFNA(LOOKUP(W83,use_fish!A:A,use_fish!K:K),0),)</f>
        <v>0</v>
      </c>
      <c r="Q83" s="30">
        <v>66</v>
      </c>
    </row>
    <row r="84" spans="1:17" s="31" customFormat="1" x14ac:dyDescent="0.2">
      <c r="A84" s="31">
        <v>83</v>
      </c>
      <c r="B84" s="31">
        <v>1</v>
      </c>
      <c r="C84" s="31" t="s">
        <v>387</v>
      </c>
      <c r="H84" s="31">
        <f>SUM(_xlfn.IFNA(LOOKUP(Q84,use_fish!A:A,use_fish!E:E),0),_xlfn.IFNA(LOOKUP(R84,use_fish!A:A,use_fish!E:E),0),_xlfn.IFNA(LOOKUP(S84,use_fish!A:A,use_fish!E:E),0),_xlfn.IFNA(LOOKUP(T84,use_fish!A:A,use_fish!E:E),0),_xlfn.IFNA(LOOKUP(U84,use_fish!A:A,use_fish!E:E),0),_xlfn.IFNA(LOOKUP(V84,use_fish!A:A,use_fish!E:E),0),_xlfn.IFNA(LOOKUP(W84,use_fish!A:A,use_fish!E:E),0),)</f>
        <v>70</v>
      </c>
      <c r="I84" s="31">
        <f>SUM(_xlfn.IFNA(LOOKUP(Q84,use_fish!A:A,use_fish!I:I),0),_xlfn.IFNA(LOOKUP(R84,use_fish!A:A,use_fish!I:I),0),_xlfn.IFNA(LOOKUP(S84,use_fish!A:A,use_fish!I:I),0),_xlfn.IFNA(LOOKUP(T84,use_fish!A:A,use_fish!I:I),0),_xlfn.IFNA(LOOKUP(U84,use_fish!A:A,use_fish!I:I),0),_xlfn.IFNA(LOOKUP(V84,use_fish!A:A,use_fish!I:I),0),_xlfn.IFNA(LOOKUP(W84,use_fish!A:A,use_fish!I:I),0),)</f>
        <v>70</v>
      </c>
      <c r="J84" s="32">
        <f>SUM(_xlfn.IFNA(LOOKUP(Q84,use_fish!A:A,use_fish!K:K),0),_xlfn.IFNA(LOOKUP(R84,use_fish!A:A,use_fish!K:K),0),_xlfn.IFNA(LOOKUP(S84,use_fish!A:A,use_fish!K:K),0),_xlfn.IFNA(LOOKUP(T84,use_fish!A:A,use_fish!K:K),0),_xlfn.IFNA(LOOKUP(U84,use_fish!A:A,use_fish!K:K),0),_xlfn.IFNA(LOOKUP(V84,use_fish!A:A,use_fish!K:K),0),_xlfn.IFNA(LOOKUP(W84,use_fish!A:A,use_fish!K:K),0),)</f>
        <v>0</v>
      </c>
      <c r="Q84" s="30">
        <v>67</v>
      </c>
    </row>
    <row r="85" spans="1:17" s="31" customFormat="1" x14ac:dyDescent="0.2">
      <c r="A85" s="31">
        <v>84</v>
      </c>
      <c r="B85" s="31">
        <v>1</v>
      </c>
      <c r="C85" s="31" t="s">
        <v>388</v>
      </c>
      <c r="H85" s="31">
        <f>SUM(_xlfn.IFNA(LOOKUP(Q85,use_fish!A:A,use_fish!E:E),0),_xlfn.IFNA(LOOKUP(R85,use_fish!A:A,use_fish!E:E),0),_xlfn.IFNA(LOOKUP(S85,use_fish!A:A,use_fish!E:E),0),_xlfn.IFNA(LOOKUP(T85,use_fish!A:A,use_fish!E:E),0),_xlfn.IFNA(LOOKUP(U85,use_fish!A:A,use_fish!E:E),0),_xlfn.IFNA(LOOKUP(V85,use_fish!A:A,use_fish!E:E),0),_xlfn.IFNA(LOOKUP(W85,use_fish!A:A,use_fish!E:E),0),)</f>
        <v>75</v>
      </c>
      <c r="I85" s="31">
        <f>SUM(_xlfn.IFNA(LOOKUP(Q85,use_fish!A:A,use_fish!I:I),0),_xlfn.IFNA(LOOKUP(R85,use_fish!A:A,use_fish!I:I),0),_xlfn.IFNA(LOOKUP(S85,use_fish!A:A,use_fish!I:I),0),_xlfn.IFNA(LOOKUP(T85,use_fish!A:A,use_fish!I:I),0),_xlfn.IFNA(LOOKUP(U85,use_fish!A:A,use_fish!I:I),0),_xlfn.IFNA(LOOKUP(V85,use_fish!A:A,use_fish!I:I),0),_xlfn.IFNA(LOOKUP(W85,use_fish!A:A,use_fish!I:I),0),)</f>
        <v>75</v>
      </c>
      <c r="J85" s="32">
        <f>SUM(_xlfn.IFNA(LOOKUP(Q85,use_fish!A:A,use_fish!K:K),0),_xlfn.IFNA(LOOKUP(R85,use_fish!A:A,use_fish!K:K),0),_xlfn.IFNA(LOOKUP(S85,use_fish!A:A,use_fish!K:K),0),_xlfn.IFNA(LOOKUP(T85,use_fish!A:A,use_fish!K:K),0),_xlfn.IFNA(LOOKUP(U85,use_fish!A:A,use_fish!K:K),0),_xlfn.IFNA(LOOKUP(V85,use_fish!A:A,use_fish!K:K),0),_xlfn.IFNA(LOOKUP(W85,use_fish!A:A,use_fish!K:K),0),)</f>
        <v>0</v>
      </c>
      <c r="Q85" s="30">
        <v>68</v>
      </c>
    </row>
    <row r="86" spans="1:17" s="31" customFormat="1" x14ac:dyDescent="0.2">
      <c r="A86" s="31">
        <v>85</v>
      </c>
      <c r="B86" s="31">
        <v>1</v>
      </c>
      <c r="C86" s="31" t="s">
        <v>389</v>
      </c>
      <c r="H86" s="31">
        <f>SUM(_xlfn.IFNA(LOOKUP(Q86,use_fish!A:A,use_fish!E:E),0),_xlfn.IFNA(LOOKUP(R86,use_fish!A:A,use_fish!E:E),0),_xlfn.IFNA(LOOKUP(S86,use_fish!A:A,use_fish!E:E),0),_xlfn.IFNA(LOOKUP(T86,use_fish!A:A,use_fish!E:E),0),_xlfn.IFNA(LOOKUP(U86,use_fish!A:A,use_fish!E:E),0),_xlfn.IFNA(LOOKUP(V86,use_fish!A:A,use_fish!E:E),0),_xlfn.IFNA(LOOKUP(W86,use_fish!A:A,use_fish!E:E),0),)</f>
        <v>80</v>
      </c>
      <c r="I86" s="31">
        <f>SUM(_xlfn.IFNA(LOOKUP(Q86,use_fish!A:A,use_fish!I:I),0),_xlfn.IFNA(LOOKUP(R86,use_fish!A:A,use_fish!I:I),0),_xlfn.IFNA(LOOKUP(S86,use_fish!A:A,use_fish!I:I),0),_xlfn.IFNA(LOOKUP(T86,use_fish!A:A,use_fish!I:I),0),_xlfn.IFNA(LOOKUP(U86,use_fish!A:A,use_fish!I:I),0),_xlfn.IFNA(LOOKUP(V86,use_fish!A:A,use_fish!I:I),0),_xlfn.IFNA(LOOKUP(W86,use_fish!A:A,use_fish!I:I),0),)</f>
        <v>80</v>
      </c>
      <c r="J86" s="32">
        <f>SUM(_xlfn.IFNA(LOOKUP(Q86,use_fish!A:A,use_fish!K:K),0),_xlfn.IFNA(LOOKUP(R86,use_fish!A:A,use_fish!K:K),0),_xlfn.IFNA(LOOKUP(S86,use_fish!A:A,use_fish!K:K),0),_xlfn.IFNA(LOOKUP(T86,use_fish!A:A,use_fish!K:K),0),_xlfn.IFNA(LOOKUP(U86,use_fish!A:A,use_fish!K:K),0),_xlfn.IFNA(LOOKUP(V86,use_fish!A:A,use_fish!K:K),0),_xlfn.IFNA(LOOKUP(W86,use_fish!A:A,use_fish!K:K),0),)</f>
        <v>0</v>
      </c>
      <c r="Q86" s="30">
        <v>69</v>
      </c>
    </row>
    <row r="87" spans="1:17" s="31" customFormat="1" x14ac:dyDescent="0.2">
      <c r="A87" s="31">
        <v>86</v>
      </c>
      <c r="B87" s="31">
        <v>1</v>
      </c>
      <c r="C87" s="31" t="s">
        <v>390</v>
      </c>
      <c r="H87" s="31">
        <f>SUM(_xlfn.IFNA(LOOKUP(Q87,use_fish!A:A,use_fish!E:E),0),_xlfn.IFNA(LOOKUP(R87,use_fish!A:A,use_fish!E:E),0),_xlfn.IFNA(LOOKUP(S87,use_fish!A:A,use_fish!E:E),0),_xlfn.IFNA(LOOKUP(T87,use_fish!A:A,use_fish!E:E),0),_xlfn.IFNA(LOOKUP(U87,use_fish!A:A,use_fish!E:E),0),_xlfn.IFNA(LOOKUP(V87,use_fish!A:A,use_fish!E:E),0),_xlfn.IFNA(LOOKUP(W87,use_fish!A:A,use_fish!E:E),0),)</f>
        <v>85</v>
      </c>
      <c r="I87" s="31">
        <f>SUM(_xlfn.IFNA(LOOKUP(Q87,use_fish!A:A,use_fish!I:I),0),_xlfn.IFNA(LOOKUP(R87,use_fish!A:A,use_fish!I:I),0),_xlfn.IFNA(LOOKUP(S87,use_fish!A:A,use_fish!I:I),0),_xlfn.IFNA(LOOKUP(T87,use_fish!A:A,use_fish!I:I),0),_xlfn.IFNA(LOOKUP(U87,use_fish!A:A,use_fish!I:I),0),_xlfn.IFNA(LOOKUP(V87,use_fish!A:A,use_fish!I:I),0),_xlfn.IFNA(LOOKUP(W87,use_fish!A:A,use_fish!I:I),0),)</f>
        <v>85</v>
      </c>
      <c r="J87" s="32">
        <f>SUM(_xlfn.IFNA(LOOKUP(Q87,use_fish!A:A,use_fish!K:K),0),_xlfn.IFNA(LOOKUP(R87,use_fish!A:A,use_fish!K:K),0),_xlfn.IFNA(LOOKUP(S87,use_fish!A:A,use_fish!K:K),0),_xlfn.IFNA(LOOKUP(T87,use_fish!A:A,use_fish!K:K),0),_xlfn.IFNA(LOOKUP(U87,use_fish!A:A,use_fish!K:K),0),_xlfn.IFNA(LOOKUP(V87,use_fish!A:A,use_fish!K:K),0),_xlfn.IFNA(LOOKUP(W87,use_fish!A:A,use_fish!K:K),0),)</f>
        <v>0</v>
      </c>
      <c r="Q87" s="30">
        <v>70</v>
      </c>
    </row>
    <row r="88" spans="1:17" s="31" customFormat="1" x14ac:dyDescent="0.2">
      <c r="A88" s="31">
        <v>87</v>
      </c>
      <c r="B88" s="31">
        <v>1</v>
      </c>
      <c r="C88" s="31" t="s">
        <v>391</v>
      </c>
      <c r="H88" s="31">
        <f>SUM(_xlfn.IFNA(LOOKUP(Q88,use_fish!A:A,use_fish!E:E),0),_xlfn.IFNA(LOOKUP(R88,use_fish!A:A,use_fish!E:E),0),_xlfn.IFNA(LOOKUP(S88,use_fish!A:A,use_fish!E:E),0),_xlfn.IFNA(LOOKUP(T88,use_fish!A:A,use_fish!E:E),0),_xlfn.IFNA(LOOKUP(U88,use_fish!A:A,use_fish!E:E),0),_xlfn.IFNA(LOOKUP(V88,use_fish!A:A,use_fish!E:E),0),_xlfn.IFNA(LOOKUP(W88,use_fish!A:A,use_fish!E:E),0),)</f>
        <v>90</v>
      </c>
      <c r="I88" s="31">
        <f>SUM(_xlfn.IFNA(LOOKUP(Q88,use_fish!A:A,use_fish!I:I),0),_xlfn.IFNA(LOOKUP(R88,use_fish!A:A,use_fish!I:I),0),_xlfn.IFNA(LOOKUP(S88,use_fish!A:A,use_fish!I:I),0),_xlfn.IFNA(LOOKUP(T88,use_fish!A:A,use_fish!I:I),0),_xlfn.IFNA(LOOKUP(U88,use_fish!A:A,use_fish!I:I),0),_xlfn.IFNA(LOOKUP(V88,use_fish!A:A,use_fish!I:I),0),_xlfn.IFNA(LOOKUP(W88,use_fish!A:A,use_fish!I:I),0),)</f>
        <v>90</v>
      </c>
      <c r="J88" s="32">
        <f>SUM(_xlfn.IFNA(LOOKUP(Q88,use_fish!A:A,use_fish!K:K),0),_xlfn.IFNA(LOOKUP(R88,use_fish!A:A,use_fish!K:K),0),_xlfn.IFNA(LOOKUP(S88,use_fish!A:A,use_fish!K:K),0),_xlfn.IFNA(LOOKUP(T88,use_fish!A:A,use_fish!K:K),0),_xlfn.IFNA(LOOKUP(U88,use_fish!A:A,use_fish!K:K),0),_xlfn.IFNA(LOOKUP(V88,use_fish!A:A,use_fish!K:K),0),_xlfn.IFNA(LOOKUP(W88,use_fish!A:A,use_fish!K:K),0),)</f>
        <v>0</v>
      </c>
      <c r="Q88" s="30">
        <v>71</v>
      </c>
    </row>
    <row r="89" spans="1:17" s="31" customFormat="1" x14ac:dyDescent="0.2">
      <c r="A89" s="31">
        <v>88</v>
      </c>
      <c r="B89" s="31">
        <v>1</v>
      </c>
      <c r="C89" s="31" t="s">
        <v>392</v>
      </c>
      <c r="H89" s="31">
        <f>SUM(_xlfn.IFNA(LOOKUP(Q89,use_fish!A:A,use_fish!E:E),0),_xlfn.IFNA(LOOKUP(R89,use_fish!A:A,use_fish!E:E),0),_xlfn.IFNA(LOOKUP(S89,use_fish!A:A,use_fish!E:E),0),_xlfn.IFNA(LOOKUP(T89,use_fish!A:A,use_fish!E:E),0),_xlfn.IFNA(LOOKUP(U89,use_fish!A:A,use_fish!E:E),0),_xlfn.IFNA(LOOKUP(V89,use_fish!A:A,use_fish!E:E),0),_xlfn.IFNA(LOOKUP(W89,use_fish!A:A,use_fish!E:E),0),)</f>
        <v>110</v>
      </c>
      <c r="I89" s="31">
        <f>SUM(_xlfn.IFNA(LOOKUP(Q89,use_fish!A:A,use_fish!I:I),0),_xlfn.IFNA(LOOKUP(R89,use_fish!A:A,use_fish!I:I),0),_xlfn.IFNA(LOOKUP(S89,use_fish!A:A,use_fish!I:I),0),_xlfn.IFNA(LOOKUP(T89,use_fish!A:A,use_fish!I:I),0),_xlfn.IFNA(LOOKUP(U89,use_fish!A:A,use_fish!I:I),0),_xlfn.IFNA(LOOKUP(V89,use_fish!A:A,use_fish!I:I),0),_xlfn.IFNA(LOOKUP(W89,use_fish!A:A,use_fish!I:I),0),)</f>
        <v>110</v>
      </c>
      <c r="J89" s="32">
        <f>SUM(_xlfn.IFNA(LOOKUP(Q89,use_fish!A:A,use_fish!K:K),0),_xlfn.IFNA(LOOKUP(R89,use_fish!A:A,use_fish!K:K),0),_xlfn.IFNA(LOOKUP(S89,use_fish!A:A,use_fish!K:K),0),_xlfn.IFNA(LOOKUP(T89,use_fish!A:A,use_fish!K:K),0),_xlfn.IFNA(LOOKUP(U89,use_fish!A:A,use_fish!K:K),0),_xlfn.IFNA(LOOKUP(V89,use_fish!A:A,use_fish!K:K),0),_xlfn.IFNA(LOOKUP(W89,use_fish!A:A,use_fish!K:K),0),)</f>
        <v>0</v>
      </c>
      <c r="Q89" s="30">
        <v>72</v>
      </c>
    </row>
    <row r="90" spans="1:17" s="31" customFormat="1" x14ac:dyDescent="0.2">
      <c r="A90" s="31">
        <v>89</v>
      </c>
      <c r="B90" s="31">
        <v>1</v>
      </c>
      <c r="C90" s="31" t="s">
        <v>393</v>
      </c>
      <c r="H90" s="31">
        <f>SUM(_xlfn.IFNA(LOOKUP(Q90,use_fish!A:A,use_fish!E:E),0),_xlfn.IFNA(LOOKUP(R90,use_fish!A:A,use_fish!E:E),0),_xlfn.IFNA(LOOKUP(S90,use_fish!A:A,use_fish!E:E),0),_xlfn.IFNA(LOOKUP(T90,use_fish!A:A,use_fish!E:E),0),_xlfn.IFNA(LOOKUP(U90,use_fish!A:A,use_fish!E:E),0),_xlfn.IFNA(LOOKUP(V90,use_fish!A:A,use_fish!E:E),0),_xlfn.IFNA(LOOKUP(W90,use_fish!A:A,use_fish!E:E),0),)</f>
        <v>113</v>
      </c>
      <c r="I90" s="31">
        <f>SUM(_xlfn.IFNA(LOOKUP(Q90,use_fish!A:A,use_fish!I:I),0),_xlfn.IFNA(LOOKUP(R90,use_fish!A:A,use_fish!I:I),0),_xlfn.IFNA(LOOKUP(S90,use_fish!A:A,use_fish!I:I),0),_xlfn.IFNA(LOOKUP(T90,use_fish!A:A,use_fish!I:I),0),_xlfn.IFNA(LOOKUP(U90,use_fish!A:A,use_fish!I:I),0),_xlfn.IFNA(LOOKUP(V90,use_fish!A:A,use_fish!I:I),0),_xlfn.IFNA(LOOKUP(W90,use_fish!A:A,use_fish!I:I),0),)</f>
        <v>110</v>
      </c>
      <c r="J90" s="32">
        <f>SUM(_xlfn.IFNA(LOOKUP(Q90,use_fish!A:A,use_fish!K:K),0),_xlfn.IFNA(LOOKUP(R90,use_fish!A:A,use_fish!K:K),0),_xlfn.IFNA(LOOKUP(S90,use_fish!A:A,use_fish!K:K),0),_xlfn.IFNA(LOOKUP(T90,use_fish!A:A,use_fish!K:K),0),_xlfn.IFNA(LOOKUP(U90,use_fish!A:A,use_fish!K:K),0),_xlfn.IFNA(LOOKUP(V90,use_fish!A:A,use_fish!K:K),0),_xlfn.IFNA(LOOKUP(W90,use_fish!A:A,use_fish!K:K),0),)</f>
        <v>0</v>
      </c>
      <c r="Q90" s="30">
        <v>73</v>
      </c>
    </row>
    <row r="91" spans="1:17" s="31" customFormat="1" x14ac:dyDescent="0.2">
      <c r="A91" s="31">
        <v>90</v>
      </c>
      <c r="B91" s="31">
        <v>1</v>
      </c>
      <c r="C91" s="31" t="s">
        <v>394</v>
      </c>
      <c r="H91" s="31">
        <f>SUM(_xlfn.IFNA(LOOKUP(Q91,use_fish!A:A,use_fish!E:E),0),_xlfn.IFNA(LOOKUP(R91,use_fish!A:A,use_fish!E:E),0),_xlfn.IFNA(LOOKUP(S91,use_fish!A:A,use_fish!E:E),0),_xlfn.IFNA(LOOKUP(T91,use_fish!A:A,use_fish!E:E),0),_xlfn.IFNA(LOOKUP(U91,use_fish!A:A,use_fish!E:E),0),_xlfn.IFNA(LOOKUP(V91,use_fish!A:A,use_fish!E:E),0),_xlfn.IFNA(LOOKUP(W91,use_fish!A:A,use_fish!E:E),0),)</f>
        <v>113</v>
      </c>
      <c r="I91" s="31">
        <f>SUM(_xlfn.IFNA(LOOKUP(Q91,use_fish!A:A,use_fish!I:I),0),_xlfn.IFNA(LOOKUP(R91,use_fish!A:A,use_fish!I:I),0),_xlfn.IFNA(LOOKUP(S91,use_fish!A:A,use_fish!I:I),0),_xlfn.IFNA(LOOKUP(T91,use_fish!A:A,use_fish!I:I),0),_xlfn.IFNA(LOOKUP(U91,use_fish!A:A,use_fish!I:I),0),_xlfn.IFNA(LOOKUP(V91,use_fish!A:A,use_fish!I:I),0),_xlfn.IFNA(LOOKUP(W91,use_fish!A:A,use_fish!I:I),0),)</f>
        <v>110</v>
      </c>
      <c r="J91" s="32">
        <f>SUM(_xlfn.IFNA(LOOKUP(Q91,use_fish!A:A,use_fish!K:K),0),_xlfn.IFNA(LOOKUP(R91,use_fish!A:A,use_fish!K:K),0),_xlfn.IFNA(LOOKUP(S91,use_fish!A:A,use_fish!K:K),0),_xlfn.IFNA(LOOKUP(T91,use_fish!A:A,use_fish!K:K),0),_xlfn.IFNA(LOOKUP(U91,use_fish!A:A,use_fish!K:K),0),_xlfn.IFNA(LOOKUP(V91,use_fish!A:A,use_fish!K:K),0),_xlfn.IFNA(LOOKUP(W91,use_fish!A:A,use_fish!K:K),0),)</f>
        <v>0</v>
      </c>
      <c r="Q91" s="30">
        <v>74</v>
      </c>
    </row>
    <row r="92" spans="1:17" s="31" customFormat="1" x14ac:dyDescent="0.2">
      <c r="A92" s="31">
        <v>91</v>
      </c>
      <c r="B92" s="31">
        <v>1</v>
      </c>
      <c r="C92" s="31" t="s">
        <v>395</v>
      </c>
      <c r="H92" s="31">
        <f>SUM(_xlfn.IFNA(LOOKUP(Q92,use_fish!A:A,use_fish!E:E),0),_xlfn.IFNA(LOOKUP(R92,use_fish!A:A,use_fish!E:E),0),_xlfn.IFNA(LOOKUP(S92,use_fish!A:A,use_fish!E:E),0),_xlfn.IFNA(LOOKUP(T92,use_fish!A:A,use_fish!E:E),0),_xlfn.IFNA(LOOKUP(U92,use_fish!A:A,use_fish!E:E),0),_xlfn.IFNA(LOOKUP(V92,use_fish!A:A,use_fish!E:E),0),_xlfn.IFNA(LOOKUP(W92,use_fish!A:A,use_fish!E:E),0),)</f>
        <v>155</v>
      </c>
      <c r="I92" s="31">
        <f>SUM(_xlfn.IFNA(LOOKUP(Q92,use_fish!A:A,use_fish!I:I),0),_xlfn.IFNA(LOOKUP(R92,use_fish!A:A,use_fish!I:I),0),_xlfn.IFNA(LOOKUP(S92,use_fish!A:A,use_fish!I:I),0),_xlfn.IFNA(LOOKUP(T92,use_fish!A:A,use_fish!I:I),0),_xlfn.IFNA(LOOKUP(U92,use_fish!A:A,use_fish!I:I),0),_xlfn.IFNA(LOOKUP(V92,use_fish!A:A,use_fish!I:I),0),_xlfn.IFNA(LOOKUP(W92,use_fish!A:A,use_fish!I:I),0),)</f>
        <v>110</v>
      </c>
      <c r="J92" s="32">
        <f>SUM(_xlfn.IFNA(LOOKUP(Q92,use_fish!A:A,use_fish!K:K),0),_xlfn.IFNA(LOOKUP(R92,use_fish!A:A,use_fish!K:K),0),_xlfn.IFNA(LOOKUP(S92,use_fish!A:A,use_fish!K:K),0),_xlfn.IFNA(LOOKUP(T92,use_fish!A:A,use_fish!K:K),0),_xlfn.IFNA(LOOKUP(U92,use_fish!A:A,use_fish!K:K),0),_xlfn.IFNA(LOOKUP(V92,use_fish!A:A,use_fish!K:K),0),_xlfn.IFNA(LOOKUP(W92,use_fish!A:A,use_fish!K:K),0),)</f>
        <v>0</v>
      </c>
      <c r="Q92" s="30">
        <v>75</v>
      </c>
    </row>
    <row r="93" spans="1:17" s="31" customFormat="1" x14ac:dyDescent="0.2">
      <c r="A93" s="31">
        <v>92</v>
      </c>
      <c r="B93" s="31">
        <v>1</v>
      </c>
      <c r="C93" s="31" t="s">
        <v>396</v>
      </c>
      <c r="H93" s="31">
        <f>SUM(_xlfn.IFNA(LOOKUP(Q93,use_fish!A:A,use_fish!E:E),0),_xlfn.IFNA(LOOKUP(R93,use_fish!A:A,use_fish!E:E),0),_xlfn.IFNA(LOOKUP(S93,use_fish!A:A,use_fish!E:E),0),_xlfn.IFNA(LOOKUP(T93,use_fish!A:A,use_fish!E:E),0),_xlfn.IFNA(LOOKUP(U93,use_fish!A:A,use_fish!E:E),0),_xlfn.IFNA(LOOKUP(V93,use_fish!A:A,use_fish!E:E),0),_xlfn.IFNA(LOOKUP(W93,use_fish!A:A,use_fish!E:E),0),)</f>
        <v>134</v>
      </c>
      <c r="I93" s="31">
        <f>SUM(_xlfn.IFNA(LOOKUP(Q93,use_fish!A:A,use_fish!I:I),0),_xlfn.IFNA(LOOKUP(R93,use_fish!A:A,use_fish!I:I),0),_xlfn.IFNA(LOOKUP(S93,use_fish!A:A,use_fish!I:I),0),_xlfn.IFNA(LOOKUP(T93,use_fish!A:A,use_fish!I:I),0),_xlfn.IFNA(LOOKUP(U93,use_fish!A:A,use_fish!I:I),0),_xlfn.IFNA(LOOKUP(V93,use_fish!A:A,use_fish!I:I),0),_xlfn.IFNA(LOOKUP(W93,use_fish!A:A,use_fish!I:I),0),)</f>
        <v>130</v>
      </c>
      <c r="J93" s="32">
        <f>SUM(_xlfn.IFNA(LOOKUP(Q93,use_fish!A:A,use_fish!K:K),0),_xlfn.IFNA(LOOKUP(R93,use_fish!A:A,use_fish!K:K),0),_xlfn.IFNA(LOOKUP(S93,use_fish!A:A,use_fish!K:K),0),_xlfn.IFNA(LOOKUP(T93,use_fish!A:A,use_fish!K:K),0),_xlfn.IFNA(LOOKUP(U93,use_fish!A:A,use_fish!K:K),0),_xlfn.IFNA(LOOKUP(V93,use_fish!A:A,use_fish!K:K),0),_xlfn.IFNA(LOOKUP(W93,use_fish!A:A,use_fish!K:K),0),)</f>
        <v>0</v>
      </c>
      <c r="Q93" s="30">
        <v>76</v>
      </c>
    </row>
    <row r="94" spans="1:17" s="31" customFormat="1" x14ac:dyDescent="0.2">
      <c r="A94" s="31">
        <v>93</v>
      </c>
      <c r="B94" s="31">
        <v>1</v>
      </c>
      <c r="C94" s="31" t="s">
        <v>397</v>
      </c>
      <c r="H94" s="31">
        <f>SUM(_xlfn.IFNA(LOOKUP(Q94,use_fish!A:A,use_fish!E:E),0),_xlfn.IFNA(LOOKUP(R94,use_fish!A:A,use_fish!E:E),0),_xlfn.IFNA(LOOKUP(S94,use_fish!A:A,use_fish!E:E),0),_xlfn.IFNA(LOOKUP(T94,use_fish!A:A,use_fish!E:E),0),_xlfn.IFNA(LOOKUP(U94,use_fish!A:A,use_fish!E:E),0),_xlfn.IFNA(LOOKUP(V94,use_fish!A:A,use_fish!E:E),0),_xlfn.IFNA(LOOKUP(W94,use_fish!A:A,use_fish!E:E),0),)</f>
        <v>155</v>
      </c>
      <c r="I94" s="31">
        <f>SUM(_xlfn.IFNA(LOOKUP(Q94,use_fish!A:A,use_fish!I:I),0),_xlfn.IFNA(LOOKUP(R94,use_fish!A:A,use_fish!I:I),0),_xlfn.IFNA(LOOKUP(S94,use_fish!A:A,use_fish!I:I),0),_xlfn.IFNA(LOOKUP(T94,use_fish!A:A,use_fish!I:I),0),_xlfn.IFNA(LOOKUP(U94,use_fish!A:A,use_fish!I:I),0),_xlfn.IFNA(LOOKUP(V94,use_fish!A:A,use_fish!I:I),0),_xlfn.IFNA(LOOKUP(W94,use_fish!A:A,use_fish!I:I),0),)</f>
        <v>150</v>
      </c>
      <c r="J94" s="32">
        <f>SUM(_xlfn.IFNA(LOOKUP(Q94,use_fish!A:A,use_fish!K:K),0),_xlfn.IFNA(LOOKUP(R94,use_fish!A:A,use_fish!K:K),0),_xlfn.IFNA(LOOKUP(S94,use_fish!A:A,use_fish!K:K),0),_xlfn.IFNA(LOOKUP(T94,use_fish!A:A,use_fish!K:K),0),_xlfn.IFNA(LOOKUP(U94,use_fish!A:A,use_fish!K:K),0),_xlfn.IFNA(LOOKUP(V94,use_fish!A:A,use_fish!K:K),0),_xlfn.IFNA(LOOKUP(W94,use_fish!A:A,use_fish!K:K),0),)</f>
        <v>0</v>
      </c>
      <c r="Q94" s="30">
        <v>77</v>
      </c>
    </row>
    <row r="95" spans="1:17" s="31" customFormat="1" x14ac:dyDescent="0.2">
      <c r="A95" s="31">
        <v>94</v>
      </c>
      <c r="B95" s="31">
        <v>1</v>
      </c>
      <c r="C95" s="31" t="s">
        <v>398</v>
      </c>
      <c r="H95" s="31">
        <f>SUM(_xlfn.IFNA(LOOKUP(Q95,use_fish!A:A,use_fish!E:E),0),_xlfn.IFNA(LOOKUP(R95,use_fish!A:A,use_fish!E:E),0),_xlfn.IFNA(LOOKUP(S95,use_fish!A:A,use_fish!E:E),0),_xlfn.IFNA(LOOKUP(T95,use_fish!A:A,use_fish!E:E),0),_xlfn.IFNA(LOOKUP(U95,use_fish!A:A,use_fish!E:E),0),_xlfn.IFNA(LOOKUP(V95,use_fish!A:A,use_fish!E:E),0),_xlfn.IFNA(LOOKUP(W95,use_fish!A:A,use_fish!E:E),0),)</f>
        <v>155</v>
      </c>
      <c r="I95" s="31">
        <f>SUM(_xlfn.IFNA(LOOKUP(Q95,use_fish!A:A,use_fish!I:I),0),_xlfn.IFNA(LOOKUP(R95,use_fish!A:A,use_fish!I:I),0),_xlfn.IFNA(LOOKUP(S95,use_fish!A:A,use_fish!I:I),0),_xlfn.IFNA(LOOKUP(T95,use_fish!A:A,use_fish!I:I),0),_xlfn.IFNA(LOOKUP(U95,use_fish!A:A,use_fish!I:I),0),_xlfn.IFNA(LOOKUP(V95,use_fish!A:A,use_fish!I:I),0),_xlfn.IFNA(LOOKUP(W95,use_fish!A:A,use_fish!I:I),0),)</f>
        <v>150</v>
      </c>
      <c r="J95" s="32">
        <f>SUM(_xlfn.IFNA(LOOKUP(Q95,use_fish!A:A,use_fish!K:K),0),_xlfn.IFNA(LOOKUP(R95,use_fish!A:A,use_fish!K:K),0),_xlfn.IFNA(LOOKUP(S95,use_fish!A:A,use_fish!K:K),0),_xlfn.IFNA(LOOKUP(T95,use_fish!A:A,use_fish!K:K),0),_xlfn.IFNA(LOOKUP(U95,use_fish!A:A,use_fish!K:K),0),_xlfn.IFNA(LOOKUP(V95,use_fish!A:A,use_fish!K:K),0),_xlfn.IFNA(LOOKUP(W95,use_fish!A:A,use_fish!K:K),0),)</f>
        <v>0</v>
      </c>
      <c r="Q95" s="30">
        <v>78</v>
      </c>
    </row>
  </sheetData>
  <autoFilter ref="I1:I46"/>
  <dataConsolidate/>
  <phoneticPr fontId="1" type="noConversion"/>
  <conditionalFormatting sqref="J12">
    <cfRule type="iconSet" priority="24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12">
    <cfRule type="iconSet" priority="25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12">
    <cfRule type="iconSet" priority="26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J26">
    <cfRule type="iconSet" priority="15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26">
    <cfRule type="iconSet" priority="16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26">
    <cfRule type="iconSet" priority="17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J96:J1048576 K1 J2:J11 J13:J25 J27:J64">
    <cfRule type="iconSet" priority="133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96:I1048576 I13:I25 I1:I11 I27:I64">
    <cfRule type="iconSet" priority="139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13:H25 H2:H11 H27:H64">
    <cfRule type="iconSet" priority="140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65:I95">
    <cfRule type="iconSet" priority="169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65:H95">
    <cfRule type="iconSet" priority="170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J65:J95">
    <cfRule type="iconSet" priority="171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pageMargins left="0.7" right="0.7" top="0.75" bottom="0.75" header="0.3" footer="0.3"/>
  <pageSetup paperSize="9"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base_fish!$E$2:$E$19</xm:f>
          </x14:formula1>
          <xm:sqref>L2:L7 L13 L65:L66</xm:sqref>
        </x14:dataValidation>
        <x14:dataValidation type="list" showInputMessage="1" showErrorMessage="1">
          <x14:formula1>
            <xm:f>activity!$I$2:$I$10</xm:f>
          </x14:formula1>
          <xm:sqref>L14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O79"/>
  <sheetViews>
    <sheetView zoomScaleNormal="100" workbookViewId="0">
      <pane ySplit="1" topLeftCell="A56" activePane="bottomLeft" state="frozen"/>
      <selection pane="bottomLeft" activeCell="F76" sqref="F76"/>
    </sheetView>
  </sheetViews>
  <sheetFormatPr defaultColWidth="8.875" defaultRowHeight="14.25" x14ac:dyDescent="0.2"/>
  <cols>
    <col min="1" max="1" width="14.125" customWidth="1"/>
    <col min="2" max="2" width="11.375" customWidth="1"/>
    <col min="3" max="4" width="11.375" style="3" customWidth="1"/>
    <col min="5" max="5" width="14.875" bestFit="1" customWidth="1"/>
    <col min="6" max="6" width="22" bestFit="1" customWidth="1"/>
    <col min="7" max="7" width="15" customWidth="1"/>
    <col min="8" max="8" width="23.625" customWidth="1"/>
    <col min="10" max="10" width="19" customWidth="1"/>
    <col min="14" max="15" width="8.75" bestFit="1" customWidth="1"/>
  </cols>
  <sheetData>
    <row r="1" spans="1:15" ht="67.5" x14ac:dyDescent="0.2">
      <c r="A1" s="1" t="s">
        <v>21</v>
      </c>
      <c r="B1" s="1" t="s">
        <v>229</v>
      </c>
      <c r="C1" s="1" t="s">
        <v>16</v>
      </c>
      <c r="D1" s="1" t="s">
        <v>304</v>
      </c>
      <c r="E1" s="1" t="s">
        <v>104</v>
      </c>
      <c r="F1" s="1" t="s">
        <v>0</v>
      </c>
      <c r="G1" s="1" t="s">
        <v>23</v>
      </c>
      <c r="H1" s="1" t="s">
        <v>18</v>
      </c>
      <c r="I1" s="8" t="s">
        <v>110</v>
      </c>
      <c r="J1" s="8" t="s">
        <v>105</v>
      </c>
      <c r="K1" s="8" t="s">
        <v>113</v>
      </c>
      <c r="L1" s="8" t="s">
        <v>133</v>
      </c>
      <c r="M1" s="8" t="s">
        <v>134</v>
      </c>
      <c r="N1" s="8" t="s">
        <v>218</v>
      </c>
      <c r="O1" s="8" t="s">
        <v>227</v>
      </c>
    </row>
    <row r="2" spans="1:15" s="29" customFormat="1" x14ac:dyDescent="0.2">
      <c r="A2" s="26">
        <v>1</v>
      </c>
      <c r="B2" s="26">
        <v>1</v>
      </c>
      <c r="C2" s="26"/>
      <c r="D2" s="26"/>
      <c r="E2" s="27">
        <f>LOOKUP(use_fish!B2,base_fish!A:A,base_fish!C:C)+_xlfn.IFNA(INDEX(activity!F:F,MATCH(use_fish!C2,activity!A:A,0)),0)</f>
        <v>2</v>
      </c>
      <c r="F2" s="27">
        <f>1/E2</f>
        <v>0.5</v>
      </c>
      <c r="G2" s="27" t="s">
        <v>22</v>
      </c>
      <c r="H2" s="28" t="str">
        <f>INDEX(base_fish!E:E,MATCH(use_fish!B2,base_fish!A:A,0))&amp;_xlfn.IFNA("+"&amp;INDEX(activity!G:G,MATCH(use_fish!C2,activity!A:A,0)),"")</f>
        <v>小牛角</v>
      </c>
      <c r="I2" s="27">
        <f>LOOKUP(use_fish!B2,base_fish!A:A,base_fish!F:F)+_xlfn.IFNA(INDEX(activity!F:F,MATCH(use_fish!C2,activity!A:A,0)),0)</f>
        <v>2</v>
      </c>
      <c r="J2" s="29">
        <v>1</v>
      </c>
      <c r="K2" s="29">
        <f>LOOKUP(use_fish!B2,base_fish!A:A,base_fish!G:G)</f>
        <v>0</v>
      </c>
      <c r="L2" s="29">
        <f>I2</f>
        <v>2</v>
      </c>
      <c r="M2" s="29">
        <v>1</v>
      </c>
      <c r="N2" s="29">
        <f>IF(OR(C2=4,C2=5),1,0)</f>
        <v>0</v>
      </c>
      <c r="O2" s="29">
        <v>1</v>
      </c>
    </row>
    <row r="3" spans="1:15" s="29" customFormat="1" x14ac:dyDescent="0.2">
      <c r="A3" s="26">
        <v>2</v>
      </c>
      <c r="B3" s="26">
        <v>2</v>
      </c>
      <c r="C3" s="26"/>
      <c r="D3" s="26"/>
      <c r="E3" s="27">
        <f>LOOKUP(use_fish!B3,base_fish!A:A,base_fish!C:C)+_xlfn.IFNA(INDEX(activity!F:F,MATCH(use_fish!C3,activity!A:A,0)),0)</f>
        <v>2</v>
      </c>
      <c r="F3" s="27">
        <f>1/E3</f>
        <v>0.5</v>
      </c>
      <c r="G3" s="27" t="s">
        <v>22</v>
      </c>
      <c r="H3" s="28" t="str">
        <f>INDEX(base_fish!E:E,MATCH(use_fish!B3,base_fish!A:A,0))&amp;_xlfn.IFNA("+"&amp;INDEX(activity!G:G,MATCH(use_fish!C3,activity!A:A,0)),"")</f>
        <v>小气泡</v>
      </c>
      <c r="I3" s="27">
        <f>LOOKUP(use_fish!B3,base_fish!A:A,base_fish!F:F)+_xlfn.IFNA(INDEX(activity!F:F,MATCH(use_fish!C3,activity!A:A,0)),0)</f>
        <v>2</v>
      </c>
      <c r="J3" s="29">
        <v>1</v>
      </c>
      <c r="K3" s="29">
        <f>LOOKUP(use_fish!B3,base_fish!A:A,base_fish!G:G)</f>
        <v>0</v>
      </c>
      <c r="L3" s="29">
        <f t="shared" ref="L3:L19" si="0">I3</f>
        <v>2</v>
      </c>
      <c r="M3" s="29">
        <v>1</v>
      </c>
      <c r="N3" s="29">
        <f t="shared" ref="N3:N17" si="1">IF(OR(C3=4,C3=5),1,0)</f>
        <v>0</v>
      </c>
      <c r="O3" s="29">
        <v>1</v>
      </c>
    </row>
    <row r="4" spans="1:15" s="29" customFormat="1" x14ac:dyDescent="0.2">
      <c r="A4" s="26">
        <v>3</v>
      </c>
      <c r="B4" s="26">
        <v>3</v>
      </c>
      <c r="C4" s="26"/>
      <c r="D4" s="26"/>
      <c r="E4" s="27">
        <f>LOOKUP(use_fish!B4,base_fish!A:A,base_fish!C:C)+_xlfn.IFNA(INDEX(activity!F:F,MATCH(use_fish!C4,activity!A:A,0)),0)</f>
        <v>3</v>
      </c>
      <c r="F4" s="27">
        <f t="shared" ref="F4:F19" si="2">1/E4</f>
        <v>0.33333333333333331</v>
      </c>
      <c r="G4" s="27" t="s">
        <v>22</v>
      </c>
      <c r="H4" s="28" t="str">
        <f>INDEX(base_fish!E:E,MATCH(use_fish!B4,base_fish!A:A,0))&amp;_xlfn.IFNA("+"&amp;INDEX(activity!G:G,MATCH(use_fish!C4,activity!A:A,0)),"")</f>
        <v>小丑鱼</v>
      </c>
      <c r="I4" s="27">
        <f>LOOKUP(use_fish!B4,base_fish!A:A,base_fish!F:F)+_xlfn.IFNA(INDEX(activity!F:F,MATCH(use_fish!C4,activity!A:A,0)),0)</f>
        <v>3</v>
      </c>
      <c r="J4" s="29">
        <v>1</v>
      </c>
      <c r="K4" s="29">
        <f>LOOKUP(use_fish!B4,base_fish!A:A,base_fish!G:G)</f>
        <v>0</v>
      </c>
      <c r="L4" s="29">
        <f t="shared" si="0"/>
        <v>3</v>
      </c>
      <c r="M4" s="29">
        <v>1</v>
      </c>
      <c r="N4" s="29">
        <f t="shared" si="1"/>
        <v>0</v>
      </c>
      <c r="O4" s="29">
        <v>1</v>
      </c>
    </row>
    <row r="5" spans="1:15" s="29" customFormat="1" x14ac:dyDescent="0.2">
      <c r="A5" s="26">
        <v>4</v>
      </c>
      <c r="B5" s="26">
        <v>4</v>
      </c>
      <c r="C5" s="26"/>
      <c r="D5" s="26"/>
      <c r="E5" s="27">
        <f>LOOKUP(use_fish!B5,base_fish!A:A,base_fish!C:C)+_xlfn.IFNA(INDEX(activity!F:F,MATCH(use_fish!C5,activity!A:A,0)),0)</f>
        <v>4</v>
      </c>
      <c r="F5" s="27">
        <f t="shared" si="2"/>
        <v>0.25</v>
      </c>
      <c r="G5" s="27" t="s">
        <v>22</v>
      </c>
      <c r="H5" s="28" t="str">
        <f>INDEX(base_fish!E:E,MATCH(use_fish!B5,base_fish!A:A,0))&amp;_xlfn.IFNA("+"&amp;INDEX(activity!G:G,MATCH(use_fish!C5,activity!A:A,0)),"")</f>
        <v>小燕鱼</v>
      </c>
      <c r="I5" s="27">
        <f>LOOKUP(use_fish!B5,base_fish!A:A,base_fish!F:F)+_xlfn.IFNA(INDEX(activity!F:F,MATCH(use_fish!C5,activity!A:A,0)),0)</f>
        <v>4</v>
      </c>
      <c r="J5" s="29">
        <v>1</v>
      </c>
      <c r="K5" s="29">
        <f>LOOKUP(use_fish!B5,base_fish!A:A,base_fish!G:G)</f>
        <v>0</v>
      </c>
      <c r="L5" s="29">
        <f t="shared" si="0"/>
        <v>4</v>
      </c>
      <c r="M5" s="29">
        <v>1</v>
      </c>
      <c r="N5" s="29">
        <f t="shared" si="1"/>
        <v>0</v>
      </c>
      <c r="O5" s="29">
        <v>1</v>
      </c>
    </row>
    <row r="6" spans="1:15" s="29" customFormat="1" x14ac:dyDescent="0.2">
      <c r="A6" s="26">
        <v>5</v>
      </c>
      <c r="B6" s="26">
        <v>5</v>
      </c>
      <c r="C6" s="26"/>
      <c r="D6" s="26"/>
      <c r="E6" s="27">
        <f>LOOKUP(use_fish!B6,base_fish!A:A,base_fish!C:C)+_xlfn.IFNA(INDEX(activity!F:F,MATCH(use_fish!C6,activity!A:A,0)),0)</f>
        <v>5</v>
      </c>
      <c r="F6" s="27">
        <f t="shared" si="2"/>
        <v>0.2</v>
      </c>
      <c r="G6" s="27" t="s">
        <v>22</v>
      </c>
      <c r="H6" s="28" t="str">
        <f>INDEX(base_fish!E:E,MATCH(use_fish!B6,base_fish!A:A,0))&amp;_xlfn.IFNA("+"&amp;INDEX(activity!G:G,MATCH(use_fish!C6,activity!A:A,0)),"")</f>
        <v>小黄鳍</v>
      </c>
      <c r="I6" s="27">
        <f>LOOKUP(use_fish!B6,base_fish!A:A,base_fish!F:F)+_xlfn.IFNA(INDEX(activity!F:F,MATCH(use_fish!C6,activity!A:A,0)),0)</f>
        <v>5</v>
      </c>
      <c r="J6" s="29">
        <v>1</v>
      </c>
      <c r="K6" s="29">
        <f>LOOKUP(use_fish!B6,base_fish!A:A,base_fish!G:G)</f>
        <v>0</v>
      </c>
      <c r="L6" s="29">
        <f t="shared" si="0"/>
        <v>5</v>
      </c>
      <c r="M6" s="29">
        <v>1</v>
      </c>
      <c r="N6" s="29">
        <f t="shared" si="1"/>
        <v>0</v>
      </c>
      <c r="O6" s="29">
        <v>1</v>
      </c>
    </row>
    <row r="7" spans="1:15" s="29" customFormat="1" x14ac:dyDescent="0.2">
      <c r="A7" s="26">
        <v>6</v>
      </c>
      <c r="B7" s="26">
        <v>6</v>
      </c>
      <c r="C7" s="26"/>
      <c r="D7" s="26"/>
      <c r="E7" s="27">
        <f>LOOKUP(use_fish!B7,base_fish!A:A,base_fish!C:C)+_xlfn.IFNA(INDEX(activity!F:F,MATCH(use_fish!C7,activity!A:A,0)),0)</f>
        <v>6</v>
      </c>
      <c r="F7" s="27">
        <f t="shared" si="2"/>
        <v>0.16666666666666666</v>
      </c>
      <c r="G7" s="27" t="s">
        <v>22</v>
      </c>
      <c r="H7" s="28" t="str">
        <f>INDEX(base_fish!E:E,MATCH(use_fish!B7,base_fish!A:A,0))&amp;_xlfn.IFNA("+"&amp;INDEX(activity!G:G,MATCH(use_fish!C7,activity!A:A,0)),"")</f>
        <v>河豚</v>
      </c>
      <c r="I7" s="27">
        <f>LOOKUP(use_fish!B7,base_fish!A:A,base_fish!F:F)+_xlfn.IFNA(INDEX(activity!F:F,MATCH(use_fish!C7,activity!A:A,0)),0)</f>
        <v>6</v>
      </c>
      <c r="J7" s="29">
        <v>1</v>
      </c>
      <c r="K7" s="29">
        <f>LOOKUP(use_fish!B7,base_fish!A:A,base_fish!G:G)</f>
        <v>0</v>
      </c>
      <c r="L7" s="29">
        <f t="shared" si="0"/>
        <v>6</v>
      </c>
      <c r="M7" s="29">
        <v>1</v>
      </c>
      <c r="N7" s="29">
        <f t="shared" si="1"/>
        <v>0</v>
      </c>
      <c r="O7" s="29">
        <v>1</v>
      </c>
    </row>
    <row r="8" spans="1:15" s="29" customFormat="1" x14ac:dyDescent="0.2">
      <c r="A8" s="26">
        <v>7</v>
      </c>
      <c r="B8" s="26">
        <v>7</v>
      </c>
      <c r="C8" s="26"/>
      <c r="D8" s="26"/>
      <c r="E8" s="27">
        <f>LOOKUP(use_fish!B8,base_fish!A:A,base_fish!C:C)+_xlfn.IFNA(INDEX(activity!F:F,MATCH(use_fish!C8,activity!A:A,0)),0)</f>
        <v>7</v>
      </c>
      <c r="F8" s="27">
        <f t="shared" si="2"/>
        <v>0.14285714285714285</v>
      </c>
      <c r="G8" s="27" t="s">
        <v>22</v>
      </c>
      <c r="H8" s="28" t="str">
        <f>INDEX(base_fish!E:E,MATCH(use_fish!B8,base_fish!A:A,0))&amp;_xlfn.IFNA("+"&amp;INDEX(activity!G:G,MATCH(use_fish!C8,activity!A:A,0)),"")</f>
        <v>小灯笼</v>
      </c>
      <c r="I8" s="27">
        <f>LOOKUP(use_fish!B8,base_fish!A:A,base_fish!F:F)+_xlfn.IFNA(INDEX(activity!F:F,MATCH(use_fish!C8,activity!A:A,0)),0)</f>
        <v>7</v>
      </c>
      <c r="J8" s="29">
        <v>1</v>
      </c>
      <c r="K8" s="29">
        <f>LOOKUP(use_fish!B8,base_fish!A:A,base_fish!G:G)</f>
        <v>0</v>
      </c>
      <c r="L8" s="29">
        <f t="shared" si="0"/>
        <v>7</v>
      </c>
      <c r="M8" s="29">
        <v>1</v>
      </c>
      <c r="N8" s="29">
        <f t="shared" si="1"/>
        <v>0</v>
      </c>
      <c r="O8" s="29">
        <v>1</v>
      </c>
    </row>
    <row r="9" spans="1:15" s="29" customFormat="1" x14ac:dyDescent="0.2">
      <c r="A9" s="26">
        <v>8</v>
      </c>
      <c r="B9" s="26">
        <v>8</v>
      </c>
      <c r="C9" s="26"/>
      <c r="D9" s="26"/>
      <c r="E9" s="27">
        <f>LOOKUP(use_fish!B9,base_fish!A:A,base_fish!C:C)+_xlfn.IFNA(INDEX(activity!F:F,MATCH(use_fish!C9,activity!A:A,0)),0)</f>
        <v>8</v>
      </c>
      <c r="F9" s="27">
        <f t="shared" si="2"/>
        <v>0.125</v>
      </c>
      <c r="G9" s="27" t="s">
        <v>22</v>
      </c>
      <c r="H9" s="28" t="str">
        <f>INDEX(base_fish!E:E,MATCH(use_fish!B9,base_fish!A:A,0))&amp;_xlfn.IFNA("+"&amp;INDEX(activity!G:G,MATCH(use_fish!C9,activity!A:A,0)),"")</f>
        <v>小旗鱼</v>
      </c>
      <c r="I9" s="27">
        <f>LOOKUP(use_fish!B9,base_fish!A:A,base_fish!F:F)+_xlfn.IFNA(INDEX(activity!F:F,MATCH(use_fish!C9,activity!A:A,0)),0)</f>
        <v>8</v>
      </c>
      <c r="J9" s="29">
        <v>1</v>
      </c>
      <c r="K9" s="29">
        <f>LOOKUP(use_fish!B9,base_fish!A:A,base_fish!G:G)</f>
        <v>0</v>
      </c>
      <c r="L9" s="29">
        <f t="shared" si="0"/>
        <v>8</v>
      </c>
      <c r="M9" s="29">
        <v>1</v>
      </c>
      <c r="N9" s="29">
        <f t="shared" si="1"/>
        <v>0</v>
      </c>
      <c r="O9" s="29">
        <v>1</v>
      </c>
    </row>
    <row r="10" spans="1:15" s="29" customFormat="1" x14ac:dyDescent="0.2">
      <c r="A10" s="26">
        <v>9</v>
      </c>
      <c r="B10" s="26">
        <v>9</v>
      </c>
      <c r="C10" s="26"/>
      <c r="D10" s="26"/>
      <c r="E10" s="27">
        <f>LOOKUP(use_fish!B10,base_fish!A:A,base_fish!C:C)+_xlfn.IFNA(INDEX(activity!F:F,MATCH(use_fish!C10,activity!A:A,0)),0)</f>
        <v>10</v>
      </c>
      <c r="F10" s="27">
        <f t="shared" si="2"/>
        <v>0.1</v>
      </c>
      <c r="G10" s="27" t="s">
        <v>22</v>
      </c>
      <c r="H10" s="28" t="str">
        <f>INDEX(base_fish!E:E,MATCH(use_fish!B10,base_fish!A:A,0))&amp;_xlfn.IFNA("+"&amp;INDEX(activity!G:G,MATCH(use_fish!C10,activity!A:A,0)),"")</f>
        <v>小水母</v>
      </c>
      <c r="I10" s="27">
        <f>LOOKUP(use_fish!B10,base_fish!A:A,base_fish!F:F)+_xlfn.IFNA(INDEX(activity!F:F,MATCH(use_fish!C10,activity!A:A,0)),0)</f>
        <v>10</v>
      </c>
      <c r="J10" s="29">
        <v>1</v>
      </c>
      <c r="K10" s="29">
        <f>LOOKUP(use_fish!B10,base_fish!A:A,base_fish!G:G)</f>
        <v>0</v>
      </c>
      <c r="L10" s="29">
        <f t="shared" si="0"/>
        <v>10</v>
      </c>
      <c r="M10" s="29">
        <v>1</v>
      </c>
      <c r="N10" s="29">
        <f t="shared" si="1"/>
        <v>0</v>
      </c>
      <c r="O10" s="29">
        <v>1</v>
      </c>
    </row>
    <row r="11" spans="1:15" s="29" customFormat="1" x14ac:dyDescent="0.2">
      <c r="A11" s="26">
        <v>10</v>
      </c>
      <c r="B11" s="26">
        <v>10</v>
      </c>
      <c r="C11" s="26"/>
      <c r="D11" s="26"/>
      <c r="E11" s="27">
        <f>LOOKUP(use_fish!B11,base_fish!A:A,base_fish!C:C)+_xlfn.IFNA(INDEX(activity!F:F,MATCH(use_fish!C11,activity!A:A,0)),0)</f>
        <v>12</v>
      </c>
      <c r="F11" s="27">
        <f t="shared" si="2"/>
        <v>8.3333333333333329E-2</v>
      </c>
      <c r="G11" s="27" t="s">
        <v>22</v>
      </c>
      <c r="H11" s="28" t="str">
        <f>INDEX(base_fish!E:E,MATCH(use_fish!B11,base_fish!A:A,0))&amp;_xlfn.IFNA("+"&amp;INDEX(activity!G:G,MATCH(use_fish!C11,activity!A:A,0)),"")</f>
        <v>小章鱼</v>
      </c>
      <c r="I11" s="27">
        <f>LOOKUP(use_fish!B11,base_fish!A:A,base_fish!F:F)+_xlfn.IFNA(INDEX(activity!F:F,MATCH(use_fish!C11,activity!A:A,0)),0)</f>
        <v>12</v>
      </c>
      <c r="J11" s="29">
        <v>1</v>
      </c>
      <c r="K11" s="29">
        <f>LOOKUP(use_fish!B11,base_fish!A:A,base_fish!G:G)</f>
        <v>0</v>
      </c>
      <c r="L11" s="29">
        <f t="shared" si="0"/>
        <v>12</v>
      </c>
      <c r="M11" s="29">
        <v>1</v>
      </c>
      <c r="N11" s="29">
        <f t="shared" si="1"/>
        <v>0</v>
      </c>
      <c r="O11" s="29">
        <v>1</v>
      </c>
    </row>
    <row r="12" spans="1:15" s="29" customFormat="1" x14ac:dyDescent="0.2">
      <c r="A12" s="26">
        <v>11</v>
      </c>
      <c r="B12" s="26">
        <v>11</v>
      </c>
      <c r="C12" s="26"/>
      <c r="D12" s="26"/>
      <c r="E12" s="27">
        <f>LOOKUP(use_fish!B12,base_fish!A:A,base_fish!C:C)+_xlfn.IFNA(INDEX(activity!F:F,MATCH(use_fish!C12,activity!A:A,0)),0)</f>
        <v>15</v>
      </c>
      <c r="F12" s="27">
        <f t="shared" si="2"/>
        <v>6.6666666666666666E-2</v>
      </c>
      <c r="G12" s="27" t="s">
        <v>22</v>
      </c>
      <c r="H12" s="28" t="str">
        <f>INDEX(base_fish!E:E,MATCH(use_fish!B12,base_fish!A:A,0))&amp;_xlfn.IFNA("+"&amp;INDEX(activity!G:G,MATCH(use_fish!C12,activity!A:A,0)),"")</f>
        <v>小海龟</v>
      </c>
      <c r="I12" s="27">
        <f>LOOKUP(use_fish!B12,base_fish!A:A,base_fish!F:F)+_xlfn.IFNA(INDEX(activity!F:F,MATCH(use_fish!C12,activity!A:A,0)),0)</f>
        <v>15</v>
      </c>
      <c r="J12" s="29">
        <v>1</v>
      </c>
      <c r="K12" s="29">
        <f>LOOKUP(use_fish!B12,base_fish!A:A,base_fish!G:G)</f>
        <v>0</v>
      </c>
      <c r="L12" s="29">
        <f t="shared" si="0"/>
        <v>15</v>
      </c>
      <c r="M12" s="29">
        <v>1</v>
      </c>
      <c r="N12" s="29">
        <f t="shared" si="1"/>
        <v>0</v>
      </c>
      <c r="O12" s="29">
        <v>1</v>
      </c>
    </row>
    <row r="13" spans="1:15" s="41" customFormat="1" x14ac:dyDescent="0.2">
      <c r="A13" s="38">
        <v>12</v>
      </c>
      <c r="B13" s="38">
        <v>12</v>
      </c>
      <c r="C13" s="38"/>
      <c r="D13" s="38"/>
      <c r="E13" s="39">
        <f>LOOKUP(use_fish!B13,base_fish!A:A,base_fish!C:C)+_xlfn.IFNA(INDEX(activity!F:F,MATCH(use_fish!C13,activity!A:A,0)),0)</f>
        <v>18</v>
      </c>
      <c r="F13" s="39">
        <f t="shared" si="2"/>
        <v>5.5555555555555552E-2</v>
      </c>
      <c r="G13" s="39" t="s">
        <v>22</v>
      </c>
      <c r="H13" s="40" t="str">
        <f>INDEX(base_fish!E:E,MATCH(use_fish!B13,base_fish!A:A,0))&amp;_xlfn.IFNA("+"&amp;INDEX(activity!G:G,MATCH(use_fish!C13,activity!A:A,0)),"")</f>
        <v>狮子鱼</v>
      </c>
      <c r="I13" s="39">
        <f>LOOKUP(use_fish!B13,base_fish!A:A,base_fish!F:F)+_xlfn.IFNA(INDEX(activity!F:F,MATCH(use_fish!C13,activity!A:A,0)),0)</f>
        <v>18</v>
      </c>
      <c r="J13" s="41">
        <v>1</v>
      </c>
      <c r="K13" s="41">
        <f>LOOKUP(use_fish!B13,base_fish!A:A,base_fish!G:G)</f>
        <v>0</v>
      </c>
      <c r="L13" s="41">
        <f t="shared" si="0"/>
        <v>18</v>
      </c>
      <c r="M13" s="41">
        <v>1</v>
      </c>
      <c r="N13" s="41">
        <f t="shared" si="1"/>
        <v>0</v>
      </c>
      <c r="O13" s="41">
        <v>1</v>
      </c>
    </row>
    <row r="14" spans="1:15" s="41" customFormat="1" x14ac:dyDescent="0.2">
      <c r="A14" s="38">
        <v>13</v>
      </c>
      <c r="B14" s="38">
        <v>13</v>
      </c>
      <c r="C14" s="38"/>
      <c r="D14" s="38"/>
      <c r="E14" s="39">
        <f>LOOKUP(use_fish!B14,base_fish!A:A,base_fish!C:C)+_xlfn.IFNA(INDEX(activity!F:F,MATCH(use_fish!C14,activity!A:A,0)),0)</f>
        <v>20</v>
      </c>
      <c r="F14" s="39">
        <f t="shared" si="2"/>
        <v>0.05</v>
      </c>
      <c r="G14" s="39" t="s">
        <v>22</v>
      </c>
      <c r="H14" s="40" t="str">
        <f>INDEX(base_fish!E:E,MATCH(use_fish!B14,base_fish!A:A,0))&amp;_xlfn.IFNA("+"&amp;INDEX(activity!G:G,MATCH(use_fish!C14,activity!A:A,0)),"")</f>
        <v>蝴蝶鱼</v>
      </c>
      <c r="I14" s="39">
        <f>LOOKUP(use_fish!B14,base_fish!A:A,base_fish!F:F)+_xlfn.IFNA(INDEX(activity!F:F,MATCH(use_fish!C14,activity!A:A,0)),0)</f>
        <v>20</v>
      </c>
      <c r="J14" s="41">
        <v>1</v>
      </c>
      <c r="K14" s="41">
        <f>LOOKUP(use_fish!B14,base_fish!A:A,base_fish!G:G)</f>
        <v>0</v>
      </c>
      <c r="L14" s="41">
        <f t="shared" si="0"/>
        <v>20</v>
      </c>
      <c r="M14" s="41">
        <v>1</v>
      </c>
      <c r="N14" s="41">
        <f t="shared" si="1"/>
        <v>0</v>
      </c>
      <c r="O14" s="41">
        <v>1</v>
      </c>
    </row>
    <row r="15" spans="1:15" s="41" customFormat="1" x14ac:dyDescent="0.2">
      <c r="A15" s="38">
        <v>14</v>
      </c>
      <c r="B15" s="38">
        <v>14</v>
      </c>
      <c r="C15" s="38"/>
      <c r="D15" s="38"/>
      <c r="E15" s="39">
        <f>LOOKUP(use_fish!B15,base_fish!A:A,base_fish!C:C)+_xlfn.IFNA(INDEX(activity!F:F,MATCH(use_fish!C15,activity!A:A,0)),0)</f>
        <v>25</v>
      </c>
      <c r="F15" s="39">
        <f t="shared" si="2"/>
        <v>0.04</v>
      </c>
      <c r="G15" s="39" t="s">
        <v>22</v>
      </c>
      <c r="H15" s="40" t="str">
        <f>INDEX(base_fish!E:E,MATCH(use_fish!B15,base_fish!A:A,0))&amp;_xlfn.IFNA("+"&amp;INDEX(activity!G:G,MATCH(use_fish!C15,activity!A:A,0)),"")</f>
        <v>巨大小丑鱼</v>
      </c>
      <c r="I15" s="39">
        <f>LOOKUP(use_fish!B15,base_fish!A:A,base_fish!F:F)+_xlfn.IFNA(INDEX(activity!F:F,MATCH(use_fish!C15,activity!A:A,0)),0)</f>
        <v>25</v>
      </c>
      <c r="J15" s="41">
        <v>1</v>
      </c>
      <c r="K15" s="41">
        <f>LOOKUP(use_fish!B15,base_fish!A:A,base_fish!G:G)</f>
        <v>0</v>
      </c>
      <c r="L15" s="41">
        <f t="shared" si="0"/>
        <v>25</v>
      </c>
      <c r="M15" s="41">
        <v>1</v>
      </c>
      <c r="N15" s="41">
        <f t="shared" si="1"/>
        <v>0</v>
      </c>
      <c r="O15" s="41">
        <v>1</v>
      </c>
    </row>
    <row r="16" spans="1:15" s="41" customFormat="1" x14ac:dyDescent="0.2">
      <c r="A16" s="38">
        <v>15</v>
      </c>
      <c r="B16" s="38">
        <v>15</v>
      </c>
      <c r="C16" s="38"/>
      <c r="D16" s="38"/>
      <c r="E16" s="39">
        <f>LOOKUP(use_fish!B16,base_fish!A:A,base_fish!C:C)+_xlfn.IFNA(INDEX(activity!F:F,MATCH(use_fish!C16,activity!A:A,0)),0)</f>
        <v>30</v>
      </c>
      <c r="F16" s="39">
        <f t="shared" si="2"/>
        <v>3.3333333333333333E-2</v>
      </c>
      <c r="G16" s="39" t="s">
        <v>22</v>
      </c>
      <c r="H16" s="40" t="str">
        <f>INDEX(base_fish!E:E,MATCH(use_fish!B16,base_fish!A:A,0))&amp;_xlfn.IFNA("+"&amp;INDEX(activity!G:G,MATCH(use_fish!C16,activity!A:A,0)),"")</f>
        <v>巨大灯笼鱼</v>
      </c>
      <c r="I16" s="39">
        <f>LOOKUP(use_fish!B16,base_fish!A:A,base_fish!F:F)+_xlfn.IFNA(INDEX(activity!F:F,MATCH(use_fish!C16,activity!A:A,0)),0)</f>
        <v>30</v>
      </c>
      <c r="J16" s="41">
        <v>1</v>
      </c>
      <c r="K16" s="41">
        <f>LOOKUP(use_fish!B16,base_fish!A:A,base_fish!G:G)</f>
        <v>0</v>
      </c>
      <c r="L16" s="41">
        <f t="shared" si="0"/>
        <v>30</v>
      </c>
      <c r="M16" s="41">
        <v>1</v>
      </c>
      <c r="N16" s="41">
        <f t="shared" si="1"/>
        <v>0</v>
      </c>
      <c r="O16" s="41">
        <v>1</v>
      </c>
    </row>
    <row r="17" spans="1:15" s="41" customFormat="1" x14ac:dyDescent="0.2">
      <c r="A17" s="38">
        <v>16</v>
      </c>
      <c r="B17" s="38">
        <v>16</v>
      </c>
      <c r="C17" s="38"/>
      <c r="D17" s="38"/>
      <c r="E17" s="39">
        <f>LOOKUP(use_fish!B17,base_fish!A:A,base_fish!C:C)+_xlfn.IFNA(INDEX(activity!F:F,MATCH(use_fish!C17,activity!A:A,0)),0)</f>
        <v>35</v>
      </c>
      <c r="F17" s="39">
        <f t="shared" si="2"/>
        <v>2.8571428571428571E-2</v>
      </c>
      <c r="G17" s="39" t="s">
        <v>22</v>
      </c>
      <c r="H17" s="40" t="str">
        <f>INDEX(base_fish!E:E,MATCH(use_fish!B17,base_fish!A:A,0))&amp;_xlfn.IFNA("+"&amp;INDEX(activity!G:G,MATCH(use_fish!C17,activity!A:A,0)),"")</f>
        <v>巨大燕鱼</v>
      </c>
      <c r="I17" s="39">
        <f>LOOKUP(use_fish!B17,base_fish!A:A,base_fish!F:F)+_xlfn.IFNA(INDEX(activity!F:F,MATCH(use_fish!C17,activity!A:A,0)),0)</f>
        <v>35</v>
      </c>
      <c r="J17" s="41">
        <v>1</v>
      </c>
      <c r="K17" s="41">
        <f>LOOKUP(use_fish!B17,base_fish!A:A,base_fish!G:G)</f>
        <v>0</v>
      </c>
      <c r="L17" s="41">
        <f t="shared" si="0"/>
        <v>35</v>
      </c>
      <c r="M17" s="41">
        <v>1</v>
      </c>
      <c r="N17" s="41">
        <f t="shared" si="1"/>
        <v>0</v>
      </c>
      <c r="O17" s="41">
        <v>1</v>
      </c>
    </row>
    <row r="18" spans="1:15" s="41" customFormat="1" x14ac:dyDescent="0.2">
      <c r="A18" s="38">
        <v>17</v>
      </c>
      <c r="B18" s="38">
        <v>17</v>
      </c>
      <c r="C18" s="38"/>
      <c r="D18" s="38"/>
      <c r="E18" s="39">
        <f>LOOKUP(use_fish!B18,base_fish!A:A,base_fish!C:C)+_xlfn.IFNA(INDEX(activity!F:F,MATCH(use_fish!C18,activity!A:A,0)),0)</f>
        <v>40</v>
      </c>
      <c r="F18" s="39">
        <f t="shared" si="2"/>
        <v>2.5000000000000001E-2</v>
      </c>
      <c r="G18" s="39" t="s">
        <v>22</v>
      </c>
      <c r="H18" s="40" t="str">
        <f>INDEX(base_fish!E:E,MATCH(use_fish!B18,base_fish!A:A,0))&amp;_xlfn.IFNA("+"&amp;INDEX(activity!G:G,MATCH(use_fish!C18,activity!A:A,0)),"")</f>
        <v>魔鬼鱼</v>
      </c>
      <c r="I18" s="39">
        <f>LOOKUP(use_fish!B18,base_fish!A:A,base_fish!F:F)+_xlfn.IFNA(INDEX(activity!F:F,MATCH(use_fish!C18,activity!A:A,0)),0)</f>
        <v>40</v>
      </c>
      <c r="J18" s="41">
        <v>1</v>
      </c>
      <c r="K18" s="41">
        <f>LOOKUP(use_fish!B18,base_fish!A:A,base_fish!G:G)</f>
        <v>0</v>
      </c>
      <c r="L18" s="41">
        <f t="shared" si="0"/>
        <v>40</v>
      </c>
      <c r="M18" s="41">
        <v>1</v>
      </c>
      <c r="N18" s="41">
        <v>0</v>
      </c>
      <c r="O18" s="41">
        <v>1</v>
      </c>
    </row>
    <row r="19" spans="1:15" s="41" customFormat="1" x14ac:dyDescent="0.2">
      <c r="A19" s="38">
        <v>18</v>
      </c>
      <c r="B19" s="38">
        <v>18</v>
      </c>
      <c r="C19" s="38"/>
      <c r="D19" s="38"/>
      <c r="E19" s="39">
        <f>LOOKUP(use_fish!B19,base_fish!A:A,base_fish!C:C)+_xlfn.IFNA(INDEX(activity!F:F,MATCH(use_fish!C19,activity!A:A,0)),0)</f>
        <v>60</v>
      </c>
      <c r="F19" s="39">
        <f t="shared" si="2"/>
        <v>1.6666666666666666E-2</v>
      </c>
      <c r="G19" s="39" t="s">
        <v>22</v>
      </c>
      <c r="H19" s="40" t="str">
        <f>INDEX(base_fish!E:E,MATCH(use_fish!B19,base_fish!A:A,0))&amp;_xlfn.IFNA("+"&amp;INDEX(activity!G:G,MATCH(use_fish!C19,activity!A:A,0)),"")</f>
        <v>虎鲸</v>
      </c>
      <c r="I19" s="39">
        <f>LOOKUP(use_fish!B19,base_fish!A:A,base_fish!F:F)+_xlfn.IFNA(INDEX(activity!F:F,MATCH(use_fish!C19,activity!A:A,0)),0)</f>
        <v>60</v>
      </c>
      <c r="J19" s="41">
        <v>1</v>
      </c>
      <c r="K19" s="41">
        <f>LOOKUP(use_fish!B19,base_fish!A:A,base_fish!G:G)</f>
        <v>0</v>
      </c>
      <c r="L19" s="41">
        <f t="shared" si="0"/>
        <v>60</v>
      </c>
      <c r="M19" s="41">
        <v>1</v>
      </c>
      <c r="N19" s="41">
        <v>0</v>
      </c>
      <c r="O19" s="41">
        <v>1</v>
      </c>
    </row>
    <row r="20" spans="1:15" s="41" customFormat="1" x14ac:dyDescent="0.2">
      <c r="A20" s="38">
        <v>19</v>
      </c>
      <c r="B20" s="38">
        <v>19</v>
      </c>
      <c r="C20" s="38">
        <v>6</v>
      </c>
      <c r="D20" s="38"/>
      <c r="E20" s="39">
        <f>LOOKUP(use_fish!B20,base_fish!A:A,base_fish!C:C)+_xlfn.IFNA(INDEX(activity!F:F,MATCH(use_fish!C20,activity!A:A,0)),0)</f>
        <v>30</v>
      </c>
      <c r="F20" s="39">
        <f t="shared" ref="F20:F28" si="3">1/E20</f>
        <v>3.3333333333333333E-2</v>
      </c>
      <c r="G20" s="39" t="s">
        <v>22</v>
      </c>
      <c r="H20" s="40" t="str">
        <f>INDEX(base_fish!E:E,MATCH(use_fish!B20,base_fish!A:A,0))&amp;_xlfn.IFNA("+"&amp;INDEX(activity!G:G,MATCH(use_fish!C20,activity!A:A,0)),"")</f>
        <v>炸弹鱼+炸弹</v>
      </c>
      <c r="I20" s="39">
        <f>LOOKUP(use_fish!B20,base_fish!A:A,base_fish!F:F)+_xlfn.IFNA(INDEX(activity!F:F,MATCH(use_fish!C20,activity!A:A,0)),0)</f>
        <v>30</v>
      </c>
      <c r="J20" s="41">
        <v>1</v>
      </c>
      <c r="K20" s="41">
        <f>LOOKUP(use_fish!B20,base_fish!A:A,base_fish!G:G)</f>
        <v>0</v>
      </c>
      <c r="L20" s="41">
        <f t="shared" ref="L20:L28" si="4">I20</f>
        <v>30</v>
      </c>
      <c r="M20" s="41">
        <v>1</v>
      </c>
      <c r="N20" s="41">
        <v>0</v>
      </c>
      <c r="O20" s="41">
        <v>2</v>
      </c>
    </row>
    <row r="21" spans="1:15" s="21" customFormat="1" x14ac:dyDescent="0.2">
      <c r="A21" s="18">
        <v>20</v>
      </c>
      <c r="B21" s="18">
        <v>20</v>
      </c>
      <c r="C21" s="18"/>
      <c r="D21" s="18" t="s">
        <v>308</v>
      </c>
      <c r="E21" s="19">
        <v>63</v>
      </c>
      <c r="F21" s="19">
        <f t="shared" si="3"/>
        <v>1.5873015873015872E-2</v>
      </c>
      <c r="G21" s="19" t="s">
        <v>22</v>
      </c>
      <c r="H21" s="20" t="str">
        <f>INDEX(base_fish!E:E,MATCH(use_fish!B21,base_fish!A:A,0))&amp;_xlfn.IFNA("+"&amp;INDEX(activity!G:G,MATCH(use_fish!C21,activity!A:A,0)),"")</f>
        <v>黄金灯笼鱼</v>
      </c>
      <c r="I21" s="19">
        <f>LOOKUP(use_fish!B21,base_fish!A:A,base_fish!F:F)+_xlfn.IFNA(INDEX(activity!F:F,MATCH(use_fish!C21,activity!A:A,0)),0)</f>
        <v>60</v>
      </c>
      <c r="J21" s="21">
        <v>1</v>
      </c>
      <c r="K21" s="21">
        <f>LOOKUP(use_fish!B21,base_fish!A:A,base_fish!G:G)</f>
        <v>0</v>
      </c>
      <c r="L21" s="21">
        <f t="shared" si="4"/>
        <v>60</v>
      </c>
      <c r="M21" s="21">
        <v>1</v>
      </c>
      <c r="N21" s="21">
        <v>0</v>
      </c>
      <c r="O21" s="21">
        <v>2</v>
      </c>
    </row>
    <row r="22" spans="1:15" s="21" customFormat="1" x14ac:dyDescent="0.2">
      <c r="A22" s="18">
        <v>21</v>
      </c>
      <c r="B22" s="18">
        <v>21</v>
      </c>
      <c r="C22" s="18">
        <v>8</v>
      </c>
      <c r="D22" s="18"/>
      <c r="E22" s="19">
        <v>80</v>
      </c>
      <c r="F22" s="19">
        <f t="shared" si="3"/>
        <v>1.2500000000000001E-2</v>
      </c>
      <c r="G22" s="19" t="s">
        <v>22</v>
      </c>
      <c r="H22" s="20" t="str">
        <f>INDEX(base_fish!E:E,MATCH(use_fish!B22,base_fish!A:A,0))&amp;_xlfn.IFNA("+"&amp;INDEX(activity!G:G,MATCH(use_fish!C22,activity!A:A,0)),"")</f>
        <v>黄金炸弹鱼+炸弹</v>
      </c>
      <c r="I22" s="19">
        <f>LOOKUP(use_fish!B22,base_fish!A:A,base_fish!F:F)+_xlfn.IFNA(INDEX(activity!F:F,MATCH(use_fish!C22,activity!A:A,0)),0)</f>
        <v>80</v>
      </c>
      <c r="J22" s="21">
        <v>1</v>
      </c>
      <c r="K22" s="21">
        <f>LOOKUP(use_fish!B22,base_fish!A:A,base_fish!G:G)</f>
        <v>0</v>
      </c>
      <c r="L22" s="21">
        <f t="shared" si="4"/>
        <v>80</v>
      </c>
      <c r="M22" s="21">
        <v>1</v>
      </c>
      <c r="N22" s="21">
        <v>0</v>
      </c>
      <c r="O22" s="21">
        <v>2</v>
      </c>
    </row>
    <row r="23" spans="1:15" s="21" customFormat="1" x14ac:dyDescent="0.2">
      <c r="A23" s="18">
        <v>22</v>
      </c>
      <c r="B23" s="18">
        <v>22</v>
      </c>
      <c r="C23" s="18"/>
      <c r="D23" s="18" t="s">
        <v>339</v>
      </c>
      <c r="E23" s="19">
        <v>63</v>
      </c>
      <c r="F23" s="19">
        <f t="shared" si="3"/>
        <v>1.5873015873015872E-2</v>
      </c>
      <c r="G23" s="19" t="s">
        <v>22</v>
      </c>
      <c r="H23" s="20" t="str">
        <f>INDEX(base_fish!E:E,MATCH(use_fish!B23,base_fish!A:A,0))&amp;_xlfn.IFNA("+"&amp;INDEX(activity!G:G,MATCH(use_fish!C23,activity!A:A,0)),"")</f>
        <v>黄金狮子鱼</v>
      </c>
      <c r="I23" s="19">
        <f>LOOKUP(use_fish!B23,base_fish!A:A,base_fish!F:F)+_xlfn.IFNA(INDEX(activity!F:F,MATCH(use_fish!C23,activity!A:A,0)),0)</f>
        <v>60</v>
      </c>
      <c r="J23" s="21">
        <v>1</v>
      </c>
      <c r="K23" s="21">
        <f>LOOKUP(use_fish!B23,base_fish!A:A,base_fish!G:G)</f>
        <v>0</v>
      </c>
      <c r="L23" s="21">
        <f t="shared" si="4"/>
        <v>60</v>
      </c>
      <c r="M23" s="21">
        <v>1</v>
      </c>
      <c r="N23" s="21">
        <v>0</v>
      </c>
      <c r="O23" s="21">
        <v>2</v>
      </c>
    </row>
    <row r="24" spans="1:15" s="21" customFormat="1" x14ac:dyDescent="0.2">
      <c r="A24" s="18">
        <v>23</v>
      </c>
      <c r="B24" s="18">
        <v>23</v>
      </c>
      <c r="C24" s="18"/>
      <c r="D24" s="18" t="s">
        <v>340</v>
      </c>
      <c r="E24" s="19">
        <v>105</v>
      </c>
      <c r="F24" s="19">
        <f t="shared" si="3"/>
        <v>9.5238095238095247E-3</v>
      </c>
      <c r="G24" s="19" t="s">
        <v>22</v>
      </c>
      <c r="H24" s="20" t="str">
        <f>INDEX(base_fish!E:E,MATCH(use_fish!B24,base_fish!A:A,0))&amp;_xlfn.IFNA("+"&amp;INDEX(activity!G:G,MATCH(use_fish!C24,activity!A:A,0)),"")</f>
        <v>黄金海龟</v>
      </c>
      <c r="I24" s="19">
        <f>LOOKUP(use_fish!B24,base_fish!A:A,base_fish!F:F)+_xlfn.IFNA(INDEX(activity!F:F,MATCH(use_fish!C24,activity!A:A,0)),0)</f>
        <v>60</v>
      </c>
      <c r="J24" s="21">
        <v>1</v>
      </c>
      <c r="K24" s="21">
        <f>LOOKUP(use_fish!B24,base_fish!A:A,base_fish!G:G)</f>
        <v>0</v>
      </c>
      <c r="L24" s="21">
        <f t="shared" si="4"/>
        <v>60</v>
      </c>
      <c r="M24" s="21">
        <v>1</v>
      </c>
      <c r="N24" s="21">
        <v>0</v>
      </c>
      <c r="O24" s="21">
        <v>2</v>
      </c>
    </row>
    <row r="25" spans="1:15" s="21" customFormat="1" x14ac:dyDescent="0.2">
      <c r="A25" s="18">
        <v>24</v>
      </c>
      <c r="B25" s="18">
        <v>24</v>
      </c>
      <c r="C25" s="18"/>
      <c r="D25" s="18"/>
      <c r="E25" s="19" t="s">
        <v>353</v>
      </c>
      <c r="F25" s="19" t="s">
        <v>354</v>
      </c>
      <c r="G25" s="19" t="s">
        <v>22</v>
      </c>
      <c r="H25" s="20" t="str">
        <f>INDEX(base_fish!E:E,MATCH(use_fish!B25,base_fish!A:A,0))&amp;_xlfn.IFNA("+"&amp;INDEX(activity!G:G,MATCH(use_fish!C25,activity!A:A,0)),"")</f>
        <v>黄金河豚</v>
      </c>
      <c r="I25" s="19" t="s">
        <v>272</v>
      </c>
      <c r="J25" s="21">
        <v>1</v>
      </c>
      <c r="K25" s="21">
        <f>LOOKUP(use_fish!B25,base_fish!A:A,base_fish!G:G)</f>
        <v>0</v>
      </c>
      <c r="L25" s="21" t="str">
        <f>I25</f>
        <v>50,50,50,50,100,</v>
      </c>
      <c r="M25" s="21">
        <v>1</v>
      </c>
      <c r="N25" s="21">
        <v>0</v>
      </c>
      <c r="O25" s="21">
        <v>2</v>
      </c>
    </row>
    <row r="26" spans="1:15" s="21" customFormat="1" x14ac:dyDescent="0.2">
      <c r="A26" s="18">
        <v>25</v>
      </c>
      <c r="B26" s="18">
        <v>25</v>
      </c>
      <c r="C26" s="18"/>
      <c r="D26" s="18" t="s">
        <v>308</v>
      </c>
      <c r="E26" s="19">
        <v>84</v>
      </c>
      <c r="F26" s="19">
        <f t="shared" si="3"/>
        <v>1.1904761904761904E-2</v>
      </c>
      <c r="G26" s="19" t="s">
        <v>22</v>
      </c>
      <c r="H26" s="20" t="str">
        <f>INDEX(base_fish!E:E,MATCH(use_fish!B26,base_fish!A:A,0))&amp;_xlfn.IFNA("+"&amp;INDEX(activity!G:G,MATCH(use_fish!C26,activity!A:A,0)),"")</f>
        <v>金蟾</v>
      </c>
      <c r="I26" s="19">
        <f>LOOKUP(use_fish!B26,base_fish!A:A,base_fish!F:F)+_xlfn.IFNA(INDEX(activity!F:F,MATCH(use_fish!C26,activity!A:A,0)),0)</f>
        <v>80</v>
      </c>
      <c r="J26" s="21">
        <v>1</v>
      </c>
      <c r="K26" s="21">
        <f>LOOKUP(use_fish!B26,base_fish!A:A,base_fish!G:G)</f>
        <v>0</v>
      </c>
      <c r="L26" s="21">
        <f t="shared" si="4"/>
        <v>80</v>
      </c>
      <c r="M26" s="21">
        <v>1</v>
      </c>
      <c r="N26" s="21">
        <v>0</v>
      </c>
      <c r="O26" s="21">
        <v>2</v>
      </c>
    </row>
    <row r="27" spans="1:15" s="21" customFormat="1" x14ac:dyDescent="0.2">
      <c r="A27" s="18">
        <v>26</v>
      </c>
      <c r="B27" s="18">
        <v>26</v>
      </c>
      <c r="C27" s="18"/>
      <c r="D27" s="18" t="s">
        <v>308</v>
      </c>
      <c r="E27" s="19">
        <v>105</v>
      </c>
      <c r="F27" s="19">
        <f t="shared" si="3"/>
        <v>9.5238095238095247E-3</v>
      </c>
      <c r="G27" s="19" t="s">
        <v>22</v>
      </c>
      <c r="H27" s="20" t="str">
        <f>INDEX(base_fish!E:E,MATCH(use_fish!B27,base_fish!A:A,0))&amp;_xlfn.IFNA("+"&amp;INDEX(activity!G:G,MATCH(use_fish!C27,activity!A:A,0)),"")</f>
        <v>大金鲨</v>
      </c>
      <c r="I27" s="19">
        <f>LOOKUP(use_fish!B27,base_fish!A:A,base_fish!F:F)+_xlfn.IFNA(INDEX(activity!F:F,MATCH(use_fish!C27,activity!A:A,0)),0)</f>
        <v>100</v>
      </c>
      <c r="J27" s="21">
        <v>1</v>
      </c>
      <c r="K27" s="21">
        <f>LOOKUP(use_fish!B27,base_fish!A:A,base_fish!G:G)</f>
        <v>0</v>
      </c>
      <c r="L27" s="21">
        <f t="shared" si="4"/>
        <v>100</v>
      </c>
      <c r="M27" s="21">
        <v>1</v>
      </c>
      <c r="N27" s="21">
        <v>0</v>
      </c>
      <c r="O27" s="21">
        <v>2</v>
      </c>
    </row>
    <row r="28" spans="1:15" s="21" customFormat="1" x14ac:dyDescent="0.2">
      <c r="A28" s="18">
        <v>27</v>
      </c>
      <c r="B28" s="18">
        <v>27</v>
      </c>
      <c r="C28" s="18"/>
      <c r="D28" s="18" t="s">
        <v>341</v>
      </c>
      <c r="E28" s="19">
        <v>105</v>
      </c>
      <c r="F28" s="19">
        <f t="shared" si="3"/>
        <v>9.5238095238095247E-3</v>
      </c>
      <c r="G28" s="19" t="s">
        <v>22</v>
      </c>
      <c r="H28" s="20" t="str">
        <f>INDEX(base_fish!E:E,MATCH(use_fish!B28,base_fish!A:A,0))&amp;_xlfn.IFNA("+"&amp;INDEX(activity!G:G,MATCH(use_fish!C28,activity!A:A,0)),"")</f>
        <v>黄金锤头鲨</v>
      </c>
      <c r="I28" s="19">
        <f>LOOKUP(use_fish!B28,base_fish!A:A,base_fish!F:F)+_xlfn.IFNA(INDEX(activity!F:F,MATCH(use_fish!C28,activity!A:A,0)),0)</f>
        <v>100</v>
      </c>
      <c r="J28" s="21">
        <v>1</v>
      </c>
      <c r="K28" s="21">
        <f>LOOKUP(use_fish!B28,base_fish!A:A,base_fish!G:G)</f>
        <v>0</v>
      </c>
      <c r="L28" s="21">
        <f t="shared" si="4"/>
        <v>100</v>
      </c>
      <c r="M28" s="21">
        <v>1</v>
      </c>
      <c r="N28" s="21">
        <v>0</v>
      </c>
      <c r="O28" s="21">
        <v>2</v>
      </c>
    </row>
    <row r="29" spans="1:15" s="25" customFormat="1" x14ac:dyDescent="0.2">
      <c r="A29" s="22">
        <v>28</v>
      </c>
      <c r="B29" s="22">
        <v>28</v>
      </c>
      <c r="C29" s="22">
        <v>10</v>
      </c>
      <c r="D29" s="22"/>
      <c r="E29" s="23">
        <f>LOOKUP(use_fish!B29,base_fish!A:A,base_fish!C:C)+_xlfn.IFNA(INDEX(activity!F:F,MATCH(use_fish!C29,activity!A:A,0)),0)</f>
        <v>100</v>
      </c>
      <c r="F29" s="23">
        <f t="shared" ref="F29:F32" si="5">1/E29</f>
        <v>0.01</v>
      </c>
      <c r="G29" s="23" t="s">
        <v>22</v>
      </c>
      <c r="H29" s="24" t="str">
        <f>INDEX(base_fish!E:E,MATCH(use_fish!B29,base_fish!A:A,0))&amp;_xlfn.IFNA("+"&amp;INDEX(activity!G:G,MATCH(use_fish!C29,activity!A:A,0)),"")</f>
        <v>闪电海鳗+闪电</v>
      </c>
      <c r="I29" s="23">
        <f>LOOKUP(use_fish!B29,base_fish!A:A,base_fish!F:F)+_xlfn.IFNA(INDEX(activity!F:F,MATCH(use_fish!C29,activity!A:A,0)),0)</f>
        <v>100</v>
      </c>
      <c r="J29" s="25">
        <v>1</v>
      </c>
      <c r="K29" s="25">
        <f>LOOKUP(use_fish!B29,base_fish!A:A,base_fish!G:G)</f>
        <v>0</v>
      </c>
      <c r="L29" s="25">
        <f t="shared" ref="L29:L32" si="6">I29</f>
        <v>100</v>
      </c>
      <c r="M29" s="25">
        <v>1</v>
      </c>
      <c r="N29" s="25">
        <v>1</v>
      </c>
      <c r="O29" s="25">
        <v>2</v>
      </c>
    </row>
    <row r="30" spans="1:15" s="25" customFormat="1" x14ac:dyDescent="0.2">
      <c r="A30" s="22">
        <v>29</v>
      </c>
      <c r="B30" s="22">
        <v>29</v>
      </c>
      <c r="C30" s="22">
        <v>19</v>
      </c>
      <c r="D30" s="22"/>
      <c r="E30" s="23">
        <f>LOOKUP(use_fish!B30,base_fish!A:A,base_fish!C:C)+_xlfn.IFNA(INDEX(activity!F:F,MATCH(use_fish!C30,activity!A:A,0)),0)</f>
        <v>300</v>
      </c>
      <c r="F30" s="23">
        <f t="shared" si="5"/>
        <v>3.3333333333333335E-3</v>
      </c>
      <c r="G30" s="23" t="s">
        <v>22</v>
      </c>
      <c r="H30" s="24" t="str">
        <f>INDEX(base_fish!E:E,MATCH(use_fish!B30,base_fish!A:A,0))&amp;_xlfn.IFNA("+"&amp;INDEX(activity!G:G,MATCH(use_fish!C30,activity!A:A,0)),"")</f>
        <v>穿云蟹+钻头弹</v>
      </c>
      <c r="I30" s="23">
        <f>LOOKUP(use_fish!B30,base_fish!A:A,base_fish!F:F)+_xlfn.IFNA(INDEX(activity!F:F,MATCH(use_fish!C30,activity!A:A,0)),0)</f>
        <v>300</v>
      </c>
      <c r="J30" s="25">
        <v>1</v>
      </c>
      <c r="K30" s="25">
        <f>LOOKUP(use_fish!B30,base_fish!A:A,base_fish!G:G)</f>
        <v>0</v>
      </c>
      <c r="L30" s="25">
        <f t="shared" si="6"/>
        <v>300</v>
      </c>
      <c r="M30" s="25">
        <v>1</v>
      </c>
      <c r="N30" s="25">
        <v>1</v>
      </c>
      <c r="O30" s="25">
        <v>2</v>
      </c>
    </row>
    <row r="31" spans="1:15" s="25" customFormat="1" x14ac:dyDescent="0.2">
      <c r="A31" s="22">
        <v>30</v>
      </c>
      <c r="B31" s="22">
        <v>30</v>
      </c>
      <c r="C31" s="22">
        <v>31</v>
      </c>
      <c r="D31" s="22"/>
      <c r="E31" s="23">
        <f>LOOKUP(use_fish!B31,base_fish!A:A,base_fish!C:C)+_xlfn.IFNA(INDEX(activity!F:F,MATCH(use_fish!C31,activity!A:A,0)),0)</f>
        <v>200</v>
      </c>
      <c r="F31" s="23">
        <f t="shared" si="5"/>
        <v>5.0000000000000001E-3</v>
      </c>
      <c r="G31" s="23" t="s">
        <v>22</v>
      </c>
      <c r="H31" s="24" t="str">
        <f>INDEX(base_fish!E:E,MATCH(use_fish!B31,base_fish!A:A,0))&amp;_xlfn.IFNA("+"&amp;INDEX(activity!G:G,MATCH(use_fish!C31,activity!A:A,0)),"")</f>
        <v>电磁蟹+电磁弹</v>
      </c>
      <c r="I31" s="23">
        <f>LOOKUP(use_fish!B31,base_fish!A:A,base_fish!F:F)+_xlfn.IFNA(INDEX(activity!F:F,MATCH(use_fish!C31,activity!A:A,0)),0)</f>
        <v>200</v>
      </c>
      <c r="J31" s="25">
        <v>1</v>
      </c>
      <c r="K31" s="25">
        <f>LOOKUP(use_fish!B31,base_fish!A:A,base_fish!G:G)</f>
        <v>0</v>
      </c>
      <c r="L31" s="25">
        <f t="shared" si="6"/>
        <v>200</v>
      </c>
      <c r="M31" s="25">
        <v>1</v>
      </c>
      <c r="N31" s="25">
        <v>1</v>
      </c>
      <c r="O31" s="25">
        <v>1</v>
      </c>
    </row>
    <row r="32" spans="1:15" s="25" customFormat="1" x14ac:dyDescent="0.2">
      <c r="A32" s="22">
        <v>31</v>
      </c>
      <c r="B32" s="22">
        <v>31</v>
      </c>
      <c r="C32" s="22">
        <v>39</v>
      </c>
      <c r="D32" s="22"/>
      <c r="E32" s="23">
        <f>LOOKUP(use_fish!B32,base_fish!A:A,base_fish!C:C)+_xlfn.IFNA(INDEX(activity!F:F,MATCH(use_fish!C32,activity!A:A,0)),0)</f>
        <v>250</v>
      </c>
      <c r="F32" s="23">
        <f t="shared" si="5"/>
        <v>4.0000000000000001E-3</v>
      </c>
      <c r="G32" s="23" t="s">
        <v>22</v>
      </c>
      <c r="H32" s="24" t="str">
        <f>INDEX(base_fish!E:E,MATCH(use_fish!B32,base_fish!A:A,0))&amp;_xlfn.IFNA("+"&amp;INDEX(activity!G:G,MATCH(use_fish!C32,activity!A:A,0)),"")</f>
        <v>奇遇蟹+强击弹（双倍）</v>
      </c>
      <c r="I32" s="23">
        <f>LOOKUP(use_fish!B32,base_fish!A:A,base_fish!F:F)+_xlfn.IFNA(INDEX(activity!F:F,MATCH(use_fish!C32,activity!A:A,0)),0)</f>
        <v>250</v>
      </c>
      <c r="J32" s="25">
        <v>1</v>
      </c>
      <c r="K32" s="25">
        <f>LOOKUP(use_fish!B32,base_fish!A:A,base_fish!G:G)</f>
        <v>0</v>
      </c>
      <c r="L32" s="25">
        <f t="shared" si="6"/>
        <v>250</v>
      </c>
      <c r="M32" s="25">
        <v>1</v>
      </c>
      <c r="N32" s="25">
        <v>1</v>
      </c>
      <c r="O32" s="25">
        <v>1</v>
      </c>
    </row>
    <row r="33" spans="1:15" s="25" customFormat="1" x14ac:dyDescent="0.2">
      <c r="A33" s="22">
        <v>32</v>
      </c>
      <c r="B33" s="22">
        <v>32</v>
      </c>
      <c r="C33" s="22">
        <v>32</v>
      </c>
      <c r="D33" s="22"/>
      <c r="E33" s="23">
        <f>LOOKUP(use_fish!B33,base_fish!A:A,base_fish!C:C)+_xlfn.IFNA(INDEX(activity!F:F,MATCH(use_fish!C33,activity!A:A,0)),0)</f>
        <v>200</v>
      </c>
      <c r="F33" s="23">
        <f t="shared" ref="F33:F39" si="7">1/E33</f>
        <v>5.0000000000000001E-3</v>
      </c>
      <c r="G33" s="23" t="s">
        <v>22</v>
      </c>
      <c r="H33" s="24" t="str">
        <f>INDEX(base_fish!E:E,MATCH(use_fish!B33,base_fish!A:A,0))&amp;_xlfn.IFNA("+"&amp;INDEX(activity!G:G,MATCH(use_fish!C33,activity!A:A,0)),"")</f>
        <v>宝藏章鱼+金币转盘</v>
      </c>
      <c r="I33" s="23">
        <f>LOOKUP(use_fish!B33,base_fish!A:A,base_fish!F:F)+_xlfn.IFNA(INDEX(activity!F:F,MATCH(use_fish!C33,activity!A:A,0)),0)</f>
        <v>200</v>
      </c>
      <c r="J33" s="25">
        <v>1</v>
      </c>
      <c r="K33" s="25">
        <f>LOOKUP(use_fish!B33,base_fish!A:A,base_fish!G:G)</f>
        <v>0</v>
      </c>
      <c r="L33" s="25">
        <f t="shared" ref="L33:L39" si="8">I33</f>
        <v>200</v>
      </c>
      <c r="M33" s="25">
        <v>1</v>
      </c>
      <c r="N33" s="25">
        <v>1</v>
      </c>
      <c r="O33" s="25">
        <v>1</v>
      </c>
    </row>
    <row r="34" spans="1:15" s="25" customFormat="1" x14ac:dyDescent="0.2">
      <c r="A34" s="22">
        <v>33</v>
      </c>
      <c r="B34" s="22">
        <v>33</v>
      </c>
      <c r="C34" s="22">
        <v>33</v>
      </c>
      <c r="D34" s="22"/>
      <c r="E34" s="23">
        <f>LOOKUP(use_fish!B34,base_fish!A:A,base_fish!C:C)+_xlfn.IFNA(INDEX(activity!F:F,MATCH(use_fish!C34,activity!A:A,0)),0)</f>
        <v>300</v>
      </c>
      <c r="F34" s="23">
        <f t="shared" si="7"/>
        <v>3.3333333333333335E-3</v>
      </c>
      <c r="G34" s="23" t="s">
        <v>22</v>
      </c>
      <c r="H34" s="24" t="str">
        <f>INDEX(base_fish!E:E,MATCH(use_fish!B34,base_fish!A:A,0))&amp;_xlfn.IFNA("+"&amp;INDEX(activity!G:G,MATCH(use_fish!C34,activity!A:A,0)),"")</f>
        <v>美人鱼+疯狂6选一</v>
      </c>
      <c r="I34" s="23">
        <f>LOOKUP(use_fish!B34,base_fish!A:A,base_fish!F:F)+_xlfn.IFNA(INDEX(activity!F:F,MATCH(use_fish!C34,activity!A:A,0)),0)</f>
        <v>300</v>
      </c>
      <c r="J34" s="25">
        <v>1</v>
      </c>
      <c r="K34" s="25">
        <f>LOOKUP(use_fish!B34,base_fish!A:A,base_fish!G:G)</f>
        <v>0</v>
      </c>
      <c r="L34" s="25">
        <f t="shared" si="8"/>
        <v>300</v>
      </c>
      <c r="M34" s="25">
        <v>1</v>
      </c>
      <c r="N34" s="25">
        <v>1</v>
      </c>
      <c r="O34" s="25">
        <v>1</v>
      </c>
    </row>
    <row r="35" spans="1:15" s="25" customFormat="1" x14ac:dyDescent="0.2">
      <c r="A35" s="22">
        <v>34</v>
      </c>
      <c r="B35" s="22">
        <v>34</v>
      </c>
      <c r="C35" s="22">
        <v>37</v>
      </c>
      <c r="D35" s="22"/>
      <c r="E35" s="23">
        <f>LOOKUP(use_fish!B35,base_fish!A:A,base_fish!C:C)+_xlfn.IFNA(INDEX(activity!F:F,MATCH(use_fish!C35,activity!A:A,0)),0)</f>
        <v>200</v>
      </c>
      <c r="F35" s="23">
        <f t="shared" si="7"/>
        <v>5.0000000000000001E-3</v>
      </c>
      <c r="G35" s="23" t="s">
        <v>22</v>
      </c>
      <c r="H35" s="24" t="str">
        <f>INDEX(base_fish!E:E,MATCH(use_fish!B35,base_fish!A:A,0))&amp;_xlfn.IFNA("+"&amp;INDEX(activity!G:G,MATCH(use_fish!C35,activity!A:A,0)),"")</f>
        <v>骰子龟+骰子龟</v>
      </c>
      <c r="I35" s="23">
        <v>20</v>
      </c>
      <c r="J35" s="25">
        <v>1</v>
      </c>
      <c r="K35" s="25">
        <f>LOOKUP(use_fish!B35,base_fish!A:A,base_fish!G:G)</f>
        <v>0</v>
      </c>
      <c r="L35" s="25">
        <f t="shared" si="8"/>
        <v>20</v>
      </c>
      <c r="M35" s="25">
        <v>1</v>
      </c>
      <c r="N35" s="25">
        <v>1</v>
      </c>
      <c r="O35" s="25">
        <v>1</v>
      </c>
    </row>
    <row r="36" spans="1:15" s="25" customFormat="1" x14ac:dyDescent="0.2">
      <c r="A36" s="22">
        <v>35</v>
      </c>
      <c r="B36" s="22">
        <v>35</v>
      </c>
      <c r="C36" s="22">
        <v>30</v>
      </c>
      <c r="D36" s="22"/>
      <c r="E36" s="23">
        <f>LOOKUP(use_fish!B36,base_fish!A:A,base_fish!C:C)+_xlfn.IFNA(INDEX(activity!F:F,MATCH(use_fish!C36,activity!A:A,0)),0)</f>
        <v>300</v>
      </c>
      <c r="F36" s="23">
        <f t="shared" si="7"/>
        <v>3.3333333333333335E-3</v>
      </c>
      <c r="G36" s="23" t="s">
        <v>22</v>
      </c>
      <c r="H36" s="24" t="str">
        <f>INDEX(base_fish!E:E,MATCH(use_fish!B36,base_fish!A:A,0))&amp;_xlfn.IFNA("+"&amp;INDEX(activity!G:G,MATCH(use_fish!C36,activity!A:A,0)),"")</f>
        <v>金龙转盘+连环转盘</v>
      </c>
      <c r="I36" s="23">
        <f>LOOKUP(use_fish!B36,base_fish!A:A,base_fish!F:F)+_xlfn.IFNA(INDEX(activity!F:F,MATCH(use_fish!C36,activity!A:A,0)),0)</f>
        <v>300</v>
      </c>
      <c r="J36" s="25">
        <v>1</v>
      </c>
      <c r="K36" s="25">
        <f>LOOKUP(use_fish!B36,base_fish!A:A,base_fish!G:G)</f>
        <v>0</v>
      </c>
      <c r="L36" s="25">
        <f t="shared" si="8"/>
        <v>300</v>
      </c>
      <c r="M36" s="25">
        <v>1</v>
      </c>
      <c r="N36" s="25">
        <v>1</v>
      </c>
      <c r="O36" s="25">
        <v>1</v>
      </c>
    </row>
    <row r="37" spans="1:15" s="25" customFormat="1" x14ac:dyDescent="0.2">
      <c r="A37" s="22">
        <v>36</v>
      </c>
      <c r="B37" s="22">
        <v>36</v>
      </c>
      <c r="C37" s="22">
        <v>36</v>
      </c>
      <c r="D37" s="22"/>
      <c r="E37" s="23">
        <f>LOOKUP(use_fish!B37,base_fish!A:A,base_fish!C:C)+_xlfn.IFNA(INDEX(activity!F:F,MATCH(use_fish!C37,activity!A:A,0)),0)</f>
        <v>300</v>
      </c>
      <c r="F37" s="23">
        <f t="shared" si="7"/>
        <v>3.3333333333333335E-3</v>
      </c>
      <c r="G37" s="23" t="s">
        <v>22</v>
      </c>
      <c r="H37" s="24" t="str">
        <f>INDEX(base_fish!E:E,MATCH(use_fish!B37,base_fish!A:A,0))&amp;_xlfn.IFNA("+"&amp;INDEX(activity!G:G,MATCH(use_fish!C37,activity!A:A,0)),"")</f>
        <v>炽火龙王+炽火龙王</v>
      </c>
      <c r="I37" s="23">
        <f>LOOKUP(use_fish!B37,base_fish!A:A,base_fish!F:F)+_xlfn.IFNA(INDEX(activity!F:F,MATCH(use_fish!C37,activity!A:A,0)),0)</f>
        <v>300</v>
      </c>
      <c r="J37" s="25">
        <v>1</v>
      </c>
      <c r="K37" s="25">
        <f>LOOKUP(use_fish!B37,base_fish!A:A,base_fish!G:G)</f>
        <v>0</v>
      </c>
      <c r="L37" s="25">
        <f t="shared" si="8"/>
        <v>300</v>
      </c>
      <c r="M37" s="25">
        <v>1</v>
      </c>
      <c r="N37" s="25">
        <v>1</v>
      </c>
      <c r="O37" s="25">
        <v>1</v>
      </c>
    </row>
    <row r="38" spans="1:15" s="25" customFormat="1" x14ac:dyDescent="0.2">
      <c r="A38" s="22">
        <v>37</v>
      </c>
      <c r="B38" s="22">
        <v>37</v>
      </c>
      <c r="C38" s="22"/>
      <c r="D38" s="47"/>
      <c r="E38" s="23">
        <f>LOOKUP(use_fish!B38,base_fish!A:A,base_fish!C:C)+_xlfn.IFNA(INDEX(activity!F:F,MATCH(use_fish!C38,activity!A:A,0)),0)</f>
        <v>0</v>
      </c>
      <c r="F38" s="23">
        <v>0</v>
      </c>
      <c r="G38" s="23" t="s">
        <v>22</v>
      </c>
      <c r="H38" s="24" t="str">
        <f>INDEX(base_fish!E:E,MATCH(use_fish!B38,base_fish!A:A,0))&amp;_xlfn.IFNA("+"&amp;INDEX(activity!G:G,MATCH(use_fish!C38,activity!A:A,0)),"")</f>
        <v>财神</v>
      </c>
      <c r="I38" s="23">
        <f>LOOKUP(use_fish!B38,base_fish!A:A,base_fish!F:F)+_xlfn.IFNA(INDEX(activity!F:F,MATCH(use_fish!C38,activity!A:A,0)),0)</f>
        <v>0</v>
      </c>
      <c r="J38" s="25">
        <v>1</v>
      </c>
      <c r="K38" s="25">
        <f>LOOKUP(use_fish!B38,base_fish!A:A,base_fish!G:G)</f>
        <v>0</v>
      </c>
      <c r="L38" s="25">
        <f t="shared" si="8"/>
        <v>0</v>
      </c>
      <c r="M38" s="25">
        <v>1</v>
      </c>
      <c r="N38" s="25">
        <v>1</v>
      </c>
      <c r="O38" s="25">
        <v>1</v>
      </c>
    </row>
    <row r="39" spans="1:15" s="31" customFormat="1" x14ac:dyDescent="0.2">
      <c r="A39" s="30">
        <v>38</v>
      </c>
      <c r="B39" s="30">
        <v>38</v>
      </c>
      <c r="C39" s="30">
        <v>26</v>
      </c>
      <c r="D39" s="30" t="s">
        <v>319</v>
      </c>
      <c r="E39" s="32">
        <f>LOOKUP(use_fish!B39,base_fish!A:A,base_fish!C:C)+_xlfn.IFNA(INDEX(activity!F:F,MATCH(use_fish!C39,activity!A:A,0)),0)</f>
        <v>102</v>
      </c>
      <c r="F39" s="32">
        <f t="shared" si="7"/>
        <v>9.8039215686274508E-3</v>
      </c>
      <c r="G39" s="32" t="s">
        <v>22</v>
      </c>
      <c r="H39" s="33" t="str">
        <f>INDEX(base_fish!E:E,MATCH(use_fish!B39,base_fish!A:A,0))&amp;_xlfn.IFNA("+"&amp;INDEX(activity!G:G,MATCH(use_fish!C39,activity!A:A,0)),"")</f>
        <v>黄金巨龙+彩贝-场次1</v>
      </c>
      <c r="I39" s="32">
        <f>LOOKUP(use_fish!B39,base_fish!A:A,base_fish!F:F)+_xlfn.IFNA(INDEX(activity!F:F,MATCH(use_fish!C39,activity!A:A,0)),0)</f>
        <v>102</v>
      </c>
      <c r="J39" s="31">
        <v>1</v>
      </c>
      <c r="K39" s="31">
        <f>LOOKUP(use_fish!B39,base_fish!A:A,base_fish!G:G)</f>
        <v>0</v>
      </c>
      <c r="L39" s="31">
        <f t="shared" si="8"/>
        <v>102</v>
      </c>
      <c r="M39" s="31">
        <v>2</v>
      </c>
      <c r="N39" s="31">
        <v>2</v>
      </c>
      <c r="O39" s="31">
        <v>1</v>
      </c>
    </row>
    <row r="40" spans="1:15" s="31" customFormat="1" x14ac:dyDescent="0.2">
      <c r="A40" s="30">
        <v>39</v>
      </c>
      <c r="B40" s="30">
        <v>39</v>
      </c>
      <c r="C40" s="30">
        <v>25</v>
      </c>
      <c r="D40" s="30" t="s">
        <v>342</v>
      </c>
      <c r="E40" s="32">
        <f>LOOKUP(use_fish!B40,base_fish!A:A,base_fish!C:C)+_xlfn.IFNA(INDEX(activity!F:F,MATCH(use_fish!C40,activity!A:A,0)),0)</f>
        <v>105</v>
      </c>
      <c r="F40" s="32">
        <f t="shared" ref="F40:F44" si="9">1/E40</f>
        <v>9.5238095238095247E-3</v>
      </c>
      <c r="G40" s="32" t="s">
        <v>22</v>
      </c>
      <c r="H40" s="33" t="str">
        <f>INDEX(base_fish!E:E,MATCH(use_fish!B40,base_fish!A:A,0))&amp;_xlfn.IFNA("+"&amp;INDEX(activity!G:G,MATCH(use_fish!C40,activity!A:A,0)),"")</f>
        <v>霸王蟹+彩贝-试炼场</v>
      </c>
      <c r="I40" s="32">
        <f>LOOKUP(use_fish!B40,base_fish!A:A,base_fish!F:F)+_xlfn.IFNA(INDEX(activity!F:F,MATCH(use_fish!C40,activity!A:A,0)),0)</f>
        <v>105</v>
      </c>
      <c r="J40" s="31">
        <v>1</v>
      </c>
      <c r="K40" s="31">
        <f>LOOKUP(use_fish!B40,base_fish!A:A,base_fish!G:G)</f>
        <v>0</v>
      </c>
      <c r="L40" s="31">
        <f t="shared" ref="L40:L45" si="10">I40</f>
        <v>105</v>
      </c>
      <c r="M40" s="31">
        <v>1</v>
      </c>
      <c r="N40" s="31">
        <v>2</v>
      </c>
      <c r="O40" s="31">
        <v>1</v>
      </c>
    </row>
    <row r="41" spans="1:15" s="31" customFormat="1" x14ac:dyDescent="0.2">
      <c r="A41" s="30">
        <v>40</v>
      </c>
      <c r="B41" s="30">
        <v>40</v>
      </c>
      <c r="C41" s="30">
        <v>41</v>
      </c>
      <c r="D41" s="30" t="s">
        <v>343</v>
      </c>
      <c r="E41" s="32">
        <f>LOOKUP(use_fish!B41,base_fish!A:A,base_fish!C:C)+_xlfn.IFNA(INDEX(activity!F:F,MATCH(use_fish!C41,activity!A:A,0)),0)</f>
        <v>302</v>
      </c>
      <c r="F41" s="32">
        <f t="shared" si="9"/>
        <v>3.3112582781456954E-3</v>
      </c>
      <c r="G41" s="32" t="s">
        <v>22</v>
      </c>
      <c r="H41" s="33" t="str">
        <f>INDEX(base_fish!E:E,MATCH(use_fish!B41,base_fish!A:A,0))&amp;_xlfn.IFNA("+"&amp;INDEX(activity!G:G,MATCH(use_fish!C41,activity!A:A,0)),"")</f>
        <v>深海鲸+彩贝-场次4</v>
      </c>
      <c r="I41" s="32">
        <f>LOOKUP(use_fish!B41,base_fish!A:A,base_fish!F:F)+_xlfn.IFNA(INDEX(activity!F:F,MATCH(use_fish!C41,activity!A:A,0)),0)</f>
        <v>302</v>
      </c>
      <c r="J41" s="31">
        <v>1</v>
      </c>
      <c r="K41" s="31">
        <f>LOOKUP(use_fish!B41,base_fish!A:A,base_fish!G:G)</f>
        <v>0</v>
      </c>
      <c r="L41" s="31">
        <f t="shared" si="10"/>
        <v>302</v>
      </c>
      <c r="M41" s="31">
        <v>1</v>
      </c>
      <c r="N41" s="31">
        <v>2</v>
      </c>
      <c r="O41" s="31">
        <v>1</v>
      </c>
    </row>
    <row r="42" spans="1:15" s="31" customFormat="1" x14ac:dyDescent="0.2">
      <c r="A42" s="30">
        <v>41</v>
      </c>
      <c r="B42" s="30">
        <v>41</v>
      </c>
      <c r="C42" s="30">
        <v>27</v>
      </c>
      <c r="D42" s="30" t="s">
        <v>342</v>
      </c>
      <c r="E42" s="32">
        <f>LOOKUP(use_fish!B42,base_fish!A:A,base_fish!C:C)+_xlfn.IFNA(INDEX(activity!F:F,MATCH(use_fish!C42,activity!A:A,0)),0)</f>
        <v>206</v>
      </c>
      <c r="F42" s="32">
        <f t="shared" si="9"/>
        <v>4.8543689320388345E-3</v>
      </c>
      <c r="G42" s="32" t="s">
        <v>22</v>
      </c>
      <c r="H42" s="33" t="str">
        <f>INDEX(base_fish!E:E,MATCH(use_fish!B42,base_fish!A:A,0))&amp;_xlfn.IFNA("+"&amp;INDEX(activity!G:G,MATCH(use_fish!C42,activity!A:A,0)),"")</f>
        <v>鲨鱼武士+彩贝-场次2</v>
      </c>
      <c r="I42" s="32">
        <f>LOOKUP(use_fish!B42,base_fish!A:A,base_fish!F:F)+_xlfn.IFNA(INDEX(activity!F:F,MATCH(use_fish!C42,activity!A:A,0)),0)</f>
        <v>206</v>
      </c>
      <c r="J42" s="31">
        <v>1</v>
      </c>
      <c r="K42" s="31">
        <f>LOOKUP(use_fish!B42,base_fish!A:A,base_fish!G:G)</f>
        <v>0</v>
      </c>
      <c r="L42" s="31">
        <f t="shared" si="10"/>
        <v>206</v>
      </c>
      <c r="M42" s="31">
        <v>1</v>
      </c>
      <c r="N42" s="31">
        <v>2</v>
      </c>
      <c r="O42" s="31">
        <v>1</v>
      </c>
    </row>
    <row r="43" spans="1:15" s="51" customFormat="1" x14ac:dyDescent="0.2">
      <c r="A43" s="48">
        <v>42</v>
      </c>
      <c r="B43" s="48">
        <v>42</v>
      </c>
      <c r="C43" s="48"/>
      <c r="D43" s="48"/>
      <c r="E43" s="49">
        <f>LOOKUP(use_fish!B43,base_fish!A:A,base_fish!C:C)+_xlfn.IFNA(INDEX(activity!F:F,MATCH(use_fish!C43,activity!A:A,0)),0)</f>
        <v>0</v>
      </c>
      <c r="F43" s="49">
        <v>0</v>
      </c>
      <c r="G43" s="49" t="s">
        <v>22</v>
      </c>
      <c r="H43" s="50" t="str">
        <f>INDEX(base_fish!E:E,MATCH(use_fish!B43,base_fish!A:A,0))&amp;_xlfn.IFNA("+"&amp;INDEX(activity!G:G,MATCH(use_fish!C43,activity!A:A,0)),"")</f>
        <v>荧光女皇</v>
      </c>
      <c r="I43" s="49">
        <f>LOOKUP(use_fish!B43,base_fish!A:A,base_fish!F:F)+_xlfn.IFNA(INDEX(activity!F:F,MATCH(use_fish!C43,activity!A:A,0)),0)</f>
        <v>0</v>
      </c>
      <c r="J43" s="51">
        <v>1</v>
      </c>
      <c r="K43" s="51">
        <f>LOOKUP(use_fish!B43,base_fish!A:A,base_fish!G:G)</f>
        <v>0</v>
      </c>
      <c r="L43" s="51">
        <f t="shared" si="10"/>
        <v>0</v>
      </c>
      <c r="M43" s="51">
        <v>1</v>
      </c>
      <c r="N43" s="51">
        <v>2</v>
      </c>
      <c r="O43" s="51">
        <v>1</v>
      </c>
    </row>
    <row r="44" spans="1:15" s="31" customFormat="1" x14ac:dyDescent="0.2">
      <c r="A44" s="30">
        <v>43</v>
      </c>
      <c r="B44" s="30">
        <v>43</v>
      </c>
      <c r="C44" s="30">
        <v>40</v>
      </c>
      <c r="D44" s="30" t="s">
        <v>344</v>
      </c>
      <c r="E44" s="32">
        <f>LOOKUP(use_fish!B44,base_fish!A:A,base_fish!C:C)+_xlfn.IFNA(INDEX(activity!F:F,MATCH(use_fish!C44,activity!A:A,0)),0)</f>
        <v>202</v>
      </c>
      <c r="F44" s="32">
        <f t="shared" si="9"/>
        <v>4.9504950495049506E-3</v>
      </c>
      <c r="G44" s="32" t="s">
        <v>22</v>
      </c>
      <c r="H44" s="33" t="str">
        <f>INDEX(base_fish!E:E,MATCH(use_fish!B44,base_fish!A:A,0))&amp;_xlfn.IFNA("+"&amp;INDEX(activity!G:G,MATCH(use_fish!C44,activity!A:A,0)),"")</f>
        <v>龙龟+彩贝-场次3</v>
      </c>
      <c r="I44" s="32">
        <f>LOOKUP(use_fish!B44,base_fish!A:A,base_fish!F:F)+_xlfn.IFNA(INDEX(activity!F:F,MATCH(use_fish!C44,activity!A:A,0)),0)</f>
        <v>202</v>
      </c>
      <c r="J44" s="31">
        <v>1</v>
      </c>
      <c r="K44" s="31">
        <f>LOOKUP(use_fish!B44,base_fish!A:A,base_fish!G:G)</f>
        <v>0</v>
      </c>
      <c r="L44" s="31">
        <f t="shared" si="10"/>
        <v>202</v>
      </c>
      <c r="M44" s="31">
        <v>1</v>
      </c>
      <c r="N44" s="31">
        <v>2</v>
      </c>
      <c r="O44" s="31">
        <v>1</v>
      </c>
    </row>
    <row r="45" spans="1:15" s="51" customFormat="1" x14ac:dyDescent="0.2">
      <c r="A45" s="48">
        <v>44</v>
      </c>
      <c r="B45" s="48">
        <v>44</v>
      </c>
      <c r="C45" s="48"/>
      <c r="D45" s="48"/>
      <c r="E45" s="49">
        <f>LOOKUP(use_fish!B45,base_fish!A:A,base_fish!C:C)+_xlfn.IFNA(INDEX(activity!F:F,MATCH(use_fish!C45,activity!A:A,0)),0)</f>
        <v>0</v>
      </c>
      <c r="F45" s="49">
        <v>0</v>
      </c>
      <c r="G45" s="49" t="s">
        <v>22</v>
      </c>
      <c r="H45" s="50" t="str">
        <f>INDEX(base_fish!E:E,MATCH(use_fish!B45,base_fish!A:A,0))&amp;_xlfn.IFNA("+"&amp;INDEX(activity!G:G,MATCH(use_fish!C45,activity!A:A,0)),"")</f>
        <v>麒麟兽</v>
      </c>
      <c r="I45" s="49">
        <f>LOOKUP(use_fish!B45,base_fish!A:A,base_fish!F:F)+_xlfn.IFNA(INDEX(activity!F:F,MATCH(use_fish!C45,activity!A:A,0)),0)</f>
        <v>0</v>
      </c>
      <c r="J45" s="51">
        <v>1</v>
      </c>
      <c r="K45" s="51">
        <f>LOOKUP(use_fish!B45,base_fish!A:A,base_fish!G:G)</f>
        <v>0</v>
      </c>
      <c r="L45" s="51">
        <f t="shared" si="10"/>
        <v>0</v>
      </c>
      <c r="M45" s="51">
        <v>2</v>
      </c>
      <c r="N45" s="51">
        <v>2</v>
      </c>
      <c r="O45" s="51">
        <v>1</v>
      </c>
    </row>
    <row r="46" spans="1:15" s="51" customFormat="1" x14ac:dyDescent="0.2">
      <c r="A46" s="48">
        <v>45</v>
      </c>
      <c r="B46" s="48">
        <v>45</v>
      </c>
      <c r="C46" s="48"/>
      <c r="D46" s="48"/>
      <c r="E46" s="49">
        <f>LOOKUP(use_fish!B46,base_fish!A:A,base_fish!C:C)+_xlfn.IFNA(INDEX(activity!F:F,MATCH(use_fish!C46,activity!A:A,0)),0)</f>
        <v>0</v>
      </c>
      <c r="F46" s="49">
        <v>0</v>
      </c>
      <c r="G46" s="49" t="s">
        <v>22</v>
      </c>
      <c r="H46" s="50" t="str">
        <f>INDEX(base_fish!E:E,MATCH(use_fish!B46,base_fish!A:A,0))&amp;_xlfn.IFNA("+"&amp;INDEX(activity!G:G,MATCH(use_fish!C46,activity!A:A,0)),"")</f>
        <v>海盗船</v>
      </c>
      <c r="I46" s="49">
        <f>LOOKUP(use_fish!B46,base_fish!A:A,base_fish!F:F)+_xlfn.IFNA(INDEX(activity!F:F,MATCH(use_fish!C46,activity!A:A,0)),0)</f>
        <v>0</v>
      </c>
      <c r="J46" s="51">
        <v>1</v>
      </c>
      <c r="K46" s="51">
        <f>LOOKUP(use_fish!B46,base_fish!A:A,base_fish!G:G)</f>
        <v>0</v>
      </c>
      <c r="L46" s="51">
        <f t="shared" ref="L46:L50" si="11">I46</f>
        <v>0</v>
      </c>
      <c r="M46" s="51">
        <v>1</v>
      </c>
      <c r="N46" s="51">
        <v>2</v>
      </c>
      <c r="O46" s="51">
        <v>1</v>
      </c>
    </row>
    <row r="47" spans="1:15" s="35" customFormat="1" x14ac:dyDescent="0.2">
      <c r="A47" s="34">
        <v>46</v>
      </c>
      <c r="B47" s="34">
        <v>46</v>
      </c>
      <c r="C47" s="34"/>
      <c r="D47" s="34" t="s">
        <v>345</v>
      </c>
      <c r="E47" s="36">
        <f>LOOKUP(use_fish!B47,base_fish!A:A,base_fish!C:C)+_xlfn.IFNA(INDEX(activity!F:F,MATCH(use_fish!C47,activity!A:A,0)),0)</f>
        <v>200</v>
      </c>
      <c r="F47" s="36">
        <f t="shared" ref="F47:F50" si="12">1/E47</f>
        <v>5.0000000000000001E-3</v>
      </c>
      <c r="G47" s="36" t="s">
        <v>22</v>
      </c>
      <c r="H47" s="37" t="str">
        <f>INDEX(base_fish!E:E,MATCH(use_fish!B47,base_fish!A:A,0))&amp;_xlfn.IFNA("+"&amp;INDEX(activity!G:G,MATCH(use_fish!C47,activity!A:A,0)),"")</f>
        <v>金蟾</v>
      </c>
      <c r="I47" s="36">
        <f>LOOKUP(use_fish!B47,base_fish!A:A,base_fish!F:F)+_xlfn.IFNA(INDEX(activity!F:F,MATCH(use_fish!C47,activity!A:A,0)),0)</f>
        <v>200</v>
      </c>
      <c r="J47" s="35">
        <v>1</v>
      </c>
      <c r="K47" s="35">
        <f>LOOKUP(use_fish!B47,base_fish!A:A,base_fish!G:G)</f>
        <v>0</v>
      </c>
      <c r="L47" s="35">
        <f t="shared" si="11"/>
        <v>200</v>
      </c>
      <c r="M47" s="35">
        <v>1</v>
      </c>
      <c r="N47" s="35">
        <v>0</v>
      </c>
      <c r="O47" s="35">
        <v>1</v>
      </c>
    </row>
    <row r="48" spans="1:15" s="35" customFormat="1" x14ac:dyDescent="0.2">
      <c r="A48" s="34">
        <v>47</v>
      </c>
      <c r="B48" s="34">
        <v>47</v>
      </c>
      <c r="C48" s="34">
        <v>34</v>
      </c>
      <c r="D48" s="34" t="s">
        <v>347</v>
      </c>
      <c r="E48" s="36">
        <f>LOOKUP(use_fish!B48,base_fish!A:A,base_fish!C:C)+_xlfn.IFNA(INDEX(activity!F:F,MATCH(use_fish!C48,activity!A:A,0)),0)</f>
        <v>300</v>
      </c>
      <c r="F48" s="36">
        <f t="shared" si="12"/>
        <v>3.3333333333333335E-3</v>
      </c>
      <c r="G48" s="36" t="s">
        <v>22</v>
      </c>
      <c r="H48" s="37" t="str">
        <f>INDEX(base_fish!E:E,MATCH(use_fish!B48,base_fish!A:A,0))&amp;_xlfn.IFNA("+"&amp;INDEX(activity!G:G,MATCH(use_fish!C48,activity!A:A,0)),"")</f>
        <v>深海狂鲨+吞噬天下</v>
      </c>
      <c r="I48" s="36">
        <f>LOOKUP(use_fish!B48,base_fish!A:A,base_fish!F:F)+_xlfn.IFNA(INDEX(activity!F:F,MATCH(use_fish!C48,activity!A:A,0)),0)</f>
        <v>300</v>
      </c>
      <c r="J48" s="35">
        <v>1</v>
      </c>
      <c r="K48" s="35">
        <f>LOOKUP(use_fish!B48,base_fish!A:A,base_fish!G:G)</f>
        <v>0</v>
      </c>
      <c r="L48" s="35">
        <f t="shared" si="11"/>
        <v>300</v>
      </c>
      <c r="M48" s="35">
        <v>1</v>
      </c>
      <c r="N48" s="35">
        <v>0</v>
      </c>
      <c r="O48" s="35">
        <v>1</v>
      </c>
    </row>
    <row r="49" spans="1:15" s="35" customFormat="1" x14ac:dyDescent="0.2">
      <c r="A49" s="34">
        <v>48</v>
      </c>
      <c r="B49" s="34">
        <v>48</v>
      </c>
      <c r="C49" s="34">
        <v>17</v>
      </c>
      <c r="D49" s="34" t="s">
        <v>348</v>
      </c>
      <c r="E49" s="36">
        <f>LOOKUP(use_fish!B49,base_fish!A:A,base_fish!C:C)+_xlfn.IFNA(INDEX(activity!F:F,MATCH(use_fish!C49,activity!A:A,0)),0)</f>
        <v>400</v>
      </c>
      <c r="F49" s="36">
        <f t="shared" si="12"/>
        <v>2.5000000000000001E-3</v>
      </c>
      <c r="G49" s="36" t="s">
        <v>22</v>
      </c>
      <c r="H49" s="37" t="str">
        <f>INDEX(base_fish!E:E,MATCH(use_fish!B49,base_fish!A:A,0))&amp;_xlfn.IFNA("+"&amp;INDEX(activity!G:G,MATCH(use_fish!C49,activity!A:A,0)),"")</f>
        <v>鳄鱼+宝箱</v>
      </c>
      <c r="I49" s="36">
        <f>LOOKUP(use_fish!B49,base_fish!A:A,base_fish!F:F)+_xlfn.IFNA(INDEX(activity!F:F,MATCH(use_fish!C49,activity!A:A,0)),0)</f>
        <v>400</v>
      </c>
      <c r="J49" s="35">
        <v>1</v>
      </c>
      <c r="K49" s="35">
        <f>LOOKUP(use_fish!B49,base_fish!A:A,base_fish!G:G)</f>
        <v>0</v>
      </c>
      <c r="L49" s="35">
        <f t="shared" si="11"/>
        <v>400</v>
      </c>
      <c r="M49" s="35">
        <v>1</v>
      </c>
      <c r="N49" s="35">
        <v>0</v>
      </c>
      <c r="O49" s="35">
        <v>1</v>
      </c>
    </row>
    <row r="50" spans="1:15" s="35" customFormat="1" x14ac:dyDescent="0.2">
      <c r="A50" s="34">
        <v>49</v>
      </c>
      <c r="B50" s="34">
        <v>49</v>
      </c>
      <c r="C50" s="34">
        <v>35</v>
      </c>
      <c r="D50" s="34" t="s">
        <v>349</v>
      </c>
      <c r="E50" s="36">
        <f>LOOKUP(use_fish!B50,base_fish!A:A,base_fish!C:C)+_xlfn.IFNA(INDEX(activity!F:F,MATCH(use_fish!C50,activity!A:A,0)),0)</f>
        <v>400</v>
      </c>
      <c r="F50" s="36">
        <f t="shared" si="12"/>
        <v>2.5000000000000001E-3</v>
      </c>
      <c r="G50" s="36" t="s">
        <v>22</v>
      </c>
      <c r="H50" s="37" t="str">
        <f>INDEX(base_fish!E:E,MATCH(use_fish!B50,base_fish!A:A,0))&amp;_xlfn.IFNA("+"&amp;INDEX(activity!G:G,MATCH(use_fish!C50,activity!A:A,0)),"")</f>
        <v>大王乌贼+连环炸弹</v>
      </c>
      <c r="I50" s="36">
        <f>LOOKUP(use_fish!B50,base_fish!A:A,base_fish!F:F)+_xlfn.IFNA(INDEX(activity!F:F,MATCH(use_fish!C50,activity!A:A,0)),0)</f>
        <v>400</v>
      </c>
      <c r="J50" s="35">
        <v>1</v>
      </c>
      <c r="K50" s="35">
        <f>LOOKUP(use_fish!B50,base_fish!A:A,base_fish!G:G)</f>
        <v>0</v>
      </c>
      <c r="L50" s="35">
        <f t="shared" si="11"/>
        <v>400</v>
      </c>
      <c r="M50" s="35">
        <v>1</v>
      </c>
      <c r="N50" s="35">
        <v>0</v>
      </c>
      <c r="O50" s="35">
        <v>1</v>
      </c>
    </row>
    <row r="51" spans="1:15" s="35" customFormat="1" x14ac:dyDescent="0.2">
      <c r="A51" s="34">
        <v>50</v>
      </c>
      <c r="B51" s="34">
        <v>50</v>
      </c>
      <c r="C51" s="34"/>
      <c r="D51" s="34"/>
      <c r="E51" s="36">
        <v>0</v>
      </c>
      <c r="F51" s="34">
        <v>0</v>
      </c>
      <c r="G51" s="36" t="s">
        <v>22</v>
      </c>
      <c r="H51" s="35" t="s">
        <v>309</v>
      </c>
      <c r="I51" s="36">
        <v>0</v>
      </c>
      <c r="J51" s="35">
        <v>3</v>
      </c>
      <c r="K51" s="36">
        <v>0</v>
      </c>
      <c r="L51" s="36">
        <v>0</v>
      </c>
      <c r="M51" s="36">
        <v>1</v>
      </c>
      <c r="N51" s="35">
        <v>0</v>
      </c>
      <c r="O51" s="35">
        <v>3</v>
      </c>
    </row>
    <row r="52" spans="1:15" s="29" customFormat="1" x14ac:dyDescent="0.2">
      <c r="A52" s="26">
        <v>51</v>
      </c>
      <c r="B52" s="26">
        <v>11</v>
      </c>
      <c r="C52" s="26">
        <v>42</v>
      </c>
      <c r="D52" s="26"/>
      <c r="E52" s="27">
        <f>LOOKUP(use_fish!B52,base_fish!A:A,base_fish!C:C)+_xlfn.IFNA(INDEX(activity!F:F,MATCH(use_fish!C52,activity!A:A,0)),0)</f>
        <v>45</v>
      </c>
      <c r="F52" s="27">
        <f t="shared" ref="F52:F65" si="13">1/E52</f>
        <v>2.2222222222222223E-2</v>
      </c>
      <c r="G52" s="27" t="s">
        <v>22</v>
      </c>
      <c r="H52" s="28" t="str">
        <f>INDEX(base_fish!E:E,MATCH(use_fish!B52,base_fish!A:A,0))&amp;_xlfn.IFNA("+"&amp;INDEX(activity!G:G,MATCH(use_fish!C52,activity!A:A,0)),"")</f>
        <v>小海龟+炸弹</v>
      </c>
      <c r="I52" s="27">
        <f>LOOKUP(use_fish!B52,base_fish!A:A,base_fish!F:F)+_xlfn.IFNA(INDEX(activity!F:F,MATCH(use_fish!C52,activity!A:A,0)),0)</f>
        <v>45</v>
      </c>
      <c r="J52" s="29">
        <v>1</v>
      </c>
      <c r="K52" s="29">
        <f>LOOKUP(use_fish!B52,base_fish!A:A,base_fish!G:G)</f>
        <v>0</v>
      </c>
      <c r="L52" s="29">
        <f t="shared" ref="L52:L65" si="14">I52</f>
        <v>45</v>
      </c>
      <c r="M52" s="29">
        <v>1</v>
      </c>
      <c r="N52" s="29">
        <f t="shared" ref="N52:N57" si="15">IF(OR(C52=4,C52=5),1,0)</f>
        <v>0</v>
      </c>
      <c r="O52" s="29">
        <v>1</v>
      </c>
    </row>
    <row r="53" spans="1:15" s="41" customFormat="1" x14ac:dyDescent="0.2">
      <c r="A53" s="38">
        <v>52</v>
      </c>
      <c r="B53" s="38">
        <v>12</v>
      </c>
      <c r="C53" s="38">
        <v>42</v>
      </c>
      <c r="D53" s="38"/>
      <c r="E53" s="39">
        <f>LOOKUP(use_fish!B53,base_fish!A:A,base_fish!C:C)+_xlfn.IFNA(INDEX(activity!F:F,MATCH(use_fish!C53,activity!A:A,0)),0)</f>
        <v>48</v>
      </c>
      <c r="F53" s="39">
        <f t="shared" si="13"/>
        <v>2.0833333333333332E-2</v>
      </c>
      <c r="G53" s="39" t="s">
        <v>22</v>
      </c>
      <c r="H53" s="40" t="str">
        <f>INDEX(base_fish!E:E,MATCH(use_fish!B53,base_fish!A:A,0))&amp;_xlfn.IFNA("+"&amp;INDEX(activity!G:G,MATCH(use_fish!C53,activity!A:A,0)),"")</f>
        <v>狮子鱼+炸弹</v>
      </c>
      <c r="I53" s="39">
        <f>LOOKUP(use_fish!B53,base_fish!A:A,base_fish!F:F)+_xlfn.IFNA(INDEX(activity!F:F,MATCH(use_fish!C53,activity!A:A,0)),0)</f>
        <v>48</v>
      </c>
      <c r="J53" s="41">
        <v>1</v>
      </c>
      <c r="K53" s="41">
        <f>LOOKUP(use_fish!B53,base_fish!A:A,base_fish!G:G)</f>
        <v>0</v>
      </c>
      <c r="L53" s="41">
        <f t="shared" si="14"/>
        <v>48</v>
      </c>
      <c r="M53" s="41">
        <v>1</v>
      </c>
      <c r="N53" s="41">
        <f t="shared" si="15"/>
        <v>0</v>
      </c>
      <c r="O53" s="41">
        <v>1</v>
      </c>
    </row>
    <row r="54" spans="1:15" s="41" customFormat="1" x14ac:dyDescent="0.2">
      <c r="A54" s="38">
        <v>53</v>
      </c>
      <c r="B54" s="38">
        <v>13</v>
      </c>
      <c r="C54" s="38">
        <v>42</v>
      </c>
      <c r="D54" s="38"/>
      <c r="E54" s="39">
        <f>LOOKUP(use_fish!B54,base_fish!A:A,base_fish!C:C)+_xlfn.IFNA(INDEX(activity!F:F,MATCH(use_fish!C54,activity!A:A,0)),0)</f>
        <v>50</v>
      </c>
      <c r="F54" s="39">
        <f t="shared" si="13"/>
        <v>0.02</v>
      </c>
      <c r="G54" s="39" t="s">
        <v>22</v>
      </c>
      <c r="H54" s="40" t="str">
        <f>INDEX(base_fish!E:E,MATCH(use_fish!B54,base_fish!A:A,0))&amp;_xlfn.IFNA("+"&amp;INDEX(activity!G:G,MATCH(use_fish!C54,activity!A:A,0)),"")</f>
        <v>蝴蝶鱼+炸弹</v>
      </c>
      <c r="I54" s="39">
        <f>LOOKUP(use_fish!B54,base_fish!A:A,base_fish!F:F)+_xlfn.IFNA(INDEX(activity!F:F,MATCH(use_fish!C54,activity!A:A,0)),0)</f>
        <v>50</v>
      </c>
      <c r="J54" s="41">
        <v>1</v>
      </c>
      <c r="K54" s="41">
        <f>LOOKUP(use_fish!B54,base_fish!A:A,base_fish!G:G)</f>
        <v>0</v>
      </c>
      <c r="L54" s="41">
        <f t="shared" si="14"/>
        <v>50</v>
      </c>
      <c r="M54" s="41">
        <v>1</v>
      </c>
      <c r="N54" s="41">
        <f t="shared" si="15"/>
        <v>0</v>
      </c>
      <c r="O54" s="41">
        <v>1</v>
      </c>
    </row>
    <row r="55" spans="1:15" s="41" customFormat="1" x14ac:dyDescent="0.2">
      <c r="A55" s="38">
        <v>54</v>
      </c>
      <c r="B55" s="38">
        <v>14</v>
      </c>
      <c r="C55" s="38">
        <v>42</v>
      </c>
      <c r="D55" s="38"/>
      <c r="E55" s="39">
        <f>LOOKUP(use_fish!B55,base_fish!A:A,base_fish!C:C)+_xlfn.IFNA(INDEX(activity!F:F,MATCH(use_fish!C55,activity!A:A,0)),0)</f>
        <v>55</v>
      </c>
      <c r="F55" s="39">
        <f t="shared" si="13"/>
        <v>1.8181818181818181E-2</v>
      </c>
      <c r="G55" s="39" t="s">
        <v>22</v>
      </c>
      <c r="H55" s="40" t="str">
        <f>INDEX(base_fish!E:E,MATCH(use_fish!B55,base_fish!A:A,0))&amp;_xlfn.IFNA("+"&amp;INDEX(activity!G:G,MATCH(use_fish!C55,activity!A:A,0)),"")</f>
        <v>巨大小丑鱼+炸弹</v>
      </c>
      <c r="I55" s="39">
        <f>LOOKUP(use_fish!B55,base_fish!A:A,base_fish!F:F)+_xlfn.IFNA(INDEX(activity!F:F,MATCH(use_fish!C55,activity!A:A,0)),0)</f>
        <v>55</v>
      </c>
      <c r="J55" s="41">
        <v>1</v>
      </c>
      <c r="K55" s="41">
        <f>LOOKUP(use_fish!B55,base_fish!A:A,base_fish!G:G)</f>
        <v>0</v>
      </c>
      <c r="L55" s="41">
        <f t="shared" si="14"/>
        <v>55</v>
      </c>
      <c r="M55" s="41">
        <v>1</v>
      </c>
      <c r="N55" s="41">
        <f t="shared" si="15"/>
        <v>0</v>
      </c>
      <c r="O55" s="41">
        <v>1</v>
      </c>
    </row>
    <row r="56" spans="1:15" s="41" customFormat="1" x14ac:dyDescent="0.2">
      <c r="A56" s="38">
        <v>55</v>
      </c>
      <c r="B56" s="38">
        <v>15</v>
      </c>
      <c r="C56" s="38">
        <v>42</v>
      </c>
      <c r="D56" s="38"/>
      <c r="E56" s="39">
        <f>LOOKUP(use_fish!B56,base_fish!A:A,base_fish!C:C)+_xlfn.IFNA(INDEX(activity!F:F,MATCH(use_fish!C56,activity!A:A,0)),0)</f>
        <v>60</v>
      </c>
      <c r="F56" s="39">
        <f t="shared" si="13"/>
        <v>1.6666666666666666E-2</v>
      </c>
      <c r="G56" s="39" t="s">
        <v>22</v>
      </c>
      <c r="H56" s="40" t="str">
        <f>INDEX(base_fish!E:E,MATCH(use_fish!B56,base_fish!A:A,0))&amp;_xlfn.IFNA("+"&amp;INDEX(activity!G:G,MATCH(use_fish!C56,activity!A:A,0)),"")</f>
        <v>巨大灯笼鱼+炸弹</v>
      </c>
      <c r="I56" s="39">
        <f>LOOKUP(use_fish!B56,base_fish!A:A,base_fish!F:F)+_xlfn.IFNA(INDEX(activity!F:F,MATCH(use_fish!C56,activity!A:A,0)),0)</f>
        <v>60</v>
      </c>
      <c r="J56" s="41">
        <v>1</v>
      </c>
      <c r="K56" s="41">
        <f>LOOKUP(use_fish!B56,base_fish!A:A,base_fish!G:G)</f>
        <v>0</v>
      </c>
      <c r="L56" s="41">
        <f t="shared" si="14"/>
        <v>60</v>
      </c>
      <c r="M56" s="41">
        <v>1</v>
      </c>
      <c r="N56" s="41">
        <f t="shared" si="15"/>
        <v>0</v>
      </c>
      <c r="O56" s="41">
        <v>1</v>
      </c>
    </row>
    <row r="57" spans="1:15" s="41" customFormat="1" x14ac:dyDescent="0.2">
      <c r="A57" s="38">
        <v>56</v>
      </c>
      <c r="B57" s="38">
        <v>16</v>
      </c>
      <c r="C57" s="38">
        <v>42</v>
      </c>
      <c r="D57" s="38"/>
      <c r="E57" s="39">
        <f>LOOKUP(use_fish!B57,base_fish!A:A,base_fish!C:C)+_xlfn.IFNA(INDEX(activity!F:F,MATCH(use_fish!C57,activity!A:A,0)),0)</f>
        <v>65</v>
      </c>
      <c r="F57" s="39">
        <f t="shared" si="13"/>
        <v>1.5384615384615385E-2</v>
      </c>
      <c r="G57" s="39" t="s">
        <v>22</v>
      </c>
      <c r="H57" s="40" t="str">
        <f>INDEX(base_fish!E:E,MATCH(use_fish!B57,base_fish!A:A,0))&amp;_xlfn.IFNA("+"&amp;INDEX(activity!G:G,MATCH(use_fish!C57,activity!A:A,0)),"")</f>
        <v>巨大燕鱼+炸弹</v>
      </c>
      <c r="I57" s="39">
        <f>LOOKUP(use_fish!B57,base_fish!A:A,base_fish!F:F)+_xlfn.IFNA(INDEX(activity!F:F,MATCH(use_fish!C57,activity!A:A,0)),0)</f>
        <v>65</v>
      </c>
      <c r="J57" s="41">
        <v>1</v>
      </c>
      <c r="K57" s="41">
        <f>LOOKUP(use_fish!B57,base_fish!A:A,base_fish!G:G)</f>
        <v>0</v>
      </c>
      <c r="L57" s="41">
        <f t="shared" si="14"/>
        <v>65</v>
      </c>
      <c r="M57" s="41">
        <v>1</v>
      </c>
      <c r="N57" s="41">
        <f t="shared" si="15"/>
        <v>0</v>
      </c>
      <c r="O57" s="41">
        <v>1</v>
      </c>
    </row>
    <row r="58" spans="1:15" s="41" customFormat="1" x14ac:dyDescent="0.2">
      <c r="A58" s="38">
        <v>57</v>
      </c>
      <c r="B58" s="38">
        <v>17</v>
      </c>
      <c r="C58" s="38">
        <v>42</v>
      </c>
      <c r="D58" s="38"/>
      <c r="E58" s="39">
        <f>LOOKUP(use_fish!B58,base_fish!A:A,base_fish!C:C)+_xlfn.IFNA(INDEX(activity!F:F,MATCH(use_fish!C58,activity!A:A,0)),0)</f>
        <v>70</v>
      </c>
      <c r="F58" s="39">
        <f t="shared" si="13"/>
        <v>1.4285714285714285E-2</v>
      </c>
      <c r="G58" s="39" t="s">
        <v>22</v>
      </c>
      <c r="H58" s="40" t="str">
        <f>INDEX(base_fish!E:E,MATCH(use_fish!B58,base_fish!A:A,0))&amp;_xlfn.IFNA("+"&amp;INDEX(activity!G:G,MATCH(use_fish!C58,activity!A:A,0)),"")</f>
        <v>魔鬼鱼+炸弹</v>
      </c>
      <c r="I58" s="39">
        <f>LOOKUP(use_fish!B58,base_fish!A:A,base_fish!F:F)+_xlfn.IFNA(INDEX(activity!F:F,MATCH(use_fish!C58,activity!A:A,0)),0)</f>
        <v>70</v>
      </c>
      <c r="J58" s="41">
        <v>1</v>
      </c>
      <c r="K58" s="41">
        <f>LOOKUP(use_fish!B58,base_fish!A:A,base_fish!G:G)</f>
        <v>0</v>
      </c>
      <c r="L58" s="41">
        <f t="shared" si="14"/>
        <v>70</v>
      </c>
      <c r="M58" s="41">
        <v>1</v>
      </c>
      <c r="N58" s="41">
        <v>0</v>
      </c>
      <c r="O58" s="41">
        <v>1</v>
      </c>
    </row>
    <row r="59" spans="1:15" s="41" customFormat="1" x14ac:dyDescent="0.2">
      <c r="A59" s="38">
        <v>58</v>
      </c>
      <c r="B59" s="38">
        <v>18</v>
      </c>
      <c r="C59" s="38">
        <v>42</v>
      </c>
      <c r="D59" s="38"/>
      <c r="E59" s="39">
        <f>LOOKUP(use_fish!B59,base_fish!A:A,base_fish!C:C)+_xlfn.IFNA(INDEX(activity!F:F,MATCH(use_fish!C59,activity!A:A,0)),0)</f>
        <v>90</v>
      </c>
      <c r="F59" s="39">
        <f t="shared" si="13"/>
        <v>1.1111111111111112E-2</v>
      </c>
      <c r="G59" s="39" t="s">
        <v>22</v>
      </c>
      <c r="H59" s="40" t="str">
        <f>INDEX(base_fish!E:E,MATCH(use_fish!B59,base_fish!A:A,0))&amp;_xlfn.IFNA("+"&amp;INDEX(activity!G:G,MATCH(use_fish!C59,activity!A:A,0)),"")</f>
        <v>虎鲸+炸弹</v>
      </c>
      <c r="I59" s="39">
        <f>LOOKUP(use_fish!B59,base_fish!A:A,base_fish!F:F)+_xlfn.IFNA(INDEX(activity!F:F,MATCH(use_fish!C59,activity!A:A,0)),0)</f>
        <v>90</v>
      </c>
      <c r="J59" s="41">
        <v>1</v>
      </c>
      <c r="K59" s="41">
        <f>LOOKUP(use_fish!B59,base_fish!A:A,base_fish!G:G)</f>
        <v>0</v>
      </c>
      <c r="L59" s="41">
        <f t="shared" si="14"/>
        <v>90</v>
      </c>
      <c r="M59" s="41">
        <v>1</v>
      </c>
      <c r="N59" s="41">
        <v>0</v>
      </c>
      <c r="O59" s="41">
        <v>1</v>
      </c>
    </row>
    <row r="60" spans="1:15" s="21" customFormat="1" x14ac:dyDescent="0.2">
      <c r="A60" s="18">
        <v>59</v>
      </c>
      <c r="B60" s="18">
        <v>20</v>
      </c>
      <c r="C60" s="18">
        <v>42</v>
      </c>
      <c r="D60" s="18" t="s">
        <v>308</v>
      </c>
      <c r="E60" s="19">
        <v>93</v>
      </c>
      <c r="F60" s="19">
        <f t="shared" si="13"/>
        <v>1.0752688172043012E-2</v>
      </c>
      <c r="G60" s="19" t="s">
        <v>22</v>
      </c>
      <c r="H60" s="20" t="str">
        <f>INDEX(base_fish!E:E,MATCH(use_fish!B60,base_fish!A:A,0))&amp;_xlfn.IFNA("+"&amp;INDEX(activity!G:G,MATCH(use_fish!C60,activity!A:A,0)),"")</f>
        <v>黄金灯笼鱼+炸弹</v>
      </c>
      <c r="I60" s="19">
        <f>LOOKUP(use_fish!B60,base_fish!A:A,base_fish!F:F)+_xlfn.IFNA(INDEX(activity!F:F,MATCH(use_fish!C60,activity!A:A,0)),0)</f>
        <v>90</v>
      </c>
      <c r="J60" s="21">
        <v>1</v>
      </c>
      <c r="K60" s="21">
        <f>LOOKUP(use_fish!B60,base_fish!A:A,base_fish!G:G)</f>
        <v>0</v>
      </c>
      <c r="L60" s="21">
        <f t="shared" si="14"/>
        <v>90</v>
      </c>
      <c r="M60" s="21">
        <v>1</v>
      </c>
      <c r="N60" s="21">
        <v>0</v>
      </c>
      <c r="O60" s="21">
        <v>2</v>
      </c>
    </row>
    <row r="61" spans="1:15" s="21" customFormat="1" x14ac:dyDescent="0.2">
      <c r="A61" s="18">
        <v>60</v>
      </c>
      <c r="B61" s="18">
        <v>22</v>
      </c>
      <c r="C61" s="18">
        <v>42</v>
      </c>
      <c r="D61" s="18" t="s">
        <v>339</v>
      </c>
      <c r="E61" s="19">
        <v>93</v>
      </c>
      <c r="F61" s="19">
        <f t="shared" si="13"/>
        <v>1.0752688172043012E-2</v>
      </c>
      <c r="G61" s="19" t="s">
        <v>22</v>
      </c>
      <c r="H61" s="20" t="str">
        <f>INDEX(base_fish!E:E,MATCH(use_fish!B61,base_fish!A:A,0))&amp;_xlfn.IFNA("+"&amp;INDEX(activity!G:G,MATCH(use_fish!C61,activity!A:A,0)),"")</f>
        <v>黄金狮子鱼+炸弹</v>
      </c>
      <c r="I61" s="19">
        <f>LOOKUP(use_fish!B61,base_fish!A:A,base_fish!F:F)+_xlfn.IFNA(INDEX(activity!F:F,MATCH(use_fish!C61,activity!A:A,0)),0)</f>
        <v>90</v>
      </c>
      <c r="J61" s="21">
        <v>1</v>
      </c>
      <c r="K61" s="21">
        <f>LOOKUP(use_fish!B61,base_fish!A:A,base_fish!G:G)</f>
        <v>0</v>
      </c>
      <c r="L61" s="21">
        <f t="shared" si="14"/>
        <v>90</v>
      </c>
      <c r="M61" s="21">
        <v>1</v>
      </c>
      <c r="N61" s="21">
        <v>0</v>
      </c>
      <c r="O61" s="21">
        <v>2</v>
      </c>
    </row>
    <row r="62" spans="1:15" s="21" customFormat="1" x14ac:dyDescent="0.2">
      <c r="A62" s="18">
        <v>61</v>
      </c>
      <c r="B62" s="18">
        <v>23</v>
      </c>
      <c r="C62" s="18">
        <v>42</v>
      </c>
      <c r="D62" s="18" t="s">
        <v>340</v>
      </c>
      <c r="E62" s="19">
        <v>135</v>
      </c>
      <c r="F62" s="19">
        <f t="shared" si="13"/>
        <v>7.4074074074074077E-3</v>
      </c>
      <c r="G62" s="19" t="s">
        <v>22</v>
      </c>
      <c r="H62" s="20" t="str">
        <f>INDEX(base_fish!E:E,MATCH(use_fish!B62,base_fish!A:A,0))&amp;_xlfn.IFNA("+"&amp;INDEX(activity!G:G,MATCH(use_fish!C62,activity!A:A,0)),"")</f>
        <v>黄金海龟+炸弹</v>
      </c>
      <c r="I62" s="19">
        <f>LOOKUP(use_fish!B62,base_fish!A:A,base_fish!F:F)+_xlfn.IFNA(INDEX(activity!F:F,MATCH(use_fish!C62,activity!A:A,0)),0)</f>
        <v>90</v>
      </c>
      <c r="J62" s="21">
        <v>1</v>
      </c>
      <c r="K62" s="21">
        <f>LOOKUP(use_fish!B62,base_fish!A:A,base_fish!G:G)</f>
        <v>0</v>
      </c>
      <c r="L62" s="21">
        <f t="shared" si="14"/>
        <v>90</v>
      </c>
      <c r="M62" s="21">
        <v>1</v>
      </c>
      <c r="N62" s="21">
        <v>0</v>
      </c>
      <c r="O62" s="21">
        <v>2</v>
      </c>
    </row>
    <row r="63" spans="1:15" s="21" customFormat="1" x14ac:dyDescent="0.2">
      <c r="A63" s="18">
        <v>62</v>
      </c>
      <c r="B63" s="18">
        <v>25</v>
      </c>
      <c r="C63" s="18">
        <v>42</v>
      </c>
      <c r="D63" s="18" t="s">
        <v>308</v>
      </c>
      <c r="E63" s="19">
        <v>114</v>
      </c>
      <c r="F63" s="19">
        <f t="shared" si="13"/>
        <v>8.771929824561403E-3</v>
      </c>
      <c r="G63" s="19" t="s">
        <v>22</v>
      </c>
      <c r="H63" s="20" t="str">
        <f>INDEX(base_fish!E:E,MATCH(use_fish!B63,base_fish!A:A,0))&amp;_xlfn.IFNA("+"&amp;INDEX(activity!G:G,MATCH(use_fish!C63,activity!A:A,0)),"")</f>
        <v>金蟾+炸弹</v>
      </c>
      <c r="I63" s="19">
        <f>LOOKUP(use_fish!B63,base_fish!A:A,base_fish!F:F)+_xlfn.IFNA(INDEX(activity!F:F,MATCH(use_fish!C63,activity!A:A,0)),0)</f>
        <v>110</v>
      </c>
      <c r="J63" s="21">
        <v>1</v>
      </c>
      <c r="K63" s="21">
        <f>LOOKUP(use_fish!B63,base_fish!A:A,base_fish!G:G)</f>
        <v>0</v>
      </c>
      <c r="L63" s="21">
        <f t="shared" si="14"/>
        <v>110</v>
      </c>
      <c r="M63" s="21">
        <v>1</v>
      </c>
      <c r="N63" s="21">
        <v>0</v>
      </c>
      <c r="O63" s="21">
        <v>2</v>
      </c>
    </row>
    <row r="64" spans="1:15" s="21" customFormat="1" x14ac:dyDescent="0.2">
      <c r="A64" s="18">
        <v>63</v>
      </c>
      <c r="B64" s="18">
        <v>26</v>
      </c>
      <c r="C64" s="18">
        <v>42</v>
      </c>
      <c r="D64" s="18" t="s">
        <v>308</v>
      </c>
      <c r="E64" s="19">
        <v>135</v>
      </c>
      <c r="F64" s="19">
        <f t="shared" si="13"/>
        <v>7.4074074074074077E-3</v>
      </c>
      <c r="G64" s="19" t="s">
        <v>22</v>
      </c>
      <c r="H64" s="20" t="str">
        <f>INDEX(base_fish!E:E,MATCH(use_fish!B64,base_fish!A:A,0))&amp;_xlfn.IFNA("+"&amp;INDEX(activity!G:G,MATCH(use_fish!C64,activity!A:A,0)),"")</f>
        <v>大金鲨+炸弹</v>
      </c>
      <c r="I64" s="19">
        <f>LOOKUP(use_fish!B64,base_fish!A:A,base_fish!F:F)+_xlfn.IFNA(INDEX(activity!F:F,MATCH(use_fish!C64,activity!A:A,0)),0)</f>
        <v>130</v>
      </c>
      <c r="J64" s="21">
        <v>1</v>
      </c>
      <c r="K64" s="21">
        <f>LOOKUP(use_fish!B64,base_fish!A:A,base_fish!G:G)</f>
        <v>0</v>
      </c>
      <c r="L64" s="21">
        <f t="shared" si="14"/>
        <v>130</v>
      </c>
      <c r="M64" s="21">
        <v>1</v>
      </c>
      <c r="N64" s="21">
        <v>0</v>
      </c>
      <c r="O64" s="21">
        <v>2</v>
      </c>
    </row>
    <row r="65" spans="1:15" s="21" customFormat="1" x14ac:dyDescent="0.2">
      <c r="A65" s="18">
        <v>64</v>
      </c>
      <c r="B65" s="18">
        <v>27</v>
      </c>
      <c r="C65" s="18">
        <v>42</v>
      </c>
      <c r="D65" s="18" t="s">
        <v>339</v>
      </c>
      <c r="E65" s="19">
        <v>135</v>
      </c>
      <c r="F65" s="19">
        <f t="shared" si="13"/>
        <v>7.4074074074074077E-3</v>
      </c>
      <c r="G65" s="19" t="s">
        <v>22</v>
      </c>
      <c r="H65" s="20" t="str">
        <f>INDEX(base_fish!E:E,MATCH(use_fish!B65,base_fish!A:A,0))&amp;_xlfn.IFNA("+"&amp;INDEX(activity!G:G,MATCH(use_fish!C65,activity!A:A,0)),"")</f>
        <v>黄金锤头鲨+炸弹</v>
      </c>
      <c r="I65" s="19">
        <f>LOOKUP(use_fish!B65,base_fish!A:A,base_fish!F:F)+_xlfn.IFNA(INDEX(activity!F:F,MATCH(use_fish!C65,activity!A:A,0)),0)</f>
        <v>130</v>
      </c>
      <c r="J65" s="21">
        <v>1</v>
      </c>
      <c r="K65" s="21">
        <f>LOOKUP(use_fish!B65,base_fish!A:A,base_fish!G:G)</f>
        <v>0</v>
      </c>
      <c r="L65" s="21">
        <f t="shared" si="14"/>
        <v>130</v>
      </c>
      <c r="M65" s="21">
        <v>1</v>
      </c>
      <c r="N65" s="21">
        <v>0</v>
      </c>
      <c r="O65" s="21">
        <v>2</v>
      </c>
    </row>
    <row r="66" spans="1:15" s="29" customFormat="1" x14ac:dyDescent="0.2">
      <c r="A66" s="26">
        <v>65</v>
      </c>
      <c r="B66" s="26">
        <v>11</v>
      </c>
      <c r="C66" s="26">
        <v>43</v>
      </c>
      <c r="D66" s="26"/>
      <c r="E66" s="27">
        <f>LOOKUP(use_fish!B66,base_fish!A:A,base_fish!C:C)+_xlfn.IFNA(INDEX(activity!F:F,MATCH(use_fish!C66,activity!A:A,0)),0)</f>
        <v>65</v>
      </c>
      <c r="F66" s="27">
        <f t="shared" ref="F66:F79" si="16">1/E66</f>
        <v>1.5384615384615385E-2</v>
      </c>
      <c r="G66" s="27" t="s">
        <v>22</v>
      </c>
      <c r="H66" s="28" t="str">
        <f>INDEX(base_fish!E:E,MATCH(use_fish!B66,base_fish!A:A,0))&amp;_xlfn.IFNA("+"&amp;INDEX(activity!G:G,MATCH(use_fish!C66,activity!A:A,0)),"")</f>
        <v>小海龟+闪电</v>
      </c>
      <c r="I66" s="27">
        <f>LOOKUP(use_fish!B66,base_fish!A:A,base_fish!F:F)+_xlfn.IFNA(INDEX(activity!F:F,MATCH(use_fish!C66,activity!A:A,0)),0)</f>
        <v>65</v>
      </c>
      <c r="J66" s="29">
        <v>1</v>
      </c>
      <c r="K66" s="29">
        <f>LOOKUP(use_fish!B66,base_fish!A:A,base_fish!G:G)</f>
        <v>0</v>
      </c>
      <c r="L66" s="29">
        <f t="shared" ref="L66:L79" si="17">I66</f>
        <v>65</v>
      </c>
      <c r="M66" s="29">
        <v>1</v>
      </c>
      <c r="N66" s="29">
        <f t="shared" ref="N66:N71" si="18">IF(OR(C66=4,C66=5),1,0)</f>
        <v>0</v>
      </c>
      <c r="O66" s="29">
        <v>1</v>
      </c>
    </row>
    <row r="67" spans="1:15" s="41" customFormat="1" x14ac:dyDescent="0.2">
      <c r="A67" s="38">
        <v>66</v>
      </c>
      <c r="B67" s="38">
        <v>12</v>
      </c>
      <c r="C67" s="38">
        <v>43</v>
      </c>
      <c r="D67" s="38"/>
      <c r="E67" s="39">
        <f>LOOKUP(use_fish!B67,base_fish!A:A,base_fish!C:C)+_xlfn.IFNA(INDEX(activity!F:F,MATCH(use_fish!C67,activity!A:A,0)),0)</f>
        <v>68</v>
      </c>
      <c r="F67" s="39">
        <f t="shared" si="16"/>
        <v>1.4705882352941176E-2</v>
      </c>
      <c r="G67" s="39" t="s">
        <v>22</v>
      </c>
      <c r="H67" s="40" t="str">
        <f>INDEX(base_fish!E:E,MATCH(use_fish!B67,base_fish!A:A,0))&amp;_xlfn.IFNA("+"&amp;INDEX(activity!G:G,MATCH(use_fish!C67,activity!A:A,0)),"")</f>
        <v>狮子鱼+闪电</v>
      </c>
      <c r="I67" s="39">
        <f>LOOKUP(use_fish!B67,base_fish!A:A,base_fish!F:F)+_xlfn.IFNA(INDEX(activity!F:F,MATCH(use_fish!C67,activity!A:A,0)),0)</f>
        <v>68</v>
      </c>
      <c r="J67" s="41">
        <v>1</v>
      </c>
      <c r="K67" s="41">
        <f>LOOKUP(use_fish!B67,base_fish!A:A,base_fish!G:G)</f>
        <v>0</v>
      </c>
      <c r="L67" s="41">
        <f t="shared" si="17"/>
        <v>68</v>
      </c>
      <c r="M67" s="41">
        <v>1</v>
      </c>
      <c r="N67" s="41">
        <f t="shared" si="18"/>
        <v>0</v>
      </c>
      <c r="O67" s="41">
        <v>1</v>
      </c>
    </row>
    <row r="68" spans="1:15" s="41" customFormat="1" x14ac:dyDescent="0.2">
      <c r="A68" s="38">
        <v>67</v>
      </c>
      <c r="B68" s="38">
        <v>13</v>
      </c>
      <c r="C68" s="38">
        <v>43</v>
      </c>
      <c r="D68" s="38"/>
      <c r="E68" s="39">
        <f>LOOKUP(use_fish!B68,base_fish!A:A,base_fish!C:C)+_xlfn.IFNA(INDEX(activity!F:F,MATCH(use_fish!C68,activity!A:A,0)),0)</f>
        <v>70</v>
      </c>
      <c r="F68" s="39">
        <f t="shared" si="16"/>
        <v>1.4285714285714285E-2</v>
      </c>
      <c r="G68" s="39" t="s">
        <v>22</v>
      </c>
      <c r="H68" s="40" t="str">
        <f>INDEX(base_fish!E:E,MATCH(use_fish!B68,base_fish!A:A,0))&amp;_xlfn.IFNA("+"&amp;INDEX(activity!G:G,MATCH(use_fish!C68,activity!A:A,0)),"")</f>
        <v>蝴蝶鱼+闪电</v>
      </c>
      <c r="I68" s="39">
        <f>LOOKUP(use_fish!B68,base_fish!A:A,base_fish!F:F)+_xlfn.IFNA(INDEX(activity!F:F,MATCH(use_fish!C68,activity!A:A,0)),0)</f>
        <v>70</v>
      </c>
      <c r="J68" s="41">
        <v>1</v>
      </c>
      <c r="K68" s="41">
        <f>LOOKUP(use_fish!B68,base_fish!A:A,base_fish!G:G)</f>
        <v>0</v>
      </c>
      <c r="L68" s="41">
        <f t="shared" si="17"/>
        <v>70</v>
      </c>
      <c r="M68" s="41">
        <v>1</v>
      </c>
      <c r="N68" s="41">
        <f t="shared" si="18"/>
        <v>0</v>
      </c>
      <c r="O68" s="41">
        <v>1</v>
      </c>
    </row>
    <row r="69" spans="1:15" s="41" customFormat="1" x14ac:dyDescent="0.2">
      <c r="A69" s="38">
        <v>68</v>
      </c>
      <c r="B69" s="38">
        <v>14</v>
      </c>
      <c r="C69" s="38">
        <v>43</v>
      </c>
      <c r="D69" s="38"/>
      <c r="E69" s="39">
        <f>LOOKUP(use_fish!B69,base_fish!A:A,base_fish!C:C)+_xlfn.IFNA(INDEX(activity!F:F,MATCH(use_fish!C69,activity!A:A,0)),0)</f>
        <v>75</v>
      </c>
      <c r="F69" s="39">
        <f t="shared" si="16"/>
        <v>1.3333333333333334E-2</v>
      </c>
      <c r="G69" s="39" t="s">
        <v>22</v>
      </c>
      <c r="H69" s="40" t="str">
        <f>INDEX(base_fish!E:E,MATCH(use_fish!B69,base_fish!A:A,0))&amp;_xlfn.IFNA("+"&amp;INDEX(activity!G:G,MATCH(use_fish!C69,activity!A:A,0)),"")</f>
        <v>巨大小丑鱼+闪电</v>
      </c>
      <c r="I69" s="39">
        <f>LOOKUP(use_fish!B69,base_fish!A:A,base_fish!F:F)+_xlfn.IFNA(INDEX(activity!F:F,MATCH(use_fish!C69,activity!A:A,0)),0)</f>
        <v>75</v>
      </c>
      <c r="J69" s="41">
        <v>1</v>
      </c>
      <c r="K69" s="41">
        <f>LOOKUP(use_fish!B69,base_fish!A:A,base_fish!G:G)</f>
        <v>0</v>
      </c>
      <c r="L69" s="41">
        <f t="shared" si="17"/>
        <v>75</v>
      </c>
      <c r="M69" s="41">
        <v>1</v>
      </c>
      <c r="N69" s="41">
        <f t="shared" si="18"/>
        <v>0</v>
      </c>
      <c r="O69" s="41">
        <v>1</v>
      </c>
    </row>
    <row r="70" spans="1:15" s="41" customFormat="1" x14ac:dyDescent="0.2">
      <c r="A70" s="38">
        <v>69</v>
      </c>
      <c r="B70" s="38">
        <v>15</v>
      </c>
      <c r="C70" s="38">
        <v>43</v>
      </c>
      <c r="D70" s="38"/>
      <c r="E70" s="39">
        <f>LOOKUP(use_fish!B70,base_fish!A:A,base_fish!C:C)+_xlfn.IFNA(INDEX(activity!F:F,MATCH(use_fish!C70,activity!A:A,0)),0)</f>
        <v>80</v>
      </c>
      <c r="F70" s="39">
        <f t="shared" si="16"/>
        <v>1.2500000000000001E-2</v>
      </c>
      <c r="G70" s="39" t="s">
        <v>22</v>
      </c>
      <c r="H70" s="40" t="str">
        <f>INDEX(base_fish!E:E,MATCH(use_fish!B70,base_fish!A:A,0))&amp;_xlfn.IFNA("+"&amp;INDEX(activity!G:G,MATCH(use_fish!C70,activity!A:A,0)),"")</f>
        <v>巨大灯笼鱼+闪电</v>
      </c>
      <c r="I70" s="39">
        <f>LOOKUP(use_fish!B70,base_fish!A:A,base_fish!F:F)+_xlfn.IFNA(INDEX(activity!F:F,MATCH(use_fish!C70,activity!A:A,0)),0)</f>
        <v>80</v>
      </c>
      <c r="J70" s="41">
        <v>1</v>
      </c>
      <c r="K70" s="41">
        <f>LOOKUP(use_fish!B70,base_fish!A:A,base_fish!G:G)</f>
        <v>0</v>
      </c>
      <c r="L70" s="41">
        <f t="shared" si="17"/>
        <v>80</v>
      </c>
      <c r="M70" s="41">
        <v>1</v>
      </c>
      <c r="N70" s="41">
        <f t="shared" si="18"/>
        <v>0</v>
      </c>
      <c r="O70" s="41">
        <v>1</v>
      </c>
    </row>
    <row r="71" spans="1:15" s="41" customFormat="1" x14ac:dyDescent="0.2">
      <c r="A71" s="38">
        <v>70</v>
      </c>
      <c r="B71" s="38">
        <v>16</v>
      </c>
      <c r="C71" s="38">
        <v>43</v>
      </c>
      <c r="D71" s="38"/>
      <c r="E71" s="39">
        <f>LOOKUP(use_fish!B71,base_fish!A:A,base_fish!C:C)+_xlfn.IFNA(INDEX(activity!F:F,MATCH(use_fish!C71,activity!A:A,0)),0)</f>
        <v>85</v>
      </c>
      <c r="F71" s="39">
        <f t="shared" si="16"/>
        <v>1.1764705882352941E-2</v>
      </c>
      <c r="G71" s="39" t="s">
        <v>22</v>
      </c>
      <c r="H71" s="40" t="str">
        <f>INDEX(base_fish!E:E,MATCH(use_fish!B71,base_fish!A:A,0))&amp;_xlfn.IFNA("+"&amp;INDEX(activity!G:G,MATCH(use_fish!C71,activity!A:A,0)),"")</f>
        <v>巨大燕鱼+闪电</v>
      </c>
      <c r="I71" s="39">
        <f>LOOKUP(use_fish!B71,base_fish!A:A,base_fish!F:F)+_xlfn.IFNA(INDEX(activity!F:F,MATCH(use_fish!C71,activity!A:A,0)),0)</f>
        <v>85</v>
      </c>
      <c r="J71" s="41">
        <v>1</v>
      </c>
      <c r="K71" s="41">
        <f>LOOKUP(use_fish!B71,base_fish!A:A,base_fish!G:G)</f>
        <v>0</v>
      </c>
      <c r="L71" s="41">
        <f t="shared" si="17"/>
        <v>85</v>
      </c>
      <c r="M71" s="41">
        <v>1</v>
      </c>
      <c r="N71" s="41">
        <f t="shared" si="18"/>
        <v>0</v>
      </c>
      <c r="O71" s="41">
        <v>1</v>
      </c>
    </row>
    <row r="72" spans="1:15" s="41" customFormat="1" x14ac:dyDescent="0.2">
      <c r="A72" s="38">
        <v>71</v>
      </c>
      <c r="B72" s="38">
        <v>17</v>
      </c>
      <c r="C72" s="38">
        <v>43</v>
      </c>
      <c r="D72" s="38"/>
      <c r="E72" s="39">
        <f>LOOKUP(use_fish!B72,base_fish!A:A,base_fish!C:C)+_xlfn.IFNA(INDEX(activity!F:F,MATCH(use_fish!C72,activity!A:A,0)),0)</f>
        <v>90</v>
      </c>
      <c r="F72" s="39">
        <f t="shared" si="16"/>
        <v>1.1111111111111112E-2</v>
      </c>
      <c r="G72" s="39" t="s">
        <v>22</v>
      </c>
      <c r="H72" s="40" t="str">
        <f>INDEX(base_fish!E:E,MATCH(use_fish!B72,base_fish!A:A,0))&amp;_xlfn.IFNA("+"&amp;INDEX(activity!G:G,MATCH(use_fish!C72,activity!A:A,0)),"")</f>
        <v>魔鬼鱼+闪电</v>
      </c>
      <c r="I72" s="39">
        <f>LOOKUP(use_fish!B72,base_fish!A:A,base_fish!F:F)+_xlfn.IFNA(INDEX(activity!F:F,MATCH(use_fish!C72,activity!A:A,0)),0)</f>
        <v>90</v>
      </c>
      <c r="J72" s="41">
        <v>1</v>
      </c>
      <c r="K72" s="41">
        <f>LOOKUP(use_fish!B72,base_fish!A:A,base_fish!G:G)</f>
        <v>0</v>
      </c>
      <c r="L72" s="41">
        <f t="shared" si="17"/>
        <v>90</v>
      </c>
      <c r="M72" s="41">
        <v>1</v>
      </c>
      <c r="N72" s="41">
        <v>0</v>
      </c>
      <c r="O72" s="41">
        <v>1</v>
      </c>
    </row>
    <row r="73" spans="1:15" s="41" customFormat="1" x14ac:dyDescent="0.2">
      <c r="A73" s="38">
        <v>72</v>
      </c>
      <c r="B73" s="38">
        <v>18</v>
      </c>
      <c r="C73" s="38">
        <v>43</v>
      </c>
      <c r="D73" s="38"/>
      <c r="E73" s="39">
        <f>LOOKUP(use_fish!B73,base_fish!A:A,base_fish!C:C)+_xlfn.IFNA(INDEX(activity!F:F,MATCH(use_fish!C73,activity!A:A,0)),0)</f>
        <v>110</v>
      </c>
      <c r="F73" s="39">
        <f t="shared" si="16"/>
        <v>9.0909090909090905E-3</v>
      </c>
      <c r="G73" s="39" t="s">
        <v>22</v>
      </c>
      <c r="H73" s="40" t="str">
        <f>INDEX(base_fish!E:E,MATCH(use_fish!B73,base_fish!A:A,0))&amp;_xlfn.IFNA("+"&amp;INDEX(activity!G:G,MATCH(use_fish!C73,activity!A:A,0)),"")</f>
        <v>虎鲸+闪电</v>
      </c>
      <c r="I73" s="39">
        <f>LOOKUP(use_fish!B73,base_fish!A:A,base_fish!F:F)+_xlfn.IFNA(INDEX(activity!F:F,MATCH(use_fish!C73,activity!A:A,0)),0)</f>
        <v>110</v>
      </c>
      <c r="J73" s="41">
        <v>1</v>
      </c>
      <c r="K73" s="41">
        <f>LOOKUP(use_fish!B73,base_fish!A:A,base_fish!G:G)</f>
        <v>0</v>
      </c>
      <c r="L73" s="41">
        <f t="shared" si="17"/>
        <v>110</v>
      </c>
      <c r="M73" s="41">
        <v>1</v>
      </c>
      <c r="N73" s="41">
        <v>0</v>
      </c>
      <c r="O73" s="41">
        <v>1</v>
      </c>
    </row>
    <row r="74" spans="1:15" s="21" customFormat="1" x14ac:dyDescent="0.2">
      <c r="A74" s="18">
        <v>73</v>
      </c>
      <c r="B74" s="18">
        <v>20</v>
      </c>
      <c r="C74" s="18">
        <v>43</v>
      </c>
      <c r="D74" s="18" t="s">
        <v>308</v>
      </c>
      <c r="E74" s="19">
        <v>113</v>
      </c>
      <c r="F74" s="19">
        <f t="shared" si="16"/>
        <v>8.8495575221238937E-3</v>
      </c>
      <c r="G74" s="19" t="s">
        <v>22</v>
      </c>
      <c r="H74" s="20" t="str">
        <f>INDEX(base_fish!E:E,MATCH(use_fish!B74,base_fish!A:A,0))&amp;_xlfn.IFNA("+"&amp;INDEX(activity!G:G,MATCH(use_fish!C74,activity!A:A,0)),"")</f>
        <v>黄金灯笼鱼+闪电</v>
      </c>
      <c r="I74" s="19">
        <f>LOOKUP(use_fish!B74,base_fish!A:A,base_fish!F:F)+_xlfn.IFNA(INDEX(activity!F:F,MATCH(use_fish!C74,activity!A:A,0)),0)</f>
        <v>110</v>
      </c>
      <c r="J74" s="21">
        <v>1</v>
      </c>
      <c r="K74" s="21">
        <f>LOOKUP(use_fish!B74,base_fish!A:A,base_fish!G:G)</f>
        <v>0</v>
      </c>
      <c r="L74" s="21">
        <f t="shared" si="17"/>
        <v>110</v>
      </c>
      <c r="M74" s="21">
        <v>1</v>
      </c>
      <c r="N74" s="21">
        <v>0</v>
      </c>
      <c r="O74" s="21">
        <v>2</v>
      </c>
    </row>
    <row r="75" spans="1:15" s="21" customFormat="1" x14ac:dyDescent="0.2">
      <c r="A75" s="18">
        <v>74</v>
      </c>
      <c r="B75" s="18">
        <v>22</v>
      </c>
      <c r="C75" s="18">
        <v>43</v>
      </c>
      <c r="D75" s="18" t="s">
        <v>339</v>
      </c>
      <c r="E75" s="19">
        <v>113</v>
      </c>
      <c r="F75" s="19">
        <f t="shared" si="16"/>
        <v>8.8495575221238937E-3</v>
      </c>
      <c r="G75" s="19" t="s">
        <v>22</v>
      </c>
      <c r="H75" s="20" t="str">
        <f>INDEX(base_fish!E:E,MATCH(use_fish!B75,base_fish!A:A,0))&amp;_xlfn.IFNA("+"&amp;INDEX(activity!G:G,MATCH(use_fish!C75,activity!A:A,0)),"")</f>
        <v>黄金狮子鱼+闪电</v>
      </c>
      <c r="I75" s="19">
        <f>LOOKUP(use_fish!B75,base_fish!A:A,base_fish!F:F)+_xlfn.IFNA(INDEX(activity!F:F,MATCH(use_fish!C75,activity!A:A,0)),0)</f>
        <v>110</v>
      </c>
      <c r="J75" s="21">
        <v>1</v>
      </c>
      <c r="K75" s="21">
        <f>LOOKUP(use_fish!B75,base_fish!A:A,base_fish!G:G)</f>
        <v>0</v>
      </c>
      <c r="L75" s="21">
        <f t="shared" si="17"/>
        <v>110</v>
      </c>
      <c r="M75" s="21">
        <v>1</v>
      </c>
      <c r="N75" s="21">
        <v>0</v>
      </c>
      <c r="O75" s="21">
        <v>2</v>
      </c>
    </row>
    <row r="76" spans="1:15" s="21" customFormat="1" x14ac:dyDescent="0.2">
      <c r="A76" s="18">
        <v>75</v>
      </c>
      <c r="B76" s="18">
        <v>23</v>
      </c>
      <c r="C76" s="18">
        <v>43</v>
      </c>
      <c r="D76" s="18" t="s">
        <v>340</v>
      </c>
      <c r="E76" s="19">
        <v>155</v>
      </c>
      <c r="F76" s="19">
        <f t="shared" si="16"/>
        <v>6.4516129032258064E-3</v>
      </c>
      <c r="G76" s="19" t="s">
        <v>22</v>
      </c>
      <c r="H76" s="20" t="str">
        <f>INDEX(base_fish!E:E,MATCH(use_fish!B76,base_fish!A:A,0))&amp;_xlfn.IFNA("+"&amp;INDEX(activity!G:G,MATCH(use_fish!C76,activity!A:A,0)),"")</f>
        <v>黄金海龟+闪电</v>
      </c>
      <c r="I76" s="19">
        <f>LOOKUP(use_fish!B76,base_fish!A:A,base_fish!F:F)+_xlfn.IFNA(INDEX(activity!F:F,MATCH(use_fish!C76,activity!A:A,0)),0)</f>
        <v>110</v>
      </c>
      <c r="J76" s="21">
        <v>1</v>
      </c>
      <c r="K76" s="21">
        <f>LOOKUP(use_fish!B76,base_fish!A:A,base_fish!G:G)</f>
        <v>0</v>
      </c>
      <c r="L76" s="21">
        <f t="shared" si="17"/>
        <v>110</v>
      </c>
      <c r="M76" s="21">
        <v>1</v>
      </c>
      <c r="N76" s="21">
        <v>0</v>
      </c>
      <c r="O76" s="21">
        <v>2</v>
      </c>
    </row>
    <row r="77" spans="1:15" s="21" customFormat="1" x14ac:dyDescent="0.2">
      <c r="A77" s="18">
        <v>76</v>
      </c>
      <c r="B77" s="18">
        <v>25</v>
      </c>
      <c r="C77" s="18">
        <v>43</v>
      </c>
      <c r="D77" s="18" t="s">
        <v>308</v>
      </c>
      <c r="E77" s="19">
        <v>134</v>
      </c>
      <c r="F77" s="19">
        <f t="shared" si="16"/>
        <v>7.462686567164179E-3</v>
      </c>
      <c r="G77" s="19" t="s">
        <v>22</v>
      </c>
      <c r="H77" s="20" t="str">
        <f>INDEX(base_fish!E:E,MATCH(use_fish!B77,base_fish!A:A,0))&amp;_xlfn.IFNA("+"&amp;INDEX(activity!G:G,MATCH(use_fish!C77,activity!A:A,0)),"")</f>
        <v>金蟾+闪电</v>
      </c>
      <c r="I77" s="19">
        <f>LOOKUP(use_fish!B77,base_fish!A:A,base_fish!F:F)+_xlfn.IFNA(INDEX(activity!F:F,MATCH(use_fish!C77,activity!A:A,0)),0)</f>
        <v>130</v>
      </c>
      <c r="J77" s="21">
        <v>1</v>
      </c>
      <c r="K77" s="21">
        <f>LOOKUP(use_fish!B77,base_fish!A:A,base_fish!G:G)</f>
        <v>0</v>
      </c>
      <c r="L77" s="21">
        <f t="shared" si="17"/>
        <v>130</v>
      </c>
      <c r="M77" s="21">
        <v>1</v>
      </c>
      <c r="N77" s="21">
        <v>0</v>
      </c>
      <c r="O77" s="21">
        <v>2</v>
      </c>
    </row>
    <row r="78" spans="1:15" s="21" customFormat="1" x14ac:dyDescent="0.2">
      <c r="A78" s="18">
        <v>77</v>
      </c>
      <c r="B78" s="18">
        <v>26</v>
      </c>
      <c r="C78" s="18">
        <v>43</v>
      </c>
      <c r="D78" s="18" t="s">
        <v>308</v>
      </c>
      <c r="E78" s="19">
        <v>155</v>
      </c>
      <c r="F78" s="19">
        <f t="shared" si="16"/>
        <v>6.4516129032258064E-3</v>
      </c>
      <c r="G78" s="19" t="s">
        <v>22</v>
      </c>
      <c r="H78" s="20" t="str">
        <f>INDEX(base_fish!E:E,MATCH(use_fish!B78,base_fish!A:A,0))&amp;_xlfn.IFNA("+"&amp;INDEX(activity!G:G,MATCH(use_fish!C78,activity!A:A,0)),"")</f>
        <v>大金鲨+闪电</v>
      </c>
      <c r="I78" s="19">
        <f>LOOKUP(use_fish!B78,base_fish!A:A,base_fish!F:F)+_xlfn.IFNA(INDEX(activity!F:F,MATCH(use_fish!C78,activity!A:A,0)),0)</f>
        <v>150</v>
      </c>
      <c r="J78" s="21">
        <v>1</v>
      </c>
      <c r="K78" s="21">
        <f>LOOKUP(use_fish!B78,base_fish!A:A,base_fish!G:G)</f>
        <v>0</v>
      </c>
      <c r="L78" s="21">
        <f t="shared" si="17"/>
        <v>150</v>
      </c>
      <c r="M78" s="21">
        <v>1</v>
      </c>
      <c r="N78" s="21">
        <v>0</v>
      </c>
      <c r="O78" s="21">
        <v>2</v>
      </c>
    </row>
    <row r="79" spans="1:15" s="21" customFormat="1" x14ac:dyDescent="0.2">
      <c r="A79" s="18">
        <v>78</v>
      </c>
      <c r="B79" s="18">
        <v>27</v>
      </c>
      <c r="C79" s="18">
        <v>43</v>
      </c>
      <c r="D79" s="18" t="s">
        <v>339</v>
      </c>
      <c r="E79" s="19">
        <v>155</v>
      </c>
      <c r="F79" s="19">
        <f t="shared" si="16"/>
        <v>6.4516129032258064E-3</v>
      </c>
      <c r="G79" s="19" t="s">
        <v>22</v>
      </c>
      <c r="H79" s="20" t="str">
        <f>INDEX(base_fish!E:E,MATCH(use_fish!B79,base_fish!A:A,0))&amp;_xlfn.IFNA("+"&amp;INDEX(activity!G:G,MATCH(use_fish!C79,activity!A:A,0)),"")</f>
        <v>黄金锤头鲨+闪电</v>
      </c>
      <c r="I79" s="19">
        <f>LOOKUP(use_fish!B79,base_fish!A:A,base_fish!F:F)+_xlfn.IFNA(INDEX(activity!F:F,MATCH(use_fish!C79,activity!A:A,0)),0)</f>
        <v>150</v>
      </c>
      <c r="J79" s="21">
        <v>1</v>
      </c>
      <c r="K79" s="21">
        <f>LOOKUP(use_fish!B79,base_fish!A:A,base_fish!G:G)</f>
        <v>0</v>
      </c>
      <c r="L79" s="21">
        <f t="shared" si="17"/>
        <v>150</v>
      </c>
      <c r="M79" s="21">
        <v>1</v>
      </c>
      <c r="N79" s="21">
        <v>0</v>
      </c>
      <c r="O79" s="21">
        <v>2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K44"/>
  <sheetViews>
    <sheetView tabSelected="1" topLeftCell="A16" workbookViewId="0">
      <selection activeCell="I42" sqref="I42"/>
    </sheetView>
  </sheetViews>
  <sheetFormatPr defaultColWidth="8.625" defaultRowHeight="14.25" x14ac:dyDescent="0.2"/>
  <cols>
    <col min="2" max="2" width="13" customWidth="1"/>
    <col min="3" max="3" width="21.375" bestFit="1" customWidth="1"/>
    <col min="4" max="5" width="16.125" customWidth="1"/>
    <col min="6" max="7" width="15.125" customWidth="1"/>
    <col min="9" max="9" width="41" bestFit="1" customWidth="1"/>
    <col min="11" max="11" width="12.125" customWidth="1"/>
  </cols>
  <sheetData>
    <row r="1" spans="1:11" s="1" customFormat="1" ht="48.75" customHeight="1" x14ac:dyDescent="0.2">
      <c r="A1" s="1" t="s">
        <v>3</v>
      </c>
      <c r="B1" s="1" t="s">
        <v>4</v>
      </c>
      <c r="C1" s="1" t="s">
        <v>5</v>
      </c>
      <c r="D1" s="1" t="s">
        <v>6</v>
      </c>
      <c r="E1" s="1" t="s">
        <v>135</v>
      </c>
      <c r="F1" s="1" t="s">
        <v>33</v>
      </c>
      <c r="G1" s="1" t="s">
        <v>45</v>
      </c>
      <c r="H1" s="1" t="s">
        <v>2</v>
      </c>
      <c r="I1" s="1" t="s">
        <v>2</v>
      </c>
      <c r="K1" s="1" t="s">
        <v>61</v>
      </c>
    </row>
    <row r="2" spans="1:11" x14ac:dyDescent="0.2">
      <c r="A2">
        <v>1</v>
      </c>
      <c r="B2">
        <v>1</v>
      </c>
      <c r="C2" t="s">
        <v>69</v>
      </c>
      <c r="D2" s="2">
        <v>0</v>
      </c>
      <c r="E2" s="2">
        <v>0</v>
      </c>
      <c r="F2">
        <v>63</v>
      </c>
      <c r="G2" t="str">
        <f t="shared" ref="G2:G17" si="0">LOOKUP(B2,H:H,I:I)</f>
        <v>免费子弹</v>
      </c>
      <c r="H2">
        <v>1</v>
      </c>
      <c r="I2" t="s">
        <v>46</v>
      </c>
      <c r="K2" t="s">
        <v>82</v>
      </c>
    </row>
    <row r="3" spans="1:11" x14ac:dyDescent="0.2">
      <c r="A3">
        <v>2</v>
      </c>
      <c r="B3">
        <v>2</v>
      </c>
      <c r="C3" t="s">
        <v>72</v>
      </c>
      <c r="D3" s="2">
        <v>0</v>
      </c>
      <c r="E3" s="2">
        <v>0</v>
      </c>
      <c r="F3">
        <v>63</v>
      </c>
      <c r="G3" t="str">
        <f t="shared" si="0"/>
        <v>威力提升</v>
      </c>
      <c r="H3">
        <v>2</v>
      </c>
      <c r="I3" t="s">
        <v>47</v>
      </c>
      <c r="K3" s="6">
        <v>0.1</v>
      </c>
    </row>
    <row r="4" spans="1:11" x14ac:dyDescent="0.2">
      <c r="A4">
        <v>3</v>
      </c>
      <c r="B4">
        <v>3</v>
      </c>
      <c r="C4" t="s">
        <v>72</v>
      </c>
      <c r="D4" s="2">
        <v>0</v>
      </c>
      <c r="E4" s="2">
        <v>0</v>
      </c>
      <c r="F4">
        <v>63</v>
      </c>
      <c r="G4" t="str">
        <f t="shared" si="0"/>
        <v>暴击时刻</v>
      </c>
      <c r="H4">
        <v>3</v>
      </c>
      <c r="I4" t="s">
        <v>48</v>
      </c>
    </row>
    <row r="5" spans="1:11" x14ac:dyDescent="0.2">
      <c r="A5">
        <v>4</v>
      </c>
      <c r="B5">
        <v>4</v>
      </c>
      <c r="C5" t="s">
        <v>58</v>
      </c>
      <c r="D5" s="4">
        <v>1</v>
      </c>
      <c r="E5" s="4">
        <v>0</v>
      </c>
      <c r="F5">
        <v>30</v>
      </c>
      <c r="G5" t="str">
        <f t="shared" si="0"/>
        <v>炸弹</v>
      </c>
      <c r="H5">
        <v>4</v>
      </c>
      <c r="I5" t="s">
        <v>49</v>
      </c>
    </row>
    <row r="6" spans="1:11" x14ac:dyDescent="0.2">
      <c r="A6">
        <v>5</v>
      </c>
      <c r="B6">
        <v>5</v>
      </c>
      <c r="C6" t="s">
        <v>59</v>
      </c>
      <c r="D6" s="4">
        <v>1</v>
      </c>
      <c r="E6" s="4">
        <v>0</v>
      </c>
      <c r="F6">
        <v>50</v>
      </c>
      <c r="G6" t="str">
        <f t="shared" si="0"/>
        <v>闪电</v>
      </c>
      <c r="H6">
        <v>5</v>
      </c>
      <c r="I6" t="s">
        <v>50</v>
      </c>
    </row>
    <row r="7" spans="1:11" x14ac:dyDescent="0.2">
      <c r="A7">
        <v>6</v>
      </c>
      <c r="B7">
        <v>4</v>
      </c>
      <c r="C7" t="s">
        <v>186</v>
      </c>
      <c r="D7" s="4">
        <v>0</v>
      </c>
      <c r="E7" s="4">
        <v>0</v>
      </c>
      <c r="F7">
        <v>30</v>
      </c>
      <c r="G7" t="str">
        <f t="shared" si="0"/>
        <v>炸弹</v>
      </c>
      <c r="H7">
        <v>6</v>
      </c>
      <c r="I7" t="s">
        <v>51</v>
      </c>
    </row>
    <row r="8" spans="1:11" x14ac:dyDescent="0.2">
      <c r="A8">
        <v>7</v>
      </c>
      <c r="B8">
        <v>1</v>
      </c>
      <c r="C8" t="s">
        <v>57</v>
      </c>
      <c r="D8" s="4">
        <v>0</v>
      </c>
      <c r="E8" s="4">
        <v>0</v>
      </c>
      <c r="F8">
        <v>50</v>
      </c>
      <c r="G8" t="str">
        <f t="shared" si="0"/>
        <v>免费子弹</v>
      </c>
      <c r="H8">
        <v>7</v>
      </c>
      <c r="I8" t="s">
        <v>52</v>
      </c>
    </row>
    <row r="9" spans="1:11" x14ac:dyDescent="0.2">
      <c r="A9">
        <v>8</v>
      </c>
      <c r="B9">
        <v>4</v>
      </c>
      <c r="C9" t="s">
        <v>332</v>
      </c>
      <c r="D9" s="4">
        <v>0</v>
      </c>
      <c r="E9" s="4">
        <v>0</v>
      </c>
      <c r="F9">
        <v>80</v>
      </c>
      <c r="G9" t="str">
        <f t="shared" si="0"/>
        <v>炸弹</v>
      </c>
      <c r="H9">
        <v>8</v>
      </c>
      <c r="I9" t="s">
        <v>53</v>
      </c>
    </row>
    <row r="10" spans="1:11" x14ac:dyDescent="0.2">
      <c r="A10">
        <v>9</v>
      </c>
      <c r="B10">
        <v>5</v>
      </c>
      <c r="C10" t="s">
        <v>70</v>
      </c>
      <c r="D10" s="4">
        <v>0</v>
      </c>
      <c r="E10" s="4">
        <v>0</v>
      </c>
      <c r="F10">
        <v>63</v>
      </c>
      <c r="G10" t="str">
        <f t="shared" si="0"/>
        <v>闪电</v>
      </c>
      <c r="H10">
        <v>9</v>
      </c>
      <c r="I10" t="s">
        <v>102</v>
      </c>
    </row>
    <row r="11" spans="1:11" x14ac:dyDescent="0.2">
      <c r="A11">
        <v>10</v>
      </c>
      <c r="B11">
        <v>5</v>
      </c>
      <c r="C11" t="s">
        <v>279</v>
      </c>
      <c r="D11" s="4">
        <v>0</v>
      </c>
      <c r="E11" s="4">
        <v>0</v>
      </c>
      <c r="F11">
        <v>100</v>
      </c>
      <c r="G11" t="str">
        <f t="shared" si="0"/>
        <v>闪电</v>
      </c>
      <c r="H11">
        <v>10</v>
      </c>
      <c r="I11" t="s">
        <v>307</v>
      </c>
    </row>
    <row r="12" spans="1:11" x14ac:dyDescent="0.2">
      <c r="A12">
        <v>11</v>
      </c>
      <c r="B12">
        <v>7</v>
      </c>
      <c r="C12" t="s">
        <v>44</v>
      </c>
      <c r="D12" s="4">
        <v>1</v>
      </c>
      <c r="E12" s="4">
        <v>1</v>
      </c>
      <c r="F12">
        <v>0</v>
      </c>
      <c r="G12" t="str">
        <f t="shared" si="0"/>
        <v>锁定卡</v>
      </c>
      <c r="H12">
        <v>11</v>
      </c>
      <c r="I12" t="s">
        <v>109</v>
      </c>
    </row>
    <row r="13" spans="1:11" x14ac:dyDescent="0.2">
      <c r="A13">
        <v>12</v>
      </c>
      <c r="B13">
        <v>7</v>
      </c>
      <c r="C13" t="s">
        <v>54</v>
      </c>
      <c r="D13" s="4">
        <v>0</v>
      </c>
      <c r="E13" s="4">
        <v>1</v>
      </c>
      <c r="F13">
        <v>0</v>
      </c>
      <c r="G13" t="str">
        <f t="shared" si="0"/>
        <v>锁定卡</v>
      </c>
      <c r="H13">
        <v>17</v>
      </c>
      <c r="I13" t="s">
        <v>148</v>
      </c>
    </row>
    <row r="14" spans="1:11" x14ac:dyDescent="0.2">
      <c r="A14">
        <v>13</v>
      </c>
      <c r="B14">
        <v>8</v>
      </c>
      <c r="C14" t="s">
        <v>43</v>
      </c>
      <c r="D14" s="4">
        <v>1</v>
      </c>
      <c r="E14" s="4">
        <v>1</v>
      </c>
      <c r="F14">
        <v>0</v>
      </c>
      <c r="G14" t="str">
        <f t="shared" si="0"/>
        <v>冰冻卡</v>
      </c>
      <c r="H14">
        <v>18</v>
      </c>
      <c r="I14" t="s">
        <v>149</v>
      </c>
    </row>
    <row r="15" spans="1:11" x14ac:dyDescent="0.2">
      <c r="A15">
        <v>14</v>
      </c>
      <c r="B15">
        <v>8</v>
      </c>
      <c r="C15" t="s">
        <v>54</v>
      </c>
      <c r="D15" s="4">
        <v>0</v>
      </c>
      <c r="E15" s="4">
        <v>1</v>
      </c>
      <c r="F15">
        <v>0</v>
      </c>
      <c r="G15" t="str">
        <f t="shared" si="0"/>
        <v>冰冻卡</v>
      </c>
      <c r="H15">
        <v>19</v>
      </c>
      <c r="I15" t="s">
        <v>153</v>
      </c>
    </row>
    <row r="16" spans="1:11" x14ac:dyDescent="0.2">
      <c r="A16">
        <v>15</v>
      </c>
      <c r="B16">
        <v>9</v>
      </c>
      <c r="C16" t="s">
        <v>73</v>
      </c>
      <c r="D16" s="4">
        <v>1</v>
      </c>
      <c r="E16" s="4">
        <v>1</v>
      </c>
      <c r="F16">
        <v>1</v>
      </c>
      <c r="G16" t="str">
        <f t="shared" si="0"/>
        <v>临时活动</v>
      </c>
      <c r="H16">
        <v>20</v>
      </c>
      <c r="I16" t="s">
        <v>216</v>
      </c>
    </row>
    <row r="17" spans="1:9" x14ac:dyDescent="0.2">
      <c r="A17">
        <v>16</v>
      </c>
      <c r="B17">
        <v>9</v>
      </c>
      <c r="C17" t="s">
        <v>73</v>
      </c>
      <c r="D17" s="4">
        <v>0</v>
      </c>
      <c r="E17" s="4">
        <v>1</v>
      </c>
      <c r="F17">
        <v>1</v>
      </c>
      <c r="G17" t="str">
        <f t="shared" si="0"/>
        <v>临时活动</v>
      </c>
      <c r="H17">
        <v>21</v>
      </c>
      <c r="I17" t="s">
        <v>217</v>
      </c>
    </row>
    <row r="18" spans="1:9" x14ac:dyDescent="0.2">
      <c r="A18">
        <v>17</v>
      </c>
      <c r="B18">
        <v>10</v>
      </c>
      <c r="C18" s="7" t="s">
        <v>305</v>
      </c>
      <c r="D18" s="4">
        <v>0</v>
      </c>
      <c r="E18" s="4">
        <v>0</v>
      </c>
      <c r="F18">
        <v>150</v>
      </c>
      <c r="G18" t="s">
        <v>306</v>
      </c>
      <c r="H18">
        <v>22</v>
      </c>
      <c r="I18" t="s">
        <v>219</v>
      </c>
    </row>
    <row r="19" spans="1:9" x14ac:dyDescent="0.2">
      <c r="A19">
        <v>18</v>
      </c>
      <c r="B19">
        <v>18</v>
      </c>
      <c r="C19" t="s">
        <v>154</v>
      </c>
      <c r="D19" s="4">
        <v>0</v>
      </c>
      <c r="E19" s="4">
        <v>0</v>
      </c>
      <c r="F19">
        <v>63</v>
      </c>
      <c r="G19" t="str">
        <f>LOOKUP(B19,H:H,I:I)</f>
        <v>穿透钢弹</v>
      </c>
      <c r="H19">
        <v>23</v>
      </c>
      <c r="I19" t="s">
        <v>320</v>
      </c>
    </row>
    <row r="20" spans="1:9" x14ac:dyDescent="0.2">
      <c r="A20">
        <v>19</v>
      </c>
      <c r="B20">
        <v>17</v>
      </c>
      <c r="C20" s="11" t="s">
        <v>321</v>
      </c>
      <c r="D20" s="4">
        <v>0</v>
      </c>
      <c r="E20" s="4">
        <v>0</v>
      </c>
      <c r="F20">
        <v>300</v>
      </c>
      <c r="G20" t="str">
        <f>LOOKUP(B20,H:H,I:I)</f>
        <v>钻头弹</v>
      </c>
      <c r="H20">
        <v>24</v>
      </c>
      <c r="I20" t="s">
        <v>357</v>
      </c>
    </row>
    <row r="21" spans="1:9" x14ac:dyDescent="0.2">
      <c r="A21">
        <v>20</v>
      </c>
      <c r="B21">
        <v>19</v>
      </c>
      <c r="C21" t="s">
        <v>54</v>
      </c>
      <c r="D21" s="4">
        <v>0</v>
      </c>
      <c r="E21" s="4">
        <v>1</v>
      </c>
      <c r="F21">
        <v>0</v>
      </c>
      <c r="G21" t="str">
        <f>LOOKUP(B21,H:H,I:I)</f>
        <v>神灯</v>
      </c>
      <c r="H21">
        <v>25</v>
      </c>
      <c r="I21" t="s">
        <v>223</v>
      </c>
    </row>
    <row r="22" spans="1:9" x14ac:dyDescent="0.2">
      <c r="A22">
        <v>21</v>
      </c>
      <c r="B22">
        <v>20</v>
      </c>
      <c r="C22" s="11" t="s">
        <v>220</v>
      </c>
      <c r="D22" s="4">
        <v>0</v>
      </c>
      <c r="E22" s="4">
        <v>0</v>
      </c>
      <c r="F22">
        <v>50</v>
      </c>
      <c r="G22" t="s">
        <v>237</v>
      </c>
      <c r="H22">
        <v>26</v>
      </c>
      <c r="I22" t="s">
        <v>232</v>
      </c>
    </row>
    <row r="23" spans="1:9" x14ac:dyDescent="0.2">
      <c r="A23">
        <v>22</v>
      </c>
      <c r="B23">
        <v>20</v>
      </c>
      <c r="C23" s="11" t="s">
        <v>155</v>
      </c>
      <c r="D23" s="4">
        <v>0</v>
      </c>
      <c r="E23" s="4">
        <v>0</v>
      </c>
      <c r="F23">
        <v>150</v>
      </c>
      <c r="G23" t="s">
        <v>238</v>
      </c>
      <c r="H23">
        <v>27</v>
      </c>
      <c r="I23" t="s">
        <v>355</v>
      </c>
    </row>
    <row r="24" spans="1:9" x14ac:dyDescent="0.2">
      <c r="A24">
        <v>23</v>
      </c>
      <c r="B24">
        <v>20</v>
      </c>
      <c r="C24" s="11" t="s">
        <v>156</v>
      </c>
      <c r="D24" s="4">
        <v>0</v>
      </c>
      <c r="E24" s="4">
        <v>0</v>
      </c>
      <c r="F24">
        <v>250</v>
      </c>
      <c r="G24" t="s">
        <v>239</v>
      </c>
      <c r="H24">
        <v>28</v>
      </c>
      <c r="I24" t="s">
        <v>356</v>
      </c>
    </row>
    <row r="25" spans="1:9" x14ac:dyDescent="0.2">
      <c r="A25">
        <v>24</v>
      </c>
      <c r="B25">
        <v>20</v>
      </c>
      <c r="C25" s="11" t="s">
        <v>157</v>
      </c>
      <c r="D25" s="4">
        <v>0</v>
      </c>
      <c r="E25" s="4">
        <v>0</v>
      </c>
      <c r="F25">
        <v>450</v>
      </c>
      <c r="G25" t="s">
        <v>240</v>
      </c>
      <c r="H25">
        <v>29</v>
      </c>
      <c r="I25" t="s">
        <v>231</v>
      </c>
    </row>
    <row r="26" spans="1:9" x14ac:dyDescent="0.2">
      <c r="A26">
        <v>25</v>
      </c>
      <c r="B26">
        <v>21</v>
      </c>
      <c r="C26" s="11" t="s">
        <v>359</v>
      </c>
      <c r="D26" s="4">
        <v>0</v>
      </c>
      <c r="E26" s="4">
        <v>0</v>
      </c>
      <c r="F26">
        <v>5</v>
      </c>
      <c r="G26" t="s">
        <v>360</v>
      </c>
      <c r="H26">
        <v>30</v>
      </c>
      <c r="I26" t="s">
        <v>301</v>
      </c>
    </row>
    <row r="27" spans="1:9" x14ac:dyDescent="0.2">
      <c r="A27">
        <v>26</v>
      </c>
      <c r="B27">
        <v>21</v>
      </c>
      <c r="C27" s="11" t="s">
        <v>362</v>
      </c>
      <c r="D27" s="4">
        <v>0</v>
      </c>
      <c r="E27" s="4">
        <v>0</v>
      </c>
      <c r="F27">
        <v>2</v>
      </c>
      <c r="G27" t="s">
        <v>361</v>
      </c>
      <c r="H27">
        <v>31</v>
      </c>
      <c r="I27" t="s">
        <v>311</v>
      </c>
    </row>
    <row r="28" spans="1:9" x14ac:dyDescent="0.2">
      <c r="A28">
        <v>27</v>
      </c>
      <c r="B28">
        <v>21</v>
      </c>
      <c r="C28" s="11" t="s">
        <v>364</v>
      </c>
      <c r="D28" s="4">
        <v>0</v>
      </c>
      <c r="E28" s="4">
        <v>0</v>
      </c>
      <c r="F28">
        <v>6</v>
      </c>
      <c r="G28" t="s">
        <v>363</v>
      </c>
      <c r="H28">
        <v>32</v>
      </c>
      <c r="I28" t="s">
        <v>312</v>
      </c>
    </row>
    <row r="29" spans="1:9" x14ac:dyDescent="0.2">
      <c r="A29">
        <v>28</v>
      </c>
      <c r="B29">
        <v>22</v>
      </c>
      <c r="C29" s="11" t="s">
        <v>222</v>
      </c>
      <c r="D29" s="4">
        <v>0</v>
      </c>
      <c r="E29" s="4">
        <v>0</v>
      </c>
      <c r="F29">
        <v>100</v>
      </c>
      <c r="G29" t="s">
        <v>221</v>
      </c>
      <c r="H29">
        <v>33</v>
      </c>
      <c r="I29" t="s">
        <v>313</v>
      </c>
    </row>
    <row r="30" spans="1:9" x14ac:dyDescent="0.2">
      <c r="A30">
        <v>29</v>
      </c>
      <c r="B30">
        <v>23</v>
      </c>
      <c r="C30" t="s">
        <v>235</v>
      </c>
      <c r="D30" s="2">
        <v>0</v>
      </c>
      <c r="E30" s="2">
        <v>0</v>
      </c>
      <c r="F30">
        <v>125</v>
      </c>
      <c r="G30" t="str">
        <f>LOOKUP(B30,H:H,I:I)</f>
        <v>时限免费超级活力子弹</v>
      </c>
      <c r="H30">
        <v>38</v>
      </c>
      <c r="I30" t="s">
        <v>323</v>
      </c>
    </row>
    <row r="31" spans="1:9" x14ac:dyDescent="0.2">
      <c r="A31">
        <v>30</v>
      </c>
      <c r="B31">
        <v>24</v>
      </c>
      <c r="C31" s="11" t="s">
        <v>346</v>
      </c>
      <c r="D31" s="4">
        <v>0</v>
      </c>
      <c r="E31" s="4">
        <v>0</v>
      </c>
      <c r="F31">
        <v>300</v>
      </c>
      <c r="G31" t="str">
        <f t="shared" ref="G31:G33" si="1">LOOKUP(B31,H:H,I:I)</f>
        <v>连环转盘</v>
      </c>
      <c r="H31">
        <v>39</v>
      </c>
      <c r="I31" t="s">
        <v>325</v>
      </c>
    </row>
    <row r="32" spans="1:9" x14ac:dyDescent="0.2">
      <c r="A32">
        <v>31</v>
      </c>
      <c r="B32">
        <v>25</v>
      </c>
      <c r="C32" t="s">
        <v>302</v>
      </c>
      <c r="D32" s="4">
        <v>1</v>
      </c>
      <c r="E32" s="4">
        <v>0</v>
      </c>
      <c r="F32">
        <v>200</v>
      </c>
      <c r="G32" t="str">
        <f t="shared" si="1"/>
        <v>电磁弹</v>
      </c>
    </row>
    <row r="33" spans="1:7" x14ac:dyDescent="0.2">
      <c r="A33">
        <v>32</v>
      </c>
      <c r="B33">
        <v>28</v>
      </c>
      <c r="C33" s="11" t="s">
        <v>358</v>
      </c>
      <c r="D33" s="4">
        <v>0</v>
      </c>
      <c r="E33" s="4">
        <v>0</v>
      </c>
      <c r="F33">
        <v>200</v>
      </c>
      <c r="G33" t="str">
        <f t="shared" si="1"/>
        <v>金币转盘</v>
      </c>
    </row>
    <row r="34" spans="1:7" x14ac:dyDescent="0.2">
      <c r="A34">
        <v>33</v>
      </c>
      <c r="B34">
        <v>29</v>
      </c>
      <c r="C34" t="s">
        <v>327</v>
      </c>
      <c r="D34" s="4">
        <v>0</v>
      </c>
      <c r="E34" s="4">
        <v>0</v>
      </c>
      <c r="F34">
        <v>300</v>
      </c>
      <c r="G34" t="s">
        <v>231</v>
      </c>
    </row>
    <row r="35" spans="1:7" x14ac:dyDescent="0.2">
      <c r="A35">
        <v>34</v>
      </c>
      <c r="B35">
        <v>30</v>
      </c>
      <c r="C35" s="11" t="s">
        <v>352</v>
      </c>
      <c r="D35" s="4">
        <v>0</v>
      </c>
      <c r="E35" s="4">
        <v>0</v>
      </c>
      <c r="F35">
        <v>150</v>
      </c>
      <c r="G35" t="s">
        <v>303</v>
      </c>
    </row>
    <row r="36" spans="1:7" x14ac:dyDescent="0.2">
      <c r="A36">
        <v>35</v>
      </c>
      <c r="B36">
        <v>31</v>
      </c>
      <c r="C36" t="s">
        <v>350</v>
      </c>
      <c r="D36" s="4">
        <v>0</v>
      </c>
      <c r="E36" s="4">
        <v>0</v>
      </c>
      <c r="F36">
        <v>200</v>
      </c>
      <c r="G36" t="str">
        <f>LOOKUP(B36,H:H,I:I)</f>
        <v>连环炸弹</v>
      </c>
    </row>
    <row r="37" spans="1:7" x14ac:dyDescent="0.2">
      <c r="A37">
        <v>36</v>
      </c>
      <c r="B37">
        <v>32</v>
      </c>
      <c r="C37" s="11" t="s">
        <v>351</v>
      </c>
      <c r="D37" s="4">
        <v>0</v>
      </c>
      <c r="E37" s="4">
        <v>0</v>
      </c>
      <c r="F37">
        <v>300</v>
      </c>
      <c r="G37" t="s">
        <v>314</v>
      </c>
    </row>
    <row r="38" spans="1:7" x14ac:dyDescent="0.2">
      <c r="A38">
        <v>37</v>
      </c>
      <c r="B38">
        <v>33</v>
      </c>
      <c r="C38" t="s">
        <v>177</v>
      </c>
      <c r="D38" s="4">
        <v>0</v>
      </c>
      <c r="E38" s="4">
        <v>0</v>
      </c>
      <c r="F38">
        <v>200</v>
      </c>
      <c r="G38" t="s">
        <v>315</v>
      </c>
    </row>
    <row r="39" spans="1:7" x14ac:dyDescent="0.2">
      <c r="A39">
        <v>38</v>
      </c>
      <c r="B39">
        <v>38</v>
      </c>
      <c r="C39" t="s">
        <v>322</v>
      </c>
      <c r="D39" s="4">
        <v>0</v>
      </c>
      <c r="E39" s="4">
        <v>0</v>
      </c>
      <c r="F39">
        <v>250</v>
      </c>
      <c r="G39" t="s">
        <v>324</v>
      </c>
    </row>
    <row r="40" spans="1:7" x14ac:dyDescent="0.2">
      <c r="A40">
        <v>39</v>
      </c>
      <c r="B40">
        <v>39</v>
      </c>
      <c r="C40" t="s">
        <v>322</v>
      </c>
      <c r="D40" s="4">
        <v>0</v>
      </c>
      <c r="E40" s="4">
        <v>0</v>
      </c>
      <c r="F40">
        <v>250</v>
      </c>
      <c r="G40" t="s">
        <v>326</v>
      </c>
    </row>
    <row r="41" spans="1:7" x14ac:dyDescent="0.2">
      <c r="A41">
        <v>40</v>
      </c>
      <c r="B41">
        <v>21</v>
      </c>
      <c r="C41" s="11" t="s">
        <v>367</v>
      </c>
      <c r="D41" s="4">
        <v>0</v>
      </c>
      <c r="E41" s="4">
        <v>0</v>
      </c>
      <c r="F41">
        <v>2</v>
      </c>
      <c r="G41" t="s">
        <v>365</v>
      </c>
    </row>
    <row r="42" spans="1:7" x14ac:dyDescent="0.2">
      <c r="A42">
        <v>41</v>
      </c>
      <c r="B42">
        <v>21</v>
      </c>
      <c r="C42" s="11" t="s">
        <v>368</v>
      </c>
      <c r="D42" s="4">
        <v>0</v>
      </c>
      <c r="E42" s="4">
        <v>0</v>
      </c>
      <c r="F42">
        <v>2</v>
      </c>
      <c r="G42" t="s">
        <v>366</v>
      </c>
    </row>
    <row r="43" spans="1:7" x14ac:dyDescent="0.2">
      <c r="A43">
        <v>42</v>
      </c>
      <c r="B43">
        <v>4</v>
      </c>
      <c r="C43" s="52">
        <v>30</v>
      </c>
      <c r="D43" s="4">
        <v>0</v>
      </c>
      <c r="E43" s="4">
        <v>0</v>
      </c>
      <c r="F43">
        <v>30</v>
      </c>
      <c r="G43" t="s">
        <v>369</v>
      </c>
    </row>
    <row r="44" spans="1:7" x14ac:dyDescent="0.2">
      <c r="A44">
        <v>43</v>
      </c>
      <c r="B44">
        <v>5</v>
      </c>
      <c r="C44" s="52">
        <v>50</v>
      </c>
      <c r="D44" s="4">
        <v>0</v>
      </c>
      <c r="E44" s="4">
        <v>0</v>
      </c>
      <c r="F44">
        <v>50</v>
      </c>
      <c r="G44" t="s">
        <v>370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"/>
  <dimension ref="A1:D18"/>
  <sheetViews>
    <sheetView workbookViewId="0">
      <selection activeCell="I39" sqref="I39"/>
    </sheetView>
  </sheetViews>
  <sheetFormatPr defaultColWidth="8.625" defaultRowHeight="14.25" x14ac:dyDescent="0.2"/>
  <cols>
    <col min="2" max="2" width="13" customWidth="1"/>
    <col min="3" max="3" width="11.375" customWidth="1"/>
    <col min="4" max="4" width="15.125" customWidth="1"/>
  </cols>
  <sheetData>
    <row r="1" spans="1:4" s="1" customFormat="1" ht="48.75" customHeight="1" x14ac:dyDescent="0.2">
      <c r="A1" s="1" t="s">
        <v>3</v>
      </c>
      <c r="B1" s="1" t="s">
        <v>116</v>
      </c>
      <c r="C1" s="1" t="s">
        <v>117</v>
      </c>
      <c r="D1" s="1" t="s">
        <v>118</v>
      </c>
    </row>
    <row r="2" spans="1:4" x14ac:dyDescent="0.2">
      <c r="A2">
        <v>1</v>
      </c>
      <c r="B2">
        <v>450</v>
      </c>
      <c r="C2">
        <v>1</v>
      </c>
      <c r="D2">
        <v>500000</v>
      </c>
    </row>
    <row r="3" spans="1:4" x14ac:dyDescent="0.2">
      <c r="A3">
        <v>2</v>
      </c>
      <c r="B3">
        <v>450</v>
      </c>
      <c r="C3">
        <v>1</v>
      </c>
      <c r="D3">
        <v>5000000</v>
      </c>
    </row>
    <row r="4" spans="1:4" x14ac:dyDescent="0.2">
      <c r="A4">
        <v>3</v>
      </c>
      <c r="B4">
        <v>450</v>
      </c>
      <c r="C4">
        <v>1</v>
      </c>
      <c r="D4">
        <v>50000000</v>
      </c>
    </row>
    <row r="18" spans="3:3" x14ac:dyDescent="0.2">
      <c r="C18" s="7"/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H51"/>
  <sheetViews>
    <sheetView topLeftCell="A25" zoomScaleNormal="100" workbookViewId="0">
      <selection activeCell="F23" sqref="F23"/>
    </sheetView>
  </sheetViews>
  <sheetFormatPr defaultColWidth="8.625" defaultRowHeight="14.25" x14ac:dyDescent="0.2"/>
  <cols>
    <col min="1" max="1" width="17.625" style="2" customWidth="1"/>
    <col min="2" max="2" width="20.375" style="2" customWidth="1"/>
    <col min="3" max="3" width="14.875" style="2" bestFit="1" customWidth="1"/>
    <col min="4" max="4" width="23.125" style="2" bestFit="1" customWidth="1"/>
    <col min="5" max="5" width="11.625" style="2" bestFit="1" customWidth="1"/>
    <col min="6" max="6" width="15.5" style="2" customWidth="1"/>
    <col min="7" max="16384" width="8.625" style="2"/>
  </cols>
  <sheetData>
    <row r="1" spans="1:7" s="1" customFormat="1" ht="48.75" customHeight="1" x14ac:dyDescent="0.2">
      <c r="A1" s="1" t="s">
        <v>17</v>
      </c>
      <c r="B1" s="1" t="s">
        <v>15</v>
      </c>
      <c r="C1" s="1" t="s">
        <v>103</v>
      </c>
      <c r="D1" s="1" t="s">
        <v>0</v>
      </c>
      <c r="E1" s="1" t="s">
        <v>7</v>
      </c>
      <c r="F1" s="1" t="s">
        <v>111</v>
      </c>
      <c r="G1" s="9" t="s">
        <v>112</v>
      </c>
    </row>
    <row r="2" spans="1:7" s="15" customFormat="1" x14ac:dyDescent="0.2">
      <c r="A2" s="15">
        <v>1</v>
      </c>
      <c r="B2" s="15">
        <v>1</v>
      </c>
      <c r="C2" s="15">
        <v>2</v>
      </c>
      <c r="D2" s="15">
        <f>IF(C2,1/C2,0)</f>
        <v>0.5</v>
      </c>
      <c r="E2" s="16" t="s">
        <v>243</v>
      </c>
      <c r="F2" s="15">
        <f>C2</f>
        <v>2</v>
      </c>
      <c r="G2" s="15">
        <v>0</v>
      </c>
    </row>
    <row r="3" spans="1:7" s="15" customFormat="1" x14ac:dyDescent="0.2">
      <c r="A3" s="15">
        <v>2</v>
      </c>
      <c r="B3" s="15">
        <v>1</v>
      </c>
      <c r="C3" s="15">
        <v>2</v>
      </c>
      <c r="D3" s="15">
        <f t="shared" ref="D3:D35" si="0">IF(C3,1/C3,0)</f>
        <v>0.5</v>
      </c>
      <c r="E3" s="16" t="s">
        <v>244</v>
      </c>
      <c r="F3" s="15">
        <f t="shared" ref="F3:F37" si="1">C3</f>
        <v>2</v>
      </c>
      <c r="G3" s="15">
        <v>0</v>
      </c>
    </row>
    <row r="4" spans="1:7" s="15" customFormat="1" x14ac:dyDescent="0.2">
      <c r="A4" s="15">
        <v>3</v>
      </c>
      <c r="B4" s="15">
        <v>1</v>
      </c>
      <c r="C4" s="15">
        <v>3</v>
      </c>
      <c r="D4" s="15">
        <f t="shared" si="0"/>
        <v>0.33333333333333331</v>
      </c>
      <c r="E4" s="16" t="s">
        <v>8</v>
      </c>
      <c r="F4" s="15">
        <f t="shared" si="1"/>
        <v>3</v>
      </c>
      <c r="G4" s="15">
        <v>0</v>
      </c>
    </row>
    <row r="5" spans="1:7" s="15" customFormat="1" x14ac:dyDescent="0.2">
      <c r="A5" s="15">
        <v>4</v>
      </c>
      <c r="B5" s="15">
        <v>1</v>
      </c>
      <c r="C5" s="15">
        <v>4</v>
      </c>
      <c r="D5" s="15">
        <f t="shared" si="0"/>
        <v>0.25</v>
      </c>
      <c r="E5" s="16" t="s">
        <v>245</v>
      </c>
      <c r="F5" s="15">
        <f t="shared" si="1"/>
        <v>4</v>
      </c>
      <c r="G5" s="15">
        <v>0</v>
      </c>
    </row>
    <row r="6" spans="1:7" s="15" customFormat="1" x14ac:dyDescent="0.2">
      <c r="A6" s="15">
        <v>5</v>
      </c>
      <c r="B6" s="15">
        <v>1</v>
      </c>
      <c r="C6" s="15">
        <v>5</v>
      </c>
      <c r="D6" s="15">
        <f t="shared" si="0"/>
        <v>0.2</v>
      </c>
      <c r="E6" s="16" t="s">
        <v>246</v>
      </c>
      <c r="F6" s="15">
        <f t="shared" si="1"/>
        <v>5</v>
      </c>
      <c r="G6" s="15">
        <v>0</v>
      </c>
    </row>
    <row r="7" spans="1:7" s="15" customFormat="1" x14ac:dyDescent="0.2">
      <c r="A7" s="15">
        <v>6</v>
      </c>
      <c r="B7" s="15">
        <v>1</v>
      </c>
      <c r="C7" s="15">
        <v>6</v>
      </c>
      <c r="D7" s="15">
        <f t="shared" si="0"/>
        <v>0.16666666666666666</v>
      </c>
      <c r="E7" s="16" t="s">
        <v>159</v>
      </c>
      <c r="F7" s="15">
        <f t="shared" si="1"/>
        <v>6</v>
      </c>
      <c r="G7" s="15">
        <v>0</v>
      </c>
    </row>
    <row r="8" spans="1:7" s="15" customFormat="1" x14ac:dyDescent="0.2">
      <c r="A8" s="15">
        <v>7</v>
      </c>
      <c r="B8" s="15">
        <v>1</v>
      </c>
      <c r="C8" s="15">
        <v>7</v>
      </c>
      <c r="D8" s="15">
        <f t="shared" si="0"/>
        <v>0.14285714285714285</v>
      </c>
      <c r="E8" s="16" t="s">
        <v>247</v>
      </c>
      <c r="F8" s="15">
        <f t="shared" si="1"/>
        <v>7</v>
      </c>
      <c r="G8" s="15">
        <v>0</v>
      </c>
    </row>
    <row r="9" spans="1:7" s="15" customFormat="1" x14ac:dyDescent="0.2">
      <c r="A9" s="15">
        <v>8</v>
      </c>
      <c r="B9" s="15">
        <v>1</v>
      </c>
      <c r="C9" s="15">
        <v>8</v>
      </c>
      <c r="D9" s="15">
        <f t="shared" si="0"/>
        <v>0.125</v>
      </c>
      <c r="E9" s="16" t="s">
        <v>248</v>
      </c>
      <c r="F9" s="15">
        <f t="shared" si="1"/>
        <v>8</v>
      </c>
      <c r="G9" s="15">
        <v>0</v>
      </c>
    </row>
    <row r="10" spans="1:7" s="15" customFormat="1" x14ac:dyDescent="0.2">
      <c r="A10" s="15">
        <v>9</v>
      </c>
      <c r="B10" s="15">
        <v>1</v>
      </c>
      <c r="C10" s="15">
        <v>10</v>
      </c>
      <c r="D10" s="15">
        <f t="shared" si="0"/>
        <v>0.1</v>
      </c>
      <c r="E10" s="16" t="s">
        <v>249</v>
      </c>
      <c r="F10" s="15">
        <f t="shared" si="1"/>
        <v>10</v>
      </c>
      <c r="G10" s="15">
        <v>0</v>
      </c>
    </row>
    <row r="11" spans="1:7" s="15" customFormat="1" x14ac:dyDescent="0.2">
      <c r="A11" s="15">
        <v>10</v>
      </c>
      <c r="B11" s="15">
        <v>1</v>
      </c>
      <c r="C11" s="15">
        <v>12</v>
      </c>
      <c r="D11" s="15">
        <f t="shared" si="0"/>
        <v>8.3333333333333329E-2</v>
      </c>
      <c r="E11" s="16" t="s">
        <v>250</v>
      </c>
      <c r="F11" s="15">
        <f t="shared" si="1"/>
        <v>12</v>
      </c>
      <c r="G11" s="15">
        <v>0</v>
      </c>
    </row>
    <row r="12" spans="1:7" s="15" customFormat="1" x14ac:dyDescent="0.2">
      <c r="A12" s="15">
        <v>11</v>
      </c>
      <c r="B12" s="15">
        <v>1</v>
      </c>
      <c r="C12" s="15">
        <v>15</v>
      </c>
      <c r="D12" s="15">
        <f t="shared" si="0"/>
        <v>6.6666666666666666E-2</v>
      </c>
      <c r="E12" s="16" t="s">
        <v>251</v>
      </c>
      <c r="F12" s="15">
        <f t="shared" si="1"/>
        <v>15</v>
      </c>
      <c r="G12" s="15">
        <v>0</v>
      </c>
    </row>
    <row r="13" spans="1:7" s="15" customFormat="1" x14ac:dyDescent="0.2">
      <c r="A13" s="15">
        <v>12</v>
      </c>
      <c r="B13" s="15">
        <v>1</v>
      </c>
      <c r="C13" s="15">
        <v>18</v>
      </c>
      <c r="D13" s="15">
        <f t="shared" si="0"/>
        <v>5.5555555555555552E-2</v>
      </c>
      <c r="E13" s="16" t="s">
        <v>252</v>
      </c>
      <c r="F13" s="15">
        <f t="shared" si="1"/>
        <v>18</v>
      </c>
      <c r="G13" s="15">
        <v>0</v>
      </c>
    </row>
    <row r="14" spans="1:7" s="15" customFormat="1" x14ac:dyDescent="0.2">
      <c r="A14" s="15">
        <v>13</v>
      </c>
      <c r="B14" s="15">
        <v>1</v>
      </c>
      <c r="C14" s="15">
        <v>20</v>
      </c>
      <c r="D14" s="15">
        <f t="shared" si="0"/>
        <v>0.05</v>
      </c>
      <c r="E14" s="17" t="s">
        <v>158</v>
      </c>
      <c r="F14" s="15">
        <f t="shared" si="1"/>
        <v>20</v>
      </c>
      <c r="G14" s="15">
        <v>0</v>
      </c>
    </row>
    <row r="15" spans="1:7" s="15" customFormat="1" x14ac:dyDescent="0.2">
      <c r="A15" s="15">
        <v>14</v>
      </c>
      <c r="B15" s="15">
        <v>1</v>
      </c>
      <c r="C15" s="15">
        <v>25</v>
      </c>
      <c r="D15" s="15">
        <f t="shared" si="0"/>
        <v>0.04</v>
      </c>
      <c r="E15" s="16" t="s">
        <v>253</v>
      </c>
      <c r="F15" s="15">
        <f t="shared" si="1"/>
        <v>25</v>
      </c>
      <c r="G15" s="15">
        <v>0</v>
      </c>
    </row>
    <row r="16" spans="1:7" s="15" customFormat="1" x14ac:dyDescent="0.2">
      <c r="A16" s="15">
        <v>15</v>
      </c>
      <c r="B16" s="15">
        <v>1</v>
      </c>
      <c r="C16" s="15">
        <v>30</v>
      </c>
      <c r="D16" s="15">
        <f t="shared" si="0"/>
        <v>3.3333333333333333E-2</v>
      </c>
      <c r="E16" s="16" t="s">
        <v>254</v>
      </c>
      <c r="F16" s="15">
        <f t="shared" si="1"/>
        <v>30</v>
      </c>
      <c r="G16" s="15">
        <v>0</v>
      </c>
    </row>
    <row r="17" spans="1:8" s="15" customFormat="1" x14ac:dyDescent="0.2">
      <c r="A17" s="15">
        <v>16</v>
      </c>
      <c r="B17" s="15">
        <v>1</v>
      </c>
      <c r="C17" s="15">
        <v>35</v>
      </c>
      <c r="D17" s="15">
        <f t="shared" si="0"/>
        <v>2.8571428571428571E-2</v>
      </c>
      <c r="E17" s="16" t="s">
        <v>255</v>
      </c>
      <c r="F17" s="15">
        <f t="shared" si="1"/>
        <v>35</v>
      </c>
      <c r="G17" s="15">
        <v>0</v>
      </c>
      <c r="H17" s="15" t="s">
        <v>224</v>
      </c>
    </row>
    <row r="18" spans="1:8" s="15" customFormat="1" x14ac:dyDescent="0.2">
      <c r="A18" s="15">
        <v>17</v>
      </c>
      <c r="B18" s="15">
        <v>1</v>
      </c>
      <c r="C18" s="15">
        <v>40</v>
      </c>
      <c r="D18" s="15">
        <f t="shared" si="0"/>
        <v>2.5000000000000001E-2</v>
      </c>
      <c r="E18" s="16" t="s">
        <v>9</v>
      </c>
      <c r="F18" s="15">
        <f t="shared" si="1"/>
        <v>40</v>
      </c>
      <c r="G18" s="15">
        <v>0</v>
      </c>
    </row>
    <row r="19" spans="1:8" s="15" customFormat="1" x14ac:dyDescent="0.2">
      <c r="A19" s="15">
        <v>18</v>
      </c>
      <c r="B19" s="15">
        <v>1</v>
      </c>
      <c r="C19" s="15">
        <v>60</v>
      </c>
      <c r="D19" s="15">
        <f t="shared" si="0"/>
        <v>1.6666666666666666E-2</v>
      </c>
      <c r="E19" s="16" t="s">
        <v>68</v>
      </c>
      <c r="F19" s="15">
        <f t="shared" si="1"/>
        <v>60</v>
      </c>
      <c r="G19" s="15">
        <v>0</v>
      </c>
    </row>
    <row r="20" spans="1:8" s="15" customFormat="1" x14ac:dyDescent="0.2">
      <c r="A20" s="15">
        <v>19</v>
      </c>
      <c r="B20" s="15">
        <v>1</v>
      </c>
      <c r="C20" s="15">
        <v>0</v>
      </c>
      <c r="D20" s="15">
        <f t="shared" si="0"/>
        <v>0</v>
      </c>
      <c r="E20" s="14" t="s">
        <v>160</v>
      </c>
      <c r="F20" s="15">
        <f t="shared" si="1"/>
        <v>0</v>
      </c>
      <c r="G20" s="15">
        <v>0</v>
      </c>
    </row>
    <row r="21" spans="1:8" s="15" customFormat="1" x14ac:dyDescent="0.2">
      <c r="A21" s="15">
        <v>20</v>
      </c>
      <c r="B21" s="15">
        <v>1</v>
      </c>
      <c r="C21" s="15">
        <v>60</v>
      </c>
      <c r="D21" s="15">
        <f t="shared" si="0"/>
        <v>1.6666666666666666E-2</v>
      </c>
      <c r="E21" s="17" t="s">
        <v>274</v>
      </c>
      <c r="F21" s="15">
        <f t="shared" si="1"/>
        <v>60</v>
      </c>
      <c r="G21" s="15">
        <v>0</v>
      </c>
    </row>
    <row r="22" spans="1:8" s="15" customFormat="1" x14ac:dyDescent="0.2">
      <c r="A22" s="15">
        <v>21</v>
      </c>
      <c r="B22" s="15">
        <v>1</v>
      </c>
      <c r="C22" s="15">
        <v>0</v>
      </c>
      <c r="D22" s="15">
        <f t="shared" si="0"/>
        <v>0</v>
      </c>
      <c r="E22" s="16" t="s">
        <v>256</v>
      </c>
      <c r="F22" s="15">
        <f t="shared" si="1"/>
        <v>0</v>
      </c>
      <c r="G22" s="15">
        <v>0</v>
      </c>
    </row>
    <row r="23" spans="1:8" s="15" customFormat="1" x14ac:dyDescent="0.2">
      <c r="A23" s="15">
        <v>22</v>
      </c>
      <c r="B23" s="15">
        <v>1</v>
      </c>
      <c r="C23" s="15">
        <v>60</v>
      </c>
      <c r="D23" s="15">
        <f t="shared" si="0"/>
        <v>1.6666666666666666E-2</v>
      </c>
      <c r="E23" s="16" t="s">
        <v>257</v>
      </c>
      <c r="F23" s="15">
        <f t="shared" si="1"/>
        <v>60</v>
      </c>
      <c r="G23" s="15">
        <v>0</v>
      </c>
    </row>
    <row r="24" spans="1:8" s="15" customFormat="1" x14ac:dyDescent="0.2">
      <c r="A24" s="15">
        <v>23</v>
      </c>
      <c r="B24" s="15">
        <v>1</v>
      </c>
      <c r="C24" s="15">
        <v>60</v>
      </c>
      <c r="D24" s="15">
        <f t="shared" si="0"/>
        <v>1.6666666666666666E-2</v>
      </c>
      <c r="E24" s="16" t="s">
        <v>258</v>
      </c>
      <c r="F24" s="15">
        <f t="shared" si="1"/>
        <v>60</v>
      </c>
      <c r="G24" s="15">
        <v>0</v>
      </c>
    </row>
    <row r="25" spans="1:8" s="15" customFormat="1" x14ac:dyDescent="0.2">
      <c r="A25" s="15">
        <v>24</v>
      </c>
      <c r="B25" s="15">
        <v>1</v>
      </c>
      <c r="C25" s="15" t="s">
        <v>272</v>
      </c>
      <c r="D25" s="15" t="s">
        <v>273</v>
      </c>
      <c r="E25" s="16" t="s">
        <v>259</v>
      </c>
      <c r="F25" s="15" t="s">
        <v>272</v>
      </c>
      <c r="G25" s="15">
        <v>0</v>
      </c>
    </row>
    <row r="26" spans="1:8" s="15" customFormat="1" x14ac:dyDescent="0.2">
      <c r="A26" s="15">
        <v>25</v>
      </c>
      <c r="B26" s="15">
        <v>1</v>
      </c>
      <c r="C26" s="15">
        <v>80</v>
      </c>
      <c r="D26" s="15">
        <f t="shared" si="0"/>
        <v>1.2500000000000001E-2</v>
      </c>
      <c r="E26" s="16" t="s">
        <v>162</v>
      </c>
      <c r="F26" s="15">
        <f t="shared" si="1"/>
        <v>80</v>
      </c>
      <c r="G26" s="15">
        <v>0</v>
      </c>
    </row>
    <row r="27" spans="1:8" s="15" customFormat="1" x14ac:dyDescent="0.2">
      <c r="A27" s="15">
        <v>26</v>
      </c>
      <c r="B27" s="15">
        <v>1</v>
      </c>
      <c r="C27" s="15">
        <v>100</v>
      </c>
      <c r="D27" s="15">
        <f t="shared" si="0"/>
        <v>0.01</v>
      </c>
      <c r="E27" s="16" t="s">
        <v>161</v>
      </c>
      <c r="F27" s="15">
        <f t="shared" si="1"/>
        <v>100</v>
      </c>
      <c r="G27" s="15">
        <v>0</v>
      </c>
    </row>
    <row r="28" spans="1:8" s="15" customFormat="1" x14ac:dyDescent="0.2">
      <c r="A28" s="15">
        <v>27</v>
      </c>
      <c r="B28" s="15">
        <v>1</v>
      </c>
      <c r="C28" s="15">
        <v>100</v>
      </c>
      <c r="D28" s="15">
        <f t="shared" si="0"/>
        <v>0.01</v>
      </c>
      <c r="E28" s="16" t="s">
        <v>260</v>
      </c>
      <c r="F28" s="15">
        <f t="shared" si="1"/>
        <v>100</v>
      </c>
      <c r="G28" s="15">
        <v>0</v>
      </c>
    </row>
    <row r="29" spans="1:8" s="15" customFormat="1" x14ac:dyDescent="0.2">
      <c r="A29" s="15">
        <v>28</v>
      </c>
      <c r="B29" s="15">
        <v>1</v>
      </c>
      <c r="C29" s="15">
        <v>0</v>
      </c>
      <c r="D29" s="15">
        <f t="shared" si="0"/>
        <v>0</v>
      </c>
      <c r="E29" s="15" t="s">
        <v>165</v>
      </c>
      <c r="F29" s="15">
        <f t="shared" si="1"/>
        <v>0</v>
      </c>
      <c r="G29" s="15">
        <v>0</v>
      </c>
    </row>
    <row r="30" spans="1:8" s="15" customFormat="1" x14ac:dyDescent="0.2">
      <c r="A30" s="15">
        <v>29</v>
      </c>
      <c r="B30" s="15">
        <v>1</v>
      </c>
      <c r="C30" s="15">
        <v>0</v>
      </c>
      <c r="D30" s="15">
        <f t="shared" si="0"/>
        <v>0</v>
      </c>
      <c r="E30" s="14" t="s">
        <v>164</v>
      </c>
      <c r="F30" s="15">
        <f t="shared" si="1"/>
        <v>0</v>
      </c>
      <c r="G30" s="15">
        <v>0</v>
      </c>
    </row>
    <row r="31" spans="1:8" s="15" customFormat="1" x14ac:dyDescent="0.2">
      <c r="A31" s="15">
        <v>30</v>
      </c>
      <c r="B31" s="15">
        <v>1</v>
      </c>
      <c r="C31" s="15">
        <v>0</v>
      </c>
      <c r="D31" s="15">
        <f t="shared" si="0"/>
        <v>0</v>
      </c>
      <c r="E31" s="14" t="s">
        <v>166</v>
      </c>
      <c r="F31" s="15">
        <f t="shared" si="1"/>
        <v>0</v>
      </c>
      <c r="G31" s="15">
        <v>0</v>
      </c>
    </row>
    <row r="32" spans="1:8" s="15" customFormat="1" x14ac:dyDescent="0.2">
      <c r="A32" s="15">
        <v>31</v>
      </c>
      <c r="B32" s="15">
        <v>1</v>
      </c>
      <c r="C32" s="15">
        <v>0</v>
      </c>
      <c r="D32" s="15">
        <f t="shared" si="0"/>
        <v>0</v>
      </c>
      <c r="E32" s="14" t="s">
        <v>168</v>
      </c>
      <c r="F32" s="15">
        <f t="shared" si="1"/>
        <v>0</v>
      </c>
      <c r="G32" s="15">
        <v>0</v>
      </c>
    </row>
    <row r="33" spans="1:7" s="15" customFormat="1" x14ac:dyDescent="0.2">
      <c r="A33" s="15">
        <v>32</v>
      </c>
      <c r="B33" s="15">
        <v>1</v>
      </c>
      <c r="C33" s="15">
        <v>0</v>
      </c>
      <c r="D33" s="15">
        <f t="shared" si="0"/>
        <v>0</v>
      </c>
      <c r="E33" s="15" t="s">
        <v>280</v>
      </c>
      <c r="F33" s="15">
        <f t="shared" si="1"/>
        <v>0</v>
      </c>
      <c r="G33" s="15">
        <v>0</v>
      </c>
    </row>
    <row r="34" spans="1:7" s="15" customFormat="1" x14ac:dyDescent="0.2">
      <c r="A34" s="15">
        <v>33</v>
      </c>
      <c r="B34" s="15">
        <v>1</v>
      </c>
      <c r="C34" s="15">
        <v>0</v>
      </c>
      <c r="D34" s="15">
        <f t="shared" si="0"/>
        <v>0</v>
      </c>
      <c r="E34" s="15" t="s">
        <v>163</v>
      </c>
      <c r="F34" s="15">
        <f t="shared" si="1"/>
        <v>0</v>
      </c>
      <c r="G34" s="15">
        <v>0</v>
      </c>
    </row>
    <row r="35" spans="1:7" s="15" customFormat="1" x14ac:dyDescent="0.2">
      <c r="A35" s="15">
        <v>34</v>
      </c>
      <c r="B35" s="15">
        <v>1</v>
      </c>
      <c r="C35" s="15">
        <v>0</v>
      </c>
      <c r="D35" s="15">
        <f t="shared" si="0"/>
        <v>0</v>
      </c>
      <c r="E35" s="15" t="s">
        <v>261</v>
      </c>
      <c r="F35" s="15">
        <v>0</v>
      </c>
      <c r="G35" s="15">
        <v>0</v>
      </c>
    </row>
    <row r="36" spans="1:7" s="15" customFormat="1" x14ac:dyDescent="0.2">
      <c r="A36" s="15">
        <v>35</v>
      </c>
      <c r="B36" s="15">
        <v>1</v>
      </c>
      <c r="C36" s="15">
        <v>0</v>
      </c>
      <c r="D36" s="15">
        <f t="shared" ref="D36" si="2">IF(C36,1/C36,0)</f>
        <v>0</v>
      </c>
      <c r="E36" s="17" t="s">
        <v>262</v>
      </c>
      <c r="F36" s="15">
        <f t="shared" si="1"/>
        <v>0</v>
      </c>
      <c r="G36" s="15">
        <v>0</v>
      </c>
    </row>
    <row r="37" spans="1:7" s="15" customFormat="1" x14ac:dyDescent="0.2">
      <c r="A37" s="15">
        <v>36</v>
      </c>
      <c r="B37" s="15">
        <v>1</v>
      </c>
      <c r="C37" s="15">
        <v>0</v>
      </c>
      <c r="D37" s="15">
        <f t="shared" ref="D37:D51" si="3">IF(C37,1/C37,0)</f>
        <v>0</v>
      </c>
      <c r="E37" s="17" t="s">
        <v>263</v>
      </c>
      <c r="F37" s="15">
        <f t="shared" si="1"/>
        <v>0</v>
      </c>
      <c r="G37" s="15">
        <v>0</v>
      </c>
    </row>
    <row r="38" spans="1:7" s="15" customFormat="1" x14ac:dyDescent="0.2">
      <c r="A38" s="15">
        <v>37</v>
      </c>
      <c r="B38" s="15">
        <v>1</v>
      </c>
      <c r="C38" s="15">
        <v>0</v>
      </c>
      <c r="D38" s="15">
        <f t="shared" si="3"/>
        <v>0</v>
      </c>
      <c r="E38" s="15" t="s">
        <v>242</v>
      </c>
      <c r="F38" s="15">
        <f t="shared" ref="F38:F51" si="4">C38</f>
        <v>0</v>
      </c>
      <c r="G38" s="15">
        <v>0</v>
      </c>
    </row>
    <row r="39" spans="1:7" s="15" customFormat="1" x14ac:dyDescent="0.2">
      <c r="A39" s="15">
        <v>38</v>
      </c>
      <c r="B39" s="15">
        <v>1</v>
      </c>
      <c r="C39" s="15">
        <v>100</v>
      </c>
      <c r="D39" s="15">
        <f t="shared" si="3"/>
        <v>0.01</v>
      </c>
      <c r="E39" s="15" t="s">
        <v>167</v>
      </c>
      <c r="F39" s="15">
        <f t="shared" si="4"/>
        <v>100</v>
      </c>
      <c r="G39" s="15">
        <v>0</v>
      </c>
    </row>
    <row r="40" spans="1:7" s="15" customFormat="1" x14ac:dyDescent="0.2">
      <c r="A40" s="15">
        <v>39</v>
      </c>
      <c r="B40" s="15">
        <v>1</v>
      </c>
      <c r="C40" s="15">
        <v>100</v>
      </c>
      <c r="D40" s="15">
        <f t="shared" si="3"/>
        <v>0.01</v>
      </c>
      <c r="E40" s="15" t="s">
        <v>264</v>
      </c>
      <c r="F40" s="15">
        <f t="shared" si="4"/>
        <v>100</v>
      </c>
      <c r="G40" s="15">
        <v>0</v>
      </c>
    </row>
    <row r="41" spans="1:7" s="15" customFormat="1" x14ac:dyDescent="0.2">
      <c r="A41" s="15">
        <v>40</v>
      </c>
      <c r="B41" s="15">
        <v>1</v>
      </c>
      <c r="C41" s="15">
        <v>300</v>
      </c>
      <c r="D41" s="15">
        <f t="shared" si="3"/>
        <v>3.3333333333333335E-3</v>
      </c>
      <c r="E41" s="15" t="s">
        <v>299</v>
      </c>
      <c r="F41" s="15">
        <f t="shared" si="4"/>
        <v>300</v>
      </c>
      <c r="G41" s="15">
        <v>0</v>
      </c>
    </row>
    <row r="42" spans="1:7" s="15" customFormat="1" x14ac:dyDescent="0.2">
      <c r="A42" s="15">
        <v>41</v>
      </c>
      <c r="B42" s="15">
        <v>1</v>
      </c>
      <c r="C42" s="15">
        <v>200</v>
      </c>
      <c r="D42" s="15">
        <f t="shared" si="3"/>
        <v>5.0000000000000001E-3</v>
      </c>
      <c r="E42" s="15" t="s">
        <v>265</v>
      </c>
      <c r="F42" s="15">
        <f t="shared" si="4"/>
        <v>200</v>
      </c>
      <c r="G42" s="15">
        <v>0</v>
      </c>
    </row>
    <row r="43" spans="1:7" s="15" customFormat="1" x14ac:dyDescent="0.2">
      <c r="A43" s="15">
        <v>42</v>
      </c>
      <c r="B43" s="15">
        <v>1</v>
      </c>
      <c r="C43" s="15">
        <v>0</v>
      </c>
      <c r="D43" s="15">
        <f t="shared" si="3"/>
        <v>0</v>
      </c>
      <c r="E43" s="15" t="s">
        <v>266</v>
      </c>
      <c r="F43" s="15">
        <f t="shared" si="4"/>
        <v>0</v>
      </c>
      <c r="G43" s="15">
        <v>0</v>
      </c>
    </row>
    <row r="44" spans="1:7" s="15" customFormat="1" x14ac:dyDescent="0.2">
      <c r="A44" s="15">
        <v>43</v>
      </c>
      <c r="B44" s="15">
        <v>1</v>
      </c>
      <c r="C44" s="15">
        <v>200</v>
      </c>
      <c r="D44" s="15">
        <f t="shared" si="3"/>
        <v>5.0000000000000001E-3</v>
      </c>
      <c r="E44" s="15" t="s">
        <v>267</v>
      </c>
      <c r="F44" s="15">
        <f t="shared" si="4"/>
        <v>200</v>
      </c>
      <c r="G44" s="15">
        <v>0</v>
      </c>
    </row>
    <row r="45" spans="1:7" s="15" customFormat="1" x14ac:dyDescent="0.2">
      <c r="A45" s="15">
        <v>44</v>
      </c>
      <c r="B45" s="15">
        <v>1</v>
      </c>
      <c r="C45" s="15">
        <v>0</v>
      </c>
      <c r="D45" s="15">
        <f t="shared" si="3"/>
        <v>0</v>
      </c>
      <c r="E45" s="15" t="s">
        <v>268</v>
      </c>
      <c r="F45" s="15">
        <f t="shared" si="4"/>
        <v>0</v>
      </c>
      <c r="G45" s="15">
        <v>0</v>
      </c>
    </row>
    <row r="46" spans="1:7" s="15" customFormat="1" x14ac:dyDescent="0.2">
      <c r="A46" s="15">
        <v>45</v>
      </c>
      <c r="B46" s="15">
        <v>1</v>
      </c>
      <c r="C46" s="15">
        <v>0</v>
      </c>
      <c r="D46" s="15">
        <f t="shared" si="3"/>
        <v>0</v>
      </c>
      <c r="E46" s="15" t="s">
        <v>269</v>
      </c>
      <c r="F46" s="15">
        <f t="shared" si="4"/>
        <v>0</v>
      </c>
      <c r="G46" s="15">
        <v>0</v>
      </c>
    </row>
    <row r="47" spans="1:7" s="15" customFormat="1" x14ac:dyDescent="0.2">
      <c r="A47" s="15">
        <v>46</v>
      </c>
      <c r="B47" s="15">
        <v>1</v>
      </c>
      <c r="C47" s="15">
        <v>200</v>
      </c>
      <c r="D47" s="15">
        <f t="shared" si="3"/>
        <v>5.0000000000000001E-3</v>
      </c>
      <c r="E47" s="15" t="s">
        <v>162</v>
      </c>
      <c r="F47" s="15">
        <f t="shared" si="4"/>
        <v>200</v>
      </c>
      <c r="G47" s="15">
        <v>0</v>
      </c>
    </row>
    <row r="48" spans="1:7" s="15" customFormat="1" x14ac:dyDescent="0.2">
      <c r="A48" s="15">
        <v>47</v>
      </c>
      <c r="B48" s="15">
        <v>1</v>
      </c>
      <c r="C48" s="15">
        <v>150</v>
      </c>
      <c r="D48" s="15">
        <f t="shared" si="3"/>
        <v>6.6666666666666671E-3</v>
      </c>
      <c r="E48" s="15" t="s">
        <v>300</v>
      </c>
      <c r="F48" s="15">
        <f t="shared" si="4"/>
        <v>150</v>
      </c>
      <c r="G48" s="15">
        <v>0</v>
      </c>
    </row>
    <row r="49" spans="1:7" s="15" customFormat="1" x14ac:dyDescent="0.2">
      <c r="A49" s="15">
        <v>48</v>
      </c>
      <c r="B49" s="15">
        <v>1</v>
      </c>
      <c r="C49" s="15">
        <v>250</v>
      </c>
      <c r="D49" s="15">
        <f t="shared" si="3"/>
        <v>4.0000000000000001E-3</v>
      </c>
      <c r="E49" s="15" t="s">
        <v>270</v>
      </c>
      <c r="F49" s="15">
        <f t="shared" si="4"/>
        <v>250</v>
      </c>
      <c r="G49" s="15">
        <v>0</v>
      </c>
    </row>
    <row r="50" spans="1:7" s="15" customFormat="1" x14ac:dyDescent="0.2">
      <c r="A50" s="15">
        <v>49</v>
      </c>
      <c r="B50" s="15">
        <v>1</v>
      </c>
      <c r="C50" s="15">
        <v>200</v>
      </c>
      <c r="D50" s="15">
        <f t="shared" si="3"/>
        <v>5.0000000000000001E-3</v>
      </c>
      <c r="E50" s="15" t="s">
        <v>271</v>
      </c>
      <c r="F50" s="15">
        <f t="shared" si="4"/>
        <v>200</v>
      </c>
      <c r="G50" s="15">
        <v>0</v>
      </c>
    </row>
    <row r="51" spans="1:7" x14ac:dyDescent="0.2">
      <c r="A51" s="2">
        <v>50</v>
      </c>
      <c r="B51" s="2">
        <v>1</v>
      </c>
      <c r="C51" s="2">
        <v>0</v>
      </c>
      <c r="D51" s="2">
        <f t="shared" si="3"/>
        <v>0</v>
      </c>
      <c r="E51" s="2" t="s">
        <v>310</v>
      </c>
      <c r="F51" s="2">
        <f t="shared" si="4"/>
        <v>0</v>
      </c>
      <c r="G51" s="2">
        <v>0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A1:C109"/>
  <sheetViews>
    <sheetView topLeftCell="A85" workbookViewId="0">
      <selection activeCell="I119" sqref="I119"/>
    </sheetView>
  </sheetViews>
  <sheetFormatPr defaultColWidth="8.625" defaultRowHeight="14.25" x14ac:dyDescent="0.2"/>
  <cols>
    <col min="1" max="1" width="17.625" style="2" customWidth="1"/>
    <col min="2" max="2" width="26.375" style="2" customWidth="1"/>
    <col min="3" max="16384" width="8.625" style="2"/>
  </cols>
  <sheetData>
    <row r="1" spans="1:3" ht="38.25" customHeight="1" x14ac:dyDescent="0.2">
      <c r="A1" s="1" t="s">
        <v>1</v>
      </c>
      <c r="B1" s="1" t="s">
        <v>60</v>
      </c>
      <c r="C1" s="1" t="s">
        <v>20</v>
      </c>
    </row>
    <row r="2" spans="1:3" x14ac:dyDescent="0.2">
      <c r="A2" s="2">
        <v>1</v>
      </c>
      <c r="B2" s="2">
        <v>300</v>
      </c>
      <c r="C2" s="2">
        <v>1</v>
      </c>
    </row>
    <row r="3" spans="1:3" x14ac:dyDescent="0.2">
      <c r="A3" s="2">
        <v>2</v>
      </c>
      <c r="B3" s="2">
        <v>300</v>
      </c>
      <c r="C3" s="2">
        <v>1</v>
      </c>
    </row>
    <row r="4" spans="1:3" x14ac:dyDescent="0.2">
      <c r="A4" s="2">
        <v>3</v>
      </c>
      <c r="B4" s="2">
        <v>300</v>
      </c>
      <c r="C4" s="2">
        <v>1</v>
      </c>
    </row>
    <row r="5" spans="1:3" x14ac:dyDescent="0.2">
      <c r="A5" s="2">
        <v>4</v>
      </c>
      <c r="B5" s="2">
        <v>300</v>
      </c>
      <c r="C5" s="2">
        <v>1</v>
      </c>
    </row>
    <row r="6" spans="1:3" x14ac:dyDescent="0.2">
      <c r="A6" s="2">
        <v>5</v>
      </c>
      <c r="B6" s="2">
        <v>300</v>
      </c>
      <c r="C6" s="2">
        <v>1</v>
      </c>
    </row>
    <row r="7" spans="1:3" x14ac:dyDescent="0.2">
      <c r="A7" s="2">
        <v>6</v>
      </c>
      <c r="B7" s="2">
        <v>300</v>
      </c>
      <c r="C7" s="2">
        <v>1</v>
      </c>
    </row>
    <row r="8" spans="1:3" x14ac:dyDescent="0.2">
      <c r="A8" s="2">
        <v>7</v>
      </c>
      <c r="B8" s="2">
        <v>300</v>
      </c>
      <c r="C8" s="2">
        <v>2</v>
      </c>
    </row>
    <row r="9" spans="1:3" x14ac:dyDescent="0.2">
      <c r="A9" s="2">
        <v>8</v>
      </c>
      <c r="B9" s="2">
        <v>300</v>
      </c>
      <c r="C9" s="2">
        <v>2</v>
      </c>
    </row>
    <row r="10" spans="1:3" x14ac:dyDescent="0.2">
      <c r="A10" s="2">
        <v>9</v>
      </c>
      <c r="B10" s="2">
        <v>300</v>
      </c>
      <c r="C10" s="2">
        <v>2</v>
      </c>
    </row>
    <row r="11" spans="1:3" x14ac:dyDescent="0.2">
      <c r="A11" s="2">
        <v>10</v>
      </c>
      <c r="B11" s="2">
        <v>300</v>
      </c>
      <c r="C11" s="2">
        <v>2</v>
      </c>
    </row>
    <row r="12" spans="1:3" x14ac:dyDescent="0.2">
      <c r="A12" s="2">
        <v>11</v>
      </c>
      <c r="B12" s="2">
        <v>300</v>
      </c>
      <c r="C12" s="2">
        <v>2</v>
      </c>
    </row>
    <row r="13" spans="1:3" x14ac:dyDescent="0.2">
      <c r="A13" s="2">
        <v>12</v>
      </c>
      <c r="B13" s="2">
        <v>300</v>
      </c>
      <c r="C13" s="2">
        <v>2</v>
      </c>
    </row>
    <row r="14" spans="1:3" x14ac:dyDescent="0.2">
      <c r="A14" s="2">
        <v>13</v>
      </c>
      <c r="B14" s="2">
        <v>300</v>
      </c>
      <c r="C14" s="2">
        <v>2</v>
      </c>
    </row>
    <row r="15" spans="1:3" x14ac:dyDescent="0.2">
      <c r="A15" s="2">
        <v>14</v>
      </c>
      <c r="B15" s="2">
        <v>300</v>
      </c>
      <c r="C15" s="2">
        <v>3</v>
      </c>
    </row>
    <row r="16" spans="1:3" x14ac:dyDescent="0.2">
      <c r="A16" s="2">
        <v>15</v>
      </c>
      <c r="B16" s="2">
        <v>300</v>
      </c>
      <c r="C16" s="2">
        <v>3</v>
      </c>
    </row>
    <row r="17" spans="1:3" x14ac:dyDescent="0.2">
      <c r="A17" s="2">
        <v>16</v>
      </c>
      <c r="B17" s="2">
        <v>300</v>
      </c>
      <c r="C17" s="2">
        <v>3</v>
      </c>
    </row>
    <row r="18" spans="1:3" x14ac:dyDescent="0.2">
      <c r="A18" s="2">
        <v>17</v>
      </c>
      <c r="B18" s="2">
        <v>300</v>
      </c>
      <c r="C18" s="2">
        <v>3</v>
      </c>
    </row>
    <row r="19" spans="1:3" x14ac:dyDescent="0.2">
      <c r="A19" s="2">
        <v>18</v>
      </c>
      <c r="B19" s="2">
        <v>300</v>
      </c>
      <c r="C19" s="2">
        <v>3</v>
      </c>
    </row>
    <row r="20" spans="1:3" x14ac:dyDescent="0.2">
      <c r="A20" s="2">
        <v>19</v>
      </c>
      <c r="B20" s="2">
        <v>300</v>
      </c>
      <c r="C20" s="2">
        <v>3</v>
      </c>
    </row>
    <row r="21" spans="1:3" x14ac:dyDescent="0.2">
      <c r="A21" s="2">
        <v>20</v>
      </c>
      <c r="B21" s="2">
        <v>300</v>
      </c>
      <c r="C21" s="2">
        <v>3</v>
      </c>
    </row>
    <row r="22" spans="1:3" x14ac:dyDescent="0.2">
      <c r="A22" s="2">
        <v>21</v>
      </c>
      <c r="B22" s="2">
        <v>300</v>
      </c>
      <c r="C22" s="2">
        <v>4</v>
      </c>
    </row>
    <row r="23" spans="1:3" x14ac:dyDescent="0.2">
      <c r="A23" s="2">
        <v>22</v>
      </c>
      <c r="B23" s="2">
        <v>300</v>
      </c>
      <c r="C23" s="2">
        <v>4</v>
      </c>
    </row>
    <row r="24" spans="1:3" x14ac:dyDescent="0.2">
      <c r="A24" s="2">
        <v>23</v>
      </c>
      <c r="B24" s="2">
        <v>300</v>
      </c>
      <c r="C24" s="2">
        <v>4</v>
      </c>
    </row>
    <row r="25" spans="1:3" x14ac:dyDescent="0.2">
      <c r="A25" s="2">
        <v>24</v>
      </c>
      <c r="B25" s="2">
        <v>300</v>
      </c>
      <c r="C25" s="2">
        <v>4</v>
      </c>
    </row>
    <row r="26" spans="1:3" x14ac:dyDescent="0.2">
      <c r="A26" s="2">
        <v>25</v>
      </c>
      <c r="B26" s="2">
        <v>300</v>
      </c>
      <c r="C26" s="2">
        <v>4</v>
      </c>
    </row>
    <row r="27" spans="1:3" x14ac:dyDescent="0.2">
      <c r="A27" s="2">
        <v>26</v>
      </c>
      <c r="B27" s="2">
        <v>300</v>
      </c>
      <c r="C27" s="2">
        <v>4</v>
      </c>
    </row>
    <row r="28" spans="1:3" x14ac:dyDescent="0.2">
      <c r="A28" s="2">
        <v>27</v>
      </c>
      <c r="B28" s="2">
        <v>300</v>
      </c>
      <c r="C28" s="2">
        <v>4</v>
      </c>
    </row>
    <row r="29" spans="1:3" x14ac:dyDescent="0.2">
      <c r="A29" s="2">
        <v>28</v>
      </c>
      <c r="B29" s="2">
        <v>300</v>
      </c>
      <c r="C29" s="2">
        <v>4</v>
      </c>
    </row>
    <row r="30" spans="1:3" x14ac:dyDescent="0.2">
      <c r="A30" s="2">
        <v>29</v>
      </c>
      <c r="B30" s="2">
        <v>300</v>
      </c>
    </row>
    <row r="31" spans="1:3" x14ac:dyDescent="0.2">
      <c r="A31" s="2">
        <v>30</v>
      </c>
      <c r="B31" s="2">
        <v>300</v>
      </c>
    </row>
    <row r="32" spans="1:3" x14ac:dyDescent="0.2">
      <c r="A32" s="2">
        <v>31</v>
      </c>
      <c r="B32" s="2">
        <v>300</v>
      </c>
    </row>
    <row r="33" spans="1:2" x14ac:dyDescent="0.2">
      <c r="A33" s="2">
        <v>32</v>
      </c>
      <c r="B33" s="2">
        <v>300</v>
      </c>
    </row>
    <row r="34" spans="1:2" x14ac:dyDescent="0.2">
      <c r="A34" s="2">
        <v>33</v>
      </c>
      <c r="B34" s="2">
        <v>300</v>
      </c>
    </row>
    <row r="35" spans="1:2" x14ac:dyDescent="0.2">
      <c r="A35" s="2">
        <v>34</v>
      </c>
      <c r="B35" s="2">
        <v>300</v>
      </c>
    </row>
    <row r="36" spans="1:2" x14ac:dyDescent="0.2">
      <c r="A36" s="2">
        <v>35</v>
      </c>
      <c r="B36" s="2">
        <v>300</v>
      </c>
    </row>
    <row r="37" spans="1:2" x14ac:dyDescent="0.2">
      <c r="A37" s="2">
        <v>36</v>
      </c>
      <c r="B37" s="2">
        <v>300</v>
      </c>
    </row>
    <row r="38" spans="1:2" x14ac:dyDescent="0.2">
      <c r="A38" s="2">
        <v>37</v>
      </c>
      <c r="B38" s="2">
        <v>300</v>
      </c>
    </row>
    <row r="39" spans="1:2" x14ac:dyDescent="0.2">
      <c r="A39" s="2">
        <v>38</v>
      </c>
      <c r="B39" s="2">
        <v>300</v>
      </c>
    </row>
    <row r="40" spans="1:2" x14ac:dyDescent="0.2">
      <c r="A40" s="2">
        <v>39</v>
      </c>
      <c r="B40" s="2">
        <v>300</v>
      </c>
    </row>
    <row r="41" spans="1:2" x14ac:dyDescent="0.2">
      <c r="A41" s="2">
        <v>40</v>
      </c>
      <c r="B41" s="2">
        <v>300</v>
      </c>
    </row>
    <row r="42" spans="1:2" x14ac:dyDescent="0.2">
      <c r="A42" s="2">
        <v>41</v>
      </c>
      <c r="B42" s="2">
        <v>300</v>
      </c>
    </row>
    <row r="43" spans="1:2" x14ac:dyDescent="0.2">
      <c r="A43" s="2">
        <v>42</v>
      </c>
      <c r="B43" s="2">
        <v>300</v>
      </c>
    </row>
    <row r="44" spans="1:2" x14ac:dyDescent="0.2">
      <c r="A44" s="2">
        <v>43</v>
      </c>
      <c r="B44" s="2">
        <v>300</v>
      </c>
    </row>
    <row r="45" spans="1:2" x14ac:dyDescent="0.2">
      <c r="A45" s="2">
        <v>44</v>
      </c>
      <c r="B45" s="2">
        <v>300</v>
      </c>
    </row>
    <row r="46" spans="1:2" x14ac:dyDescent="0.2">
      <c r="A46" s="2">
        <v>45</v>
      </c>
      <c r="B46" s="2">
        <v>300</v>
      </c>
    </row>
    <row r="47" spans="1:2" x14ac:dyDescent="0.2">
      <c r="A47" s="2">
        <v>46</v>
      </c>
      <c r="B47" s="2">
        <v>300</v>
      </c>
    </row>
    <row r="48" spans="1:2" x14ac:dyDescent="0.2">
      <c r="A48" s="2">
        <v>47</v>
      </c>
      <c r="B48" s="2">
        <v>300</v>
      </c>
    </row>
    <row r="49" spans="1:2" x14ac:dyDescent="0.2">
      <c r="A49" s="2">
        <v>48</v>
      </c>
      <c r="B49" s="2">
        <v>800</v>
      </c>
    </row>
    <row r="50" spans="1:2" x14ac:dyDescent="0.2">
      <c r="A50" s="2">
        <v>49</v>
      </c>
      <c r="B50" s="2">
        <v>500</v>
      </c>
    </row>
    <row r="51" spans="1:2" x14ac:dyDescent="0.2">
      <c r="A51" s="2">
        <v>50</v>
      </c>
      <c r="B51" s="2">
        <v>500</v>
      </c>
    </row>
    <row r="52" spans="1:2" x14ac:dyDescent="0.2">
      <c r="A52" s="2">
        <v>51</v>
      </c>
      <c r="B52" s="2">
        <v>500</v>
      </c>
    </row>
    <row r="53" spans="1:2" x14ac:dyDescent="0.2">
      <c r="A53" s="2">
        <v>52</v>
      </c>
      <c r="B53" s="2">
        <v>500</v>
      </c>
    </row>
    <row r="54" spans="1:2" x14ac:dyDescent="0.2">
      <c r="A54" s="2">
        <v>53</v>
      </c>
      <c r="B54" s="2">
        <v>500</v>
      </c>
    </row>
    <row r="55" spans="1:2" x14ac:dyDescent="0.2">
      <c r="A55" s="2">
        <v>54</v>
      </c>
      <c r="B55" s="2">
        <v>500</v>
      </c>
    </row>
    <row r="56" spans="1:2" x14ac:dyDescent="0.2">
      <c r="A56" s="2">
        <v>55</v>
      </c>
      <c r="B56" s="2">
        <v>500</v>
      </c>
    </row>
    <row r="57" spans="1:2" x14ac:dyDescent="0.2">
      <c r="A57" s="2">
        <v>56</v>
      </c>
      <c r="B57" s="2">
        <v>500</v>
      </c>
    </row>
    <row r="58" spans="1:2" x14ac:dyDescent="0.2">
      <c r="A58" s="2">
        <v>57</v>
      </c>
      <c r="B58" s="2">
        <v>500</v>
      </c>
    </row>
    <row r="59" spans="1:2" x14ac:dyDescent="0.2">
      <c r="A59" s="2">
        <v>58</v>
      </c>
      <c r="B59" s="2">
        <v>500</v>
      </c>
    </row>
    <row r="60" spans="1:2" x14ac:dyDescent="0.2">
      <c r="A60" s="2">
        <v>59</v>
      </c>
      <c r="B60" s="2">
        <v>500</v>
      </c>
    </row>
    <row r="61" spans="1:2" x14ac:dyDescent="0.2">
      <c r="A61" s="2">
        <v>60</v>
      </c>
      <c r="B61" s="2">
        <v>500</v>
      </c>
    </row>
    <row r="62" spans="1:2" x14ac:dyDescent="0.2">
      <c r="A62" s="2">
        <v>61</v>
      </c>
      <c r="B62" s="2">
        <v>500</v>
      </c>
    </row>
    <row r="63" spans="1:2" x14ac:dyDescent="0.2">
      <c r="A63" s="2">
        <v>62</v>
      </c>
      <c r="B63" s="2">
        <v>500</v>
      </c>
    </row>
    <row r="64" spans="1:2" x14ac:dyDescent="0.2">
      <c r="A64" s="2">
        <v>63</v>
      </c>
      <c r="B64" s="2">
        <v>500</v>
      </c>
    </row>
    <row r="65" spans="1:2" x14ac:dyDescent="0.2">
      <c r="A65" s="2">
        <v>64</v>
      </c>
      <c r="B65" s="2">
        <v>500</v>
      </c>
    </row>
    <row r="66" spans="1:2" x14ac:dyDescent="0.2">
      <c r="A66" s="2">
        <v>65</v>
      </c>
      <c r="B66" s="2">
        <v>500</v>
      </c>
    </row>
    <row r="67" spans="1:2" x14ac:dyDescent="0.2">
      <c r="A67" s="2">
        <v>66</v>
      </c>
      <c r="B67" s="2">
        <v>500</v>
      </c>
    </row>
    <row r="68" spans="1:2" x14ac:dyDescent="0.2">
      <c r="A68" s="2">
        <v>67</v>
      </c>
      <c r="B68" s="2">
        <v>500</v>
      </c>
    </row>
    <row r="69" spans="1:2" x14ac:dyDescent="0.2">
      <c r="A69" s="2">
        <v>68</v>
      </c>
      <c r="B69" s="2">
        <v>500</v>
      </c>
    </row>
    <row r="70" spans="1:2" x14ac:dyDescent="0.2">
      <c r="A70" s="2">
        <v>69</v>
      </c>
      <c r="B70" s="2">
        <v>500</v>
      </c>
    </row>
    <row r="71" spans="1:2" x14ac:dyDescent="0.2">
      <c r="A71" s="2">
        <v>70</v>
      </c>
      <c r="B71" s="2">
        <v>500</v>
      </c>
    </row>
    <row r="72" spans="1:2" x14ac:dyDescent="0.2">
      <c r="A72" s="2">
        <v>71</v>
      </c>
      <c r="B72" s="2">
        <v>500</v>
      </c>
    </row>
    <row r="73" spans="1:2" x14ac:dyDescent="0.2">
      <c r="A73" s="2">
        <v>72</v>
      </c>
      <c r="B73" s="2">
        <v>500</v>
      </c>
    </row>
    <row r="74" spans="1:2" x14ac:dyDescent="0.2">
      <c r="A74" s="2">
        <v>73</v>
      </c>
      <c r="B74" s="2">
        <v>500</v>
      </c>
    </row>
    <row r="75" spans="1:2" x14ac:dyDescent="0.2">
      <c r="A75" s="2">
        <v>74</v>
      </c>
      <c r="B75" s="2">
        <v>500</v>
      </c>
    </row>
    <row r="76" spans="1:2" x14ac:dyDescent="0.2">
      <c r="A76" s="2">
        <v>75</v>
      </c>
      <c r="B76" s="2">
        <v>500</v>
      </c>
    </row>
    <row r="77" spans="1:2" x14ac:dyDescent="0.2">
      <c r="A77" s="2">
        <v>76</v>
      </c>
      <c r="B77" s="2">
        <v>500</v>
      </c>
    </row>
    <row r="78" spans="1:2" x14ac:dyDescent="0.2">
      <c r="A78" s="2">
        <v>77</v>
      </c>
      <c r="B78" s="2">
        <v>500</v>
      </c>
    </row>
    <row r="79" spans="1:2" x14ac:dyDescent="0.2">
      <c r="A79" s="2">
        <v>78</v>
      </c>
      <c r="B79" s="2">
        <v>500</v>
      </c>
    </row>
    <row r="80" spans="1:2" x14ac:dyDescent="0.2">
      <c r="A80" s="2">
        <v>79</v>
      </c>
      <c r="B80" s="2">
        <v>500</v>
      </c>
    </row>
    <row r="81" spans="1:2" x14ac:dyDescent="0.2">
      <c r="A81" s="2">
        <v>80</v>
      </c>
      <c r="B81" s="2">
        <v>500</v>
      </c>
    </row>
    <row r="82" spans="1:2" x14ac:dyDescent="0.2">
      <c r="A82" s="2">
        <v>81</v>
      </c>
      <c r="B82" s="2">
        <v>500</v>
      </c>
    </row>
    <row r="83" spans="1:2" x14ac:dyDescent="0.2">
      <c r="A83" s="2">
        <v>82</v>
      </c>
      <c r="B83" s="2">
        <v>500</v>
      </c>
    </row>
    <row r="84" spans="1:2" x14ac:dyDescent="0.2">
      <c r="A84" s="2">
        <v>83</v>
      </c>
      <c r="B84" s="2">
        <v>500</v>
      </c>
    </row>
    <row r="85" spans="1:2" x14ac:dyDescent="0.2">
      <c r="A85" s="2">
        <v>84</v>
      </c>
      <c r="B85" s="2">
        <v>500</v>
      </c>
    </row>
    <row r="86" spans="1:2" x14ac:dyDescent="0.2">
      <c r="A86" s="2">
        <v>85</v>
      </c>
      <c r="B86" s="2">
        <v>500</v>
      </c>
    </row>
    <row r="87" spans="1:2" x14ac:dyDescent="0.2">
      <c r="A87" s="2">
        <v>86</v>
      </c>
      <c r="B87" s="2">
        <v>500</v>
      </c>
    </row>
    <row r="88" spans="1:2" x14ac:dyDescent="0.2">
      <c r="A88" s="2">
        <v>87</v>
      </c>
      <c r="B88" s="2">
        <v>500</v>
      </c>
    </row>
    <row r="89" spans="1:2" x14ac:dyDescent="0.2">
      <c r="A89" s="2">
        <v>88</v>
      </c>
      <c r="B89" s="2">
        <v>500</v>
      </c>
    </row>
    <row r="90" spans="1:2" x14ac:dyDescent="0.2">
      <c r="A90" s="2">
        <v>89</v>
      </c>
      <c r="B90" s="2">
        <v>500</v>
      </c>
    </row>
    <row r="91" spans="1:2" x14ac:dyDescent="0.2">
      <c r="A91" s="2">
        <v>90</v>
      </c>
      <c r="B91" s="2">
        <v>500</v>
      </c>
    </row>
    <row r="92" spans="1:2" x14ac:dyDescent="0.2">
      <c r="A92" s="2">
        <v>91</v>
      </c>
      <c r="B92" s="2">
        <v>500</v>
      </c>
    </row>
    <row r="93" spans="1:2" x14ac:dyDescent="0.2">
      <c r="A93" s="2">
        <v>92</v>
      </c>
      <c r="B93" s="2">
        <v>500</v>
      </c>
    </row>
    <row r="94" spans="1:2" x14ac:dyDescent="0.2">
      <c r="A94" s="2">
        <v>93</v>
      </c>
      <c r="B94" s="2">
        <v>500</v>
      </c>
    </row>
    <row r="95" spans="1:2" x14ac:dyDescent="0.2">
      <c r="A95" s="2">
        <v>94</v>
      </c>
      <c r="B95" s="2">
        <v>500</v>
      </c>
    </row>
    <row r="96" spans="1:2" x14ac:dyDescent="0.2">
      <c r="A96" s="2">
        <v>95</v>
      </c>
      <c r="B96" s="2">
        <v>500</v>
      </c>
    </row>
    <row r="97" spans="1:2" x14ac:dyDescent="0.2">
      <c r="A97" s="2">
        <v>96</v>
      </c>
      <c r="B97" s="2">
        <v>500</v>
      </c>
    </row>
    <row r="98" spans="1:2" x14ac:dyDescent="0.2">
      <c r="A98" s="2">
        <v>97</v>
      </c>
      <c r="B98" s="2">
        <v>500</v>
      </c>
    </row>
    <row r="99" spans="1:2" x14ac:dyDescent="0.2">
      <c r="A99" s="2">
        <v>98</v>
      </c>
      <c r="B99" s="2">
        <v>500</v>
      </c>
    </row>
    <row r="100" spans="1:2" x14ac:dyDescent="0.2">
      <c r="A100" s="2">
        <v>99</v>
      </c>
      <c r="B100" s="2">
        <v>500</v>
      </c>
    </row>
    <row r="101" spans="1:2" x14ac:dyDescent="0.2">
      <c r="A101" s="2">
        <v>100</v>
      </c>
      <c r="B101" s="2">
        <v>500</v>
      </c>
    </row>
    <row r="102" spans="1:2" x14ac:dyDescent="0.2">
      <c r="A102" s="2">
        <v>101</v>
      </c>
      <c r="B102" s="2">
        <v>500</v>
      </c>
    </row>
    <row r="103" spans="1:2" x14ac:dyDescent="0.2">
      <c r="A103" s="2">
        <v>102</v>
      </c>
      <c r="B103" s="2">
        <v>500</v>
      </c>
    </row>
    <row r="104" spans="1:2" x14ac:dyDescent="0.2">
      <c r="A104" s="2">
        <v>103</v>
      </c>
      <c r="B104" s="2">
        <v>500</v>
      </c>
    </row>
    <row r="105" spans="1:2" x14ac:dyDescent="0.2">
      <c r="A105" s="2">
        <v>104</v>
      </c>
      <c r="B105" s="2">
        <v>500</v>
      </c>
    </row>
    <row r="106" spans="1:2" x14ac:dyDescent="0.2">
      <c r="A106" s="2">
        <v>11001</v>
      </c>
      <c r="B106" s="2">
        <v>500</v>
      </c>
    </row>
    <row r="107" spans="1:2" x14ac:dyDescent="0.2">
      <c r="A107" s="2">
        <v>11002</v>
      </c>
      <c r="B107" s="2">
        <v>500</v>
      </c>
    </row>
    <row r="108" spans="1:2" x14ac:dyDescent="0.2">
      <c r="A108" s="2">
        <v>11003</v>
      </c>
      <c r="B108" s="2">
        <v>500</v>
      </c>
    </row>
    <row r="109" spans="1:2" x14ac:dyDescent="0.2">
      <c r="A109" s="2">
        <v>11004</v>
      </c>
      <c r="B109" s="2">
        <v>500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D41"/>
  <sheetViews>
    <sheetView workbookViewId="0">
      <selection activeCell="C2" sqref="C2"/>
    </sheetView>
  </sheetViews>
  <sheetFormatPr defaultColWidth="8.875" defaultRowHeight="14.25" x14ac:dyDescent="0.2"/>
  <sheetData>
    <row r="1" spans="1:4" s="1" customFormat="1" ht="43.5" customHeight="1" x14ac:dyDescent="0.2">
      <c r="A1" s="1" t="s">
        <v>24</v>
      </c>
      <c r="B1" s="1" t="s">
        <v>32</v>
      </c>
      <c r="C1" s="1" t="s">
        <v>34</v>
      </c>
      <c r="D1" s="1" t="s">
        <v>71</v>
      </c>
    </row>
    <row r="2" spans="1:4" x14ac:dyDescent="0.2">
      <c r="A2">
        <v>1</v>
      </c>
      <c r="B2" s="5">
        <v>6.0000000000000001E-3</v>
      </c>
      <c r="C2">
        <v>90</v>
      </c>
      <c r="D2">
        <f>C2/B2/(1/profit!C2)/60</f>
        <v>40</v>
      </c>
    </row>
    <row r="3" spans="1:4" x14ac:dyDescent="0.2">
      <c r="A3">
        <v>2</v>
      </c>
      <c r="B3" s="5">
        <v>6.0000000000000001E-3</v>
      </c>
      <c r="C3">
        <v>90</v>
      </c>
      <c r="D3">
        <f>C3/B3/(1/profit!C3)/60</f>
        <v>40</v>
      </c>
    </row>
    <row r="4" spans="1:4" x14ac:dyDescent="0.2">
      <c r="A4">
        <v>3</v>
      </c>
      <c r="B4" s="5">
        <v>6.0000000000000001E-3</v>
      </c>
      <c r="C4">
        <v>90</v>
      </c>
      <c r="D4">
        <f>C4/B4/(1/profit!C4)/60</f>
        <v>40</v>
      </c>
    </row>
    <row r="5" spans="1:4" x14ac:dyDescent="0.2">
      <c r="A5">
        <v>4</v>
      </c>
      <c r="B5" s="5">
        <v>6.0000000000000001E-3</v>
      </c>
      <c r="C5">
        <v>90</v>
      </c>
      <c r="D5">
        <f>C5/B5/(1/profit!C5)/60</f>
        <v>40</v>
      </c>
    </row>
    <row r="6" spans="1:4" x14ac:dyDescent="0.2">
      <c r="A6">
        <v>5</v>
      </c>
      <c r="B6" s="5">
        <v>6.0000000000000001E-3</v>
      </c>
      <c r="C6">
        <v>90</v>
      </c>
      <c r="D6">
        <f>C6/B6/(1/profit!C6)/60</f>
        <v>40</v>
      </c>
    </row>
    <row r="7" spans="1:4" x14ac:dyDescent="0.2">
      <c r="A7">
        <v>6</v>
      </c>
      <c r="B7" s="5">
        <v>6.0000000000000001E-3</v>
      </c>
      <c r="C7">
        <v>90</v>
      </c>
      <c r="D7">
        <f>C7/B7/(1/profit!C7)/60</f>
        <v>40</v>
      </c>
    </row>
    <row r="8" spans="1:4" x14ac:dyDescent="0.2">
      <c r="A8">
        <v>7</v>
      </c>
      <c r="B8" s="5">
        <v>6.0000000000000001E-3</v>
      </c>
      <c r="C8">
        <v>90</v>
      </c>
      <c r="D8">
        <f>C8/B8/(1/profit!C8)/60</f>
        <v>40</v>
      </c>
    </row>
    <row r="9" spans="1:4" x14ac:dyDescent="0.2">
      <c r="A9">
        <v>8</v>
      </c>
      <c r="B9" s="5">
        <v>6.0000000000000001E-3</v>
      </c>
      <c r="C9">
        <v>90</v>
      </c>
      <c r="D9">
        <f>C9/B9/(1/profit!C9)/60</f>
        <v>40</v>
      </c>
    </row>
    <row r="10" spans="1:4" x14ac:dyDescent="0.2">
      <c r="A10">
        <v>9</v>
      </c>
      <c r="B10" s="5">
        <v>6.0000000000000001E-3</v>
      </c>
      <c r="C10">
        <v>90</v>
      </c>
      <c r="D10">
        <f>C10/B10/(1/profit!C10)/60</f>
        <v>40</v>
      </c>
    </row>
    <row r="11" spans="1:4" x14ac:dyDescent="0.2">
      <c r="A11">
        <v>10</v>
      </c>
      <c r="B11" s="5">
        <v>6.0000000000000001E-3</v>
      </c>
      <c r="C11">
        <v>90</v>
      </c>
      <c r="D11">
        <f>C11/B11/(1/profit!C11)/60</f>
        <v>40</v>
      </c>
    </row>
    <row r="12" spans="1:4" x14ac:dyDescent="0.2">
      <c r="A12">
        <v>11</v>
      </c>
      <c r="B12" s="5">
        <v>6.0000000000000001E-3</v>
      </c>
      <c r="C12">
        <v>90</v>
      </c>
      <c r="D12" t="e">
        <f>C12/B12/(1/profit!#REF!)/60</f>
        <v>#REF!</v>
      </c>
    </row>
    <row r="13" spans="1:4" x14ac:dyDescent="0.2">
      <c r="A13">
        <v>12</v>
      </c>
      <c r="B13" s="5">
        <v>6.0000000000000001E-3</v>
      </c>
      <c r="C13">
        <v>90</v>
      </c>
      <c r="D13" t="e">
        <f>C13/B13/(1/profit!#REF!)/60</f>
        <v>#REF!</v>
      </c>
    </row>
    <row r="14" spans="1:4" x14ac:dyDescent="0.2">
      <c r="A14">
        <v>13</v>
      </c>
      <c r="B14" s="5">
        <v>6.0000000000000001E-3</v>
      </c>
      <c r="C14">
        <v>90</v>
      </c>
      <c r="D14" t="e">
        <f>C14/B14/(1/profit!#REF!)/60</f>
        <v>#REF!</v>
      </c>
    </row>
    <row r="15" spans="1:4" x14ac:dyDescent="0.2">
      <c r="A15">
        <v>14</v>
      </c>
      <c r="B15" s="5">
        <v>6.0000000000000001E-3</v>
      </c>
      <c r="C15">
        <v>90</v>
      </c>
      <c r="D15" t="e">
        <f>C15/B15/(1/profit!#REF!)/60</f>
        <v>#REF!</v>
      </c>
    </row>
    <row r="16" spans="1:4" x14ac:dyDescent="0.2">
      <c r="A16">
        <v>15</v>
      </c>
      <c r="B16" s="5">
        <v>6.0000000000000001E-3</v>
      </c>
      <c r="C16">
        <v>90</v>
      </c>
      <c r="D16" t="e">
        <f>C16/B16/(1/profit!#REF!)/60</f>
        <v>#REF!</v>
      </c>
    </row>
    <row r="17" spans="1:4" x14ac:dyDescent="0.2">
      <c r="A17">
        <v>16</v>
      </c>
      <c r="B17" s="5">
        <v>6.0000000000000001E-3</v>
      </c>
      <c r="C17">
        <v>90</v>
      </c>
      <c r="D17" t="e">
        <f>C17/B17/(1/profit!#REF!)/60</f>
        <v>#REF!</v>
      </c>
    </row>
    <row r="18" spans="1:4" x14ac:dyDescent="0.2">
      <c r="A18">
        <v>17</v>
      </c>
      <c r="B18" s="5">
        <v>6.0000000000000001E-3</v>
      </c>
      <c r="C18">
        <v>90</v>
      </c>
      <c r="D18" t="e">
        <f>C18/B18/(1/profit!#REF!)/60</f>
        <v>#REF!</v>
      </c>
    </row>
    <row r="19" spans="1:4" x14ac:dyDescent="0.2">
      <c r="A19">
        <v>18</v>
      </c>
      <c r="B19" s="5">
        <v>6.0000000000000001E-3</v>
      </c>
      <c r="C19">
        <v>90</v>
      </c>
      <c r="D19" t="e">
        <f>C19/B19/(1/profit!#REF!)/60</f>
        <v>#REF!</v>
      </c>
    </row>
    <row r="20" spans="1:4" x14ac:dyDescent="0.2">
      <c r="A20">
        <v>19</v>
      </c>
      <c r="B20" s="5">
        <v>6.0000000000000001E-3</v>
      </c>
      <c r="C20">
        <v>90</v>
      </c>
      <c r="D20" t="e">
        <f>C20/B20/(1/profit!#REF!)/60</f>
        <v>#REF!</v>
      </c>
    </row>
    <row r="21" spans="1:4" x14ac:dyDescent="0.2">
      <c r="A21">
        <v>20</v>
      </c>
      <c r="B21" s="5">
        <v>6.0000000000000001E-3</v>
      </c>
      <c r="C21">
        <v>90</v>
      </c>
      <c r="D21" t="e">
        <f>C21/B21/(1/profit!#REF!)/60</f>
        <v>#REF!</v>
      </c>
    </row>
    <row r="22" spans="1:4" x14ac:dyDescent="0.2">
      <c r="A22">
        <v>21</v>
      </c>
      <c r="B22" s="5">
        <v>6.0000000000000001E-3</v>
      </c>
      <c r="C22">
        <v>90</v>
      </c>
      <c r="D22" t="e">
        <f>C22/B22/(1/profit!#REF!)/60</f>
        <v>#REF!</v>
      </c>
    </row>
    <row r="23" spans="1:4" x14ac:dyDescent="0.2">
      <c r="A23">
        <v>22</v>
      </c>
      <c r="B23" s="5">
        <v>6.0000000000000001E-3</v>
      </c>
      <c r="C23">
        <v>90</v>
      </c>
      <c r="D23" t="e">
        <f>C23/B23/(1/profit!#REF!)/60</f>
        <v>#REF!</v>
      </c>
    </row>
    <row r="24" spans="1:4" x14ac:dyDescent="0.2">
      <c r="A24">
        <v>23</v>
      </c>
      <c r="B24" s="5">
        <v>6.0000000000000001E-3</v>
      </c>
      <c r="C24">
        <v>90</v>
      </c>
      <c r="D24" t="e">
        <f>C24/B24/(1/profit!#REF!)/60</f>
        <v>#REF!</v>
      </c>
    </row>
    <row r="25" spans="1:4" x14ac:dyDescent="0.2">
      <c r="A25">
        <v>24</v>
      </c>
      <c r="B25" s="5">
        <v>6.0000000000000001E-3</v>
      </c>
      <c r="C25">
        <v>90</v>
      </c>
      <c r="D25" t="e">
        <f>C25/B25/(1/profit!#REF!)/60</f>
        <v>#REF!</v>
      </c>
    </row>
    <row r="26" spans="1:4" x14ac:dyDescent="0.2">
      <c r="A26">
        <v>25</v>
      </c>
      <c r="B26" s="5">
        <v>6.0000000000000001E-3</v>
      </c>
      <c r="C26">
        <v>90</v>
      </c>
      <c r="D26" t="e">
        <f>C26/B26/(1/profit!#REF!)/60</f>
        <v>#REF!</v>
      </c>
    </row>
    <row r="27" spans="1:4" x14ac:dyDescent="0.2">
      <c r="A27">
        <v>26</v>
      </c>
      <c r="B27" s="5">
        <v>6.0000000000000001E-3</v>
      </c>
      <c r="C27">
        <v>90</v>
      </c>
      <c r="D27" t="e">
        <f>C27/B27/(1/profit!#REF!)/60</f>
        <v>#REF!</v>
      </c>
    </row>
    <row r="28" spans="1:4" x14ac:dyDescent="0.2">
      <c r="A28">
        <v>27</v>
      </c>
      <c r="B28" s="5">
        <v>6.0000000000000001E-3</v>
      </c>
      <c r="C28">
        <v>90</v>
      </c>
      <c r="D28" t="e">
        <f>C28/B28/(1/profit!#REF!)/60</f>
        <v>#REF!</v>
      </c>
    </row>
    <row r="29" spans="1:4" x14ac:dyDescent="0.2">
      <c r="A29">
        <v>28</v>
      </c>
      <c r="B29" s="5">
        <v>6.0000000000000001E-3</v>
      </c>
      <c r="C29">
        <v>90</v>
      </c>
      <c r="D29" t="e">
        <f>C29/B29/(1/profit!#REF!)/60</f>
        <v>#REF!</v>
      </c>
    </row>
    <row r="30" spans="1:4" x14ac:dyDescent="0.2">
      <c r="A30">
        <v>29</v>
      </c>
      <c r="B30" s="5">
        <v>6.0000000000000001E-3</v>
      </c>
      <c r="C30">
        <v>90</v>
      </c>
      <c r="D30" t="e">
        <f>C30/B30/(1/profit!#REF!)/60</f>
        <v>#REF!</v>
      </c>
    </row>
    <row r="31" spans="1:4" x14ac:dyDescent="0.2">
      <c r="A31">
        <v>30</v>
      </c>
      <c r="B31" s="5">
        <v>6.0000000000000001E-3</v>
      </c>
      <c r="C31">
        <v>90</v>
      </c>
      <c r="D31" t="e">
        <f>C31/B31/(1/profit!#REF!)/60</f>
        <v>#REF!</v>
      </c>
    </row>
    <row r="32" spans="1:4" x14ac:dyDescent="0.2">
      <c r="A32">
        <v>31</v>
      </c>
      <c r="B32" s="5">
        <v>6.0000000000000001E-3</v>
      </c>
      <c r="C32">
        <v>90</v>
      </c>
      <c r="D32" t="e">
        <f>C32/B32/(1/profit!#REF!)/60</f>
        <v>#REF!</v>
      </c>
    </row>
    <row r="33" spans="1:4" x14ac:dyDescent="0.2">
      <c r="A33">
        <v>32</v>
      </c>
      <c r="B33" s="5">
        <v>6.0000000000000001E-3</v>
      </c>
      <c r="C33">
        <v>90</v>
      </c>
      <c r="D33" t="e">
        <f>C33/B33/(1/profit!#REF!)/60</f>
        <v>#REF!</v>
      </c>
    </row>
    <row r="34" spans="1:4" x14ac:dyDescent="0.2">
      <c r="A34">
        <v>33</v>
      </c>
      <c r="B34" s="5">
        <v>6.0000000000000001E-3</v>
      </c>
      <c r="C34">
        <v>90</v>
      </c>
      <c r="D34" t="e">
        <f>C34/B34/(1/profit!#REF!)/60</f>
        <v>#REF!</v>
      </c>
    </row>
    <row r="35" spans="1:4" x14ac:dyDescent="0.2">
      <c r="A35">
        <v>34</v>
      </c>
      <c r="B35" s="5">
        <v>6.0000000000000001E-3</v>
      </c>
      <c r="C35">
        <v>90</v>
      </c>
      <c r="D35" t="e">
        <f>C35/B35/(1/profit!#REF!)/60</f>
        <v>#REF!</v>
      </c>
    </row>
    <row r="36" spans="1:4" x14ac:dyDescent="0.2">
      <c r="A36">
        <v>35</v>
      </c>
      <c r="B36" s="5">
        <v>6.0000000000000001E-3</v>
      </c>
      <c r="C36">
        <v>90</v>
      </c>
      <c r="D36" t="e">
        <f>C36/B36/(1/profit!#REF!)/60</f>
        <v>#REF!</v>
      </c>
    </row>
    <row r="37" spans="1:4" x14ac:dyDescent="0.2">
      <c r="A37">
        <v>36</v>
      </c>
      <c r="B37" s="5">
        <v>6.0000000000000001E-3</v>
      </c>
      <c r="C37">
        <v>90</v>
      </c>
      <c r="D37" t="e">
        <f>C37/B37/(1/profit!#REF!)/60</f>
        <v>#REF!</v>
      </c>
    </row>
    <row r="38" spans="1:4" x14ac:dyDescent="0.2">
      <c r="A38">
        <v>37</v>
      </c>
      <c r="B38" s="5">
        <v>6.0000000000000001E-3</v>
      </c>
      <c r="C38">
        <v>90</v>
      </c>
      <c r="D38" t="e">
        <f>C38/B38/(1/profit!#REF!)/60</f>
        <v>#REF!</v>
      </c>
    </row>
    <row r="39" spans="1:4" x14ac:dyDescent="0.2">
      <c r="A39">
        <v>38</v>
      </c>
      <c r="B39" s="5">
        <v>6.0000000000000001E-3</v>
      </c>
      <c r="C39">
        <v>90</v>
      </c>
      <c r="D39" t="e">
        <f>C39/B39/(1/profit!#REF!)/60</f>
        <v>#REF!</v>
      </c>
    </row>
    <row r="40" spans="1:4" x14ac:dyDescent="0.2">
      <c r="A40">
        <v>39</v>
      </c>
      <c r="B40" s="5">
        <v>6.0000000000000001E-3</v>
      </c>
      <c r="C40">
        <v>90</v>
      </c>
      <c r="D40" t="e">
        <f>C40/B40/(1/profit!#REF!)/60</f>
        <v>#REF!</v>
      </c>
    </row>
    <row r="41" spans="1:4" x14ac:dyDescent="0.2">
      <c r="A41">
        <v>40</v>
      </c>
      <c r="B41" s="5">
        <v>6.0000000000000001E-3</v>
      </c>
      <c r="C41">
        <v>90</v>
      </c>
      <c r="D41" t="e">
        <f>C41/B41/(1/profit!#REF!)/60</f>
        <v>#REF!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B11"/>
  <sheetViews>
    <sheetView workbookViewId="0">
      <selection activeCell="D6" sqref="D6"/>
    </sheetView>
  </sheetViews>
  <sheetFormatPr defaultColWidth="8.875" defaultRowHeight="14.25" x14ac:dyDescent="0.2"/>
  <sheetData>
    <row r="1" spans="1:2" s="1" customFormat="1" ht="39.75" customHeight="1" x14ac:dyDescent="0.2">
      <c r="A1" s="1" t="s">
        <v>35</v>
      </c>
      <c r="B1" s="1" t="s">
        <v>36</v>
      </c>
    </row>
    <row r="2" spans="1:2" x14ac:dyDescent="0.2">
      <c r="A2">
        <v>1</v>
      </c>
      <c r="B2">
        <v>100</v>
      </c>
    </row>
    <row r="3" spans="1:2" x14ac:dyDescent="0.2">
      <c r="A3">
        <v>2</v>
      </c>
      <c r="B3">
        <v>200</v>
      </c>
    </row>
    <row r="4" spans="1:2" x14ac:dyDescent="0.2">
      <c r="A4">
        <v>3</v>
      </c>
      <c r="B4">
        <v>300</v>
      </c>
    </row>
    <row r="5" spans="1:2" x14ac:dyDescent="0.2">
      <c r="A5">
        <v>4</v>
      </c>
      <c r="B5">
        <v>400</v>
      </c>
    </row>
    <row r="6" spans="1:2" x14ac:dyDescent="0.2">
      <c r="A6">
        <v>5</v>
      </c>
      <c r="B6">
        <v>500</v>
      </c>
    </row>
    <row r="7" spans="1:2" x14ac:dyDescent="0.2">
      <c r="A7">
        <v>6</v>
      </c>
      <c r="B7">
        <v>600</v>
      </c>
    </row>
    <row r="8" spans="1:2" x14ac:dyDescent="0.2">
      <c r="A8">
        <v>7</v>
      </c>
      <c r="B8">
        <v>700</v>
      </c>
    </row>
    <row r="9" spans="1:2" x14ac:dyDescent="0.2">
      <c r="A9">
        <v>8</v>
      </c>
      <c r="B9">
        <v>800</v>
      </c>
    </row>
    <row r="10" spans="1:2" x14ac:dyDescent="0.2">
      <c r="A10">
        <v>9</v>
      </c>
      <c r="B10">
        <v>900</v>
      </c>
    </row>
    <row r="11" spans="1:2" x14ac:dyDescent="0.2">
      <c r="A11">
        <v>10</v>
      </c>
      <c r="B11">
        <v>1000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XFD3"/>
  <sheetViews>
    <sheetView workbookViewId="0">
      <selection activeCell="J13" sqref="J13"/>
    </sheetView>
  </sheetViews>
  <sheetFormatPr defaultColWidth="8.875" defaultRowHeight="14.25" x14ac:dyDescent="0.2"/>
  <sheetData>
    <row r="1" spans="1:4 16384:16384" x14ac:dyDescent="0.2">
      <c r="A1" s="1" t="s">
        <v>19</v>
      </c>
      <c r="B1" s="1" t="s">
        <v>62</v>
      </c>
      <c r="C1" s="1" t="s">
        <v>63</v>
      </c>
      <c r="D1" s="1" t="s">
        <v>64</v>
      </c>
      <c r="XFD1" s="1"/>
    </row>
    <row r="2" spans="1:4 16384:16384" x14ac:dyDescent="0.2">
      <c r="A2">
        <v>1</v>
      </c>
      <c r="B2" t="s">
        <v>65</v>
      </c>
      <c r="C2">
        <v>10</v>
      </c>
      <c r="D2">
        <v>0</v>
      </c>
    </row>
    <row r="3" spans="1:4 16384:16384" x14ac:dyDescent="0.2">
      <c r="A3">
        <v>2</v>
      </c>
      <c r="B3" t="s">
        <v>66</v>
      </c>
      <c r="C3">
        <v>20</v>
      </c>
      <c r="D3">
        <v>0</v>
      </c>
    </row>
  </sheetData>
  <phoneticPr fontId="1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XFD7"/>
  <sheetViews>
    <sheetView workbookViewId="0">
      <selection activeCell="C4" sqref="C4"/>
    </sheetView>
  </sheetViews>
  <sheetFormatPr defaultColWidth="9" defaultRowHeight="14.25" x14ac:dyDescent="0.2"/>
  <cols>
    <col min="1" max="1" width="9" style="3"/>
    <col min="2" max="2" width="14.625" style="3" customWidth="1"/>
    <col min="3" max="3" width="17.625" style="3" customWidth="1"/>
    <col min="4" max="4" width="22.375" style="3" customWidth="1"/>
    <col min="5" max="5" width="19.125" customWidth="1"/>
    <col min="6" max="6" width="17.125" style="3" customWidth="1"/>
    <col min="7" max="16384" width="9" style="3"/>
  </cols>
  <sheetData>
    <row r="1" spans="1:10 16384:16384" ht="36" customHeight="1" x14ac:dyDescent="0.2">
      <c r="A1" s="1" t="s">
        <v>84</v>
      </c>
      <c r="B1" s="1" t="s">
        <v>85</v>
      </c>
      <c r="C1" s="1" t="s">
        <v>61</v>
      </c>
      <c r="G1" s="1"/>
      <c r="H1" s="1"/>
      <c r="I1" s="1"/>
      <c r="J1" s="1"/>
      <c r="XFD1" s="1"/>
    </row>
    <row r="2" spans="1:10 16384:16384" ht="18.75" customHeight="1" x14ac:dyDescent="0.2">
      <c r="A2" s="2">
        <v>1</v>
      </c>
      <c r="B2" s="2" t="s">
        <v>86</v>
      </c>
      <c r="C2" s="2"/>
    </row>
    <row r="3" spans="1:10 16384:16384" x14ac:dyDescent="0.2">
      <c r="A3" s="2">
        <v>2</v>
      </c>
      <c r="B3" s="2" t="s">
        <v>106</v>
      </c>
      <c r="C3" s="2" t="s">
        <v>87</v>
      </c>
    </row>
    <row r="4" spans="1:10 16384:16384" x14ac:dyDescent="0.2">
      <c r="A4" s="2">
        <v>3</v>
      </c>
      <c r="B4" s="2" t="s">
        <v>107</v>
      </c>
      <c r="C4" s="2" t="s">
        <v>88</v>
      </c>
    </row>
    <row r="5" spans="1:10 16384:16384" x14ac:dyDescent="0.2">
      <c r="A5" s="2"/>
      <c r="B5" s="2"/>
      <c r="C5" s="2"/>
      <c r="D5" s="2"/>
      <c r="F5" s="2"/>
    </row>
    <row r="6" spans="1:10 16384:16384" x14ac:dyDescent="0.2">
      <c r="A6" s="2"/>
      <c r="B6" s="2"/>
      <c r="C6" s="2"/>
      <c r="D6" s="2"/>
      <c r="F6" s="2"/>
    </row>
    <row r="7" spans="1:10 16384:16384" x14ac:dyDescent="0.2">
      <c r="A7" s="2"/>
      <c r="B7" s="2"/>
      <c r="C7" s="2"/>
      <c r="D7" s="2"/>
      <c r="F7" s="2"/>
    </row>
  </sheetData>
  <phoneticPr fontId="1" type="noConversion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XFD4"/>
  <sheetViews>
    <sheetView workbookViewId="0">
      <selection activeCell="F3" sqref="F3"/>
    </sheetView>
  </sheetViews>
  <sheetFormatPr defaultColWidth="8.875" defaultRowHeight="14.25" x14ac:dyDescent="0.2"/>
  <cols>
    <col min="2" max="2" width="15.5" customWidth="1"/>
    <col min="3" max="3" width="15.625" customWidth="1"/>
    <col min="4" max="4" width="32.625" customWidth="1"/>
    <col min="5" max="5" width="35" customWidth="1"/>
    <col min="6" max="6" width="54.625" customWidth="1"/>
  </cols>
  <sheetData>
    <row r="1" spans="1:10 16384:16384" s="3" customFormat="1" ht="36" customHeight="1" x14ac:dyDescent="0.2">
      <c r="A1" s="1" t="s">
        <v>89</v>
      </c>
      <c r="B1" s="1" t="s">
        <v>90</v>
      </c>
      <c r="C1" s="1" t="s">
        <v>91</v>
      </c>
      <c r="D1" s="1" t="s">
        <v>92</v>
      </c>
      <c r="E1" s="1" t="s">
        <v>93</v>
      </c>
      <c r="F1" s="1" t="s">
        <v>94</v>
      </c>
      <c r="G1" s="1"/>
      <c r="H1" s="1"/>
      <c r="I1" s="1"/>
      <c r="J1" s="1"/>
      <c r="XFD1" s="1"/>
    </row>
    <row r="2" spans="1:10 16384:16384" ht="37.5" customHeight="1" x14ac:dyDescent="0.2">
      <c r="A2" s="2">
        <v>1</v>
      </c>
      <c r="B2" s="2">
        <v>1</v>
      </c>
      <c r="C2" s="2" t="s">
        <v>95</v>
      </c>
      <c r="D2" s="2">
        <v>0</v>
      </c>
      <c r="E2" s="2"/>
      <c r="F2" t="s">
        <v>96</v>
      </c>
    </row>
    <row r="3" spans="1:10 16384:16384" ht="39" customHeight="1" x14ac:dyDescent="0.2">
      <c r="A3" s="2">
        <v>2</v>
      </c>
      <c r="B3" s="2">
        <v>1</v>
      </c>
      <c r="C3" s="2" t="s">
        <v>97</v>
      </c>
      <c r="D3" s="2">
        <v>1</v>
      </c>
      <c r="E3" s="2" t="s">
        <v>101</v>
      </c>
      <c r="F3" t="s">
        <v>147</v>
      </c>
    </row>
    <row r="4" spans="1:10 16384:16384" ht="63.75" customHeight="1" x14ac:dyDescent="0.2">
      <c r="A4" s="2">
        <v>3</v>
      </c>
      <c r="B4" s="2">
        <v>1</v>
      </c>
      <c r="C4" s="2" t="s">
        <v>98</v>
      </c>
      <c r="D4" s="2">
        <v>0</v>
      </c>
      <c r="E4" s="4" t="s">
        <v>100</v>
      </c>
      <c r="F4" t="s">
        <v>99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8"/>
  <sheetViews>
    <sheetView workbookViewId="0">
      <selection sqref="A1:B1"/>
    </sheetView>
  </sheetViews>
  <sheetFormatPr defaultRowHeight="14.25" x14ac:dyDescent="0.2"/>
  <sheetData>
    <row r="1" spans="1:9" ht="27" x14ac:dyDescent="0.2">
      <c r="A1" s="1" t="s">
        <v>136</v>
      </c>
      <c r="B1" s="1" t="s">
        <v>137</v>
      </c>
      <c r="C1" s="1" t="s">
        <v>138</v>
      </c>
      <c r="D1" s="1" t="s">
        <v>139</v>
      </c>
      <c r="E1" s="1" t="s">
        <v>140</v>
      </c>
      <c r="F1" s="1" t="s">
        <v>141</v>
      </c>
      <c r="G1" s="1" t="s">
        <v>142</v>
      </c>
      <c r="H1" s="1" t="s">
        <v>143</v>
      </c>
      <c r="I1" s="1" t="s">
        <v>144</v>
      </c>
    </row>
    <row r="2" spans="1:9" x14ac:dyDescent="0.2">
      <c r="B2" s="10"/>
      <c r="C2" s="10"/>
      <c r="F2" s="10"/>
      <c r="G2" s="10"/>
      <c r="H2" s="10"/>
      <c r="I2" s="10"/>
    </row>
    <row r="3" spans="1:9" x14ac:dyDescent="0.2">
      <c r="B3" s="10"/>
      <c r="C3" s="10"/>
      <c r="D3" s="10"/>
      <c r="E3" s="10"/>
      <c r="F3" s="10"/>
      <c r="G3" s="10"/>
      <c r="H3" s="10"/>
      <c r="I3" s="10"/>
    </row>
    <row r="4" spans="1:9" x14ac:dyDescent="0.2">
      <c r="B4" s="10"/>
      <c r="C4" s="10"/>
      <c r="E4" s="10"/>
      <c r="F4" s="10"/>
      <c r="G4" s="10"/>
      <c r="H4" s="10"/>
      <c r="I4" s="10"/>
    </row>
    <row r="5" spans="1:9" x14ac:dyDescent="0.2">
      <c r="B5" s="10"/>
      <c r="C5" s="10"/>
      <c r="D5" s="10"/>
      <c r="E5" s="10"/>
      <c r="F5" s="10"/>
      <c r="G5" s="10"/>
      <c r="H5" s="10"/>
      <c r="I5" s="10"/>
    </row>
    <row r="6" spans="1:9" x14ac:dyDescent="0.2">
      <c r="B6" s="10"/>
      <c r="C6" s="10"/>
      <c r="D6" s="10"/>
      <c r="E6" s="10"/>
      <c r="F6" s="10"/>
      <c r="G6" s="10"/>
      <c r="H6" s="10"/>
      <c r="I6" s="10"/>
    </row>
    <row r="7" spans="1:9" x14ac:dyDescent="0.2">
      <c r="B7" s="10"/>
      <c r="C7" s="10"/>
      <c r="D7" s="10"/>
      <c r="E7" s="10"/>
      <c r="F7" s="10"/>
      <c r="G7" s="10"/>
      <c r="H7" s="10"/>
      <c r="I7" s="10"/>
    </row>
    <row r="8" spans="1:9" x14ac:dyDescent="0.2">
      <c r="B8" s="10"/>
      <c r="C8" s="10"/>
      <c r="D8" s="10"/>
      <c r="E8" s="10"/>
      <c r="F8" s="10"/>
      <c r="G8" s="10"/>
      <c r="H8" s="10"/>
      <c r="I8" s="10"/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1"/>
  <sheetViews>
    <sheetView workbookViewId="0">
      <selection activeCell="J41" sqref="J41"/>
    </sheetView>
  </sheetViews>
  <sheetFormatPr defaultRowHeight="14.25" x14ac:dyDescent="0.2"/>
  <sheetData>
    <row r="1" spans="1:2" x14ac:dyDescent="0.2">
      <c r="A1" t="s">
        <v>145</v>
      </c>
      <c r="B1" t="s">
        <v>146</v>
      </c>
    </row>
  </sheetData>
  <phoneticPr fontId="1" type="noConversion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2"/>
  <sheetViews>
    <sheetView workbookViewId="0">
      <selection activeCell="B2" sqref="B2"/>
    </sheetView>
  </sheetViews>
  <sheetFormatPr defaultRowHeight="14.25" x14ac:dyDescent="0.2"/>
  <cols>
    <col min="2" max="2" width="26.125" customWidth="1"/>
    <col min="3" max="3" width="27.625" bestFit="1" customWidth="1"/>
  </cols>
  <sheetData>
    <row r="1" spans="1:3" x14ac:dyDescent="0.2">
      <c r="A1" s="1" t="s">
        <v>136</v>
      </c>
      <c r="B1" s="1" t="s">
        <v>150</v>
      </c>
      <c r="C1" t="s">
        <v>151</v>
      </c>
    </row>
    <row r="2" spans="1:3" x14ac:dyDescent="0.2">
      <c r="A2">
        <v>1</v>
      </c>
      <c r="B2" t="s">
        <v>316</v>
      </c>
      <c r="C2" t="s">
        <v>152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19</vt:i4>
      </vt:variant>
    </vt:vector>
  </HeadingPairs>
  <TitlesOfParts>
    <vt:vector size="19" baseType="lpstr">
      <vt:lpstr>profit</vt:lpstr>
      <vt:lpstr>random_wave</vt:lpstr>
      <vt:lpstr>wave</vt:lpstr>
      <vt:lpstr>image_type_cfg</vt:lpstr>
      <vt:lpstr>image_cfg</vt:lpstr>
      <vt:lpstr>group</vt:lpstr>
      <vt:lpstr>use_fish</vt:lpstr>
      <vt:lpstr>activity</vt:lpstr>
      <vt:lpstr>box_fish_activity</vt:lpstr>
      <vt:lpstr>base_fish</vt:lpstr>
      <vt:lpstr>path</vt:lpstr>
      <vt:lpstr>laser</vt:lpstr>
      <vt:lpstr>gun</vt:lpstr>
      <vt:lpstr>skill</vt:lpstr>
      <vt:lpstr>dead_mode</vt:lpstr>
      <vt:lpstr>box_fish_award</vt:lpstr>
      <vt:lpstr>match_award</vt:lpstr>
      <vt:lpstr>ue_event_map</vt:lpstr>
      <vt:lpstr>summon_fish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2020-07-22T13:03:19Z</dcterms:modified>
</cp:coreProperties>
</file>