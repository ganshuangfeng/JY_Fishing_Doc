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3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2" i="1" l="1"/>
  <c r="F39" i="1"/>
  <c r="H40" i="7" l="1"/>
  <c r="F26" i="1"/>
  <c r="I26" i="14" s="1"/>
  <c r="I40" i="7" s="1"/>
  <c r="D26" i="1"/>
  <c r="F26" i="14" l="1"/>
  <c r="L26" i="14"/>
  <c r="G36" i="5"/>
  <c r="F51" i="1" l="1"/>
  <c r="D51" i="1"/>
  <c r="I7" i="14" l="1"/>
  <c r="E7" i="14"/>
  <c r="F7" i="14" s="1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9" i="14"/>
  <c r="H43" i="7" s="1"/>
  <c r="E30" i="14"/>
  <c r="E31" i="14"/>
  <c r="E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D9" i="1"/>
  <c r="D10" i="1"/>
  <c r="L10" i="14" l="1"/>
  <c r="I9" i="7"/>
  <c r="H34" i="7"/>
  <c r="H42" i="7"/>
  <c r="H37" i="7"/>
  <c r="H33" i="7"/>
  <c r="H11" i="7"/>
  <c r="H41" i="7"/>
  <c r="H36" i="7"/>
  <c r="H32" i="7"/>
  <c r="H35" i="7"/>
  <c r="F24" i="14"/>
  <c r="H38" i="7"/>
  <c r="L24" i="14"/>
  <c r="I38" i="7"/>
  <c r="H17" i="7"/>
  <c r="H10" i="7"/>
  <c r="H12" i="7"/>
  <c r="L9" i="14"/>
  <c r="H9" i="7"/>
  <c r="F10" i="14"/>
  <c r="I10" i="7"/>
  <c r="F9" i="14"/>
  <c r="F38" i="1"/>
  <c r="D38" i="1"/>
  <c r="E8" i="14" l="1"/>
  <c r="H67" i="7" l="1"/>
  <c r="H16" i="7"/>
  <c r="H15" i="7"/>
  <c r="H22" i="7"/>
  <c r="F32" i="1"/>
  <c r="F33" i="1"/>
  <c r="F34" i="1"/>
  <c r="F36" i="1"/>
  <c r="F37" i="1"/>
  <c r="D37" i="1"/>
  <c r="D36" i="1" l="1"/>
  <c r="G32" i="5" l="1"/>
  <c r="H31" i="14" s="1"/>
  <c r="G30" i="5"/>
  <c r="H32" i="14" s="1"/>
  <c r="D35" i="1"/>
  <c r="D34" i="1"/>
  <c r="D28" i="1"/>
  <c r="D29" i="1"/>
  <c r="D30" i="1"/>
  <c r="D31" i="1"/>
  <c r="D32" i="1"/>
  <c r="D33" i="1"/>
  <c r="K50" i="14"/>
  <c r="J64" i="7" s="1"/>
  <c r="E50" i="14"/>
  <c r="K49" i="14"/>
  <c r="E49" i="14"/>
  <c r="K48" i="14"/>
  <c r="E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J49" i="7" s="1"/>
  <c r="E35" i="14"/>
  <c r="K34" i="14"/>
  <c r="E34" i="14"/>
  <c r="K33" i="14"/>
  <c r="E33" i="14"/>
  <c r="J60" i="7"/>
  <c r="H8" i="7"/>
  <c r="F8" i="1"/>
  <c r="D8" i="1"/>
  <c r="F8" i="14"/>
  <c r="F29" i="14"/>
  <c r="K29" i="14"/>
  <c r="J43" i="7" s="1"/>
  <c r="F30" i="14"/>
  <c r="I30" i="14"/>
  <c r="K30" i="14"/>
  <c r="J44" i="7" s="1"/>
  <c r="F31" i="14"/>
  <c r="K31" i="14"/>
  <c r="J45" i="7" s="1"/>
  <c r="F32" i="14"/>
  <c r="K32" i="14"/>
  <c r="J46" i="7" s="1"/>
  <c r="F20" i="14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F31" i="1"/>
  <c r="I31" i="14" s="1"/>
  <c r="I32" i="14"/>
  <c r="G20" i="5"/>
  <c r="H27" i="14" s="1"/>
  <c r="G21" i="5"/>
  <c r="H48" i="14" s="1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J65" i="7" s="1"/>
  <c r="K6" i="14"/>
  <c r="J66" i="7" s="1"/>
  <c r="K7" i="14"/>
  <c r="K8" i="14"/>
  <c r="K9" i="14"/>
  <c r="J9" i="7" s="1"/>
  <c r="K10" i="14"/>
  <c r="K11" i="14"/>
  <c r="K12" i="14"/>
  <c r="K13" i="14"/>
  <c r="J27" i="7" s="1"/>
  <c r="K14" i="14"/>
  <c r="J28" i="7" s="1"/>
  <c r="K15" i="14"/>
  <c r="J29" i="7" s="1"/>
  <c r="K16" i="14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I13" i="14" s="1"/>
  <c r="F16" i="1"/>
  <c r="I49" i="14" s="1"/>
  <c r="F15" i="1"/>
  <c r="I15" i="14" s="1"/>
  <c r="I16" i="14"/>
  <c r="F17" i="1"/>
  <c r="I17" i="14" s="1"/>
  <c r="F18" i="1"/>
  <c r="F19" i="1"/>
  <c r="I19" i="14" s="1"/>
  <c r="F20" i="1"/>
  <c r="E3" i="14"/>
  <c r="E4" i="14"/>
  <c r="E5" i="14"/>
  <c r="E6" i="14"/>
  <c r="F12" i="14"/>
  <c r="F13" i="14"/>
  <c r="H29" i="7"/>
  <c r="H30" i="7"/>
  <c r="H31" i="7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J12" i="7" l="1"/>
  <c r="J11" i="7"/>
  <c r="J8" i="7"/>
  <c r="J67" i="7"/>
  <c r="H7" i="7"/>
  <c r="H20" i="14"/>
  <c r="H30" i="14"/>
  <c r="I11" i="7"/>
  <c r="L15" i="14"/>
  <c r="L17" i="14"/>
  <c r="I41" i="7"/>
  <c r="L29" i="14"/>
  <c r="L30" i="14"/>
  <c r="I30" i="7"/>
  <c r="F36" i="14"/>
  <c r="F40" i="14"/>
  <c r="F42" i="14"/>
  <c r="F44" i="14"/>
  <c r="F49" i="14"/>
  <c r="H65" i="7"/>
  <c r="F34" i="14"/>
  <c r="F33" i="14"/>
  <c r="F35" i="14"/>
  <c r="F37" i="14"/>
  <c r="F39" i="14"/>
  <c r="F41" i="14"/>
  <c r="H21" i="7"/>
  <c r="H66" i="7"/>
  <c r="J30" i="7"/>
  <c r="J26" i="7"/>
  <c r="H20" i="7"/>
  <c r="L19" i="14"/>
  <c r="I33" i="7"/>
  <c r="H60" i="7"/>
  <c r="H13" i="7"/>
  <c r="H23" i="7"/>
  <c r="H26" i="7"/>
  <c r="H18" i="7"/>
  <c r="I12" i="7"/>
  <c r="H52" i="7"/>
  <c r="I17" i="7"/>
  <c r="H19" i="7"/>
  <c r="H14" i="7"/>
  <c r="F50" i="14"/>
  <c r="J57" i="7"/>
  <c r="J47" i="7"/>
  <c r="J53" i="7"/>
  <c r="J50" i="7"/>
  <c r="J54" i="7"/>
  <c r="J58" i="7"/>
  <c r="J48" i="7"/>
  <c r="J51" i="7"/>
  <c r="J55" i="7"/>
  <c r="J59" i="7"/>
  <c r="J62" i="7"/>
  <c r="J52" i="7"/>
  <c r="J56" i="7"/>
  <c r="J61" i="7"/>
  <c r="J63" i="7"/>
  <c r="J24" i="7"/>
  <c r="I43" i="14"/>
  <c r="I39" i="14"/>
  <c r="I20" i="14"/>
  <c r="I41" i="14"/>
  <c r="I8" i="14"/>
  <c r="I2" i="14"/>
  <c r="I28" i="14"/>
  <c r="H46" i="14"/>
  <c r="H50" i="14"/>
  <c r="H42" i="14"/>
  <c r="H49" i="14"/>
  <c r="H45" i="14"/>
  <c r="H47" i="14"/>
  <c r="H43" i="14"/>
  <c r="L25" i="14"/>
  <c r="H34" i="14"/>
  <c r="H39" i="14"/>
  <c r="H33" i="14"/>
  <c r="H36" i="14"/>
  <c r="H37" i="14"/>
  <c r="H38" i="14"/>
  <c r="H29" i="14"/>
  <c r="H40" i="14"/>
  <c r="H44" i="14"/>
  <c r="J3" i="7"/>
  <c r="J16" i="7"/>
  <c r="J18" i="7"/>
  <c r="J5" i="7"/>
  <c r="J20" i="7"/>
  <c r="J13" i="7"/>
  <c r="J17" i="7"/>
  <c r="J10" i="7"/>
  <c r="J2" i="7"/>
  <c r="J15" i="7"/>
  <c r="I23" i="14"/>
  <c r="I59" i="7"/>
  <c r="I18" i="14"/>
  <c r="I38" i="14"/>
  <c r="I36" i="14"/>
  <c r="I14" i="14"/>
  <c r="H4" i="7"/>
  <c r="F3" i="14"/>
  <c r="L16" i="14"/>
  <c r="H53" i="7"/>
  <c r="I5" i="14"/>
  <c r="H62" i="7"/>
  <c r="F17" i="14"/>
  <c r="L45" i="14"/>
  <c r="H44" i="7"/>
  <c r="H45" i="7"/>
  <c r="F16" i="14"/>
  <c r="I31" i="7"/>
  <c r="F4" i="14"/>
  <c r="H28" i="7"/>
  <c r="H63" i="7"/>
  <c r="I29" i="7"/>
  <c r="H46" i="7"/>
  <c r="F15" i="14"/>
  <c r="H59" i="7"/>
  <c r="H64" i="7"/>
  <c r="H27" i="7"/>
  <c r="H50" i="7"/>
  <c r="F48" i="14"/>
  <c r="F27" i="14"/>
  <c r="J14" i="7"/>
  <c r="H5" i="7"/>
  <c r="I43" i="7"/>
  <c r="I44" i="7"/>
  <c r="H6" i="7"/>
  <c r="J19" i="7"/>
  <c r="F5" i="14"/>
  <c r="H48" i="7"/>
  <c r="L11" i="14"/>
  <c r="H24" i="7"/>
  <c r="F2" i="14"/>
  <c r="F6" i="14"/>
  <c r="H3" i="7"/>
  <c r="H2" i="7"/>
  <c r="H57" i="7"/>
  <c r="L4" i="14"/>
  <c r="J23" i="7"/>
  <c r="H58" i="7"/>
  <c r="H56" i="7"/>
  <c r="H25" i="7"/>
  <c r="H55" i="7"/>
  <c r="L47" i="14"/>
  <c r="L49" i="14"/>
  <c r="L27" i="14"/>
  <c r="I46" i="7"/>
  <c r="L32" i="14"/>
  <c r="I45" i="7"/>
  <c r="L31" i="14"/>
  <c r="I27" i="7"/>
  <c r="F11" i="14"/>
  <c r="J25" i="7"/>
  <c r="J7" i="7"/>
  <c r="J4" i="7"/>
  <c r="J22" i="7"/>
  <c r="J21" i="7"/>
  <c r="I50" i="14"/>
  <c r="I44" i="14"/>
  <c r="I37" i="14"/>
  <c r="I48" i="14"/>
  <c r="I42" i="14"/>
  <c r="H47" i="7"/>
  <c r="I34" i="14"/>
  <c r="L13" i="14"/>
  <c r="H49" i="7"/>
  <c r="I46" i="14"/>
  <c r="I40" i="14"/>
  <c r="I33" i="14"/>
  <c r="I6" i="14"/>
  <c r="I3" i="14"/>
  <c r="I22" i="14"/>
  <c r="I21" i="14"/>
  <c r="H51" i="7"/>
  <c r="H54" i="7"/>
  <c r="H61" i="7"/>
  <c r="I7" i="7" l="1"/>
  <c r="K67" i="7" a="1"/>
  <c r="K67" i="7" s="1"/>
  <c r="I48" i="7"/>
  <c r="I61" i="7"/>
  <c r="L14" i="14"/>
  <c r="L41" i="14"/>
  <c r="I36" i="7"/>
  <c r="L36" i="14"/>
  <c r="I66" i="7"/>
  <c r="I65" i="7"/>
  <c r="L38" i="14"/>
  <c r="I6" i="7"/>
  <c r="I35" i="7"/>
  <c r="I47" i="7"/>
  <c r="I63" i="7"/>
  <c r="L18" i="14"/>
  <c r="I67" i="7"/>
  <c r="L43" i="14"/>
  <c r="K34" i="7" a="1"/>
  <c r="K34" i="7" s="1"/>
  <c r="K37" i="7" a="1"/>
  <c r="K37" i="7" s="1"/>
  <c r="K36" i="7" a="1"/>
  <c r="K36" i="7" s="1"/>
  <c r="K35" i="7" a="1"/>
  <c r="K35" i="7" s="1"/>
  <c r="K38" i="7" a="1"/>
  <c r="K38" i="7" s="1"/>
  <c r="I20" i="7"/>
  <c r="L23" i="14"/>
  <c r="I37" i="7"/>
  <c r="L28" i="14"/>
  <c r="I42" i="7"/>
  <c r="L20" i="14"/>
  <c r="I34" i="7"/>
  <c r="K12" i="7" a="1"/>
  <c r="K12" i="7" s="1"/>
  <c r="I14" i="7"/>
  <c r="I19" i="7"/>
  <c r="I18" i="7"/>
  <c r="I26" i="7"/>
  <c r="I23" i="7"/>
  <c r="I13" i="7"/>
  <c r="I8" i="7"/>
  <c r="I21" i="7"/>
  <c r="I16" i="7"/>
  <c r="I15" i="7"/>
  <c r="I22" i="7"/>
  <c r="L39" i="14"/>
  <c r="L8" i="14"/>
  <c r="I4" i="7"/>
  <c r="I2" i="7"/>
  <c r="I3" i="7"/>
  <c r="L2" i="14"/>
  <c r="I5" i="7"/>
  <c r="I28" i="7"/>
  <c r="K33" i="7" a="1"/>
  <c r="K33" i="7" s="1"/>
  <c r="K40" i="7" a="1"/>
  <c r="K40" i="7" s="1"/>
  <c r="I53" i="7"/>
  <c r="K44" i="7" a="1"/>
  <c r="K44" i="7" s="1"/>
  <c r="K17" i="7" a="1"/>
  <c r="K17" i="7" s="1"/>
  <c r="K10" i="7" a="1"/>
  <c r="K10" i="7" s="1"/>
  <c r="L15" i="7" a="1"/>
  <c r="L15" i="7" s="1"/>
  <c r="K18" i="7" a="1"/>
  <c r="K18" i="7" s="1"/>
  <c r="K39" i="7" a="1"/>
  <c r="K39" i="7" s="1"/>
  <c r="K41" i="7" a="1"/>
  <c r="K41" i="7" s="1"/>
  <c r="L16" i="7" a="1"/>
  <c r="L16" i="7" s="1"/>
  <c r="K11" i="7" a="1"/>
  <c r="K11" i="7" s="1"/>
  <c r="K8" i="7" a="1"/>
  <c r="K8" i="7" s="1"/>
  <c r="K9" i="7" a="1"/>
  <c r="K9" i="7" s="1"/>
  <c r="K45" i="7" a="1"/>
  <c r="K45" i="7" s="1"/>
  <c r="I32" i="7"/>
  <c r="L7" i="14"/>
  <c r="L5" i="14"/>
  <c r="I55" i="7"/>
  <c r="I51" i="7"/>
  <c r="L21" i="14"/>
  <c r="L22" i="14"/>
  <c r="L3" i="14"/>
  <c r="L6" i="14"/>
  <c r="I25" i="7"/>
  <c r="I24" i="7"/>
  <c r="I54" i="7"/>
  <c r="I56" i="7"/>
  <c r="L33" i="14"/>
  <c r="L40" i="14"/>
  <c r="L46" i="14"/>
  <c r="I62" i="7"/>
  <c r="I57" i="7"/>
  <c r="I50" i="7"/>
  <c r="I49" i="7"/>
  <c r="I52" i="7"/>
  <c r="L34" i="14"/>
  <c r="I64" i="7"/>
  <c r="I58" i="7"/>
  <c r="L35" i="14"/>
  <c r="L42" i="14"/>
  <c r="L48" i="14"/>
  <c r="I60" i="7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<sst xmlns="http://schemas.openxmlformats.org/spreadsheetml/2006/main" count="476" uniqueCount="369">
  <si>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</si>
  <si>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</si>
  <si>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</si>
  <si>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</si>
  <si>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</si>
  <si>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</si>
  <si>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</si>
  <si>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</si>
  <si>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</si>
  <si>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</si>
  <si>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</si>
  <si>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</si>
  <si>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</si>
  <si>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</si>
  <si>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</si>
  <si>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</si>
  <si>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</si>
  <si>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</si>
  <si>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</si>
  <si>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</si>
  <si>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</si>
  <si>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</si>
  <si>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</si>
  <si>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</si>
  <si>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</si>
  <si>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</si>
  <si>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</si>
  <si>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</si>
  <si>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</si>
  <si>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</si>
  <si>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</si>
  <si>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</si>
  <si>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</si>
  <si>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</si>
  <si>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</si>
  <si>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</si>
  <si>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</si>
  <si>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</si>
  <si>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</si>
  <si>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</si>
  <si>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</si>
  <si>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</si>
  <si>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</si>
  <si>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</si>
  <si>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</si>
  <si>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</si>
  <si>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</si>
  <si>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</si>
  <si>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</si>
  <si>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</si>
  <si>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</si>
  <si>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</si>
  <si>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</si>
  <si>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</si>
  <si>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</si>
  <si>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</si>
  <si>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</si>
  <si>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</si>
  <si>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</si>
  <si>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</si>
  <si>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</si>
  <si>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</si>
  <si>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</si>
  <si>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</si>
  <si>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</si>
  <si>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</si>
  <si>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</si>
  <si>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</si>
  <si>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</si>
  <si>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</si>
  <si>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</si>
  <si>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</si>
  <si>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</si>
  <si>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</si>
  <si>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</si>
  <si>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</si>
  <si>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</si>
  <si>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</si>
  <si>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</si>
  <si>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</si>
  <si>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</si>
  <si>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</si>
  <si>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</si>
  <si>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</si>
  <si>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</si>
  <si>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</si>
  <si>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</si>
  <si>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</si>
  <si>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</si>
  <si>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</si>
  <si>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</si>
  <si>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</si>
  <si>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</si>
  <si>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</si>
  <si>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</si>
  <si>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</si>
  <si>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</si>
  <si>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</si>
  <si>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</si>
  <si>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</si>
  <si>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</si>
  <si>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</si>
  <si>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</si>
  <si>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</si>
  <si>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</si>
  <si>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</si>
  <si>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</si>
  <si>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</si>
  <si>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</si>
  <si>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</si>
  <si>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</si>
  <si>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</si>
  <si>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</si>
  <si>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</si>
  <si>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</si>
  <si>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</si>
  <si>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</si>
  <si>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</si>
  <si>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</si>
  <si>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</si>
  <si>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</si>
  <si>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</si>
  <si>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</si>
  <si>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</si>
  <si>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</si>
  <si>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</si>
  <si>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</si>
  <si>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</si>
  <si>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</si>
  <si>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</si>
  <si>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</si>
  <si>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</si>
  <si>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</si>
  <si>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</si>
  <si>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</si>
  <si>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</si>
  <si>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</si>
  <si>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</si>
  <si>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</si>
  <si>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</si>
  <si>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</si>
  <si>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</si>
  <si>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</si>
  <si>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</si>
  <si>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</si>
  <si>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</si>
  <si>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</si>
  <si>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</si>
  <si>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</si>
  <si>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</si>
  <si>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</si>
  <si>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</si>
  <si>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</si>
  <si>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</si>
  <si>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</si>
  <si>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</si>
  <si>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</si>
  <si>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</si>
  <si>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</si>
  <si>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</si>
  <si>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</si>
  <si>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</si>
  <si>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</si>
  <si>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</si>
  <si>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</si>
  <si>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</si>
  <si>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</si>
  <si>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</si>
  <si>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</si>
  <si>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</si>
  <si>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</si>
  <si>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</si>
  <si>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</si>
  <si>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</si>
  <si>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</si>
  <si>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</si>
  <si>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</si>
  <si>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</si>
  <si>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</si>
  <si>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</si>
  <si>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</si>
  <si>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</si>
  <si>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</si>
  <si>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</si>
  <si>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</si>
  <si>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</si>
  <si>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</si>
  <si>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</si>
  <si>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</si>
  <si>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</si>
  <si>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</si>
  <si>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</si>
  <si>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</si>
  <si>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</si>
  <si>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</si>
  <si>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</si>
  <si>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</si>
  <si>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</si>
  <si>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</si>
  <si>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</si>
  <si>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</si>
  <si>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</si>
  <si>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</si>
  <si>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</si>
  <si>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</si>
  <si>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</si>
  <si>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</si>
  <si>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</si>
  <si>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</si>
  <si>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</si>
  <si>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</si>
  <si>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</si>
  <si>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</si>
  <si>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</si>
  <si>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</si>
  <si>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</si>
  <si>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</si>
  <si>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</si>
  <si>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1,1,20,2,20,3,10,4,10</t>
    <phoneticPr fontId="1" type="noConversion"/>
  </si>
  <si>
    <t>1,1,20,2,20,3,10,4,10,5,5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</si>
  <si>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</si>
  <si>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</si>
  <si>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</si>
  <si>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</si>
  <si>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</si>
  <si>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</si>
  <si>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</si>
  <si>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</si>
  <si>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</si>
  <si>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</si>
  <si>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</si>
  <si>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</si>
  <si>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</si>
  <si>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</si>
  <si>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</si>
  <si>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</si>
  <si>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</si>
  <si>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</si>
  <si>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</si>
  <si>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</si>
  <si>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</si>
  <si>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</si>
  <si>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</si>
  <si>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</si>
  <si>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</si>
  <si>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</si>
  <si>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</si>
  <si>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</si>
  <si>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fish_3d_yutu_random_1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</si>
  <si>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</si>
  <si>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</si>
  <si>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</si>
  <si>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</si>
  <si>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</si>
  <si>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</si>
  <si>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</si>
  <si>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</si>
  <si>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</si>
  <si>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</si>
  <si>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</si>
  <si>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</si>
  <si>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</si>
  <si>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</si>
  <si>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</si>
  <si>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</si>
  <si>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</si>
  <si>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</si>
  <si>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</si>
  <si>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</si>
  <si>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</si>
  <si>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</si>
  <si>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</si>
  <si>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</si>
  <si>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</si>
  <si>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</si>
  <si>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</si>
  <si>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</si>
  <si>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</si>
  <si>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</si>
  <si>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</si>
  <si>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</si>
  <si>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</si>
  <si>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</si>
  <si>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</si>
  <si>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</si>
  <si>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</si>
  <si>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</si>
  <si>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</si>
  <si>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</si>
  <si>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</si>
  <si>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</si>
  <si>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</si>
  <si>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</si>
  <si>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</si>
  <si>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</si>
  <si>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</si>
  <si>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</si>
  <si>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</si>
  <si>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</si>
  <si>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</si>
  <si>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</si>
  <si>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</si>
  <si>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</si>
  <si>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12,12,12,12,12,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</si>
  <si>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</si>
  <si>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</si>
  <si>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</si>
  <si>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</si>
  <si>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</si>
  <si>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</si>
  <si>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</si>
  <si>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</si>
  <si>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</si>
  <si>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</si>
  <si>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</si>
  <si>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</si>
  <si>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</si>
  <si>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</si>
  <si>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</si>
  <si>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</si>
  <si>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</si>
  <si>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</si>
  <si>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</si>
  <si>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</si>
  <si>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</si>
  <si>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</si>
  <si>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34,35,36,37,38,39,40,41,</t>
    <phoneticPr fontId="1" type="noConversion"/>
  </si>
  <si>
    <t>fish_3d_yutu_gd_smallboss</t>
    <phoneticPr fontId="1" type="noConversion"/>
  </si>
  <si>
    <t>guding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</si>
  <si>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</si>
  <si>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</si>
  <si>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</si>
  <si>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</si>
  <si>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</si>
  <si>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</si>
  <si>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</si>
  <si>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</si>
  <si>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</si>
  <si>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</si>
  <si>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</si>
  <si>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</si>
  <si>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</si>
  <si>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</si>
  <si>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</si>
  <si>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</si>
  <si>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</si>
  <si>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</si>
  <si>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</si>
  <si>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</si>
  <si>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</si>
  <si>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</si>
  <si>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</si>
  <si>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</si>
  <si>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</si>
  <si>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</si>
  <si>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</si>
  <si>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</si>
  <si>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</si>
  <si>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</si>
  <si>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</si>
  <si>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</si>
  <si>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</si>
  <si>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</si>
  <si>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</si>
  <si>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1,0,10,</t>
    <phoneticPr fontId="1" type="noConversion"/>
  </si>
  <si>
    <t>彩贝</t>
    <phoneticPr fontId="1" type="noConversion"/>
  </si>
  <si>
    <t>彩贝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</si>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</sst>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2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E9" sqref="E9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24</v>
      </c>
      <c r="B1" s="1" t="s">
        <v>25</v>
      </c>
      <c r="C1" s="1" t="s">
        <v>26</v>
      </c>
      <c r="D1" s="1" t="s">
        <v>27</v>
      </c>
      <c r="E1" s="1" t="s">
        <v>74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75</v>
      </c>
      <c r="B1" s="2" t="s">
        <v>76</v>
      </c>
      <c r="C1" s="2" t="s">
        <v>77</v>
      </c>
      <c r="D1" s="2" t="s">
        <v>78</v>
      </c>
      <c r="E1" s="2" t="s">
        <v>79</v>
      </c>
      <c r="F1" s="2" t="s">
        <v>80</v>
      </c>
      <c r="G1" s="2" t="s">
        <v>81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B2" sqref="B2:G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19</v>
      </c>
      <c r="B1" s="1" t="s">
        <v>120</v>
      </c>
      <c r="C1" s="1" t="s">
        <v>123</v>
      </c>
      <c r="D1" s="1" t="s">
        <v>124</v>
      </c>
      <c r="E1" s="1" t="s">
        <v>131</v>
      </c>
      <c r="F1" s="1" t="s">
        <v>132</v>
      </c>
      <c r="G1" s="1" t="s">
        <v>130</v>
      </c>
    </row>
    <row r="2" spans="1:7" x14ac:dyDescent="0.2">
      <c r="A2" s="2">
        <v>1</v>
      </c>
      <c r="B2" s="2" t="s">
        <v>128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129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247</v>
      </c>
      <c r="C4" s="2">
        <v>2</v>
      </c>
      <c r="D4" s="2">
        <v>2</v>
      </c>
      <c r="E4" s="2">
        <v>9999999999</v>
      </c>
      <c r="F4" s="2">
        <v>1</v>
      </c>
      <c r="G4" s="2">
        <v>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"/>
  <sheetViews>
    <sheetView workbookViewId="0">
      <selection activeCell="G33" sqref="G33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19</v>
      </c>
      <c r="B1" s="1" t="s">
        <v>119</v>
      </c>
      <c r="C1" s="1" t="s">
        <v>228</v>
      </c>
      <c r="D1" s="1" t="s">
        <v>120</v>
      </c>
      <c r="E1" s="1" t="s">
        <v>121</v>
      </c>
      <c r="F1" s="1" t="s">
        <v>122</v>
      </c>
      <c r="G1" s="1" t="s">
        <v>123</v>
      </c>
      <c r="H1" s="1" t="s">
        <v>125</v>
      </c>
      <c r="I1" s="1" t="s">
        <v>126</v>
      </c>
      <c r="J1" s="1" t="s">
        <v>132</v>
      </c>
      <c r="K1" s="1" t="s">
        <v>127</v>
      </c>
      <c r="L1" s="8" t="s">
        <v>230</v>
      </c>
      <c r="M1" s="8" t="s">
        <v>242</v>
      </c>
    </row>
    <row r="2" spans="1:13" x14ac:dyDescent="0.2">
      <c r="A2" s="2">
        <v>1</v>
      </c>
      <c r="B2" s="2" t="s">
        <v>248</v>
      </c>
      <c r="C2" s="2">
        <v>1</v>
      </c>
      <c r="D2" t="s">
        <v>128</v>
      </c>
      <c r="E2" s="2">
        <v>3000</v>
      </c>
      <c r="F2" s="2">
        <v>4800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>
        <v>9</v>
      </c>
    </row>
    <row r="3" spans="1:13" x14ac:dyDescent="0.2">
      <c r="A3" s="2">
        <v>2</v>
      </c>
      <c r="B3" s="2" t="s">
        <v>231</v>
      </c>
      <c r="C3" s="2">
        <v>1</v>
      </c>
      <c r="D3" t="s">
        <v>229</v>
      </c>
      <c r="E3" s="2">
        <v>550</v>
      </c>
      <c r="F3" s="2">
        <v>550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231</v>
      </c>
      <c r="C4" s="2">
        <v>2</v>
      </c>
      <c r="D4" t="s">
        <v>129</v>
      </c>
      <c r="E4" s="2">
        <v>550</v>
      </c>
      <c r="F4" s="2">
        <v>550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231</v>
      </c>
      <c r="C5" s="2">
        <v>3</v>
      </c>
      <c r="D5" t="s">
        <v>129</v>
      </c>
      <c r="E5" s="2">
        <v>550</v>
      </c>
      <c r="F5" s="2">
        <v>550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231</v>
      </c>
      <c r="C6" s="2">
        <v>4</v>
      </c>
      <c r="D6" t="s">
        <v>129</v>
      </c>
      <c r="E6" s="2">
        <v>550</v>
      </c>
      <c r="F6" s="2">
        <v>550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231</v>
      </c>
      <c r="C7" s="2">
        <v>5</v>
      </c>
      <c r="D7" t="s">
        <v>129</v>
      </c>
      <c r="E7" s="2">
        <v>650</v>
      </c>
      <c r="F7" s="2">
        <v>650</v>
      </c>
      <c r="G7" s="2">
        <v>1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231</v>
      </c>
      <c r="C8" s="2">
        <v>6</v>
      </c>
      <c r="D8" t="s">
        <v>129</v>
      </c>
      <c r="E8" s="2">
        <v>600</v>
      </c>
      <c r="F8" s="2">
        <v>600</v>
      </c>
      <c r="G8" s="2">
        <v>1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231</v>
      </c>
      <c r="C9" s="2">
        <v>7</v>
      </c>
      <c r="D9" t="s">
        <v>129</v>
      </c>
      <c r="E9" s="2">
        <v>300</v>
      </c>
      <c r="F9" s="2">
        <v>300</v>
      </c>
      <c r="G9" s="2">
        <v>1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327</v>
      </c>
      <c r="C10" s="2">
        <v>1</v>
      </c>
      <c r="D10" t="s">
        <v>328</v>
      </c>
      <c r="E10" s="2">
        <v>1200</v>
      </c>
      <c r="F10" s="2">
        <v>1200</v>
      </c>
      <c r="G10" s="2">
        <v>9999999</v>
      </c>
      <c r="H10" s="2">
        <v>9999999</v>
      </c>
      <c r="I10" s="2">
        <v>9999999</v>
      </c>
      <c r="J10" s="2">
        <v>9999999</v>
      </c>
      <c r="K10" s="2">
        <v>0</v>
      </c>
      <c r="L10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0" activePane="bottomLeft" state="frozen"/>
      <selection pane="bottomLeft" activeCell="F52" sqref="F5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290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285</v>
      </c>
      <c r="H1" s="1" t="s">
        <v>108</v>
      </c>
      <c r="I1" s="1" t="s">
        <v>114</v>
      </c>
      <c r="J1" s="9" t="s">
        <v>112</v>
      </c>
      <c r="K1" s="1" t="s">
        <v>83</v>
      </c>
      <c r="L1" s="1" t="s">
        <v>55</v>
      </c>
      <c r="Q1" s="1" t="s">
        <v>56</v>
      </c>
      <c r="R1" s="1" t="s">
        <v>56</v>
      </c>
      <c r="S1" s="1" t="s">
        <v>56</v>
      </c>
      <c r="T1" s="1" t="s">
        <v>56</v>
      </c>
      <c r="U1" s="1" t="s">
        <v>56</v>
      </c>
      <c r="V1" s="1" t="s">
        <v>56</v>
      </c>
      <c r="W1" s="1" t="s">
        <v>56</v>
      </c>
    </row>
    <row r="2" spans="1:23" s="29" customFormat="1" x14ac:dyDescent="0.2">
      <c r="A2" s="29">
        <v>1</v>
      </c>
      <c r="B2" s="29">
        <v>1</v>
      </c>
      <c r="C2" s="29" t="s">
        <v>305</v>
      </c>
      <c r="D2" s="29" t="s">
        <v>169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67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306</v>
      </c>
      <c r="D3" s="29" t="s">
        <v>169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282</v>
      </c>
      <c r="D4" s="29" t="s">
        <v>169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239</v>
      </c>
      <c r="D5" s="29" t="s">
        <v>169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240</v>
      </c>
      <c r="D6" s="29" t="s">
        <v>169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339</v>
      </c>
      <c r="G7" s="45" t="s">
        <v>340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341</v>
      </c>
      <c r="G8" s="45" t="s">
        <v>342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INDEX(use_fish!A:A,SMALL(IF(group!$L$2&amp;IF(ISBLANK($L$14),$L$14,"+"&amp;$L$14)=use_fish!H:H,ROW(use_fish!H:H),4^8),ROW(16:16)))&amp;""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170</v>
      </c>
      <c r="D9" s="29" t="s">
        <v>301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INDEX(use_fish!A:A,SMALL(IF(group!$L$2&amp;IF(ISBLANK($L$14),$L$14,"+"&amp;$L$14)=use_fish!H:H,ROW(use_fish!H:H),4^8),ROW(17:17)))&amp;""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289</v>
      </c>
      <c r="D10" s="29" t="s">
        <v>169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INDEX(use_fish!A:A,SMALL(IF(group!$L$2&amp;IF(ISBLANK($L$14),$L$14,"+"&amp;$L$14)=use_fish!H:H,ROW(use_fish!H:H),4^8),ROW(18:18)))&amp;""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43</v>
      </c>
      <c r="D11" s="29" t="s">
        <v>170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INDEX(use_fish!A:A,SMALL(IF(group!$L$2&amp;IF(ISBLANK($L$14),$L$14,"+"&amp;$L$14)=use_fish!H:H,ROW(use_fish!H:H),4^8),ROW(8:8)))&amp;""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284</v>
      </c>
      <c r="D12" s="29" t="s">
        <v>169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INDEX(use_fish!A:A,SMALL(IF(group!$L$2&amp;IF(ISBLANK($L$14),$L$14,"+"&amp;$L$14)=use_fish!H:H,ROW(use_fish!H:H),4^8),ROW(9:9)))&amp;""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188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212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115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283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INDEX(use_fish!A:A,SMALL(IF(group!$L$2&amp;IF(ISBLANK($L$14),$L$14,"+"&amp;$L$14)=use_fish!H:H,ROW(use_fish!H:H),4^8),ROW(1:1)))&amp;""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213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INDEX(use_fish!A:A,SMALL(IF(group!$L$2&amp;IF(ISBLANK($L$14),$L$14,"+"&amp;$L$14)=use_fish!H:H,ROW(use_fish!H:H),4^8),ROW(2:2)))&amp;""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214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INDEX(use_fish!A:A,SMALL(IF(group!$L$2&amp;IF(ISBLANK($L$14),$L$14,"+"&amp;$L$14)=use_fish!H:H,ROW(use_fish!H:H),4^8),ROW(14:14)))&amp;""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215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INDEX(use_fish!A:A,SMALL(IF(group!$L$2&amp;IF(ISBLANK($L$14),$L$14,"+"&amp;$L$14)=use_fish!H:H,ROW(use_fish!H:H),4^8),ROW(15:15)))&amp;""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294</v>
      </c>
      <c r="G19" s="41" t="s">
        <v>190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293</v>
      </c>
      <c r="G20" s="41" t="s">
        <v>191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292</v>
      </c>
      <c r="G21" s="41" t="s">
        <v>189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291</v>
      </c>
      <c r="G22" s="41" t="s">
        <v>233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295</v>
      </c>
      <c r="G23" s="21" t="s">
        <v>299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296</v>
      </c>
      <c r="G24" s="21" t="s">
        <v>192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297</v>
      </c>
      <c r="G25" s="21" t="s">
        <v>193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298</v>
      </c>
      <c r="G26" s="21" t="s">
        <v>193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303</v>
      </c>
      <c r="G27" s="41" t="s">
        <v>304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302</v>
      </c>
      <c r="G28" s="41" t="s">
        <v>307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171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172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173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174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175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41" t="str">
        <f t="array" ref="K33">INDEX(use_fish!A:A,SMALL(IF(group!$L$2&amp;IF(ISBLANK($L$14),$L$14,"+"&amp;$L$14)=use_fish!H:H,ROW(use_fish!H:H),4^8),ROW(10:10)))&amp;""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176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41" t="str">
        <f t="array" ref="K34">INDEX(use_fish!A:A,SMALL(IF(group!$L$2&amp;IF(ISBLANK($L$14),$L$14,"+"&amp;$L$14)=use_fish!H:H,ROW(use_fish!H:H),4^8),ROW(11:11)))&amp;""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177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21" t="str">
        <f t="array" ref="K35">INDEX(use_fish!A:A,SMALL(IF(group!$L$2&amp;IF(ISBLANK($L$14),$L$14,"+"&amp;$L$14)=use_fish!H:H,ROW(use_fish!H:H),4^8),ROW(12:12)))&amp;""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178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21" t="str">
        <f t="array" ref="K36">INDEX(use_fish!A:A,SMALL(IF(group!$L$2&amp;IF(ISBLANK($L$14),$L$14,"+"&amp;$L$14)=use_fish!H:H,ROW(use_fish!H:H),4^8),ROW(13:13)))&amp;""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179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21" t="str">
        <f t="array" ref="K37">INDEX(use_fish!A:A,SMALL(IF(group!$L$2&amp;IF(ISBLANK($L$14),$L$14,"+"&amp;$L$14)=use_fish!H:H,ROW(use_fish!H:H),4^8),ROW(14:14)))&amp;""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180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21" t="str">
        <f t="array" ref="K38">INDEX(use_fish!A:A,SMALL(IF(group!$L$2&amp;IF(ISBLANK($L$14),$L$14,"+"&amp;$L$14)=use_fish!H:H,ROW(use_fish!H:H),4^8),ROW(15:15)))&amp;""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181</v>
      </c>
      <c r="H39" s="19" t="s">
        <v>279</v>
      </c>
      <c r="I39" s="19" t="s">
        <v>280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21" t="str">
        <f t="array" ref="K39">INDEX(use_fish!A:A,SMALL(IF(group!$L$2&amp;IF(ISBLANK($L$14),$L$14,"+"&amp;$L$14)=use_fish!H:H,ROW(use_fish!H:H),4^8),ROW(36:36)))&amp;""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182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21" t="str">
        <f t="array" ref="K40">INDEX(use_fish!A:A,SMALL(IF(group!$L$2&amp;IF(ISBLANK($L$14),$L$14,"+"&amp;$L$14)=use_fish!H:H,ROW(use_fish!H:H),4^8),ROW(37:37)))&amp;""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183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21" t="str">
        <f t="array" ref="K41">INDEX(use_fish!A:A,SMALL(IF(group!$L$2&amp;IF(ISBLANK($L$14),$L$14,"+"&amp;$L$14)=use_fish!H:H,ROW(use_fish!H:H),4^8),ROW(38:38)))&amp;""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187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184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185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4" t="str">
        <f t="array" ref="K44">INDEX(use_fish!A:A,SMALL(IF(group!$L$2&amp;IF(ISBLANK($L$14),$L$14,"+"&amp;$L$14)=use_fish!H:H,ROW(use_fish!H:H),4^8),ROW(41:41)))&amp;""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186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4" t="str">
        <f t="array" ref="K45">INDEX(use_fish!A:A,SMALL(IF(group!$L$2&amp;IF(ISBLANK($L$14),$L$14,"+"&amp;$L$14)=use_fish!H:H,ROW(use_fish!H:H),4^8),ROW(42:42)))&amp;""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195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194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196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197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198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199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200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201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202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203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204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205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206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207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208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300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209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210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211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344</v>
      </c>
      <c r="G65" s="45" t="s">
        <v>349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345</v>
      </c>
      <c r="G66" s="45" t="s">
        <v>348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346</v>
      </c>
      <c r="G67" s="46" t="s">
        <v>347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9" t="str">
        <f t="array" ref="K67">INDEX(use_fish!A:A,SMALL(IF(group!$L$2&amp;IF(ISBLANK($L$14),$L$14,"+"&amp;$L$14)=use_fish!H:H,ROW(use_fish!H:H),4^8),ROW(69:69)))&amp;""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11" activePane="bottomLeft" state="frozen"/>
      <selection pane="bottomLeft" activeCell="I35" sqref="I35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232</v>
      </c>
      <c r="C1" s="1" t="s">
        <v>16</v>
      </c>
      <c r="D1" s="1" t="s">
        <v>313</v>
      </c>
      <c r="E1" s="1" t="s">
        <v>104</v>
      </c>
      <c r="F1" s="1" t="s">
        <v>0</v>
      </c>
      <c r="G1" s="1" t="s">
        <v>23</v>
      </c>
      <c r="H1" s="1" t="s">
        <v>18</v>
      </c>
      <c r="I1" s="8" t="s">
        <v>110</v>
      </c>
      <c r="J1" s="8" t="s">
        <v>105</v>
      </c>
      <c r="K1" s="8" t="s">
        <v>113</v>
      </c>
      <c r="L1" s="8" t="s">
        <v>133</v>
      </c>
      <c r="M1" s="8" t="s">
        <v>134</v>
      </c>
      <c r="N1" s="8" t="s">
        <v>220</v>
      </c>
      <c r="O1" s="8" t="s">
        <v>230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22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22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7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22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22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22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f>LOOKUP(use_fish!B7,base_fish!A:A,base_fish!C:C)+_xlfn.IFNA(INDEX(activity!F:F,MATCH(use_fish!C7,activity!A:A,0)),0)</f>
        <v>6</v>
      </c>
      <c r="F7" s="27">
        <f t="shared" si="2"/>
        <v>0.16666666666666666</v>
      </c>
      <c r="G7" s="27" t="s">
        <v>22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22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22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22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22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22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f t="shared" si="1"/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22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f t="shared" si="1"/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22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f t="shared" si="1"/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22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f t="shared" si="1"/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22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f t="shared" si="1"/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22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f t="shared" si="1"/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22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22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22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317</v>
      </c>
      <c r="E21" s="19">
        <v>63</v>
      </c>
      <c r="F21" s="19">
        <f t="shared" si="3"/>
        <v>1.5873015873015872E-2</v>
      </c>
      <c r="G21" s="19" t="s">
        <v>22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3"/>
        <v>1.1904761904761904E-2</v>
      </c>
      <c r="G22" s="19" t="s">
        <v>22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350</v>
      </c>
      <c r="E23" s="19">
        <v>63</v>
      </c>
      <c r="F23" s="19">
        <f t="shared" si="3"/>
        <v>1.5873015873015872E-2</v>
      </c>
      <c r="G23" s="19" t="s">
        <v>22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351</v>
      </c>
      <c r="E24" s="19">
        <v>105</v>
      </c>
      <c r="F24" s="19">
        <f t="shared" si="3"/>
        <v>9.5238095238095247E-3</v>
      </c>
      <c r="G24" s="19" t="s">
        <v>22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367</v>
      </c>
      <c r="F25" s="19" t="s">
        <v>368</v>
      </c>
      <c r="G25" s="19" t="s">
        <v>22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279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317</v>
      </c>
      <c r="E26" s="19">
        <v>84</v>
      </c>
      <c r="F26" s="19">
        <f t="shared" si="3"/>
        <v>1.1904761904761904E-2</v>
      </c>
      <c r="G26" s="19" t="s">
        <v>22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317</v>
      </c>
      <c r="E27" s="19">
        <v>105</v>
      </c>
      <c r="F27" s="19">
        <f t="shared" si="3"/>
        <v>9.5238095238095247E-3</v>
      </c>
      <c r="G27" s="19" t="s">
        <v>22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352</v>
      </c>
      <c r="E28" s="19">
        <v>105</v>
      </c>
      <c r="F28" s="19">
        <f t="shared" si="3"/>
        <v>9.5238095238095247E-3</v>
      </c>
      <c r="G28" s="19" t="s">
        <v>22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22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22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22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22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7">1/E33</f>
        <v>3.3333333333333335E-3</v>
      </c>
      <c r="G33" s="23" t="s">
        <v>22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8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22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22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8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22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22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22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329</v>
      </c>
      <c r="E39" s="32">
        <f>LOOKUP(use_fish!B39,base_fish!A:A,base_fish!C:C)+_xlfn.IFNA(INDEX(activity!F:F,MATCH(use_fish!C39,activity!A:A,0)),0)</f>
        <v>100</v>
      </c>
      <c r="F39" s="32">
        <f t="shared" si="7"/>
        <v>0.01</v>
      </c>
      <c r="G39" s="32" t="s">
        <v>22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1</v>
      </c>
      <c r="K39" s="31">
        <f>LOOKUP(use_fish!B39,base_fish!A:A,base_fish!G:G)</f>
        <v>0</v>
      </c>
      <c r="L39" s="31">
        <f t="shared" si="8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353</v>
      </c>
      <c r="E40" s="32">
        <f>LOOKUP(use_fish!B40,base_fish!A:A,base_fish!C:C)+_xlfn.IFNA(INDEX(activity!F:F,MATCH(use_fish!C40,activity!A:A,0)),0)</f>
        <v>100</v>
      </c>
      <c r="F40" s="32">
        <f t="shared" ref="F40:F44" si="9">1/E40</f>
        <v>0.01</v>
      </c>
      <c r="G40" s="32" t="s">
        <v>22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354</v>
      </c>
      <c r="E41" s="32">
        <f>LOOKUP(use_fish!B41,base_fish!A:A,base_fish!C:C)+_xlfn.IFNA(INDEX(activity!F:F,MATCH(use_fish!C41,activity!A:A,0)),0)</f>
        <v>300</v>
      </c>
      <c r="F41" s="32">
        <f t="shared" si="9"/>
        <v>3.3333333333333335E-3</v>
      </c>
      <c r="G41" s="32" t="s">
        <v>22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0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353</v>
      </c>
      <c r="E42" s="32">
        <f>LOOKUP(use_fish!B42,base_fish!A:A,base_fish!C:C)+_xlfn.IFNA(INDEX(activity!F:F,MATCH(use_fish!C42,activity!A:A,0)),0)</f>
        <v>200</v>
      </c>
      <c r="F42" s="32">
        <f t="shared" si="9"/>
        <v>5.0000000000000001E-3</v>
      </c>
      <c r="G42" s="32" t="s">
        <v>22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0"/>
        <v>200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48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22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10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355</v>
      </c>
      <c r="E44" s="32">
        <f>LOOKUP(use_fish!B44,base_fish!A:A,base_fish!C:C)+_xlfn.IFNA(INDEX(activity!F:F,MATCH(use_fish!C44,activity!A:A,0)),0)</f>
        <v>200</v>
      </c>
      <c r="F44" s="32">
        <f t="shared" si="9"/>
        <v>5.0000000000000001E-3</v>
      </c>
      <c r="G44" s="32" t="s">
        <v>22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0"/>
        <v>200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22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1</v>
      </c>
      <c r="K45" s="51">
        <f>LOOKUP(use_fish!B45,base_fish!A:A,base_fish!G:G)</f>
        <v>0</v>
      </c>
      <c r="L45" s="51">
        <f t="shared" si="10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22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1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356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22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358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22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359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22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360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22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22</v>
      </c>
      <c r="H51" s="35" t="s">
        <v>318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4" workbookViewId="0">
      <selection activeCell="F26" sqref="F26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135</v>
      </c>
      <c r="F1" s="1" t="s">
        <v>33</v>
      </c>
      <c r="G1" s="1" t="s">
        <v>45</v>
      </c>
      <c r="H1" s="1" t="s">
        <v>2</v>
      </c>
      <c r="I1" s="1" t="s">
        <v>2</v>
      </c>
      <c r="K1" s="1" t="s">
        <v>61</v>
      </c>
    </row>
    <row r="2" spans="1:11" x14ac:dyDescent="0.2">
      <c r="A2">
        <v>1</v>
      </c>
      <c r="B2">
        <v>1</v>
      </c>
      <c r="C2" t="s">
        <v>69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46</v>
      </c>
      <c r="K2" t="s">
        <v>82</v>
      </c>
    </row>
    <row r="3" spans="1:11" x14ac:dyDescent="0.2">
      <c r="A3">
        <v>2</v>
      </c>
      <c r="B3">
        <v>2</v>
      </c>
      <c r="C3" t="s">
        <v>72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47</v>
      </c>
      <c r="K3" s="6">
        <v>0.1</v>
      </c>
    </row>
    <row r="4" spans="1:11" x14ac:dyDescent="0.2">
      <c r="A4">
        <v>3</v>
      </c>
      <c r="B4">
        <v>3</v>
      </c>
      <c r="C4" t="s">
        <v>72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48</v>
      </c>
    </row>
    <row r="5" spans="1:11" x14ac:dyDescent="0.2">
      <c r="A5">
        <v>4</v>
      </c>
      <c r="B5">
        <v>4</v>
      </c>
      <c r="C5" t="s">
        <v>58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49</v>
      </c>
    </row>
    <row r="6" spans="1:11" x14ac:dyDescent="0.2">
      <c r="A6">
        <v>5</v>
      </c>
      <c r="B6">
        <v>5</v>
      </c>
      <c r="C6" t="s">
        <v>59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50</v>
      </c>
    </row>
    <row r="7" spans="1:11" x14ac:dyDescent="0.2">
      <c r="A7">
        <v>6</v>
      </c>
      <c r="B7">
        <v>4</v>
      </c>
      <c r="C7" t="s">
        <v>186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51</v>
      </c>
    </row>
    <row r="8" spans="1:11" x14ac:dyDescent="0.2">
      <c r="A8">
        <v>7</v>
      </c>
      <c r="B8">
        <v>1</v>
      </c>
      <c r="C8" t="s">
        <v>57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52</v>
      </c>
    </row>
    <row r="9" spans="1:11" x14ac:dyDescent="0.2">
      <c r="A9">
        <v>8</v>
      </c>
      <c r="B9">
        <v>4</v>
      </c>
      <c r="C9" t="s">
        <v>343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53</v>
      </c>
    </row>
    <row r="10" spans="1:11" x14ac:dyDescent="0.2">
      <c r="A10">
        <v>9</v>
      </c>
      <c r="B10">
        <v>5</v>
      </c>
      <c r="C10" t="s">
        <v>70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102</v>
      </c>
    </row>
    <row r="11" spans="1:11" x14ac:dyDescent="0.2">
      <c r="A11">
        <v>10</v>
      </c>
      <c r="B11">
        <v>5</v>
      </c>
      <c r="C11" t="s">
        <v>286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316</v>
      </c>
    </row>
    <row r="12" spans="1:11" x14ac:dyDescent="0.2">
      <c r="A12">
        <v>11</v>
      </c>
      <c r="B12">
        <v>7</v>
      </c>
      <c r="C12" t="s">
        <v>44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109</v>
      </c>
    </row>
    <row r="13" spans="1:11" x14ac:dyDescent="0.2">
      <c r="A13">
        <v>12</v>
      </c>
      <c r="B13">
        <v>7</v>
      </c>
      <c r="C13" t="s">
        <v>54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148</v>
      </c>
    </row>
    <row r="14" spans="1:11" x14ac:dyDescent="0.2">
      <c r="A14">
        <v>13</v>
      </c>
      <c r="B14">
        <v>8</v>
      </c>
      <c r="C14" t="s">
        <v>43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149</v>
      </c>
    </row>
    <row r="15" spans="1:11" x14ac:dyDescent="0.2">
      <c r="A15">
        <v>14</v>
      </c>
      <c r="B15">
        <v>8</v>
      </c>
      <c r="C15" t="s">
        <v>54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153</v>
      </c>
    </row>
    <row r="16" spans="1:11" x14ac:dyDescent="0.2">
      <c r="A16">
        <v>15</v>
      </c>
      <c r="B16">
        <v>9</v>
      </c>
      <c r="C16" t="s">
        <v>73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216</v>
      </c>
    </row>
    <row r="17" spans="1:9" x14ac:dyDescent="0.2">
      <c r="A17">
        <v>16</v>
      </c>
      <c r="B17">
        <v>9</v>
      </c>
      <c r="C17" t="s">
        <v>73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217</v>
      </c>
    </row>
    <row r="18" spans="1:9" x14ac:dyDescent="0.2">
      <c r="A18">
        <v>17</v>
      </c>
      <c r="B18">
        <v>10</v>
      </c>
      <c r="C18" s="7" t="s">
        <v>314</v>
      </c>
      <c r="D18" s="4">
        <v>0</v>
      </c>
      <c r="E18" s="4">
        <v>0</v>
      </c>
      <c r="F18">
        <v>150</v>
      </c>
      <c r="G18" t="s">
        <v>315</v>
      </c>
      <c r="H18">
        <v>22</v>
      </c>
      <c r="I18" t="s">
        <v>221</v>
      </c>
    </row>
    <row r="19" spans="1:9" x14ac:dyDescent="0.2">
      <c r="A19">
        <v>18</v>
      </c>
      <c r="B19">
        <v>18</v>
      </c>
      <c r="C19" t="s">
        <v>154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330</v>
      </c>
    </row>
    <row r="20" spans="1:9" x14ac:dyDescent="0.2">
      <c r="A20">
        <v>19</v>
      </c>
      <c r="B20">
        <v>17</v>
      </c>
      <c r="C20" s="11" t="s">
        <v>331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225</v>
      </c>
    </row>
    <row r="21" spans="1:9" x14ac:dyDescent="0.2">
      <c r="A21">
        <v>20</v>
      </c>
      <c r="B21">
        <v>19</v>
      </c>
      <c r="C21" t="s">
        <v>54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226</v>
      </c>
    </row>
    <row r="22" spans="1:9" x14ac:dyDescent="0.2">
      <c r="A22">
        <v>21</v>
      </c>
      <c r="B22">
        <v>20</v>
      </c>
      <c r="C22" s="11" t="s">
        <v>222</v>
      </c>
      <c r="D22" s="4">
        <v>0</v>
      </c>
      <c r="E22" s="4">
        <v>0</v>
      </c>
      <c r="F22">
        <v>50</v>
      </c>
      <c r="G22" t="s">
        <v>243</v>
      </c>
      <c r="H22">
        <v>26</v>
      </c>
      <c r="I22" t="s">
        <v>237</v>
      </c>
    </row>
    <row r="23" spans="1:9" x14ac:dyDescent="0.2">
      <c r="A23">
        <v>22</v>
      </c>
      <c r="B23">
        <v>20</v>
      </c>
      <c r="C23" s="11" t="s">
        <v>155</v>
      </c>
      <c r="D23" s="4">
        <v>0</v>
      </c>
      <c r="E23" s="4">
        <v>0</v>
      </c>
      <c r="F23">
        <v>150</v>
      </c>
      <c r="G23" t="s">
        <v>244</v>
      </c>
      <c r="H23">
        <v>27</v>
      </c>
      <c r="I23" t="s">
        <v>238</v>
      </c>
    </row>
    <row r="24" spans="1:9" x14ac:dyDescent="0.2">
      <c r="A24">
        <v>23</v>
      </c>
      <c r="B24">
        <v>20</v>
      </c>
      <c r="C24" s="11" t="s">
        <v>156</v>
      </c>
      <c r="D24" s="4">
        <v>0</v>
      </c>
      <c r="E24" s="4">
        <v>0</v>
      </c>
      <c r="F24">
        <v>250</v>
      </c>
      <c r="G24" t="s">
        <v>245</v>
      </c>
      <c r="H24">
        <v>28</v>
      </c>
      <c r="I24" t="s">
        <v>236</v>
      </c>
    </row>
    <row r="25" spans="1:9" x14ac:dyDescent="0.2">
      <c r="A25">
        <v>24</v>
      </c>
      <c r="B25">
        <v>20</v>
      </c>
      <c r="C25" s="11" t="s">
        <v>157</v>
      </c>
      <c r="D25" s="4">
        <v>0</v>
      </c>
      <c r="E25" s="4">
        <v>0</v>
      </c>
      <c r="F25">
        <v>450</v>
      </c>
      <c r="G25" t="s">
        <v>246</v>
      </c>
      <c r="H25">
        <v>29</v>
      </c>
      <c r="I25" t="s">
        <v>235</v>
      </c>
    </row>
    <row r="26" spans="1:9" x14ac:dyDescent="0.2">
      <c r="A26">
        <v>25</v>
      </c>
      <c r="B26">
        <v>21</v>
      </c>
      <c r="C26" s="11" t="s">
        <v>364</v>
      </c>
      <c r="D26" s="4">
        <v>0</v>
      </c>
      <c r="E26" s="4">
        <v>0</v>
      </c>
      <c r="F26">
        <v>20</v>
      </c>
      <c r="G26" t="s">
        <v>365</v>
      </c>
      <c r="H26">
        <v>30</v>
      </c>
      <c r="I26" t="s">
        <v>310</v>
      </c>
    </row>
    <row r="27" spans="1:9" x14ac:dyDescent="0.2">
      <c r="A27">
        <v>26</v>
      </c>
      <c r="B27">
        <v>21</v>
      </c>
      <c r="C27" s="11" t="s">
        <v>218</v>
      </c>
      <c r="D27" s="4">
        <v>0</v>
      </c>
      <c r="E27" s="4">
        <v>0</v>
      </c>
      <c r="F27">
        <v>50</v>
      </c>
      <c r="G27" t="s">
        <v>365</v>
      </c>
      <c r="H27">
        <v>31</v>
      </c>
      <c r="I27" t="s">
        <v>320</v>
      </c>
    </row>
    <row r="28" spans="1:9" x14ac:dyDescent="0.2">
      <c r="A28">
        <v>27</v>
      </c>
      <c r="B28">
        <v>21</v>
      </c>
      <c r="C28" s="11" t="s">
        <v>219</v>
      </c>
      <c r="D28" s="4">
        <v>0</v>
      </c>
      <c r="E28" s="4">
        <v>0</v>
      </c>
      <c r="F28">
        <v>100</v>
      </c>
      <c r="G28" t="s">
        <v>366</v>
      </c>
      <c r="H28">
        <v>32</v>
      </c>
      <c r="I28" t="s">
        <v>321</v>
      </c>
    </row>
    <row r="29" spans="1:9" x14ac:dyDescent="0.2">
      <c r="A29">
        <v>28</v>
      </c>
      <c r="B29">
        <v>22</v>
      </c>
      <c r="C29" s="11" t="s">
        <v>224</v>
      </c>
      <c r="D29" s="4">
        <v>0</v>
      </c>
      <c r="E29" s="4">
        <v>0</v>
      </c>
      <c r="F29">
        <v>100</v>
      </c>
      <c r="G29" t="s">
        <v>223</v>
      </c>
      <c r="H29">
        <v>33</v>
      </c>
      <c r="I29" t="s">
        <v>322</v>
      </c>
    </row>
    <row r="30" spans="1:9" x14ac:dyDescent="0.2">
      <c r="A30">
        <v>29</v>
      </c>
      <c r="B30">
        <v>23</v>
      </c>
      <c r="C30" t="s">
        <v>241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333</v>
      </c>
    </row>
    <row r="31" spans="1:9" x14ac:dyDescent="0.2">
      <c r="A31">
        <v>30</v>
      </c>
      <c r="B31">
        <v>24</v>
      </c>
      <c r="C31" s="11" t="s">
        <v>357</v>
      </c>
      <c r="D31" s="4">
        <v>0</v>
      </c>
      <c r="E31" s="4">
        <v>0</v>
      </c>
      <c r="F31">
        <v>300</v>
      </c>
      <c r="G31" t="s">
        <v>288</v>
      </c>
      <c r="H31">
        <v>39</v>
      </c>
      <c r="I31" t="s">
        <v>335</v>
      </c>
    </row>
    <row r="32" spans="1:9" x14ac:dyDescent="0.2">
      <c r="A32">
        <v>31</v>
      </c>
      <c r="B32">
        <v>25</v>
      </c>
      <c r="C32" t="s">
        <v>311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337</v>
      </c>
      <c r="D33" s="4">
        <v>0</v>
      </c>
      <c r="E33" s="4">
        <v>0</v>
      </c>
      <c r="F33">
        <v>300</v>
      </c>
      <c r="G33" t="s">
        <v>234</v>
      </c>
    </row>
    <row r="34" spans="1:7" x14ac:dyDescent="0.2">
      <c r="A34">
        <v>33</v>
      </c>
      <c r="B34">
        <v>29</v>
      </c>
      <c r="C34" t="s">
        <v>338</v>
      </c>
      <c r="D34" s="4">
        <v>0</v>
      </c>
      <c r="E34" s="4">
        <v>0</v>
      </c>
      <c r="F34">
        <v>300</v>
      </c>
      <c r="G34" t="s">
        <v>235</v>
      </c>
    </row>
    <row r="35" spans="1:7" x14ac:dyDescent="0.2">
      <c r="A35">
        <v>34</v>
      </c>
      <c r="B35">
        <v>30</v>
      </c>
      <c r="C35" s="11" t="s">
        <v>363</v>
      </c>
      <c r="D35" s="4">
        <v>0</v>
      </c>
      <c r="E35" s="4">
        <v>0</v>
      </c>
      <c r="F35">
        <v>150</v>
      </c>
      <c r="G35" t="s">
        <v>312</v>
      </c>
    </row>
    <row r="36" spans="1:7" x14ac:dyDescent="0.2">
      <c r="A36">
        <v>35</v>
      </c>
      <c r="B36">
        <v>31</v>
      </c>
      <c r="C36" t="s">
        <v>361</v>
      </c>
      <c r="D36" s="4">
        <v>0</v>
      </c>
      <c r="E36" s="4">
        <v>0</v>
      </c>
      <c r="F36">
        <v>200</v>
      </c>
      <c r="G36" t="str">
        <f>LOOKUP(B36,H:H,I:I)</f>
        <v>连环炸弹</v>
      </c>
    </row>
    <row r="37" spans="1:7" x14ac:dyDescent="0.2">
      <c r="A37">
        <v>36</v>
      </c>
      <c r="B37">
        <v>32</v>
      </c>
      <c r="C37" s="11" t="s">
        <v>362</v>
      </c>
      <c r="D37" s="4">
        <v>0</v>
      </c>
      <c r="E37" s="4">
        <v>0</v>
      </c>
      <c r="F37">
        <v>300</v>
      </c>
      <c r="G37" t="s">
        <v>323</v>
      </c>
    </row>
    <row r="38" spans="1:7" x14ac:dyDescent="0.2">
      <c r="A38">
        <v>37</v>
      </c>
      <c r="B38">
        <v>33</v>
      </c>
      <c r="C38" t="s">
        <v>324</v>
      </c>
      <c r="D38" s="4">
        <v>0</v>
      </c>
      <c r="E38" s="4">
        <v>0</v>
      </c>
      <c r="F38">
        <v>200</v>
      </c>
      <c r="G38" t="s">
        <v>325</v>
      </c>
    </row>
    <row r="39" spans="1:7" x14ac:dyDescent="0.2">
      <c r="A39">
        <v>38</v>
      </c>
      <c r="B39">
        <v>38</v>
      </c>
      <c r="C39" t="s">
        <v>332</v>
      </c>
      <c r="D39" s="4">
        <v>0</v>
      </c>
      <c r="E39" s="4">
        <v>0</v>
      </c>
      <c r="F39">
        <v>250</v>
      </c>
      <c r="G39" t="s">
        <v>334</v>
      </c>
    </row>
    <row r="40" spans="1:7" x14ac:dyDescent="0.2">
      <c r="A40">
        <v>39</v>
      </c>
      <c r="B40">
        <v>39</v>
      </c>
      <c r="C40" t="s">
        <v>332</v>
      </c>
      <c r="D40" s="4">
        <v>0</v>
      </c>
      <c r="E40" s="4">
        <v>0</v>
      </c>
      <c r="F40">
        <v>250</v>
      </c>
      <c r="G40" t="s">
        <v>336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116</v>
      </c>
      <c r="C1" s="1" t="s">
        <v>117</v>
      </c>
      <c r="D1" s="1" t="s">
        <v>118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7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103</v>
      </c>
      <c r="D1" s="1" t="s">
        <v>0</v>
      </c>
      <c r="E1" s="1" t="s">
        <v>7</v>
      </c>
      <c r="F1" s="1" t="s">
        <v>111</v>
      </c>
      <c r="G1" s="9" t="s">
        <v>112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250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251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252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253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254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255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256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257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258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259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260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261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262</v>
      </c>
      <c r="F17" s="15">
        <f t="shared" si="1"/>
        <v>35</v>
      </c>
      <c r="G17" s="15">
        <v>0</v>
      </c>
      <c r="H17" s="15" t="s">
        <v>227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68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160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281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263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264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265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279</v>
      </c>
      <c r="D25" s="15" t="s">
        <v>280</v>
      </c>
      <c r="E25" s="16" t="s">
        <v>266</v>
      </c>
      <c r="F25" s="15" t="s">
        <v>279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si="0"/>
        <v>1.2500000000000001E-2</v>
      </c>
      <c r="E26" s="16" t="s">
        <v>162</v>
      </c>
      <c r="F26" s="15">
        <f t="shared" si="1"/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161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267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165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164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166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287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163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268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2">IF(C36,1/C36,0)</f>
        <v>0</v>
      </c>
      <c r="E36" s="17" t="s">
        <v>269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3">IF(C37,1/C37,0)</f>
        <v>0</v>
      </c>
      <c r="E37" s="17" t="s">
        <v>270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3"/>
        <v>0</v>
      </c>
      <c r="E38" s="15" t="s">
        <v>249</v>
      </c>
      <c r="F38" s="15">
        <f t="shared" ref="F38:F51" si="4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3"/>
        <v>0.01</v>
      </c>
      <c r="E39" s="15" t="s">
        <v>167</v>
      </c>
      <c r="F39" s="15">
        <f t="shared" si="4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3"/>
        <v>0.01</v>
      </c>
      <c r="E40" s="15" t="s">
        <v>271</v>
      </c>
      <c r="F40" s="15">
        <f t="shared" si="4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3"/>
        <v>3.3333333333333335E-3</v>
      </c>
      <c r="E41" s="15" t="s">
        <v>308</v>
      </c>
      <c r="F41" s="15">
        <f t="shared" si="4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3"/>
        <v>5.0000000000000001E-3</v>
      </c>
      <c r="E42" s="15" t="s">
        <v>272</v>
      </c>
      <c r="F42" s="15">
        <f t="shared" si="4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3"/>
        <v>0</v>
      </c>
      <c r="E43" s="15" t="s">
        <v>273</v>
      </c>
      <c r="F43" s="15">
        <f t="shared" si="4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3"/>
        <v>5.0000000000000001E-3</v>
      </c>
      <c r="E44" s="15" t="s">
        <v>274</v>
      </c>
      <c r="F44" s="15">
        <f t="shared" si="4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3"/>
        <v>0</v>
      </c>
      <c r="E45" s="15" t="s">
        <v>275</v>
      </c>
      <c r="F45" s="15">
        <f t="shared" si="4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3"/>
        <v>0</v>
      </c>
      <c r="E46" s="15" t="s">
        <v>276</v>
      </c>
      <c r="F46" s="15">
        <f t="shared" si="4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3"/>
        <v>5.0000000000000001E-3</v>
      </c>
      <c r="E47" s="15" t="s">
        <v>162</v>
      </c>
      <c r="F47" s="15">
        <f t="shared" si="4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3"/>
        <v>6.6666666666666671E-3</v>
      </c>
      <c r="E48" s="15" t="s">
        <v>309</v>
      </c>
      <c r="F48" s="15">
        <f t="shared" si="4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3"/>
        <v>4.0000000000000001E-3</v>
      </c>
      <c r="E49" s="15" t="s">
        <v>277</v>
      </c>
      <c r="F49" s="15">
        <f t="shared" si="4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3"/>
        <v>5.0000000000000001E-3</v>
      </c>
      <c r="E50" s="15" t="s">
        <v>278</v>
      </c>
      <c r="F50" s="15">
        <f t="shared" si="4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319</v>
      </c>
      <c r="F51" s="2">
        <f t="shared" si="4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60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24</v>
      </c>
      <c r="B1" s="1" t="s">
        <v>32</v>
      </c>
      <c r="C1" s="1" t="s">
        <v>34</v>
      </c>
      <c r="D1" s="1" t="s">
        <v>71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35</v>
      </c>
      <c r="B1" s="1" t="s">
        <v>36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62</v>
      </c>
      <c r="C1" s="1" t="s">
        <v>63</v>
      </c>
      <c r="D1" s="1" t="s">
        <v>64</v>
      </c>
      <c r="XFD1" s="1"/>
    </row>
    <row r="2" spans="1:4 16384:16384" x14ac:dyDescent="0.2">
      <c r="A2">
        <v>1</v>
      </c>
      <c r="B2" t="s">
        <v>65</v>
      </c>
      <c r="C2">
        <v>10</v>
      </c>
      <c r="D2">
        <v>0</v>
      </c>
    </row>
    <row r="3" spans="1:4 16384:16384" x14ac:dyDescent="0.2">
      <c r="A3">
        <v>2</v>
      </c>
      <c r="B3" t="s">
        <v>66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84</v>
      </c>
      <c r="B1" s="1" t="s">
        <v>85</v>
      </c>
      <c r="C1" s="1" t="s">
        <v>61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86</v>
      </c>
      <c r="C2" s="2"/>
    </row>
    <row r="3" spans="1:10 16384:16384" x14ac:dyDescent="0.2">
      <c r="A3" s="2">
        <v>2</v>
      </c>
      <c r="B3" s="2" t="s">
        <v>106</v>
      </c>
      <c r="C3" s="2" t="s">
        <v>87</v>
      </c>
    </row>
    <row r="4" spans="1:10 16384:16384" x14ac:dyDescent="0.2">
      <c r="A4" s="2">
        <v>3</v>
      </c>
      <c r="B4" s="2" t="s">
        <v>107</v>
      </c>
      <c r="C4" s="2" t="s">
        <v>88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89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95</v>
      </c>
      <c r="D2" s="2">
        <v>0</v>
      </c>
      <c r="E2" s="2"/>
      <c r="F2" t="s">
        <v>96</v>
      </c>
    </row>
    <row r="3" spans="1:10 16384:16384" ht="39" customHeight="1" x14ac:dyDescent="0.2">
      <c r="A3" s="2">
        <v>2</v>
      </c>
      <c r="B3" s="2">
        <v>1</v>
      </c>
      <c r="C3" s="2" t="s">
        <v>97</v>
      </c>
      <c r="D3" s="2">
        <v>1</v>
      </c>
      <c r="E3" s="2" t="s">
        <v>101</v>
      </c>
      <c r="F3" t="s">
        <v>147</v>
      </c>
    </row>
    <row r="4" spans="1:10 16384:16384" ht="63.75" customHeight="1" x14ac:dyDescent="0.2">
      <c r="A4" s="2">
        <v>3</v>
      </c>
      <c r="B4" s="2">
        <v>1</v>
      </c>
      <c r="C4" s="2" t="s">
        <v>98</v>
      </c>
      <c r="D4" s="2">
        <v>0</v>
      </c>
      <c r="E4" s="4" t="s">
        <v>100</v>
      </c>
      <c r="F4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136</v>
      </c>
      <c r="B1" s="1" t="s">
        <v>137</v>
      </c>
      <c r="C1" s="1" t="s">
        <v>138</v>
      </c>
      <c r="D1" s="1" t="s">
        <v>139</v>
      </c>
      <c r="E1" s="1" t="s">
        <v>140</v>
      </c>
      <c r="F1" s="1" t="s">
        <v>141</v>
      </c>
      <c r="G1" s="1" t="s">
        <v>142</v>
      </c>
      <c r="H1" s="1" t="s">
        <v>143</v>
      </c>
      <c r="I1" s="1" t="s">
        <v>144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145</v>
      </c>
      <c r="B1" t="s">
        <v>146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136</v>
      </c>
      <c r="B1" s="1" t="s">
        <v>150</v>
      </c>
      <c r="C1" t="s">
        <v>151</v>
      </c>
    </row>
    <row r="2" spans="1:3" x14ac:dyDescent="0.2">
      <c r="A2">
        <v>1</v>
      </c>
      <c r="B2" t="s">
        <v>326</v>
      </c>
      <c r="C2" t="s">
        <v>152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2020-06-28T01:40:01Z</dcterms:modified>
</cp:coreProperties>
</file>