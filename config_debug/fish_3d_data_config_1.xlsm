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I26" i="14" l="1"/>
  <c r="I40" i="7" s="1"/>
  <c r="E26" i="14"/>
  <c r="H40" i="7" s="1"/>
  <c r="F26" i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38" i="14"/>
  <c r="F40" i="14"/>
  <c r="F42" i="14"/>
  <c r="F44" i="14"/>
  <c r="F46" i="14"/>
  <c r="F49" i="14"/>
  <c r="H65" i="7"/>
  <c r="F34" i="14"/>
  <c r="F33" i="14"/>
  <c r="F35" i="14"/>
  <c r="F37" i="14"/>
  <c r="F39" i="14"/>
  <c r="F41" i="14"/>
  <c r="F43" i="14"/>
  <c r="F45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I35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<sst xmlns="http://schemas.openxmlformats.org/spreadsheetml/2006/main" count="479" uniqueCount="361">
  <si>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</si>
  <si>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</si>
  <si>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</si>
  <si>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</si>
  <si>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</si>
  <si>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</si>
  <si>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</si>
  <si>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</si>
  <si>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</si>
  <si>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</si>
  <si>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</si>
  <si>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</si>
  <si>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</si>
  <si>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</si>
  <si>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</si>
  <si>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</si>
  <si>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</si>
  <si>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</si>
  <si>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</si>
  <si>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</si>
  <si>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</si>
  <si>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</si>
  <si>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</si>
  <si>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</si>
  <si>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</si>
  <si>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</si>
  <si>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</si>
  <si>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</si>
  <si>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</si>
  <si>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</si>
  <si>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</si>
  <si>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</si>
  <si>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</si>
  <si>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</si>
  <si>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</si>
  <si>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</si>
  <si>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</si>
  <si>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</si>
  <si>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</si>
  <si>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</si>
  <si>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</si>
  <si>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</si>
  <si>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</si>
  <si>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</si>
  <si>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</si>
  <si>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</si>
  <si>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</si>
  <si>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</si>
  <si>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</si>
  <si>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</si>
  <si>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</si>
  <si>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</si>
  <si>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</si>
  <si>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</si>
  <si>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</si>
  <si>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</si>
  <si>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</si>
  <si>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</si>
  <si>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</si>
  <si>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</si>
  <si>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</si>
  <si>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</si>
  <si>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</si>
  <si>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</si>
  <si>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</si>
  <si>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</si>
  <si>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</si>
  <si>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</si>
  <si>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</si>
  <si>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</si>
  <si>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</si>
  <si>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</si>
  <si>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</si>
  <si>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</si>
  <si>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</si>
  <si>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</si>
  <si>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</si>
  <si>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</si>
  <si>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</si>
  <si>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</si>
  <si>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</si>
  <si>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</si>
  <si>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</si>
  <si>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</si>
  <si>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</si>
  <si>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</si>
  <si>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</si>
  <si>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</si>
  <si>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</si>
  <si>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</si>
  <si>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</si>
  <si>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</si>
  <si>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</si>
  <si>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</si>
  <si>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</si>
  <si>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</si>
  <si>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</si>
  <si>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</si>
  <si>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</si>
  <si>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</si>
  <si>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</si>
  <si>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</si>
  <si>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</si>
  <si>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</si>
  <si>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</si>
  <si>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</si>
  <si>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</si>
  <si>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</si>
  <si>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</si>
  <si>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</si>
  <si>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</si>
  <si>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</si>
  <si>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</si>
  <si>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</si>
  <si>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</si>
  <si>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</si>
  <si>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</si>
  <si>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</si>
  <si>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</si>
  <si>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</si>
  <si>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</si>
  <si>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</si>
  <si>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</si>
  <si>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</si>
  <si>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</si>
  <si>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</si>
  <si>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</si>
  <si>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</si>
  <si>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</si>
  <si>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</si>
  <si>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</si>
  <si>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</si>
  <si>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</si>
  <si>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</si>
  <si>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</si>
  <si>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</si>
  <si>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</si>
  <si>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</si>
  <si>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</si>
  <si>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</si>
  <si>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</si>
  <si>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</si>
  <si>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</si>
  <si>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</si>
  <si>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</si>
  <si>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</si>
  <si>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</si>
  <si>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</si>
  <si>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</si>
  <si>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</si>
  <si>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</si>
  <si>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</si>
  <si>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</si>
  <si>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</si>
  <si>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</si>
  <si>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</si>
  <si>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</si>
  <si>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</si>
  <si>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</si>
  <si>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</si>
  <si>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</si>
  <si>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</si>
  <si>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</si>
  <si>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</si>
  <si>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</si>
  <si>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</si>
  <si>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</si>
  <si>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</si>
  <si>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</si>
  <si>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</si>
  <si>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</si>
  <si>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</si>
  <si>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</si>
  <si>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</si>
  <si>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</si>
  <si>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</si>
  <si>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</si>
  <si>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</si>
  <si>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</si>
  <si>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</si>
  <si>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</si>
  <si>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</si>
  <si>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</si>
  <si>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</si>
  <si>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</si>
  <si>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</si>
  <si>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</si>
  <si>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</si>
  <si>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</si>
  <si>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</si>
  <si>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</si>
  <si>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</si>
  <si>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</si>
  <si>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</si>
  <si>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</si>
  <si>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</si>
  <si>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</si>
  <si>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</si>
  <si>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</si>
  <si>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</si>
  <si>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</si>
  <si>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</si>
  <si>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</si>
  <si>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</si>
  <si>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</si>
  <si>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</si>
  <si>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</si>
  <si>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</si>
  <si>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</si>
  <si>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</si>
  <si>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</si>
  <si>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</si>
  <si>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</si>
  <si>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</si>
  <si>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</si>
  <si>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</si>
  <si>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</si>
  <si>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</si>
  <si>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</si>
  <si>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</si>
  <si>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</si>
  <si>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</si>
  <si>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</si>
  <si>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</si>
  <si>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</si>
  <si>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</si>
  <si>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</si>
  <si>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</si>
  <si>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</si>
  <si>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</si>
  <si>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</si>
  <si>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</si>
  <si>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</si>
  <si>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</si>
  <si>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</si>
  <si>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</si>
  <si>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</si>
  <si>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</si>
  <si>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</si>
  <si>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</si>
  <si>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</si>
  <si>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</si>
  <si>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</si>
  <si>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</si>
  <si>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</si>
  <si>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</si>
  <si>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</si>
  <si>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</si>
  <si>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</si>
  <si>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</si>
  <si>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</si>
  <si>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</si>
  <si>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</si>
  <si>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</si>
  <si>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</si>
  <si>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</si>
  <si>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</si>
  <si>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</si>
  <si>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</si>
  <si>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</si>
  <si>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</si>
  <si>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</si>
  <si>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</si>
  <si>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</si>
  <si>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</si>
  <si>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</si>
  <si>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</si>
  <si>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</si>
  <si>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</si>
  <si>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</si>
  <si>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</si>
  <si>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</si>
  <si>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</si>
  <si>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</si>
  <si>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</si>
  <si>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</si>
  <si>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</si>
  <si>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</si>
  <si>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</si>
  <si>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</si>
  <si>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</si>
  <si>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</si>
  <si>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</si>
  <si>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</si>
  <si>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</si>
  <si>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</si>
  <si>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</si>
  <si>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</si>
  <si>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</si>
  <si>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</si>
  <si>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</si>
  <si>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</si>
  <si>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</si>
  <si>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</si>
  <si>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</si>
  <si>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</si>
  <si>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</si>
  <si>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</si>
  <si>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</si>
  <si>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</si>
  <si>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</si>
  <si>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</si>
  <si>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</si>
  <si>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</si>
  <si>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</si>
  <si>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</si>
  <si>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</si>
  <si>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</si>
  <si>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</si>
  <si>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77,39,12,35,16,15,29,5,</t>
  </si>
  <si>
    <t>77,4,11,19,5,34,26,76,</t>
  </si>
  <si>
    <t>10,10,10,10,10,10,</t>
    <phoneticPr fontId="1" type="noConversion"/>
  </si>
  <si>
    <t>11,11,11,11,11,11,</t>
    <phoneticPr fontId="1" type="noConversion"/>
  </si>
  <si>
    <t>9,9,9,9,9,9,</t>
    <phoneticPr fontId="1" type="noConversion"/>
  </si>
  <si>
    <t>26,24,7,6,28,4,75,17,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</si>
  <si>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</si>
  <si>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</si>
  <si>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</si>
  <si>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</si>
  <si>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6,6,6,6,6,6,</t>
    <phoneticPr fontId="1" type="noConversion"/>
  </si>
  <si>
    <t>4,</t>
    <phoneticPr fontId="1" type="noConversion"/>
  </si>
  <si>
    <t>5,</t>
    <phoneticPr fontId="1" type="noConversion"/>
  </si>
  <si>
    <t>7,7,7,7,7,7,</t>
    <phoneticPr fontId="1" type="noConversion"/>
  </si>
  <si>
    <t>26,24,7,6,28,4,</t>
    <phoneticPr fontId="1" type="noConversion"/>
  </si>
  <si>
    <t>77,39,12,35,16,15,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</si>
  <si>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</si>
  <si>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</si>
  <si>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</si>
  <si>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</si>
  <si>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</si>
  <si>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</si>
  <si>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</si>
  <si>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</si>
  <si>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</si>
  <si>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</si>
  <si>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</si>
  <si>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</si>
  <si>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</si>
  <si>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</si>
  <si>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</si>
  <si>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</si>
  <si>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</si>
  <si>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</si>
  <si>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</si>
  <si>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</si>
  <si>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</si>
  <si>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</si>
  <si>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</si>
  <si>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</si>
  <si>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</si>
  <si>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</si>
  <si>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</si>
  <si>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</si>
  <si>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4,40,60,80,120,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</si>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</sst>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254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232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234</v>
      </c>
      <c r="M1" s="8" t="s">
        <v>249</v>
      </c>
    </row>
    <row r="2" spans="1:13" x14ac:dyDescent="0.2">
      <c r="A2" s="2">
        <v>1</v>
      </c>
      <c r="B2" s="2" t="s">
        <v>255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235</v>
      </c>
      <c r="C3" s="2">
        <v>1</v>
      </c>
      <c r="D3" t="s">
        <v>233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235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235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235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235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235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235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346</v>
      </c>
      <c r="C10" s="2">
        <v>1</v>
      </c>
      <c r="D10" t="s">
        <v>347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H39" sqref="H39:I39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298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292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320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321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289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246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247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319</v>
      </c>
      <c r="G7" s="45" t="s">
        <v>324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322</v>
      </c>
      <c r="D8" s="29" t="s">
        <v>169</v>
      </c>
      <c r="G8" s="45" t="s">
        <v>323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315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297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291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290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302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301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300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299</v>
      </c>
      <c r="G22" s="41" t="s">
        <v>238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303</v>
      </c>
      <c r="G23" s="21" t="s">
        <v>307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304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305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306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317</v>
      </c>
      <c r="G27" s="41" t="s">
        <v>318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316</v>
      </c>
      <c r="G28" s="41" t="s">
        <v>325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100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100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286</v>
      </c>
      <c r="I39" s="19" t="s">
        <v>287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308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400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313</v>
      </c>
      <c r="G65" s="45" t="s">
        <v>314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311</v>
      </c>
      <c r="G66" s="45" t="s">
        <v>309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312</v>
      </c>
      <c r="G67" s="46" t="s">
        <v>310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3" activePane="bottomLeft" state="frozen"/>
      <selection pane="bottomLeft" activeCell="H32" sqref="H3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236</v>
      </c>
      <c r="C1" s="1" t="s">
        <v>16</v>
      </c>
      <c r="D1" s="1" t="s">
        <v>332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224</v>
      </c>
      <c r="O1" s="8" t="s">
        <v>234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336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336</v>
      </c>
      <c r="E22" s="19">
        <f>LOOKUP(use_fish!B22,base_fish!A:A,base_fish!C:C)+_xlfn.IFNA(INDEX(activity!F:F,MATCH(use_fish!C22,activity!A:A,0)),0)</f>
        <v>100</v>
      </c>
      <c r="F22" s="19">
        <f t="shared" si="3"/>
        <v>0.01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100</v>
      </c>
      <c r="J22" s="21">
        <v>1</v>
      </c>
      <c r="K22" s="21">
        <f>LOOKUP(use_fish!B22,base_fish!A:A,base_fish!G:G)</f>
        <v>0</v>
      </c>
      <c r="L22" s="21">
        <f t="shared" si="4"/>
        <v>100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336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336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286</v>
      </c>
      <c r="F25" s="19" t="s">
        <v>287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286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336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336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336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7">1/E33</f>
        <v>0.01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8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7"/>
        <v>0.01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8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331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349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349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349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349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349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350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331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400</v>
      </c>
      <c r="J48" s="35">
        <v>1</v>
      </c>
      <c r="K48" s="35">
        <f>LOOKUP(use_fish!B48,base_fish!A:A,base_fish!G:G)</f>
        <v>0</v>
      </c>
      <c r="L48" s="35">
        <f t="shared" si="12"/>
        <v>400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351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352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337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13" workbookViewId="0">
      <selection activeCell="I23" sqref="I23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237</v>
      </c>
      <c r="D9" s="4">
        <v>0</v>
      </c>
      <c r="E9" s="4">
        <v>0</v>
      </c>
      <c r="F9">
        <v>100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293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335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333</v>
      </c>
      <c r="D18" s="4">
        <v>0</v>
      </c>
      <c r="E18" s="4">
        <v>0</v>
      </c>
      <c r="F18">
        <v>150</v>
      </c>
      <c r="G18" t="s">
        <v>334</v>
      </c>
      <c r="H18">
        <v>22</v>
      </c>
      <c r="I18" t="s">
        <v>225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354</v>
      </c>
    </row>
    <row r="20" spans="1:9" x14ac:dyDescent="0.2">
      <c r="A20">
        <v>19</v>
      </c>
      <c r="B20">
        <v>17</v>
      </c>
      <c r="C20" s="11" t="s">
        <v>355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229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230</v>
      </c>
    </row>
    <row r="22" spans="1:9" x14ac:dyDescent="0.2">
      <c r="A22">
        <v>21</v>
      </c>
      <c r="B22">
        <v>20</v>
      </c>
      <c r="C22" s="11" t="s">
        <v>226</v>
      </c>
      <c r="D22" s="4">
        <v>0</v>
      </c>
      <c r="E22" s="4">
        <v>0</v>
      </c>
      <c r="F22">
        <v>50</v>
      </c>
      <c r="G22" t="s">
        <v>250</v>
      </c>
      <c r="H22">
        <v>26</v>
      </c>
      <c r="I22" t="s">
        <v>244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251</v>
      </c>
      <c r="H23">
        <v>27</v>
      </c>
      <c r="I23" t="s">
        <v>245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252</v>
      </c>
      <c r="H24">
        <v>28</v>
      </c>
      <c r="I24" t="s">
        <v>241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253</v>
      </c>
      <c r="H25">
        <v>29</v>
      </c>
      <c r="I25" t="s">
        <v>240</v>
      </c>
    </row>
    <row r="26" spans="1:9" x14ac:dyDescent="0.2">
      <c r="A26">
        <v>25</v>
      </c>
      <c r="B26">
        <v>21</v>
      </c>
      <c r="C26" s="11" t="s">
        <v>218</v>
      </c>
      <c r="D26" s="4">
        <v>0</v>
      </c>
      <c r="E26" s="4">
        <v>0</v>
      </c>
      <c r="F26">
        <v>10</v>
      </c>
      <c r="G26" t="s">
        <v>221</v>
      </c>
      <c r="H26">
        <v>30</v>
      </c>
      <c r="I26" t="s">
        <v>328</v>
      </c>
    </row>
    <row r="27" spans="1:9" x14ac:dyDescent="0.2">
      <c r="A27">
        <v>26</v>
      </c>
      <c r="B27">
        <v>21</v>
      </c>
      <c r="C27" s="11" t="s">
        <v>219</v>
      </c>
      <c r="D27" s="4">
        <v>0</v>
      </c>
      <c r="E27" s="4">
        <v>0</v>
      </c>
      <c r="F27">
        <v>50</v>
      </c>
      <c r="G27" t="s">
        <v>222</v>
      </c>
      <c r="H27">
        <v>31</v>
      </c>
      <c r="I27" t="s">
        <v>339</v>
      </c>
    </row>
    <row r="28" spans="1:9" x14ac:dyDescent="0.2">
      <c r="A28">
        <v>27</v>
      </c>
      <c r="B28">
        <v>21</v>
      </c>
      <c r="C28" s="11" t="s">
        <v>220</v>
      </c>
      <c r="D28" s="4">
        <v>0</v>
      </c>
      <c r="E28" s="4">
        <v>0</v>
      </c>
      <c r="F28">
        <v>100</v>
      </c>
      <c r="G28" t="s">
        <v>223</v>
      </c>
      <c r="H28">
        <v>32</v>
      </c>
      <c r="I28" t="s">
        <v>340</v>
      </c>
    </row>
    <row r="29" spans="1:9" x14ac:dyDescent="0.2">
      <c r="A29">
        <v>28</v>
      </c>
      <c r="B29">
        <v>22</v>
      </c>
      <c r="C29" s="11" t="s">
        <v>228</v>
      </c>
      <c r="D29" s="4">
        <v>0</v>
      </c>
      <c r="E29" s="4">
        <v>0</v>
      </c>
      <c r="F29">
        <v>100</v>
      </c>
      <c r="G29" t="s">
        <v>227</v>
      </c>
      <c r="H29">
        <v>33</v>
      </c>
      <c r="I29" t="s">
        <v>341</v>
      </c>
    </row>
    <row r="30" spans="1:9" x14ac:dyDescent="0.2">
      <c r="A30">
        <v>29</v>
      </c>
      <c r="B30">
        <v>23</v>
      </c>
      <c r="C30" t="s">
        <v>248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357</v>
      </c>
    </row>
    <row r="31" spans="1:9" x14ac:dyDescent="0.2">
      <c r="A31">
        <v>30</v>
      </c>
      <c r="B31">
        <v>24</v>
      </c>
      <c r="C31" s="11" t="s">
        <v>296</v>
      </c>
      <c r="D31" s="4">
        <v>0</v>
      </c>
      <c r="E31" s="4">
        <v>0</v>
      </c>
      <c r="F31">
        <v>500</v>
      </c>
      <c r="G31" t="s">
        <v>295</v>
      </c>
      <c r="H31">
        <v>39</v>
      </c>
      <c r="I31" t="s">
        <v>359</v>
      </c>
    </row>
    <row r="32" spans="1:9" x14ac:dyDescent="0.2">
      <c r="A32">
        <v>31</v>
      </c>
      <c r="B32">
        <v>25</v>
      </c>
      <c r="C32" t="s">
        <v>329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242</v>
      </c>
      <c r="D33" s="4">
        <v>0</v>
      </c>
      <c r="E33" s="4">
        <v>0</v>
      </c>
      <c r="F33">
        <v>100</v>
      </c>
      <c r="G33" t="s">
        <v>239</v>
      </c>
    </row>
    <row r="34" spans="1:7" x14ac:dyDescent="0.2">
      <c r="A34">
        <v>33</v>
      </c>
      <c r="B34">
        <v>29</v>
      </c>
      <c r="C34" t="s">
        <v>243</v>
      </c>
      <c r="D34" s="4">
        <v>0</v>
      </c>
      <c r="E34" s="4">
        <v>0</v>
      </c>
      <c r="F34">
        <v>100</v>
      </c>
      <c r="G34" t="s">
        <v>240</v>
      </c>
    </row>
    <row r="35" spans="1:7" x14ac:dyDescent="0.2">
      <c r="A35">
        <v>34</v>
      </c>
      <c r="B35">
        <v>30</v>
      </c>
      <c r="C35" s="11" t="s">
        <v>329</v>
      </c>
      <c r="D35" s="4">
        <v>0</v>
      </c>
      <c r="E35" s="4">
        <v>0</v>
      </c>
      <c r="F35">
        <v>200</v>
      </c>
      <c r="G35" t="s">
        <v>330</v>
      </c>
    </row>
    <row r="36" spans="1:7" x14ac:dyDescent="0.2">
      <c r="A36">
        <v>35</v>
      </c>
      <c r="B36">
        <v>31</v>
      </c>
      <c r="C36" t="s">
        <v>353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348</v>
      </c>
      <c r="D37" s="4">
        <v>0</v>
      </c>
      <c r="E37" s="4">
        <v>0</v>
      </c>
      <c r="F37">
        <v>500</v>
      </c>
      <c r="G37" t="s">
        <v>342</v>
      </c>
    </row>
    <row r="38" spans="1:7" x14ac:dyDescent="0.2">
      <c r="A38">
        <v>37</v>
      </c>
      <c r="B38">
        <v>33</v>
      </c>
      <c r="C38" t="s">
        <v>343</v>
      </c>
      <c r="D38" s="4">
        <v>0</v>
      </c>
      <c r="E38" s="4">
        <v>0</v>
      </c>
      <c r="F38">
        <v>500</v>
      </c>
      <c r="G38" t="s">
        <v>344</v>
      </c>
    </row>
    <row r="39" spans="1:7" x14ac:dyDescent="0.2">
      <c r="A39">
        <v>38</v>
      </c>
      <c r="B39">
        <v>38</v>
      </c>
      <c r="C39" t="s">
        <v>356</v>
      </c>
      <c r="D39" s="4">
        <v>0</v>
      </c>
      <c r="E39" s="4">
        <v>0</v>
      </c>
      <c r="F39">
        <v>250</v>
      </c>
      <c r="G39" t="s">
        <v>358</v>
      </c>
    </row>
    <row r="40" spans="1:7" x14ac:dyDescent="0.2">
      <c r="A40">
        <v>39</v>
      </c>
      <c r="B40">
        <v>39</v>
      </c>
      <c r="C40" t="s">
        <v>356</v>
      </c>
      <c r="D40" s="4">
        <v>0</v>
      </c>
      <c r="E40" s="4">
        <v>0</v>
      </c>
      <c r="F40">
        <v>250</v>
      </c>
      <c r="G40" t="s">
        <v>360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2" sqref="C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257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258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259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260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261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262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263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264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265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266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267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268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269</v>
      </c>
      <c r="F17" s="15">
        <f t="shared" si="1"/>
        <v>35</v>
      </c>
      <c r="G17" s="15">
        <v>0</v>
      </c>
      <c r="H17" s="15" t="s">
        <v>231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288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270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271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272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286</v>
      </c>
      <c r="D25" s="15" t="s">
        <v>287</v>
      </c>
      <c r="E25" s="16" t="s">
        <v>273</v>
      </c>
      <c r="F25" s="15" t="s">
        <v>286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si="0"/>
        <v>6.6666666666666671E-3</v>
      </c>
      <c r="E26" s="16" t="s">
        <v>162</v>
      </c>
      <c r="F26" s="15">
        <f t="shared" si="1"/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161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274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294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275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276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277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3"/>
        <v>5.0000000000000001E-3</v>
      </c>
      <c r="E38" s="15" t="s">
        <v>256</v>
      </c>
      <c r="F38" s="15">
        <f t="shared" ref="F38:F51" si="4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3"/>
        <v>5.0000000000000001E-3</v>
      </c>
      <c r="E39" s="15" t="s">
        <v>167</v>
      </c>
      <c r="F39" s="15">
        <f t="shared" si="4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278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3"/>
        <v>2E-3</v>
      </c>
      <c r="E41" s="15" t="s">
        <v>326</v>
      </c>
      <c r="F41" s="15">
        <f t="shared" si="4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3"/>
        <v>3.3333333333333335E-3</v>
      </c>
      <c r="E42" s="15" t="s">
        <v>279</v>
      </c>
      <c r="F42" s="15">
        <f t="shared" si="4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3"/>
        <v>0.01</v>
      </c>
      <c r="E43" s="15" t="s">
        <v>280</v>
      </c>
      <c r="F43" s="15">
        <f t="shared" si="4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3"/>
        <v>2.5000000000000001E-3</v>
      </c>
      <c r="E44" s="15" t="s">
        <v>281</v>
      </c>
      <c r="F44" s="15">
        <f t="shared" si="4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3"/>
        <v>0.01</v>
      </c>
      <c r="E45" s="15" t="s">
        <v>282</v>
      </c>
      <c r="F45" s="15">
        <f t="shared" si="4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3"/>
        <v>0.01</v>
      </c>
      <c r="E46" s="15" t="s">
        <v>283</v>
      </c>
      <c r="F46" s="15">
        <f t="shared" si="4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3"/>
        <v>3.3333333333333335E-3</v>
      </c>
      <c r="E47" s="15" t="s">
        <v>162</v>
      </c>
      <c r="F47" s="15">
        <f t="shared" si="4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3"/>
        <v>5.0000000000000001E-3</v>
      </c>
      <c r="E48" s="15" t="s">
        <v>327</v>
      </c>
      <c r="F48" s="15">
        <f t="shared" si="4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3"/>
        <v>2.8571428571428571E-3</v>
      </c>
      <c r="E49" s="15" t="s">
        <v>284</v>
      </c>
      <c r="F49" s="15">
        <f t="shared" si="4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3"/>
        <v>3.3333333333333335E-3</v>
      </c>
      <c r="E50" s="15" t="s">
        <v>285</v>
      </c>
      <c r="F50" s="15">
        <f t="shared" si="4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338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345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2020-05-29T07:09:27Z</dcterms:modified>
</cp:coreProperties>
</file>