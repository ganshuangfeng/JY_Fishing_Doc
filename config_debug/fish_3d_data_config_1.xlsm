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3" i="7" l="1"/>
  <c r="F42" i="1" l="1"/>
  <c r="F39" i="1"/>
  <c r="I26" i="14" l="1"/>
  <c r="I40" i="7" s="1"/>
  <c r="E26" i="14"/>
  <c r="H40" i="7" s="1"/>
  <c r="F26" i="1"/>
  <c r="D26" i="1"/>
  <c r="F26" i="14" l="1"/>
  <c r="L26" i="14"/>
  <c r="G36" i="5"/>
  <c r="F51" i="1" l="1"/>
  <c r="D51" i="1"/>
  <c r="I7" i="14" l="1"/>
  <c r="E7" i="14"/>
  <c r="F7" i="14" s="1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D9" i="1"/>
  <c r="D10" i="1"/>
  <c r="L10" i="14" l="1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 l="1"/>
  <c r="H67" i="7" l="1"/>
  <c r="H16" i="7"/>
  <c r="H15" i="7"/>
  <c r="H22" i="7"/>
  <c r="F32" i="1"/>
  <c r="F33" i="1"/>
  <c r="F34" i="1"/>
  <c r="F36" i="1"/>
  <c r="F37" i="1"/>
  <c r="D37" i="1"/>
  <c r="D36" i="1" l="1"/>
  <c r="G32" i="5" l="1"/>
  <c r="H31" i="14" s="1"/>
  <c r="G30" i="5"/>
  <c r="H32" i="14" s="1"/>
  <c r="D35" i="1"/>
  <c r="D34" i="1"/>
  <c r="D28" i="1"/>
  <c r="D29" i="1"/>
  <c r="D30" i="1"/>
  <c r="D31" i="1"/>
  <c r="D32" i="1"/>
  <c r="D33" i="1"/>
  <c r="K50" i="14"/>
  <c r="J64" i="7" s="1"/>
  <c r="E50" i="14"/>
  <c r="K49" i="14"/>
  <c r="E49" i="14"/>
  <c r="K48" i="14"/>
  <c r="E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 s="1"/>
  <c r="E35" i="14"/>
  <c r="K34" i="14"/>
  <c r="E34" i="14"/>
  <c r="K33" i="14"/>
  <c r="E33" i="14"/>
  <c r="J60" i="7"/>
  <c r="H8" i="7"/>
  <c r="F8" i="1"/>
  <c r="D8" i="1"/>
  <c r="F8" i="14"/>
  <c r="F29" i="14"/>
  <c r="K29" i="14"/>
  <c r="J43" i="7" s="1"/>
  <c r="F30" i="14"/>
  <c r="I30" i="14"/>
  <c r="K30" i="14"/>
  <c r="J44" i="7" s="1"/>
  <c r="F31" i="14"/>
  <c r="K31" i="14"/>
  <c r="J45" i="7" s="1"/>
  <c r="F32" i="14"/>
  <c r="K32" i="14"/>
  <c r="J46" i="7" s="1"/>
  <c r="F20" i="14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 s="1"/>
  <c r="K6" i="14"/>
  <c r="J66" i="7" s="1"/>
  <c r="K7" i="14"/>
  <c r="K8" i="14"/>
  <c r="K9" i="14"/>
  <c r="J9" i="7" s="1"/>
  <c r="K10" i="14"/>
  <c r="K11" i="14"/>
  <c r="K12" i="14"/>
  <c r="K13" i="14"/>
  <c r="J27" i="7" s="1"/>
  <c r="K14" i="14"/>
  <c r="J28" i="7" s="1"/>
  <c r="K15" i="14"/>
  <c r="J29" i="7" s="1"/>
  <c r="K16" i="14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I13" i="14" s="1"/>
  <c r="F16" i="1"/>
  <c r="I49" i="14" s="1"/>
  <c r="F15" i="1"/>
  <c r="I15" i="14" s="1"/>
  <c r="I16" i="14"/>
  <c r="F17" i="1"/>
  <c r="I17" i="14" s="1"/>
  <c r="F18" i="1"/>
  <c r="F19" i="1"/>
  <c r="I19" i="14" s="1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J12" i="7" l="1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38" i="14"/>
  <c r="F40" i="14"/>
  <c r="F42" i="14"/>
  <c r="F44" i="14"/>
  <c r="F46" i="14"/>
  <c r="F49" i="14"/>
  <c r="H65" i="7"/>
  <c r="F34" i="14"/>
  <c r="F33" i="14"/>
  <c r="F35" i="14"/>
  <c r="F37" i="14"/>
  <c r="F39" i="14"/>
  <c r="F41" i="14"/>
  <c r="F43" i="14"/>
  <c r="F45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I35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 l="1"/>
  <c r="K67" i="7" a="1"/>
  <c r="K67" i="7" s="1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 s="1"/>
  <c r="K37" i="7" a="1"/>
  <c r="K37" i="7" s="1"/>
  <c r="K36" i="7" a="1"/>
  <c r="K36" i="7" s="1"/>
  <c r="K35" i="7" a="1"/>
  <c r="K35" i="7" s="1"/>
  <c r="K38" i="7" a="1"/>
  <c r="K38" i="7" s="1"/>
  <c r="I20" i="7"/>
  <c r="L23" i="14"/>
  <c r="I37" i="7"/>
  <c r="L28" i="14"/>
  <c r="I42" i="7"/>
  <c r="L20" i="14"/>
  <c r="I34" i="7"/>
  <c r="K12" i="7" a="1"/>
  <c r="K12" i="7" s="1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 s="1"/>
  <c r="K40" i="7" a="1"/>
  <c r="K40" i="7" s="1"/>
  <c r="I53" i="7"/>
  <c r="K44" i="7" a="1"/>
  <c r="K44" i="7" s="1"/>
  <c r="K17" i="7" a="1"/>
  <c r="K17" i="7" s="1"/>
  <c r="K10" i="7" a="1"/>
  <c r="K10" i="7" s="1"/>
  <c r="L15" i="7" a="1"/>
  <c r="L15" i="7" s="1"/>
  <c r="K18" i="7" a="1"/>
  <c r="K18" i="7" s="1"/>
  <c r="K39" i="7" a="1"/>
  <c r="K39" i="7" s="1"/>
  <c r="K41" i="7" a="1"/>
  <c r="K41" i="7" s="1"/>
  <c r="L16" i="7" a="1"/>
  <c r="L16" i="7" s="1"/>
  <c r="K11" i="7" a="1"/>
  <c r="K11" i="7" s="1"/>
  <c r="K8" i="7" a="1"/>
  <c r="K8" i="7" s="1"/>
  <c r="K9" i="7" a="1"/>
  <c r="K9" i="7" s="1"/>
  <c r="K45" i="7" a="1"/>
  <c r="K45" i="7" s="1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<sst xmlns="http://schemas.openxmlformats.org/spreadsheetml/2006/main" count="473" uniqueCount="356">
  <si>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</si>
  <si>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</si>
  <si>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</si>
  <si>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</si>
  <si>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</si>
  <si>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</si>
  <si>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</si>
  <si>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</si>
  <si>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</si>
  <si>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</si>
  <si>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</si>
  <si>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</si>
  <si>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</si>
  <si>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</si>
  <si>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</si>
  <si>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</si>
  <si>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</si>
  <si>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</si>
  <si>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</si>
  <si>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</si>
  <si>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</si>
  <si>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</si>
  <si>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</si>
  <si>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</si>
  <si>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</si>
  <si>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</si>
  <si>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</si>
  <si>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</si>
  <si>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</si>
  <si>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</si>
  <si>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</si>
  <si>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</si>
  <si>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</si>
  <si>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</si>
  <si>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</si>
  <si>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</si>
  <si>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</si>
  <si>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</si>
  <si>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</si>
  <si>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</si>
  <si>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</si>
  <si>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</si>
  <si>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</si>
  <si>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</si>
  <si>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</si>
  <si>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</si>
  <si>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</si>
  <si>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</si>
  <si>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</si>
  <si>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</si>
  <si>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</si>
  <si>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</si>
  <si>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</si>
  <si>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</si>
  <si>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</si>
  <si>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</si>
  <si>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</si>
  <si>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</si>
  <si>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</si>
  <si>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</si>
  <si>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</si>
  <si>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</si>
  <si>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</si>
  <si>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</si>
  <si>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</si>
  <si>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</si>
  <si>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</si>
  <si>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</si>
  <si>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</si>
  <si>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</si>
  <si>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</si>
  <si>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</si>
  <si>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</si>
  <si>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</si>
  <si>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</si>
  <si>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</si>
  <si>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</si>
  <si>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</si>
  <si>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</si>
  <si>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</si>
  <si>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</si>
  <si>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</si>
  <si>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</si>
  <si>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</si>
  <si>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</si>
  <si>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</si>
  <si>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</si>
  <si>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</si>
  <si>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</si>
  <si>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</si>
  <si>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</si>
  <si>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</si>
  <si>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</si>
  <si>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</si>
  <si>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</si>
  <si>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</si>
  <si>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</si>
  <si>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</si>
  <si>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</si>
  <si>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</si>
  <si>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</si>
  <si>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</si>
  <si>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</si>
  <si>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</si>
  <si>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</si>
  <si>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</si>
  <si>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</si>
  <si>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</si>
  <si>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</si>
  <si>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</si>
  <si>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</si>
  <si>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</si>
  <si>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</si>
  <si>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</si>
  <si>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</si>
  <si>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</si>
  <si>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</si>
  <si>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</si>
  <si>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</si>
  <si>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</si>
  <si>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</si>
  <si>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</si>
  <si>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</si>
  <si>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</si>
  <si>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</si>
  <si>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</si>
  <si>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</si>
  <si>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</si>
  <si>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</si>
  <si>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</si>
  <si>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</si>
  <si>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</si>
  <si>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</si>
  <si>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</si>
  <si>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</si>
  <si>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</si>
  <si>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</si>
  <si>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</si>
  <si>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</si>
  <si>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</si>
  <si>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</si>
  <si>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</si>
  <si>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</si>
  <si>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</si>
  <si>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</si>
  <si>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</si>
  <si>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</si>
  <si>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</si>
  <si>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</si>
  <si>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</si>
  <si>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</si>
  <si>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</si>
  <si>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</si>
  <si>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</si>
  <si>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</si>
  <si>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60,90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</si>
  <si>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</si>
  <si>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</si>
  <si>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</si>
  <si>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</si>
  <si>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</si>
  <si>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</si>
  <si>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</si>
  <si>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</si>
  <si>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</si>
  <si>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</si>
  <si>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</si>
  <si>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</si>
  <si>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</si>
  <si>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</si>
  <si>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</si>
  <si>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</si>
  <si>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</si>
  <si>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</si>
  <si>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</si>
  <si>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</si>
  <si>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</si>
  <si>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</si>
  <si>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</si>
  <si>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</si>
  <si>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</si>
  <si>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</si>
  <si>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</si>
  <si>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</si>
  <si>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</si>
  <si>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</si>
  <si>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</si>
  <si>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</si>
  <si>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</si>
  <si>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</si>
  <si>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</si>
  <si>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</si>
  <si>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</si>
  <si>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</si>
  <si>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</si>
  <si>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</si>
  <si>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</si>
  <si>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</si>
  <si>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</si>
  <si>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</si>
  <si>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</si>
  <si>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</si>
  <si>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</si>
  <si>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</si>
  <si>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</si>
  <si>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</si>
  <si>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</si>
  <si>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</si>
  <si>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</si>
  <si>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</si>
  <si>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</si>
  <si>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</si>
  <si>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</si>
  <si>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</si>
  <si>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</si>
  <si>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</si>
  <si>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</si>
  <si>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</si>
  <si>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</si>
  <si>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</si>
  <si>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</si>
  <si>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</si>
  <si>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</si>
  <si>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</si>
  <si>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</si>
  <si>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</si>
  <si>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</si>
  <si>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</si>
  <si>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</si>
  <si>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</si>
  <si>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</si>
  <si>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</si>
  <si>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</si>
  <si>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</si>
  <si>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</si>
  <si>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</si>
  <si>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</si>
  <si>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</si>
  <si>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</si>
  <si>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</si>
  <si>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</si>
  <si>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</si>
  <si>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</si>
  <si>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</si>
  <si>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100,</t>
    <phoneticPr fontId="1" type="noConversion"/>
  </si>
  <si>
    <t>100,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</si>
  <si>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</si>
  <si>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</si>
  <si>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</si>
  <si>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</si>
  <si>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</si>
  <si>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</si>
  <si>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</si>
  <si>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</si>
  <si>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</si>
  <si>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</si>
  <si>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</si>
  <si>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</si>
  <si>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</si>
  <si>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</si>
  <si>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</si>
  <si>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</si>
  <si>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</si>
  <si>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</si>
  <si>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</si>
  <si>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</si>
  <si>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</si>
  <si>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</si>
  <si>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</si>
  <si>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</si>
  <si>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</si>
  <si>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</si>
  <si>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</si>
  <si>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</si>
  <si>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</si>
  <si>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</si>
  <si>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</si>
  <si>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</si>
  <si>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</si>
  <si>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</si>
  <si>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</si>
  <si>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</si>
  <si>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</si>
  <si>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</si>
  <si>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</si>
  <si>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</si>
  <si>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</si>
  <si>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</si>
  <si>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</si>
  <si>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</si>
  <si>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</si>
  <si>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</si>
  <si>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</si>
  <si>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</si>
  <si>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</si>
  <si>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</si>
  <si>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</si>
  <si>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</si>
  <si>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400,500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</si>
  <si>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</si>
  <si>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</si>
  <si>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</si>
  <si>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</si>
  <si>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</si>
  <si>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</si>
  <si>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</si>
  <si>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</si>
  <si>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</si>
  <si>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</si>
  <si>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</si>
  <si>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</si>
  <si>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77,39,12,35,16,15,29,5,</t>
  </si>
  <si>
    <t>77,4,11,19,5,34,26,76,</t>
  </si>
  <si>
    <t>10,10,10,10,10,10,</t>
    <phoneticPr fontId="1" type="noConversion"/>
  </si>
  <si>
    <t>11,11,11,11,11,11,</t>
    <phoneticPr fontId="1" type="noConversion"/>
  </si>
  <si>
    <t>9,9,9,9,9,9,</t>
    <phoneticPr fontId="1" type="noConversion"/>
  </si>
  <si>
    <t>26,24,7,6,28,4,75,17,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</si>
  <si>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</si>
  <si>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</si>
  <si>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</si>
  <si>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</si>
  <si>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6,6,6,6,6,6,</t>
    <phoneticPr fontId="1" type="noConversion"/>
  </si>
  <si>
    <t>4,</t>
    <phoneticPr fontId="1" type="noConversion"/>
  </si>
  <si>
    <t>5,</t>
    <phoneticPr fontId="1" type="noConversion"/>
  </si>
  <si>
    <t>7,7,7,7,7,7,</t>
    <phoneticPr fontId="1" type="noConversion"/>
  </si>
  <si>
    <t>26,24,7,6,28,4,</t>
    <phoneticPr fontId="1" type="noConversion"/>
  </si>
  <si>
    <t>77,39,12,35,16,15,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</si>
  <si>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</si>
  <si>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</si>
  <si>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</si>
  <si>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</si>
  <si>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</si>
  <si>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</si>
  <si>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</si>
  <si>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</si>
  <si>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</si>
  <si>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</si>
  <si>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</si>
  <si>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</si>
  <si>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</si>
  <si>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</si>
  <si>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</si>
  <si>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</si>
  <si>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</si>
  <si>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</si>
  <si>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</si>
  <si>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</si>
  <si>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</si>
  <si>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</si>
  <si>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</si>
  <si>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1,500,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</si>
  <si>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</si>
  <si>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</si>
  <si>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</si>
  <si>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</si>
  <si>
    <t>4,40,60,80,120,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</si>
</sst>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B2" sqref="B2:G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256</v>
      </c>
      <c r="C4" s="2">
        <v>2</v>
      </c>
      <c r="D4" s="2">
        <v>2</v>
      </c>
      <c r="E4" s="2">
        <v>9999999999</v>
      </c>
      <c r="F4" s="2">
        <v>1</v>
      </c>
      <c r="G4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G33" sqref="G33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234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236</v>
      </c>
      <c r="M1" s="8" t="s">
        <v>251</v>
      </c>
    </row>
    <row r="2" spans="1:13" x14ac:dyDescent="0.2">
      <c r="A2" s="2">
        <v>1</v>
      </c>
      <c r="B2" s="2" t="s">
        <v>257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237</v>
      </c>
      <c r="C3" s="2">
        <v>1</v>
      </c>
      <c r="D3" t="s">
        <v>235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237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237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237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237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237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237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348</v>
      </c>
      <c r="C10" s="2">
        <v>1</v>
      </c>
      <c r="D10" t="s">
        <v>349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abSelected="1" workbookViewId="0">
      <pane ySplit="1" topLeftCell="A23" activePane="bottomLeft" state="frozen"/>
      <selection pane="bottomLeft" activeCell="H39" sqref="H39:I39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300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294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322</v>
      </c>
      <c r="D2" s="29" t="s">
        <v>170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323</v>
      </c>
      <c r="D3" s="29" t="s">
        <v>170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291</v>
      </c>
      <c r="D4" s="29" t="s">
        <v>170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248</v>
      </c>
      <c r="D5" s="29" t="s">
        <v>170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249</v>
      </c>
      <c r="D6" s="29" t="s">
        <v>170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321</v>
      </c>
      <c r="G7" s="45" t="s">
        <v>326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324</v>
      </c>
      <c r="D8" s="29" t="s">
        <v>170</v>
      </c>
      <c r="G8" s="45" t="s">
        <v>325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171</v>
      </c>
      <c r="D9" s="29" t="s">
        <v>317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299</v>
      </c>
      <c r="D10" s="29" t="s">
        <v>170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171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293</v>
      </c>
      <c r="D12" s="29" t="s">
        <v>170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189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213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292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214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215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216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304</v>
      </c>
      <c r="G19" s="41" t="s">
        <v>191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303</v>
      </c>
      <c r="G20" s="41" t="s">
        <v>192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302</v>
      </c>
      <c r="G21" s="41" t="s">
        <v>190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301</v>
      </c>
      <c r="G22" s="41" t="s">
        <v>240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305</v>
      </c>
      <c r="G23" s="21" t="s">
        <v>309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306</v>
      </c>
      <c r="G24" s="21" t="s">
        <v>193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307</v>
      </c>
      <c r="G25" s="21" t="s">
        <v>194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308</v>
      </c>
      <c r="G26" s="21" t="s">
        <v>194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319</v>
      </c>
      <c r="G27" s="41" t="s">
        <v>320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318</v>
      </c>
      <c r="G28" s="41" t="s">
        <v>327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172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173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174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175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176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177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31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31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178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179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101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101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180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181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182</v>
      </c>
      <c r="H39" s="19" t="s">
        <v>288</v>
      </c>
      <c r="I39" s="19" t="s">
        <v>289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183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184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188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185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186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150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150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187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100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100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196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125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125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195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197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198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199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200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201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202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203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204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205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206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207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208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209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400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210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211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212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315</v>
      </c>
      <c r="G65" s="45" t="s">
        <v>316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313</v>
      </c>
      <c r="G66" s="45" t="s">
        <v>311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314</v>
      </c>
      <c r="G67" s="46" t="s">
        <v>312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" activePane="bottomLeft" state="frozen"/>
      <selection pane="bottomLeft" activeCell="G34" sqref="G34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238</v>
      </c>
      <c r="C1" s="1" t="s">
        <v>16</v>
      </c>
      <c r="D1" s="1" t="s">
        <v>334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225</v>
      </c>
      <c r="O1" s="8" t="s">
        <v>236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31</v>
      </c>
      <c r="F20" s="39">
        <f t="shared" ref="F20:F28" si="3">1/E20</f>
        <v>3.2258064516129031E-2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31</v>
      </c>
      <c r="J20" s="41">
        <v>1</v>
      </c>
      <c r="K20" s="41">
        <f>LOOKUP(use_fish!B20,base_fish!A:A,base_fish!G:G)</f>
        <v>0</v>
      </c>
      <c r="L20" s="41">
        <f t="shared" ref="L20:L28" si="4">I20</f>
        <v>31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338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338</v>
      </c>
      <c r="E22" s="19">
        <f>LOOKUP(use_fish!B22,base_fish!A:A,base_fish!C:C)+_xlfn.IFNA(INDEX(activity!F:F,MATCH(use_fish!C22,activity!A:A,0)),0)</f>
        <v>101</v>
      </c>
      <c r="F22" s="19">
        <f t="shared" si="3"/>
        <v>9.9009900990099011E-3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101</v>
      </c>
      <c r="J22" s="21">
        <v>1</v>
      </c>
      <c r="K22" s="21">
        <f>LOOKUP(use_fish!B22,base_fish!A:A,base_fish!G:G)</f>
        <v>0</v>
      </c>
      <c r="L22" s="21">
        <f t="shared" si="4"/>
        <v>101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338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338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288</v>
      </c>
      <c r="F25" s="19" t="s">
        <v>289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288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338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338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338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150</v>
      </c>
      <c r="F30" s="23">
        <f t="shared" si="5"/>
        <v>6.6666666666666671E-3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150</v>
      </c>
      <c r="J30" s="25">
        <v>1</v>
      </c>
      <c r="K30" s="25">
        <f>LOOKUP(use_fish!B30,base_fish!A:A,base_fish!G:G)</f>
        <v>0</v>
      </c>
      <c r="L30" s="25">
        <f t="shared" si="6"/>
        <v>150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100</v>
      </c>
      <c r="F31" s="23">
        <f t="shared" si="5"/>
        <v>0.01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100</v>
      </c>
      <c r="J31" s="25">
        <v>1</v>
      </c>
      <c r="K31" s="25">
        <f>LOOKUP(use_fish!B31,base_fish!A:A,base_fish!G:G)</f>
        <v>0</v>
      </c>
      <c r="L31" s="25">
        <f t="shared" si="6"/>
        <v>100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125</v>
      </c>
      <c r="F32" s="23">
        <f t="shared" si="5"/>
        <v>8.0000000000000002E-3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125</v>
      </c>
      <c r="J32" s="25">
        <v>1</v>
      </c>
      <c r="K32" s="25">
        <f>LOOKUP(use_fish!B32,base_fish!A:A,base_fish!G:G)</f>
        <v>0</v>
      </c>
      <c r="L32" s="25">
        <f t="shared" si="6"/>
        <v>125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7">1/E33</f>
        <v>0.01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8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7"/>
        <v>0.01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8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8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7"/>
        <v>2E-3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8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7"/>
        <v>2E-3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8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333</v>
      </c>
      <c r="E38" s="23">
        <f>LOOKUP(use_fish!B38,base_fish!A:A,base_fish!C:C)+_xlfn.IFNA(INDEX(activity!F:F,MATCH(use_fish!C38,activity!A:A,0)),0)</f>
        <v>200</v>
      </c>
      <c r="F38" s="23">
        <f t="shared" si="7"/>
        <v>5.0000000000000001E-3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8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351</v>
      </c>
      <c r="E39" s="32">
        <f>LOOKUP(use_fish!B39,base_fish!A:A,base_fish!C:C)+_xlfn.IFNA(INDEX(activity!F:F,MATCH(use_fish!C39,activity!A:A,0)),0)</f>
        <v>200</v>
      </c>
      <c r="F39" s="32">
        <f t="shared" si="7"/>
        <v>5.0000000000000001E-3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8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351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351</v>
      </c>
      <c r="E41" s="32">
        <f>LOOKUP(use_fish!B41,base_fish!A:A,base_fish!C:C)+_xlfn.IFNA(INDEX(activity!F:F,MATCH(use_fish!C41,activity!A:A,0)),0)</f>
        <v>500</v>
      </c>
      <c r="F41" s="32">
        <f t="shared" si="9"/>
        <v>2E-3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0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351</v>
      </c>
      <c r="E42" s="32">
        <f>LOOKUP(use_fish!B42,base_fish!A:A,base_fish!C:C)+_xlfn.IFNA(INDEX(activity!F:F,MATCH(use_fish!C42,activity!A:A,0)),0)</f>
        <v>300</v>
      </c>
      <c r="F42" s="32">
        <f t="shared" si="9"/>
        <v>3.3333333333333335E-3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0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22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351</v>
      </c>
      <c r="E44" s="32">
        <f>LOOKUP(use_fish!B44,base_fish!A:A,base_fish!C:C)+_xlfn.IFNA(INDEX(activity!F:F,MATCH(use_fish!C44,activity!A:A,0)),0)</f>
        <v>400</v>
      </c>
      <c r="F44" s="32">
        <f t="shared" si="9"/>
        <v>2.5000000000000001E-3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0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22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22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352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333</v>
      </c>
      <c r="E48" s="36">
        <f>LOOKUP(use_fish!B48,base_fish!A:A,base_fish!C:C)+_xlfn.IFNA(INDEX(activity!F:F,MATCH(use_fish!C48,activity!A:A,0)),0)</f>
        <v>400</v>
      </c>
      <c r="F48" s="36">
        <f t="shared" si="11"/>
        <v>2.5000000000000001E-3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400</v>
      </c>
      <c r="J48" s="35">
        <v>1</v>
      </c>
      <c r="K48" s="35">
        <f>LOOKUP(use_fish!B48,base_fish!A:A,base_fish!G:G)</f>
        <v>0</v>
      </c>
      <c r="L48" s="35">
        <f t="shared" si="12"/>
        <v>400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353</v>
      </c>
      <c r="E49" s="36">
        <f>LOOKUP(use_fish!B49,base_fish!A:A,base_fish!C:C)+_xlfn.IFNA(INDEX(activity!F:F,MATCH(use_fish!C49,activity!A:A,0)),0)</f>
        <v>500</v>
      </c>
      <c r="F49" s="36">
        <f t="shared" si="11"/>
        <v>2E-3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2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354</v>
      </c>
      <c r="E50" s="36">
        <f>LOOKUP(use_fish!B50,base_fish!A:A,base_fish!C:C)+_xlfn.IFNA(INDEX(activity!F:F,MATCH(use_fish!C50,activity!A:A,0)),0)</f>
        <v>600</v>
      </c>
      <c r="F50" s="36">
        <f t="shared" si="11"/>
        <v>1.6666666666666668E-3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2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339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7" workbookViewId="0">
      <selection activeCell="C36" sqref="C36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239</v>
      </c>
      <c r="D9" s="4">
        <v>0</v>
      </c>
      <c r="E9" s="4">
        <v>0</v>
      </c>
      <c r="F9">
        <v>100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295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337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217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218</v>
      </c>
    </row>
    <row r="18" spans="1:9" x14ac:dyDescent="0.2">
      <c r="A18">
        <v>17</v>
      </c>
      <c r="B18">
        <v>10</v>
      </c>
      <c r="C18" s="7" t="s">
        <v>335</v>
      </c>
      <c r="D18" s="4">
        <v>0</v>
      </c>
      <c r="E18" s="4">
        <v>0</v>
      </c>
      <c r="F18">
        <v>150</v>
      </c>
      <c r="G18" t="s">
        <v>336</v>
      </c>
      <c r="H18">
        <v>22</v>
      </c>
      <c r="I18" t="s">
        <v>226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230</v>
      </c>
    </row>
    <row r="20" spans="1:9" x14ac:dyDescent="0.2">
      <c r="A20">
        <v>19</v>
      </c>
      <c r="B20">
        <v>17</v>
      </c>
      <c r="C20" t="s">
        <v>155</v>
      </c>
      <c r="D20" s="4">
        <v>0</v>
      </c>
      <c r="E20" s="4">
        <v>0</v>
      </c>
      <c r="F20">
        <v>150</v>
      </c>
      <c r="G20" t="str">
        <f t="shared" si="0"/>
        <v>钻头弹</v>
      </c>
      <c r="H20">
        <v>24</v>
      </c>
      <c r="I20" t="s">
        <v>231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232</v>
      </c>
    </row>
    <row r="22" spans="1:9" x14ac:dyDescent="0.2">
      <c r="A22">
        <v>21</v>
      </c>
      <c r="B22">
        <v>20</v>
      </c>
      <c r="C22" s="11" t="s">
        <v>227</v>
      </c>
      <c r="D22" s="4">
        <v>0</v>
      </c>
      <c r="E22" s="4">
        <v>0</v>
      </c>
      <c r="F22">
        <v>50</v>
      </c>
      <c r="G22" t="s">
        <v>252</v>
      </c>
      <c r="H22">
        <v>26</v>
      </c>
      <c r="I22" t="s">
        <v>246</v>
      </c>
    </row>
    <row r="23" spans="1:9" x14ac:dyDescent="0.2">
      <c r="A23">
        <v>22</v>
      </c>
      <c r="B23">
        <v>20</v>
      </c>
      <c r="C23" s="11" t="s">
        <v>156</v>
      </c>
      <c r="D23" s="4">
        <v>0</v>
      </c>
      <c r="E23" s="4">
        <v>0</v>
      </c>
      <c r="F23">
        <v>150</v>
      </c>
      <c r="G23" t="s">
        <v>253</v>
      </c>
      <c r="H23">
        <v>27</v>
      </c>
      <c r="I23" t="s">
        <v>247</v>
      </c>
    </row>
    <row r="24" spans="1:9" x14ac:dyDescent="0.2">
      <c r="A24">
        <v>23</v>
      </c>
      <c r="B24">
        <v>20</v>
      </c>
      <c r="C24" s="11" t="s">
        <v>157</v>
      </c>
      <c r="D24" s="4">
        <v>0</v>
      </c>
      <c r="E24" s="4">
        <v>0</v>
      </c>
      <c r="F24">
        <v>250</v>
      </c>
      <c r="G24" t="s">
        <v>254</v>
      </c>
      <c r="H24">
        <v>28</v>
      </c>
      <c r="I24" t="s">
        <v>243</v>
      </c>
    </row>
    <row r="25" spans="1:9" x14ac:dyDescent="0.2">
      <c r="A25">
        <v>24</v>
      </c>
      <c r="B25">
        <v>20</v>
      </c>
      <c r="C25" s="11" t="s">
        <v>158</v>
      </c>
      <c r="D25" s="4">
        <v>0</v>
      </c>
      <c r="E25" s="4">
        <v>0</v>
      </c>
      <c r="F25">
        <v>450</v>
      </c>
      <c r="G25" t="s">
        <v>255</v>
      </c>
      <c r="H25">
        <v>29</v>
      </c>
      <c r="I25" t="s">
        <v>242</v>
      </c>
    </row>
    <row r="26" spans="1:9" x14ac:dyDescent="0.2">
      <c r="A26">
        <v>25</v>
      </c>
      <c r="B26">
        <v>21</v>
      </c>
      <c r="C26" s="11" t="s">
        <v>219</v>
      </c>
      <c r="D26" s="4">
        <v>0</v>
      </c>
      <c r="E26" s="4">
        <v>0</v>
      </c>
      <c r="F26">
        <v>10</v>
      </c>
      <c r="G26" t="s">
        <v>222</v>
      </c>
      <c r="H26">
        <v>30</v>
      </c>
      <c r="I26" t="s">
        <v>330</v>
      </c>
    </row>
    <row r="27" spans="1:9" x14ac:dyDescent="0.2">
      <c r="A27">
        <v>26</v>
      </c>
      <c r="B27">
        <v>21</v>
      </c>
      <c r="C27" s="11" t="s">
        <v>220</v>
      </c>
      <c r="D27" s="4">
        <v>0</v>
      </c>
      <c r="E27" s="4">
        <v>0</v>
      </c>
      <c r="F27">
        <v>50</v>
      </c>
      <c r="G27" t="s">
        <v>223</v>
      </c>
      <c r="H27">
        <v>31</v>
      </c>
      <c r="I27" t="s">
        <v>341</v>
      </c>
    </row>
    <row r="28" spans="1:9" x14ac:dyDescent="0.2">
      <c r="A28">
        <v>27</v>
      </c>
      <c r="B28">
        <v>21</v>
      </c>
      <c r="C28" s="11" t="s">
        <v>221</v>
      </c>
      <c r="D28" s="4">
        <v>0</v>
      </c>
      <c r="E28" s="4">
        <v>0</v>
      </c>
      <c r="F28">
        <v>100</v>
      </c>
      <c r="G28" t="s">
        <v>224</v>
      </c>
      <c r="H28">
        <v>32</v>
      </c>
      <c r="I28" t="s">
        <v>342</v>
      </c>
    </row>
    <row r="29" spans="1:9" x14ac:dyDescent="0.2">
      <c r="A29">
        <v>28</v>
      </c>
      <c r="B29">
        <v>22</v>
      </c>
      <c r="C29" s="11" t="s">
        <v>229</v>
      </c>
      <c r="D29" s="4">
        <v>0</v>
      </c>
      <c r="E29" s="4">
        <v>0</v>
      </c>
      <c r="F29">
        <v>100</v>
      </c>
      <c r="G29" t="s">
        <v>228</v>
      </c>
      <c r="H29">
        <v>33</v>
      </c>
      <c r="I29" t="s">
        <v>343</v>
      </c>
    </row>
    <row r="30" spans="1:9" x14ac:dyDescent="0.2">
      <c r="A30">
        <v>29</v>
      </c>
      <c r="B30">
        <v>23</v>
      </c>
      <c r="C30" t="s">
        <v>250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298</v>
      </c>
      <c r="D31" s="4">
        <v>0</v>
      </c>
      <c r="E31" s="4">
        <v>0</v>
      </c>
      <c r="F31">
        <v>500</v>
      </c>
      <c r="G31" t="s">
        <v>297</v>
      </c>
    </row>
    <row r="32" spans="1:9" x14ac:dyDescent="0.2">
      <c r="A32">
        <v>31</v>
      </c>
      <c r="B32">
        <v>25</v>
      </c>
      <c r="C32" t="s">
        <v>239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244</v>
      </c>
      <c r="D33" s="4">
        <v>0</v>
      </c>
      <c r="E33" s="4">
        <v>0</v>
      </c>
      <c r="F33">
        <v>100</v>
      </c>
      <c r="G33" t="s">
        <v>241</v>
      </c>
    </row>
    <row r="34" spans="1:7" x14ac:dyDescent="0.2">
      <c r="A34">
        <v>33</v>
      </c>
      <c r="B34">
        <v>29</v>
      </c>
      <c r="C34" t="s">
        <v>245</v>
      </c>
      <c r="D34" s="4">
        <v>0</v>
      </c>
      <c r="E34" s="4">
        <v>0</v>
      </c>
      <c r="F34">
        <v>100</v>
      </c>
      <c r="G34" t="s">
        <v>242</v>
      </c>
    </row>
    <row r="35" spans="1:7" x14ac:dyDescent="0.2">
      <c r="A35">
        <v>34</v>
      </c>
      <c r="B35">
        <v>30</v>
      </c>
      <c r="C35" s="11" t="s">
        <v>331</v>
      </c>
      <c r="D35" s="4">
        <v>0</v>
      </c>
      <c r="E35" s="4">
        <v>0</v>
      </c>
      <c r="F35">
        <v>200</v>
      </c>
      <c r="G35" t="s">
        <v>332</v>
      </c>
    </row>
    <row r="36" spans="1:7" x14ac:dyDescent="0.2">
      <c r="A36">
        <v>35</v>
      </c>
      <c r="B36">
        <v>31</v>
      </c>
      <c r="C36" t="s">
        <v>355</v>
      </c>
      <c r="D36" s="4">
        <v>0</v>
      </c>
      <c r="E36" s="4">
        <v>0</v>
      </c>
      <c r="F36">
        <v>300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350</v>
      </c>
      <c r="D37" s="4">
        <v>0</v>
      </c>
      <c r="E37" s="4">
        <v>0</v>
      </c>
      <c r="F37">
        <v>500</v>
      </c>
      <c r="G37" t="s">
        <v>344</v>
      </c>
    </row>
    <row r="38" spans="1:7" x14ac:dyDescent="0.2">
      <c r="A38">
        <v>37</v>
      </c>
      <c r="B38">
        <v>33</v>
      </c>
      <c r="C38" t="s">
        <v>345</v>
      </c>
      <c r="D38" s="4">
        <v>0</v>
      </c>
      <c r="E38" s="4">
        <v>0</v>
      </c>
      <c r="F38">
        <v>500</v>
      </c>
      <c r="G38" t="s">
        <v>346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K21" sqref="K2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259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260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261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262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160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263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264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265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266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267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268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159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269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270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271</v>
      </c>
      <c r="F17" s="15">
        <f t="shared" si="1"/>
        <v>35</v>
      </c>
      <c r="G17" s="15">
        <v>0</v>
      </c>
      <c r="H17" s="15" t="s">
        <v>233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1</v>
      </c>
      <c r="D20" s="15">
        <f t="shared" si="0"/>
        <v>1</v>
      </c>
      <c r="E20" s="14" t="s">
        <v>161</v>
      </c>
      <c r="F20" s="15">
        <f t="shared" si="1"/>
        <v>1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290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1</v>
      </c>
      <c r="D22" s="15">
        <f t="shared" si="0"/>
        <v>1</v>
      </c>
      <c r="E22" s="16" t="s">
        <v>272</v>
      </c>
      <c r="F22" s="15">
        <f t="shared" si="1"/>
        <v>1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273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274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288</v>
      </c>
      <c r="D25" s="15" t="s">
        <v>289</v>
      </c>
      <c r="E25" s="16" t="s">
        <v>275</v>
      </c>
      <c r="F25" s="15" t="s">
        <v>288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si="0"/>
        <v>6.6666666666666671E-3</v>
      </c>
      <c r="E26" s="16" t="s">
        <v>163</v>
      </c>
      <c r="F26" s="15">
        <f t="shared" si="1"/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162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276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166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165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167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169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296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164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277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278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279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3"/>
        <v>5.0000000000000001E-3</v>
      </c>
      <c r="E38" s="15" t="s">
        <v>258</v>
      </c>
      <c r="F38" s="15">
        <f t="shared" ref="F38:F51" si="4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3"/>
        <v>5.0000000000000001E-3</v>
      </c>
      <c r="E39" s="15" t="s">
        <v>168</v>
      </c>
      <c r="F39" s="15">
        <f t="shared" si="4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280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3"/>
        <v>2E-3</v>
      </c>
      <c r="E41" s="15" t="s">
        <v>328</v>
      </c>
      <c r="F41" s="15">
        <f t="shared" si="4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3"/>
        <v>3.3333333333333335E-3</v>
      </c>
      <c r="E42" s="15" t="s">
        <v>281</v>
      </c>
      <c r="F42" s="15">
        <f t="shared" si="4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3"/>
        <v>0.01</v>
      </c>
      <c r="E43" s="15" t="s">
        <v>282</v>
      </c>
      <c r="F43" s="15">
        <f t="shared" si="4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3"/>
        <v>2.5000000000000001E-3</v>
      </c>
      <c r="E44" s="15" t="s">
        <v>283</v>
      </c>
      <c r="F44" s="15">
        <f t="shared" si="4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3"/>
        <v>0.01</v>
      </c>
      <c r="E45" s="15" t="s">
        <v>284</v>
      </c>
      <c r="F45" s="15">
        <f t="shared" si="4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3"/>
        <v>0.01</v>
      </c>
      <c r="E46" s="15" t="s">
        <v>285</v>
      </c>
      <c r="F46" s="15">
        <f t="shared" si="4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3"/>
        <v>3.3333333333333335E-3</v>
      </c>
      <c r="E47" s="15" t="s">
        <v>163</v>
      </c>
      <c r="F47" s="15">
        <f t="shared" si="4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3"/>
        <v>5.0000000000000001E-3</v>
      </c>
      <c r="E48" s="15" t="s">
        <v>329</v>
      </c>
      <c r="F48" s="15">
        <f t="shared" si="4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3"/>
        <v>2.8571428571428571E-3</v>
      </c>
      <c r="E49" s="15" t="s">
        <v>286</v>
      </c>
      <c r="F49" s="15">
        <f t="shared" si="4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3"/>
        <v>3.3333333333333335E-3</v>
      </c>
      <c r="E50" s="15" t="s">
        <v>287</v>
      </c>
      <c r="F50" s="15">
        <f t="shared" si="4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340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347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2020-05-26T02:37:18Z</dcterms:modified>
</cp:coreProperties>
</file>