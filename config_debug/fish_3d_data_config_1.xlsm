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9" codeName="{51196F13-6AD0-C1B8-E2B4-A1F9AE17003E}"/>
  <workbookPr filterPrivacy="1" codeName="ThisWorkbook" autoCompressPictures="0"/>
  <xr:revisionPtr revIDLastSave="0" documentId="13_ncr:1_{99785F17-9F06-474B-A4A5-D3970E221F1F}" xr6:coauthVersionLast="43" xr6:coauthVersionMax="43" xr10:uidLastSave="{00000000-0000-0000-0000-000000000000}"/>
  <bookViews>
    <workbookView xWindow="-38400" yWindow="460" windowWidth="38400" windowHeight="21140" activeTab="6" xr2:uid="{00000000-000D-0000-FFFF-FFFF00000000}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1" l="1"/>
  <c r="F39" i="1"/>
  <c r="E26" i="14" l="1"/>
  <c r="H40" i="7" s="1"/>
  <c r="F26" i="1"/>
  <c r="I26" i="14" s="1"/>
  <c r="I40" i="7" s="1"/>
  <c r="D26" i="1"/>
  <c r="F26" i="14" l="1"/>
  <c r="L26" i="14"/>
  <c r="G36" i="5"/>
  <c r="F51" i="1" l="1"/>
  <c r="D51" i="1"/>
  <c r="I7" i="14" l="1"/>
  <c r="E7" i="14"/>
  <c r="F7" i="14" s="1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H43" i="7" s="1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D9" i="1"/>
  <c r="D10" i="1"/>
  <c r="L10" i="14" l="1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 l="1"/>
  <c r="H67" i="7" l="1"/>
  <c r="H16" i="7"/>
  <c r="H15" i="7"/>
  <c r="H22" i="7"/>
  <c r="F32" i="1"/>
  <c r="F33" i="1"/>
  <c r="F34" i="1"/>
  <c r="F36" i="1"/>
  <c r="F37" i="1"/>
  <c r="D37" i="1"/>
  <c r="D36" i="1" l="1"/>
  <c r="G32" i="5" l="1"/>
  <c r="H31" i="14" s="1"/>
  <c r="G30" i="5"/>
  <c r="H32" i="14" s="1"/>
  <c r="D35" i="1"/>
  <c r="D34" i="1"/>
  <c r="D28" i="1"/>
  <c r="D29" i="1"/>
  <c r="D30" i="1"/>
  <c r="D31" i="1"/>
  <c r="D32" i="1"/>
  <c r="D33" i="1"/>
  <c r="K50" i="14"/>
  <c r="J64" i="7" s="1"/>
  <c r="E50" i="14"/>
  <c r="K49" i="14"/>
  <c r="E49" i="14"/>
  <c r="K48" i="14"/>
  <c r="E48" i="14"/>
  <c r="K47" i="14"/>
  <c r="E47" i="14"/>
  <c r="F47" i="14" s="1"/>
  <c r="K46" i="14"/>
  <c r="J60" i="7" s="1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 s="1"/>
  <c r="E35" i="14"/>
  <c r="K34" i="14"/>
  <c r="E34" i="14"/>
  <c r="K33" i="14"/>
  <c r="E33" i="14"/>
  <c r="H8" i="7"/>
  <c r="F8" i="1"/>
  <c r="D8" i="1"/>
  <c r="F8" i="14"/>
  <c r="F29" i="14"/>
  <c r="K29" i="14"/>
  <c r="J43" i="7" s="1"/>
  <c r="F30" i="14"/>
  <c r="I30" i="14"/>
  <c r="K30" i="14"/>
  <c r="J44" i="7" s="1"/>
  <c r="F31" i="14"/>
  <c r="K31" i="14"/>
  <c r="J45" i="7" s="1"/>
  <c r="F32" i="14"/>
  <c r="K32" i="14"/>
  <c r="J46" i="7" s="1"/>
  <c r="F20" i="14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 s="1"/>
  <c r="K6" i="14"/>
  <c r="J66" i="7" s="1"/>
  <c r="K7" i="14"/>
  <c r="K8" i="14"/>
  <c r="K9" i="14"/>
  <c r="J9" i="7" s="1"/>
  <c r="K10" i="14"/>
  <c r="K11" i="14"/>
  <c r="K12" i="14"/>
  <c r="K13" i="14"/>
  <c r="J27" i="7" s="1"/>
  <c r="K14" i="14"/>
  <c r="J28" i="7" s="1"/>
  <c r="K15" i="14"/>
  <c r="J29" i="7" s="1"/>
  <c r="K16" i="14"/>
  <c r="K17" i="14"/>
  <c r="J31" i="7" s="1"/>
  <c r="K18" i="14"/>
  <c r="J32" i="7" s="1"/>
  <c r="K19" i="14"/>
  <c r="J33" i="7" s="1"/>
  <c r="J6" i="7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I13" i="14" s="1"/>
  <c r="F16" i="1"/>
  <c r="I49" i="14" s="1"/>
  <c r="F15" i="1"/>
  <c r="I15" i="14" s="1"/>
  <c r="I16" i="14"/>
  <c r="F17" i="1"/>
  <c r="I17" i="14" s="1"/>
  <c r="F18" i="1"/>
  <c r="F19" i="1"/>
  <c r="I19" i="14" s="1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J12" i="7" l="1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40" i="14"/>
  <c r="F42" i="14"/>
  <c r="F44" i="14"/>
  <c r="F49" i="14"/>
  <c r="H65" i="7"/>
  <c r="F34" i="14"/>
  <c r="F33" i="14"/>
  <c r="F35" i="14"/>
  <c r="F37" i="14"/>
  <c r="F39" i="14"/>
  <c r="F41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 l="1"/>
  <c r="K67" i="7" a="1"/>
  <c r="K67" i="7" s="1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 s="1"/>
  <c r="K37" i="7" a="1"/>
  <c r="K37" i="7" s="1"/>
  <c r="K36" i="7" a="1"/>
  <c r="K36" i="7" s="1"/>
  <c r="K35" i="7" a="1"/>
  <c r="K35" i="7" s="1"/>
  <c r="K38" i="7" a="1"/>
  <c r="K38" i="7" s="1"/>
  <c r="I20" i="7"/>
  <c r="L23" i="14"/>
  <c r="I37" i="7"/>
  <c r="L28" i="14"/>
  <c r="I42" i="7"/>
  <c r="L20" i="14"/>
  <c r="I34" i="7"/>
  <c r="K12" i="7" a="1"/>
  <c r="K12" i="7" s="1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 s="1"/>
  <c r="K40" i="7" a="1"/>
  <c r="K40" i="7" s="1"/>
  <c r="I53" i="7"/>
  <c r="K44" i="7" a="1"/>
  <c r="K44" i="7" s="1"/>
  <c r="K17" i="7" a="1"/>
  <c r="K17" i="7" s="1"/>
  <c r="K10" i="7" a="1"/>
  <c r="K10" i="7" s="1"/>
  <c r="L15" i="7" a="1"/>
  <c r="L15" i="7" s="1"/>
  <c r="K18" i="7" a="1"/>
  <c r="K18" i="7" s="1"/>
  <c r="K39" i="7" a="1"/>
  <c r="K39" i="7" s="1"/>
  <c r="K41" i="7" a="1"/>
  <c r="K41" i="7" s="1"/>
  <c r="L16" i="7" a="1"/>
  <c r="L16" i="7" s="1"/>
  <c r="K11" i="7" a="1"/>
  <c r="K11" i="7" s="1"/>
  <c r="K8" i="7" a="1"/>
  <c r="K8" i="7" s="1"/>
  <c r="K9" i="7" a="1"/>
  <c r="K9" i="7" s="1"/>
  <c r="K45" i="7" a="1"/>
  <c r="K45" i="7" s="1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1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 xr:uid="{00000000-0006-0000-0000-000003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E1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1" authorId="0" shapeId="0" xr:uid="{00000000-0006-0000-05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 xr:uid="{00000000-0006-0000-05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 xr:uid="{00000000-0006-0000-0500-000003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1" authorId="0" shapeId="0" xr:uid="{00000000-0006-0000-08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 xr:uid="{00000000-0006-0000-08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 xr:uid="{00000000-0006-0000-0800-000003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1" authorId="0" shapeId="0" xr:uid="{00000000-0006-0000-09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1" authorId="0" shapeId="0" xr:uid="{00000000-0006-0000-0A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 xr:uid="{00000000-0006-0000-0A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<sst xmlns="http://schemas.openxmlformats.org/spreadsheetml/2006/main" count="476" uniqueCount="368">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</sst>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 xr:uid="{00000000-0005-0000-0000-000001000000}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workbookViewId="0">
      <selection activeCell="E9" sqref="E9"/>
    </sheetView>
  </sheetViews>
  <sheetFormatPr baseColWidth="10" defaultColWidth="8.83203125" defaultRowHeight="15"/>
  <cols>
    <col min="3" max="3" width="15.5" customWidth="1"/>
    <col min="5" max="5" width="26.83203125" customWidth="1"/>
  </cols>
  <sheetData>
    <row r="1" spans="1:5" s="1" customFormat="1" ht="71.25" customHeight="1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8"/>
  <sheetViews>
    <sheetView workbookViewId="0">
      <selection activeCell="C41" sqref="C41"/>
    </sheetView>
  </sheetViews>
  <sheetFormatPr baseColWidth="10" defaultColWidth="11" defaultRowHeight="15"/>
  <cols>
    <col min="2" max="3" width="20.6640625" customWidth="1"/>
    <col min="4" max="4" width="14.6640625" customWidth="1"/>
    <col min="5" max="5" width="17.6640625" customWidth="1"/>
    <col min="6" max="6" width="30.6640625" customWidth="1"/>
    <col min="7" max="7" width="19.33203125" customWidth="1"/>
  </cols>
  <sheetData>
    <row r="1" spans="1:7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11"/>
  <sheetViews>
    <sheetView workbookViewId="0">
      <selection activeCell="C36" sqref="C36"/>
    </sheetView>
  </sheetViews>
  <sheetFormatPr baseColWidth="10" defaultColWidth="8.83203125" defaultRowHeight="15"/>
  <sheetData>
    <row r="1" spans="1:11" ht="60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4"/>
  <sheetViews>
    <sheetView zoomScaleNormal="100" workbookViewId="0">
      <selection activeCell="B2" sqref="B2:G4"/>
    </sheetView>
  </sheetViews>
  <sheetFormatPr baseColWidth="10" defaultColWidth="10.83203125" defaultRowHeight="15"/>
  <cols>
    <col min="1" max="1" width="10.83203125" style="2"/>
    <col min="2" max="2" width="16.83203125" style="2" customWidth="1"/>
    <col min="3" max="3" width="21.1640625" style="2" customWidth="1"/>
    <col min="4" max="4" width="26.33203125" style="2" customWidth="1"/>
    <col min="5" max="5" width="31.5" style="2" customWidth="1"/>
    <col min="6" max="6" width="20.33203125" style="2" customWidth="1"/>
    <col min="7" max="7" width="19.5" style="2" customWidth="1"/>
    <col min="8" max="16384" width="10.83203125" style="2"/>
  </cols>
  <sheetData>
    <row r="1" spans="1:7" ht="30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>
      <c r="A4" s="2">
        <v>3</v>
      </c>
      <c r="B4" s="2" t="s">
        <v>251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M10"/>
  <sheetViews>
    <sheetView workbookViewId="0">
      <selection activeCell="G33" sqref="G33"/>
    </sheetView>
  </sheetViews>
  <sheetFormatPr baseColWidth="10" defaultColWidth="8.83203125" defaultRowHeight="15"/>
  <cols>
    <col min="2" max="2" width="24.33203125" bestFit="1" customWidth="1"/>
    <col min="7" max="7" width="14.83203125" customWidth="1"/>
    <col min="9" max="9" width="11.5" customWidth="1"/>
    <col min="10" max="10" width="11.6640625" customWidth="1"/>
  </cols>
  <sheetData>
    <row r="1" spans="1:13" s="2" customFormat="1" ht="38.25" customHeight="1">
      <c r="A1" s="1" t="s">
        <v>19</v>
      </c>
      <c r="B1" s="1" t="s">
        <v>119</v>
      </c>
      <c r="C1" s="1" t="s">
        <v>232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234</v>
      </c>
      <c r="M1" s="8" t="s">
        <v>246</v>
      </c>
    </row>
    <row r="2" spans="1:13">
      <c r="A2" s="2">
        <v>1</v>
      </c>
      <c r="B2" s="2" t="s">
        <v>252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>
      <c r="A3" s="2">
        <v>2</v>
      </c>
      <c r="B3" s="2" t="s">
        <v>235</v>
      </c>
      <c r="C3" s="2">
        <v>1</v>
      </c>
      <c r="D3" t="s">
        <v>233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>
      <c r="A4" s="2">
        <v>3</v>
      </c>
      <c r="B4" s="2" t="s">
        <v>235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>
      <c r="A5" s="2">
        <v>4</v>
      </c>
      <c r="B5" s="2" t="s">
        <v>235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>
      <c r="A6" s="2">
        <v>5</v>
      </c>
      <c r="B6" s="2" t="s">
        <v>235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>
      <c r="A7" s="2">
        <v>6</v>
      </c>
      <c r="B7" s="2" t="s">
        <v>235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>
      <c r="A8" s="2">
        <v>7</v>
      </c>
      <c r="B8" s="2" t="s">
        <v>235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>
      <c r="A9" s="2">
        <v>8</v>
      </c>
      <c r="B9" s="2" t="s">
        <v>235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>
      <c r="A10" s="2">
        <v>9</v>
      </c>
      <c r="B10" s="2" t="s">
        <v>331</v>
      </c>
      <c r="C10" s="2">
        <v>1</v>
      </c>
      <c r="D10" t="s">
        <v>332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W67"/>
  <sheetViews>
    <sheetView workbookViewId="0">
      <pane ySplit="1" topLeftCell="A29" activePane="bottomLeft" state="frozen"/>
      <selection pane="bottomLeft" activeCell="F52" sqref="F52"/>
    </sheetView>
  </sheetViews>
  <sheetFormatPr baseColWidth="10" defaultColWidth="8.6640625" defaultRowHeight="15" outlineLevelCol="1"/>
  <cols>
    <col min="2" max="2" width="17.1640625" customWidth="1"/>
    <col min="3" max="3" width="38.83203125" bestFit="1" customWidth="1"/>
    <col min="7" max="7" width="40.6640625" bestFit="1" customWidth="1"/>
    <col min="8" max="8" width="10.6640625" customWidth="1"/>
    <col min="9" max="9" width="12" customWidth="1"/>
    <col min="10" max="10" width="19.6640625" customWidth="1"/>
    <col min="11" max="11" width="29.5" customWidth="1"/>
    <col min="17" max="23" width="8.6640625" customWidth="1" outlineLevel="1"/>
  </cols>
  <sheetData>
    <row r="1" spans="1:23" s="1" customFormat="1" ht="63.75" customHeight="1">
      <c r="A1" s="1" t="s">
        <v>10</v>
      </c>
      <c r="B1" s="1" t="s">
        <v>294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289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>
      <c r="A2" s="29">
        <v>1</v>
      </c>
      <c r="B2" s="29">
        <v>1</v>
      </c>
      <c r="C2" s="29" t="s">
        <v>309</v>
      </c>
      <c r="D2" s="29" t="s">
        <v>169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>
      <c r="A3" s="29">
        <v>2</v>
      </c>
      <c r="B3" s="29">
        <v>1</v>
      </c>
      <c r="C3" s="29" t="s">
        <v>310</v>
      </c>
      <c r="D3" s="29" t="s">
        <v>169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>
      <c r="A4" s="29">
        <v>3</v>
      </c>
      <c r="B4" s="29">
        <v>2</v>
      </c>
      <c r="C4" s="29" t="s">
        <v>286</v>
      </c>
      <c r="D4" s="29" t="s">
        <v>169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>
      <c r="A5" s="29">
        <v>4</v>
      </c>
      <c r="B5" s="29">
        <v>2</v>
      </c>
      <c r="C5" s="29" t="s">
        <v>243</v>
      </c>
      <c r="D5" s="29" t="s">
        <v>169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>
      <c r="A6" s="29">
        <v>5</v>
      </c>
      <c r="B6" s="29">
        <v>2</v>
      </c>
      <c r="C6" s="29" t="s">
        <v>244</v>
      </c>
      <c r="D6" s="29" t="s">
        <v>169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>
      <c r="A7" s="29">
        <v>6</v>
      </c>
      <c r="B7" s="29">
        <v>2</v>
      </c>
      <c r="C7" s="29" t="s">
        <v>343</v>
      </c>
      <c r="G7" s="45" t="s">
        <v>344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>
      <c r="A8" s="29">
        <v>7</v>
      </c>
      <c r="B8" s="29">
        <v>2</v>
      </c>
      <c r="C8" s="29" t="s">
        <v>345</v>
      </c>
      <c r="G8" s="45" t="s">
        <v>346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>
      <c r="A9" s="29">
        <v>8</v>
      </c>
      <c r="B9" s="29">
        <v>2</v>
      </c>
      <c r="C9" s="29" t="s">
        <v>170</v>
      </c>
      <c r="D9" s="29" t="s">
        <v>305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>
      <c r="A10" s="29">
        <v>9</v>
      </c>
      <c r="B10" s="29">
        <v>1</v>
      </c>
      <c r="C10" s="29" t="s">
        <v>293</v>
      </c>
      <c r="D10" s="29" t="s">
        <v>169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>
      <c r="A11" s="29">
        <v>10</v>
      </c>
      <c r="B11" s="29">
        <v>1</v>
      </c>
      <c r="C11" s="29" t="s">
        <v>43</v>
      </c>
      <c r="D11" s="29" t="s">
        <v>170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>
      <c r="A12" s="29">
        <v>11</v>
      </c>
      <c r="B12" s="29">
        <v>1</v>
      </c>
      <c r="C12" s="29" t="s">
        <v>288</v>
      </c>
      <c r="D12" s="29" t="s">
        <v>169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>
      <c r="A13" s="12">
        <v>12</v>
      </c>
      <c r="B13" s="12">
        <v>3</v>
      </c>
      <c r="C13" s="12" t="s">
        <v>188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>
      <c r="A14" s="12">
        <v>13</v>
      </c>
      <c r="B14" s="12">
        <v>3</v>
      </c>
      <c r="C14" s="12" t="s">
        <v>212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>
      <c r="A15" s="12">
        <v>14</v>
      </c>
      <c r="B15" s="12">
        <v>3</v>
      </c>
      <c r="C15" s="12" t="s">
        <v>287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>
      <c r="A16" s="12">
        <v>15</v>
      </c>
      <c r="B16" s="12">
        <v>3</v>
      </c>
      <c r="C16" s="12" t="s">
        <v>213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>
      <c r="A17" s="12">
        <v>16</v>
      </c>
      <c r="B17" s="12">
        <v>3</v>
      </c>
      <c r="C17" s="12" t="s">
        <v>214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>
      <c r="A18" s="12">
        <v>17</v>
      </c>
      <c r="B18" s="12">
        <v>3</v>
      </c>
      <c r="C18" s="12" t="s">
        <v>215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>
      <c r="A19" s="41">
        <v>18</v>
      </c>
      <c r="B19" s="41">
        <v>4</v>
      </c>
      <c r="C19" s="41" t="s">
        <v>298</v>
      </c>
      <c r="G19" s="41" t="s">
        <v>190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>
      <c r="A20" s="41">
        <v>19</v>
      </c>
      <c r="B20" s="41">
        <v>4</v>
      </c>
      <c r="C20" s="41" t="s">
        <v>297</v>
      </c>
      <c r="G20" s="41" t="s">
        <v>191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>
      <c r="A21" s="41">
        <v>20</v>
      </c>
      <c r="B21" s="41">
        <v>4</v>
      </c>
      <c r="C21" s="41" t="s">
        <v>296</v>
      </c>
      <c r="G21" s="41" t="s">
        <v>189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>
      <c r="A22" s="41">
        <v>21</v>
      </c>
      <c r="B22" s="41">
        <v>4</v>
      </c>
      <c r="C22" s="41" t="s">
        <v>295</v>
      </c>
      <c r="G22" s="41" t="s">
        <v>237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>
      <c r="A23" s="21">
        <v>22</v>
      </c>
      <c r="B23" s="21">
        <v>4</v>
      </c>
      <c r="C23" s="21" t="s">
        <v>299</v>
      </c>
      <c r="G23" s="21" t="s">
        <v>303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138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>
      <c r="A24" s="21">
        <v>23</v>
      </c>
      <c r="B24" s="21">
        <v>4</v>
      </c>
      <c r="C24" s="21" t="s">
        <v>300</v>
      </c>
      <c r="G24" s="21" t="s">
        <v>192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118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>
      <c r="A25" s="21">
        <v>24</v>
      </c>
      <c r="B25" s="21">
        <v>4</v>
      </c>
      <c r="C25" s="21" t="s">
        <v>301</v>
      </c>
      <c r="G25" s="21" t="s">
        <v>193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185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>
      <c r="A26" s="21">
        <v>25</v>
      </c>
      <c r="B26" s="21">
        <v>4</v>
      </c>
      <c r="C26" s="21" t="s">
        <v>302</v>
      </c>
      <c r="G26" s="21" t="s">
        <v>193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>
      <c r="A27" s="41">
        <v>26</v>
      </c>
      <c r="B27" s="41">
        <v>2</v>
      </c>
      <c r="C27" s="41" t="s">
        <v>307</v>
      </c>
      <c r="G27" s="41" t="s">
        <v>308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>
      <c r="A28" s="41">
        <v>27</v>
      </c>
      <c r="B28" s="41">
        <v>2</v>
      </c>
      <c r="C28" s="41" t="s">
        <v>306</v>
      </c>
      <c r="G28" s="41" t="s">
        <v>311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>
      <c r="A29" s="41">
        <v>28</v>
      </c>
      <c r="B29" s="41">
        <v>1</v>
      </c>
      <c r="C29" s="41" t="s">
        <v>171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>
      <c r="A30" s="41">
        <v>29</v>
      </c>
      <c r="B30" s="41">
        <v>1</v>
      </c>
      <c r="C30" s="41" t="s">
        <v>172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>
      <c r="A31" s="41">
        <v>30</v>
      </c>
      <c r="B31" s="41">
        <v>1</v>
      </c>
      <c r="C31" s="41" t="s">
        <v>173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>
      <c r="A32" s="41">
        <v>31</v>
      </c>
      <c r="B32" s="41">
        <v>1</v>
      </c>
      <c r="C32" s="41" t="s">
        <v>174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>
      <c r="A33" s="41">
        <v>32</v>
      </c>
      <c r="B33" s="41">
        <v>1</v>
      </c>
      <c r="C33" s="41" t="s">
        <v>175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>
      <c r="A34" s="41">
        <v>33</v>
      </c>
      <c r="B34" s="41">
        <v>1</v>
      </c>
      <c r="C34" s="41" t="s">
        <v>176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>
      <c r="A35" s="21">
        <v>34</v>
      </c>
      <c r="B35" s="21">
        <v>1</v>
      </c>
      <c r="C35" s="21" t="s">
        <v>177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>
      <c r="A36" s="21">
        <v>35</v>
      </c>
      <c r="B36" s="21">
        <v>1</v>
      </c>
      <c r="C36" s="21" t="s">
        <v>178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>
      <c r="A37" s="21">
        <v>36</v>
      </c>
      <c r="B37" s="21">
        <v>1</v>
      </c>
      <c r="C37" s="21" t="s">
        <v>179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>
      <c r="A38" s="21">
        <v>37</v>
      </c>
      <c r="B38" s="21">
        <v>1</v>
      </c>
      <c r="C38" s="21" t="s">
        <v>180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>
      <c r="A39" s="21">
        <v>38</v>
      </c>
      <c r="B39" s="21">
        <v>1</v>
      </c>
      <c r="C39" s="21" t="s">
        <v>181</v>
      </c>
      <c r="H39" s="19" t="s">
        <v>283</v>
      </c>
      <c r="I39" s="19" t="s">
        <v>284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>
      <c r="A40" s="21">
        <v>39</v>
      </c>
      <c r="B40" s="21">
        <v>1</v>
      </c>
      <c r="C40" s="21" t="s">
        <v>182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>
      <c r="A41" s="21">
        <v>40</v>
      </c>
      <c r="B41" s="21">
        <v>1</v>
      </c>
      <c r="C41" s="21" t="s">
        <v>183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>
      <c r="A42" s="21">
        <v>41</v>
      </c>
      <c r="B42" s="21">
        <v>1</v>
      </c>
      <c r="C42" s="21" t="s">
        <v>187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>
      <c r="A43" s="44">
        <v>42</v>
      </c>
      <c r="B43" s="44">
        <v>1</v>
      </c>
      <c r="C43" s="44" t="s">
        <v>184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>
      <c r="A44" s="44">
        <v>43</v>
      </c>
      <c r="B44" s="44">
        <v>1</v>
      </c>
      <c r="C44" s="44" t="s">
        <v>185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>
      <c r="A45" s="44">
        <v>44</v>
      </c>
      <c r="B45" s="44">
        <v>1</v>
      </c>
      <c r="C45" s="44" t="s">
        <v>186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>
      <c r="A46" s="44">
        <v>45</v>
      </c>
      <c r="B46" s="44">
        <v>1</v>
      </c>
      <c r="C46" s="44" t="s">
        <v>195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>
      <c r="A47" s="44">
        <v>46</v>
      </c>
      <c r="B47" s="44">
        <v>1</v>
      </c>
      <c r="C47" s="44" t="s">
        <v>194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>
      <c r="A48" s="44">
        <v>47</v>
      </c>
      <c r="B48" s="44">
        <v>1</v>
      </c>
      <c r="C48" s="44" t="s">
        <v>196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>
      <c r="A49" s="44">
        <v>48</v>
      </c>
      <c r="B49" s="44">
        <v>1</v>
      </c>
      <c r="C49" s="44" t="s">
        <v>197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>
      <c r="A50" s="44">
        <v>49</v>
      </c>
      <c r="B50" s="44">
        <v>1</v>
      </c>
      <c r="C50" s="44" t="s">
        <v>198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>
      <c r="A51" s="44">
        <v>50</v>
      </c>
      <c r="B51" s="44">
        <v>1</v>
      </c>
      <c r="C51" s="44" t="s">
        <v>199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>
      <c r="A52" s="44">
        <v>51</v>
      </c>
      <c r="B52" s="44">
        <v>1</v>
      </c>
      <c r="C52" s="44" t="s">
        <v>200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>
      <c r="A53" s="31">
        <v>52</v>
      </c>
      <c r="B53" s="31">
        <v>1</v>
      </c>
      <c r="C53" s="31" t="s">
        <v>201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>
      <c r="A54" s="31">
        <v>53</v>
      </c>
      <c r="B54" s="31">
        <v>1</v>
      </c>
      <c r="C54" s="31" t="s">
        <v>202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>
      <c r="A55" s="31">
        <v>54</v>
      </c>
      <c r="B55" s="31">
        <v>1</v>
      </c>
      <c r="C55" s="31" t="s">
        <v>203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>
      <c r="A56" s="31">
        <v>55</v>
      </c>
      <c r="B56" s="31">
        <v>1</v>
      </c>
      <c r="C56" s="31" t="s">
        <v>204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>
      <c r="A57" s="31">
        <v>56</v>
      </c>
      <c r="B57" s="31">
        <v>1</v>
      </c>
      <c r="C57" s="31" t="s">
        <v>205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>
      <c r="A58" s="31">
        <v>57</v>
      </c>
      <c r="B58" s="31">
        <v>1</v>
      </c>
      <c r="C58" s="31" t="s">
        <v>206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>
      <c r="A59" s="31">
        <v>58</v>
      </c>
      <c r="B59" s="31">
        <v>1</v>
      </c>
      <c r="C59" s="31" t="s">
        <v>207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>
      <c r="A60" s="31">
        <v>59</v>
      </c>
      <c r="B60" s="31">
        <v>1</v>
      </c>
      <c r="C60" s="31" t="s">
        <v>208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>
      <c r="A61" s="35">
        <v>60</v>
      </c>
      <c r="B61" s="35">
        <v>1</v>
      </c>
      <c r="C61" s="35" t="s">
        <v>304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>
      <c r="A62" s="35">
        <v>61</v>
      </c>
      <c r="B62" s="35">
        <v>1</v>
      </c>
      <c r="C62" s="35" t="s">
        <v>209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>
      <c r="A63" s="35">
        <v>62</v>
      </c>
      <c r="B63" s="35">
        <v>1</v>
      </c>
      <c r="C63" s="35" t="s">
        <v>210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>
      <c r="A64" s="35">
        <v>63</v>
      </c>
      <c r="B64" s="35">
        <v>1</v>
      </c>
      <c r="C64" s="35" t="s">
        <v>211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>
      <c r="A65" s="29">
        <v>64</v>
      </c>
      <c r="B65" s="29">
        <v>2</v>
      </c>
      <c r="C65" s="29" t="s">
        <v>348</v>
      </c>
      <c r="G65" s="45" t="s">
        <v>353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>
      <c r="A66" s="29">
        <v>65</v>
      </c>
      <c r="B66" s="29">
        <v>2</v>
      </c>
      <c r="C66" s="29" t="s">
        <v>349</v>
      </c>
      <c r="G66" s="45" t="s">
        <v>352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>
      <c r="A67" s="29">
        <v>66</v>
      </c>
      <c r="B67" s="29">
        <v>2</v>
      </c>
      <c r="C67" s="29" t="s">
        <v>350</v>
      </c>
      <c r="G67" s="46" t="s">
        <v>351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 xr:uid="{00000000-0009-0000-0000-000005000000}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base_fish!$E$2:$E$19</xm:f>
          </x14:formula1>
          <xm:sqref>L2:L7 L13 L65:L66</xm:sqref>
        </x14:dataValidation>
        <x14:dataValidation type="list" showInputMessage="1" showErrorMessage="1" xr:uid="{00000000-0002-0000-0500-000001000000}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O51"/>
  <sheetViews>
    <sheetView tabSelected="1" zoomScaleNormal="100" workbookViewId="0">
      <pane ySplit="1" topLeftCell="A2" activePane="bottomLeft" state="frozen"/>
      <selection pane="bottomLeft" activeCell="S14" sqref="S14"/>
    </sheetView>
  </sheetViews>
  <sheetFormatPr baseColWidth="10" defaultColWidth="8.83203125" defaultRowHeight="15"/>
  <cols>
    <col min="1" max="1" width="14.1640625" customWidth="1"/>
    <col min="2" max="2" width="11.33203125" customWidth="1"/>
    <col min="3" max="4" width="11.33203125" style="3" customWidth="1"/>
    <col min="5" max="5" width="14.83203125" bestFit="1" customWidth="1"/>
    <col min="6" max="6" width="22" bestFit="1" customWidth="1"/>
    <col min="7" max="7" width="15" customWidth="1"/>
    <col min="8" max="8" width="23.6640625" customWidth="1"/>
    <col min="10" max="10" width="19" customWidth="1"/>
    <col min="11" max="11" width="18.33203125" customWidth="1"/>
    <col min="14" max="15" width="8.6640625" bestFit="1" customWidth="1"/>
  </cols>
  <sheetData>
    <row r="1" spans="1:15" ht="75">
      <c r="A1" s="1" t="s">
        <v>21</v>
      </c>
      <c r="B1" s="1" t="s">
        <v>236</v>
      </c>
      <c r="C1" s="1" t="s">
        <v>16</v>
      </c>
      <c r="D1" s="1" t="s">
        <v>317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224</v>
      </c>
      <c r="O1" s="8" t="s">
        <v>234</v>
      </c>
    </row>
    <row r="2" spans="1:15" s="29" customFormat="1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>
      <c r="A21" s="18">
        <v>20</v>
      </c>
      <c r="B21" s="18">
        <v>20</v>
      </c>
      <c r="C21" s="18"/>
      <c r="D21" s="18" t="s">
        <v>321</v>
      </c>
      <c r="E21" s="19">
        <f>LOOKUP(use_fish!B21,base_fish!A:A,base_fish!C:C)+_xlfn.IFNA(INDEX(activity!F:F,MATCH(use_fish!C21,activity!A:A,0)),0)</f>
        <v>60</v>
      </c>
      <c r="F21" s="19">
        <f t="shared" si="3"/>
        <v>1.6666666666666666E-2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>
      <c r="A23" s="18">
        <v>22</v>
      </c>
      <c r="B23" s="18">
        <v>22</v>
      </c>
      <c r="C23" s="18"/>
      <c r="D23" s="18" t="s">
        <v>354</v>
      </c>
      <c r="E23" s="19">
        <f>LOOKUP(use_fish!B23,base_fish!A:A,base_fish!C:C)+_xlfn.IFNA(INDEX(activity!F:F,MATCH(use_fish!C23,activity!A:A,0)),0)</f>
        <v>60</v>
      </c>
      <c r="F23" s="19">
        <f t="shared" si="3"/>
        <v>1.6666666666666666E-2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>
      <c r="A24" s="18">
        <v>23</v>
      </c>
      <c r="B24" s="18">
        <v>23</v>
      </c>
      <c r="C24" s="18"/>
      <c r="D24" s="18" t="s">
        <v>355</v>
      </c>
      <c r="E24" s="19">
        <f>LOOKUP(use_fish!B24,base_fish!A:A,base_fish!C:C)+_xlfn.IFNA(INDEX(activity!F:F,MATCH(use_fish!C24,activity!A:A,0)),0)</f>
        <v>60</v>
      </c>
      <c r="F24" s="19">
        <f t="shared" si="3"/>
        <v>1.6666666666666666E-2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>
      <c r="A25" s="18">
        <v>24</v>
      </c>
      <c r="B25" s="18">
        <v>24</v>
      </c>
      <c r="C25" s="18"/>
      <c r="D25" s="18"/>
      <c r="E25" s="19" t="s">
        <v>283</v>
      </c>
      <c r="F25" s="19" t="s">
        <v>284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283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>
      <c r="A26" s="18">
        <v>25</v>
      </c>
      <c r="B26" s="18">
        <v>25</v>
      </c>
      <c r="C26" s="18"/>
      <c r="D26" s="18" t="s">
        <v>321</v>
      </c>
      <c r="E26" s="19">
        <f>LOOKUP(use_fish!B26,base_fish!A:A,base_fish!C:C)+_xlfn.IFNA(INDEX(activity!F:F,MATCH(use_fish!C26,activity!A:A,0)),0)</f>
        <v>80</v>
      </c>
      <c r="F26" s="19">
        <f t="shared" si="3"/>
        <v>1.2500000000000001E-2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>
      <c r="A27" s="18">
        <v>26</v>
      </c>
      <c r="B27" s="18">
        <v>26</v>
      </c>
      <c r="C27" s="18"/>
      <c r="D27" s="18" t="s">
        <v>321</v>
      </c>
      <c r="E27" s="19">
        <f>LOOKUP(use_fish!B27,base_fish!A:A,base_fish!C:C)+_xlfn.IFNA(INDEX(activity!F:F,MATCH(use_fish!C27,activity!A:A,0)),0)</f>
        <v>100</v>
      </c>
      <c r="F27" s="19">
        <f t="shared" si="3"/>
        <v>0.01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>
      <c r="A28" s="18">
        <v>27</v>
      </c>
      <c r="B28" s="18">
        <v>27</v>
      </c>
      <c r="C28" s="18"/>
      <c r="D28" s="18" t="s">
        <v>356</v>
      </c>
      <c r="E28" s="19">
        <f>LOOKUP(use_fish!B28,base_fish!A:A,base_fish!C:C)+_xlfn.IFNA(INDEX(activity!F:F,MATCH(use_fish!C28,activity!A:A,0)),0)</f>
        <v>100</v>
      </c>
      <c r="F28" s="19">
        <f t="shared" si="3"/>
        <v>0.01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8"/>
        <v>50</v>
      </c>
      <c r="M35" s="25">
        <v>1</v>
      </c>
      <c r="N35" s="25">
        <v>1</v>
      </c>
      <c r="O35" s="25">
        <v>1</v>
      </c>
    </row>
    <row r="36" spans="1:15" s="25" customFormat="1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>
      <c r="A39" s="30">
        <v>38</v>
      </c>
      <c r="B39" s="30">
        <v>38</v>
      </c>
      <c r="C39" s="30"/>
      <c r="D39" s="30" t="s">
        <v>333</v>
      </c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>
      <c r="A40" s="30">
        <v>39</v>
      </c>
      <c r="B40" s="30">
        <v>39</v>
      </c>
      <c r="C40" s="30"/>
      <c r="D40" s="30" t="s">
        <v>357</v>
      </c>
      <c r="E40" s="32">
        <f>LOOKUP(use_fish!B40,base_fish!A:A,base_fish!C:C)+_xlfn.IFNA(INDEX(activity!F:F,MATCH(use_fish!C40,activity!A:A,0)),0)</f>
        <v>100</v>
      </c>
      <c r="F40" s="32">
        <f t="shared" ref="F40:F44" si="9">1/E40</f>
        <v>0.01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>
      <c r="A41" s="30">
        <v>40</v>
      </c>
      <c r="B41" s="30">
        <v>40</v>
      </c>
      <c r="C41" s="30"/>
      <c r="D41" s="30" t="s">
        <v>358</v>
      </c>
      <c r="E41" s="32">
        <f>LOOKUP(use_fish!B41,base_fish!A:A,base_fish!C:C)+_xlfn.IFNA(INDEX(activity!F:F,MATCH(use_fish!C41,activity!A:A,0)),0)</f>
        <v>300</v>
      </c>
      <c r="F41" s="32">
        <f t="shared" si="9"/>
        <v>3.3333333333333335E-3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0"/>
        <v>300</v>
      </c>
      <c r="M41" s="31">
        <v>1</v>
      </c>
      <c r="N41" s="31">
        <v>2</v>
      </c>
      <c r="O41" s="31">
        <v>1</v>
      </c>
    </row>
    <row r="42" spans="1:15" s="31" customFormat="1">
      <c r="A42" s="30">
        <v>41</v>
      </c>
      <c r="B42" s="30">
        <v>41</v>
      </c>
      <c r="C42" s="30"/>
      <c r="D42" s="30" t="s">
        <v>357</v>
      </c>
      <c r="E42" s="32">
        <f>LOOKUP(use_fish!B42,base_fish!A:A,base_fish!C:C)+_xlfn.IFNA(INDEX(activity!F:F,MATCH(use_fish!C42,activity!A:A,0)),0)</f>
        <v>200</v>
      </c>
      <c r="F42" s="32">
        <f t="shared" si="9"/>
        <v>5.0000000000000001E-3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0"/>
        <v>200</v>
      </c>
      <c r="M42" s="31">
        <v>1</v>
      </c>
      <c r="N42" s="31">
        <v>2</v>
      </c>
      <c r="O42" s="31">
        <v>1</v>
      </c>
    </row>
    <row r="43" spans="1:15" s="31" customFormat="1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22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0"/>
        <v>0</v>
      </c>
      <c r="M43" s="31">
        <v>1</v>
      </c>
      <c r="N43" s="31">
        <v>2</v>
      </c>
      <c r="O43" s="31">
        <v>1</v>
      </c>
    </row>
    <row r="44" spans="1:15" s="31" customFormat="1">
      <c r="A44" s="30">
        <v>43</v>
      </c>
      <c r="B44" s="30">
        <v>43</v>
      </c>
      <c r="C44" s="30"/>
      <c r="D44" s="30" t="s">
        <v>359</v>
      </c>
      <c r="E44" s="32">
        <f>LOOKUP(use_fish!B44,base_fish!A:A,base_fish!C:C)+_xlfn.IFNA(INDEX(activity!F:F,MATCH(use_fish!C44,activity!A:A,0)),0)</f>
        <v>200</v>
      </c>
      <c r="F44" s="32">
        <f t="shared" si="9"/>
        <v>5.0000000000000001E-3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0"/>
        <v>200</v>
      </c>
      <c r="M44" s="31">
        <v>1</v>
      </c>
      <c r="N44" s="31">
        <v>2</v>
      </c>
      <c r="O44" s="31">
        <v>1</v>
      </c>
    </row>
    <row r="45" spans="1:15" s="31" customFormat="1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22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0"/>
        <v>0</v>
      </c>
      <c r="M45" s="31">
        <v>2</v>
      </c>
      <c r="N45" s="31">
        <v>2</v>
      </c>
      <c r="O45" s="31">
        <v>1</v>
      </c>
    </row>
    <row r="46" spans="1:15" s="31" customFormat="1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22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1">I46</f>
        <v>0</v>
      </c>
      <c r="M46" s="31">
        <v>1</v>
      </c>
      <c r="N46" s="31">
        <v>2</v>
      </c>
      <c r="O46" s="31">
        <v>1</v>
      </c>
    </row>
    <row r="47" spans="1:15" s="35" customFormat="1">
      <c r="A47" s="34">
        <v>46</v>
      </c>
      <c r="B47" s="34">
        <v>46</v>
      </c>
      <c r="C47" s="34"/>
      <c r="D47" s="34" t="s">
        <v>360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>
      <c r="A48" s="34">
        <v>47</v>
      </c>
      <c r="B48" s="34">
        <v>47</v>
      </c>
      <c r="C48" s="34">
        <v>34</v>
      </c>
      <c r="D48" s="34" t="s">
        <v>362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>
      <c r="A49" s="34">
        <v>48</v>
      </c>
      <c r="B49" s="34">
        <v>48</v>
      </c>
      <c r="C49" s="34">
        <v>17</v>
      </c>
      <c r="D49" s="34" t="s">
        <v>363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>
      <c r="A50" s="34">
        <v>49</v>
      </c>
      <c r="B50" s="34">
        <v>49</v>
      </c>
      <c r="C50" s="34">
        <v>35</v>
      </c>
      <c r="D50" s="34" t="s">
        <v>364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322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K40"/>
  <sheetViews>
    <sheetView workbookViewId="0">
      <selection activeCell="G1" sqref="G1"/>
    </sheetView>
  </sheetViews>
  <sheetFormatPr baseColWidth="10" defaultColWidth="8.6640625" defaultRowHeight="15"/>
  <cols>
    <col min="2" max="2" width="13" customWidth="1"/>
    <col min="3" max="3" width="21.33203125" bestFit="1" customWidth="1"/>
    <col min="4" max="5" width="16.1640625" customWidth="1"/>
    <col min="6" max="7" width="15.1640625" customWidth="1"/>
    <col min="9" max="9" width="41" bestFit="1" customWidth="1"/>
    <col min="11" max="11" width="12.1640625" customWidth="1"/>
  </cols>
  <sheetData>
    <row r="1" spans="1:11" s="1" customFormat="1" ht="48.75" customHeight="1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46</v>
      </c>
      <c r="K2" t="s">
        <v>82</v>
      </c>
    </row>
    <row r="3" spans="1:11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>
      <c r="A7">
        <v>6</v>
      </c>
      <c r="B7">
        <v>4</v>
      </c>
      <c r="C7" t="s">
        <v>186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>
      <c r="A9">
        <v>8</v>
      </c>
      <c r="B9">
        <v>4</v>
      </c>
      <c r="C9" t="s">
        <v>347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53</v>
      </c>
    </row>
    <row r="10" spans="1:11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>
      <c r="A11">
        <v>10</v>
      </c>
      <c r="B11">
        <v>5</v>
      </c>
      <c r="C11" t="s">
        <v>290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320</v>
      </c>
    </row>
    <row r="12" spans="1:11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>
      <c r="A18">
        <v>17</v>
      </c>
      <c r="B18">
        <v>10</v>
      </c>
      <c r="C18" s="7" t="s">
        <v>318</v>
      </c>
      <c r="D18" s="4">
        <v>0</v>
      </c>
      <c r="E18" s="4">
        <v>0</v>
      </c>
      <c r="F18">
        <v>150</v>
      </c>
      <c r="G18" t="s">
        <v>319</v>
      </c>
      <c r="H18">
        <v>22</v>
      </c>
      <c r="I18" t="s">
        <v>225</v>
      </c>
    </row>
    <row r="19" spans="1:9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334</v>
      </c>
    </row>
    <row r="20" spans="1:9">
      <c r="A20">
        <v>19</v>
      </c>
      <c r="B20">
        <v>17</v>
      </c>
      <c r="C20" s="11" t="s">
        <v>335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229</v>
      </c>
    </row>
    <row r="21" spans="1:9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230</v>
      </c>
    </row>
    <row r="22" spans="1:9">
      <c r="A22">
        <v>21</v>
      </c>
      <c r="B22">
        <v>20</v>
      </c>
      <c r="C22" s="11" t="s">
        <v>226</v>
      </c>
      <c r="D22" s="4">
        <v>0</v>
      </c>
      <c r="E22" s="4">
        <v>0</v>
      </c>
      <c r="F22">
        <v>50</v>
      </c>
      <c r="G22" t="s">
        <v>247</v>
      </c>
      <c r="H22">
        <v>26</v>
      </c>
      <c r="I22" t="s">
        <v>241</v>
      </c>
    </row>
    <row r="23" spans="1:9">
      <c r="A23">
        <v>22</v>
      </c>
      <c r="B23">
        <v>20</v>
      </c>
      <c r="C23" s="11" t="s">
        <v>155</v>
      </c>
      <c r="D23" s="4">
        <v>0</v>
      </c>
      <c r="E23" s="4">
        <v>0</v>
      </c>
      <c r="F23">
        <v>150</v>
      </c>
      <c r="G23" t="s">
        <v>248</v>
      </c>
      <c r="H23">
        <v>27</v>
      </c>
      <c r="I23" t="s">
        <v>242</v>
      </c>
    </row>
    <row r="24" spans="1:9">
      <c r="A24">
        <v>23</v>
      </c>
      <c r="B24">
        <v>20</v>
      </c>
      <c r="C24" s="11" t="s">
        <v>156</v>
      </c>
      <c r="D24" s="4">
        <v>0</v>
      </c>
      <c r="E24" s="4">
        <v>0</v>
      </c>
      <c r="F24">
        <v>250</v>
      </c>
      <c r="G24" t="s">
        <v>249</v>
      </c>
      <c r="H24">
        <v>28</v>
      </c>
      <c r="I24" t="s">
        <v>240</v>
      </c>
    </row>
    <row r="25" spans="1:9">
      <c r="A25">
        <v>24</v>
      </c>
      <c r="B25">
        <v>20</v>
      </c>
      <c r="C25" s="11" t="s">
        <v>157</v>
      </c>
      <c r="D25" s="4">
        <v>0</v>
      </c>
      <c r="E25" s="4">
        <v>0</v>
      </c>
      <c r="F25">
        <v>450</v>
      </c>
      <c r="G25" t="s">
        <v>250</v>
      </c>
      <c r="H25">
        <v>29</v>
      </c>
      <c r="I25" t="s">
        <v>239</v>
      </c>
    </row>
    <row r="26" spans="1:9">
      <c r="A26">
        <v>25</v>
      </c>
      <c r="B26">
        <v>21</v>
      </c>
      <c r="C26" s="11" t="s">
        <v>218</v>
      </c>
      <c r="D26" s="4">
        <v>0</v>
      </c>
      <c r="E26" s="4">
        <v>0</v>
      </c>
      <c r="F26">
        <v>10</v>
      </c>
      <c r="G26" t="s">
        <v>221</v>
      </c>
      <c r="H26">
        <v>30</v>
      </c>
      <c r="I26" t="s">
        <v>314</v>
      </c>
    </row>
    <row r="27" spans="1:9">
      <c r="A27">
        <v>26</v>
      </c>
      <c r="B27">
        <v>21</v>
      </c>
      <c r="C27" s="11" t="s">
        <v>219</v>
      </c>
      <c r="D27" s="4">
        <v>0</v>
      </c>
      <c r="E27" s="4">
        <v>0</v>
      </c>
      <c r="F27">
        <v>50</v>
      </c>
      <c r="G27" t="s">
        <v>222</v>
      </c>
      <c r="H27">
        <v>31</v>
      </c>
      <c r="I27" t="s">
        <v>324</v>
      </c>
    </row>
    <row r="28" spans="1:9">
      <c r="A28">
        <v>27</v>
      </c>
      <c r="B28">
        <v>21</v>
      </c>
      <c r="C28" s="11" t="s">
        <v>220</v>
      </c>
      <c r="D28" s="4">
        <v>0</v>
      </c>
      <c r="E28" s="4">
        <v>0</v>
      </c>
      <c r="F28">
        <v>100</v>
      </c>
      <c r="G28" t="s">
        <v>223</v>
      </c>
      <c r="H28">
        <v>32</v>
      </c>
      <c r="I28" t="s">
        <v>325</v>
      </c>
    </row>
    <row r="29" spans="1:9">
      <c r="A29">
        <v>28</v>
      </c>
      <c r="B29">
        <v>22</v>
      </c>
      <c r="C29" s="11" t="s">
        <v>228</v>
      </c>
      <c r="D29" s="4">
        <v>0</v>
      </c>
      <c r="E29" s="4">
        <v>0</v>
      </c>
      <c r="F29">
        <v>100</v>
      </c>
      <c r="G29" t="s">
        <v>227</v>
      </c>
      <c r="H29">
        <v>33</v>
      </c>
      <c r="I29" t="s">
        <v>326</v>
      </c>
    </row>
    <row r="30" spans="1:9">
      <c r="A30">
        <v>29</v>
      </c>
      <c r="B30">
        <v>23</v>
      </c>
      <c r="C30" t="s">
        <v>245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337</v>
      </c>
    </row>
    <row r="31" spans="1:9">
      <c r="A31">
        <v>30</v>
      </c>
      <c r="B31">
        <v>24</v>
      </c>
      <c r="C31" s="11" t="s">
        <v>361</v>
      </c>
      <c r="D31" s="4">
        <v>0</v>
      </c>
      <c r="E31" s="4">
        <v>0</v>
      </c>
      <c r="F31">
        <v>300</v>
      </c>
      <c r="G31" t="s">
        <v>292</v>
      </c>
      <c r="H31">
        <v>39</v>
      </c>
      <c r="I31" t="s">
        <v>339</v>
      </c>
    </row>
    <row r="32" spans="1:9">
      <c r="A32">
        <v>31</v>
      </c>
      <c r="B32">
        <v>25</v>
      </c>
      <c r="C32" t="s">
        <v>315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>
      <c r="A33">
        <v>32</v>
      </c>
      <c r="B33">
        <v>28</v>
      </c>
      <c r="C33" s="11" t="s">
        <v>341</v>
      </c>
      <c r="D33" s="4">
        <v>0</v>
      </c>
      <c r="E33" s="4">
        <v>0</v>
      </c>
      <c r="F33">
        <v>300</v>
      </c>
      <c r="G33" t="s">
        <v>238</v>
      </c>
    </row>
    <row r="34" spans="1:7">
      <c r="A34">
        <v>33</v>
      </c>
      <c r="B34">
        <v>29</v>
      </c>
      <c r="C34" t="s">
        <v>342</v>
      </c>
      <c r="D34" s="4">
        <v>0</v>
      </c>
      <c r="E34" s="4">
        <v>0</v>
      </c>
      <c r="F34">
        <v>300</v>
      </c>
      <c r="G34" t="s">
        <v>239</v>
      </c>
    </row>
    <row r="35" spans="1:7">
      <c r="A35">
        <v>34</v>
      </c>
      <c r="B35">
        <v>30</v>
      </c>
      <c r="C35" s="11" t="s">
        <v>367</v>
      </c>
      <c r="D35" s="4">
        <v>0</v>
      </c>
      <c r="E35" s="4">
        <v>0</v>
      </c>
      <c r="F35">
        <v>150</v>
      </c>
      <c r="G35" t="s">
        <v>316</v>
      </c>
    </row>
    <row r="36" spans="1:7">
      <c r="A36">
        <v>35</v>
      </c>
      <c r="B36">
        <v>31</v>
      </c>
      <c r="C36" t="s">
        <v>365</v>
      </c>
      <c r="D36" s="4">
        <v>0</v>
      </c>
      <c r="E36" s="4">
        <v>0</v>
      </c>
      <c r="F36">
        <v>200</v>
      </c>
      <c r="G36" t="str">
        <f t="shared" ref="G36" si="1">LOOKUP(B36,H:H,I:I)</f>
        <v>连环炸弹</v>
      </c>
    </row>
    <row r="37" spans="1:7">
      <c r="A37">
        <v>36</v>
      </c>
      <c r="B37">
        <v>32</v>
      </c>
      <c r="C37" s="11" t="s">
        <v>366</v>
      </c>
      <c r="D37" s="4">
        <v>0</v>
      </c>
      <c r="E37" s="4">
        <v>0</v>
      </c>
      <c r="F37">
        <v>300</v>
      </c>
      <c r="G37" t="s">
        <v>327</v>
      </c>
    </row>
    <row r="38" spans="1:7">
      <c r="A38">
        <v>37</v>
      </c>
      <c r="B38">
        <v>33</v>
      </c>
      <c r="C38" t="s">
        <v>328</v>
      </c>
      <c r="D38" s="4">
        <v>0</v>
      </c>
      <c r="E38" s="4">
        <v>0</v>
      </c>
      <c r="F38">
        <v>200</v>
      </c>
      <c r="G38" t="s">
        <v>329</v>
      </c>
    </row>
    <row r="39" spans="1:7">
      <c r="A39">
        <v>38</v>
      </c>
      <c r="B39">
        <v>38</v>
      </c>
      <c r="C39" t="s">
        <v>336</v>
      </c>
      <c r="D39" s="4">
        <v>0</v>
      </c>
      <c r="E39" s="4">
        <v>0</v>
      </c>
      <c r="F39">
        <v>250</v>
      </c>
      <c r="G39" t="s">
        <v>338</v>
      </c>
    </row>
    <row r="40" spans="1:7">
      <c r="A40">
        <v>39</v>
      </c>
      <c r="B40">
        <v>39</v>
      </c>
      <c r="C40" t="s">
        <v>336</v>
      </c>
      <c r="D40" s="4">
        <v>0</v>
      </c>
      <c r="E40" s="4">
        <v>0</v>
      </c>
      <c r="F40">
        <v>250</v>
      </c>
      <c r="G40" t="s">
        <v>340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D18"/>
  <sheetViews>
    <sheetView workbookViewId="0">
      <selection activeCell="I39" sqref="I39"/>
    </sheetView>
  </sheetViews>
  <sheetFormatPr baseColWidth="10" defaultColWidth="8.6640625" defaultRowHeight="15"/>
  <cols>
    <col min="2" max="2" width="13" customWidth="1"/>
    <col min="3" max="3" width="11.33203125" customWidth="1"/>
    <col min="4" max="4" width="15.1640625" customWidth="1"/>
  </cols>
  <sheetData>
    <row r="1" spans="1:4" s="1" customFormat="1" ht="48.75" customHeight="1">
      <c r="A1" s="1" t="s">
        <v>3</v>
      </c>
      <c r="B1" s="1" t="s">
        <v>116</v>
      </c>
      <c r="C1" s="1" t="s">
        <v>117</v>
      </c>
      <c r="D1" s="1" t="s">
        <v>118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H51"/>
  <sheetViews>
    <sheetView zoomScaleNormal="100" workbookViewId="0">
      <selection activeCell="J12" sqref="J12"/>
    </sheetView>
  </sheetViews>
  <sheetFormatPr baseColWidth="10" defaultColWidth="8.6640625" defaultRowHeight="15"/>
  <cols>
    <col min="1" max="1" width="17.6640625" style="2" customWidth="1"/>
    <col min="2" max="2" width="20.33203125" style="2" customWidth="1"/>
    <col min="3" max="3" width="14.83203125" style="2" bestFit="1" customWidth="1"/>
    <col min="4" max="4" width="23.1640625" style="2" bestFit="1" customWidth="1"/>
    <col min="5" max="5" width="11.6640625" style="2" bestFit="1" customWidth="1"/>
    <col min="6" max="6" width="15.5" style="2" customWidth="1"/>
    <col min="7" max="7" width="9" style="2" customWidth="1"/>
    <col min="8" max="16384" width="8.6640625" style="2"/>
  </cols>
  <sheetData>
    <row r="1" spans="1:7" s="1" customFormat="1" ht="48.75" customHeight="1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254</v>
      </c>
      <c r="F2" s="15">
        <f>C2</f>
        <v>2</v>
      </c>
      <c r="G2" s="15">
        <v>50</v>
      </c>
    </row>
    <row r="3" spans="1:7" s="15" customFormat="1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255</v>
      </c>
      <c r="F3" s="15">
        <f t="shared" ref="F3:F37" si="1">C3</f>
        <v>2</v>
      </c>
      <c r="G3" s="15">
        <v>0</v>
      </c>
    </row>
    <row r="4" spans="1:7" s="15" customFormat="1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256</v>
      </c>
      <c r="F5" s="15">
        <f t="shared" si="1"/>
        <v>4</v>
      </c>
      <c r="G5" s="15">
        <v>0</v>
      </c>
    </row>
    <row r="6" spans="1:7" s="15" customFormat="1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257</v>
      </c>
      <c r="F6" s="15">
        <f t="shared" si="1"/>
        <v>5</v>
      </c>
      <c r="G6" s="15">
        <v>0</v>
      </c>
    </row>
    <row r="7" spans="1:7" s="15" customFormat="1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159</v>
      </c>
      <c r="F7" s="15">
        <f t="shared" si="1"/>
        <v>6</v>
      </c>
      <c r="G7" s="15">
        <v>0</v>
      </c>
    </row>
    <row r="8" spans="1:7" s="15" customFormat="1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258</v>
      </c>
      <c r="F8" s="15">
        <f t="shared" si="1"/>
        <v>7</v>
      </c>
      <c r="G8" s="15">
        <v>0</v>
      </c>
    </row>
    <row r="9" spans="1:7" s="15" customFormat="1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259</v>
      </c>
      <c r="F9" s="15">
        <f t="shared" si="1"/>
        <v>8</v>
      </c>
      <c r="G9" s="15">
        <v>0</v>
      </c>
    </row>
    <row r="10" spans="1:7" s="15" customFormat="1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260</v>
      </c>
      <c r="F10" s="15">
        <f t="shared" si="1"/>
        <v>10</v>
      </c>
      <c r="G10" s="15">
        <v>0</v>
      </c>
    </row>
    <row r="11" spans="1:7" s="15" customFormat="1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261</v>
      </c>
      <c r="F11" s="15">
        <f t="shared" si="1"/>
        <v>12</v>
      </c>
      <c r="G11" s="15">
        <v>0</v>
      </c>
    </row>
    <row r="12" spans="1:7" s="15" customFormat="1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262</v>
      </c>
      <c r="F12" s="15">
        <f t="shared" si="1"/>
        <v>15</v>
      </c>
      <c r="G12" s="15">
        <v>0</v>
      </c>
    </row>
    <row r="13" spans="1:7" s="15" customFormat="1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263</v>
      </c>
      <c r="F13" s="15">
        <f t="shared" si="1"/>
        <v>18</v>
      </c>
      <c r="G13" s="15">
        <v>0</v>
      </c>
    </row>
    <row r="14" spans="1:7" s="15" customFormat="1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158</v>
      </c>
      <c r="F14" s="15">
        <f t="shared" si="1"/>
        <v>20</v>
      </c>
      <c r="G14" s="15">
        <v>0</v>
      </c>
    </row>
    <row r="15" spans="1:7" s="15" customFormat="1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264</v>
      </c>
      <c r="F15" s="15">
        <f t="shared" si="1"/>
        <v>25</v>
      </c>
      <c r="G15" s="15">
        <v>0</v>
      </c>
    </row>
    <row r="16" spans="1:7" s="15" customFormat="1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265</v>
      </c>
      <c r="F16" s="15">
        <f t="shared" si="1"/>
        <v>30</v>
      </c>
      <c r="G16" s="15">
        <v>0</v>
      </c>
    </row>
    <row r="17" spans="1:8" s="15" customFormat="1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266</v>
      </c>
      <c r="F17" s="15">
        <f t="shared" si="1"/>
        <v>35</v>
      </c>
      <c r="G17" s="15">
        <v>0</v>
      </c>
      <c r="H17" s="15" t="s">
        <v>231</v>
      </c>
    </row>
    <row r="18" spans="1:8" s="15" customFormat="1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160</v>
      </c>
      <c r="F20" s="15">
        <f t="shared" si="1"/>
        <v>0</v>
      </c>
      <c r="G20" s="15">
        <v>0</v>
      </c>
    </row>
    <row r="21" spans="1:8" s="15" customFormat="1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285</v>
      </c>
      <c r="F21" s="15">
        <f t="shared" si="1"/>
        <v>60</v>
      </c>
      <c r="G21" s="15">
        <v>0</v>
      </c>
    </row>
    <row r="22" spans="1:8" s="15" customFormat="1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267</v>
      </c>
      <c r="F22" s="15">
        <f t="shared" si="1"/>
        <v>0</v>
      </c>
      <c r="G22" s="15">
        <v>0</v>
      </c>
    </row>
    <row r="23" spans="1:8" s="15" customFormat="1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268</v>
      </c>
      <c r="F23" s="15">
        <f t="shared" si="1"/>
        <v>60</v>
      </c>
      <c r="G23" s="15">
        <v>0</v>
      </c>
    </row>
    <row r="24" spans="1:8" s="15" customFormat="1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269</v>
      </c>
      <c r="F24" s="15">
        <f t="shared" si="1"/>
        <v>60</v>
      </c>
      <c r="G24" s="15">
        <v>0</v>
      </c>
    </row>
    <row r="25" spans="1:8" s="15" customFormat="1">
      <c r="A25" s="15">
        <v>24</v>
      </c>
      <c r="B25" s="15">
        <v>1</v>
      </c>
      <c r="C25" s="15" t="s">
        <v>283</v>
      </c>
      <c r="D25" s="15" t="s">
        <v>284</v>
      </c>
      <c r="E25" s="16" t="s">
        <v>270</v>
      </c>
      <c r="F25" s="15" t="s">
        <v>283</v>
      </c>
      <c r="G25" s="15">
        <v>0</v>
      </c>
    </row>
    <row r="26" spans="1:8" s="15" customFormat="1">
      <c r="A26" s="15">
        <v>25</v>
      </c>
      <c r="B26" s="15">
        <v>1</v>
      </c>
      <c r="C26" s="15">
        <v>80</v>
      </c>
      <c r="D26" s="15">
        <f t="shared" si="0"/>
        <v>1.2500000000000001E-2</v>
      </c>
      <c r="E26" s="16" t="s">
        <v>162</v>
      </c>
      <c r="F26" s="15">
        <f t="shared" si="1"/>
        <v>80</v>
      </c>
      <c r="G26" s="15">
        <v>0</v>
      </c>
    </row>
    <row r="27" spans="1:8" s="15" customFormat="1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161</v>
      </c>
      <c r="F27" s="15">
        <f t="shared" si="1"/>
        <v>100</v>
      </c>
      <c r="G27" s="15">
        <v>0</v>
      </c>
    </row>
    <row r="28" spans="1:8" s="15" customFormat="1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271</v>
      </c>
      <c r="F28" s="15">
        <f t="shared" si="1"/>
        <v>100</v>
      </c>
      <c r="G28" s="15">
        <v>0</v>
      </c>
    </row>
    <row r="29" spans="1:8" s="15" customFormat="1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165</v>
      </c>
      <c r="F29" s="15">
        <f t="shared" si="1"/>
        <v>0</v>
      </c>
      <c r="G29" s="15">
        <v>0</v>
      </c>
    </row>
    <row r="30" spans="1:8" s="15" customFormat="1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164</v>
      </c>
      <c r="F30" s="15">
        <f t="shared" si="1"/>
        <v>0</v>
      </c>
      <c r="G30" s="15">
        <v>0</v>
      </c>
    </row>
    <row r="31" spans="1:8" s="15" customFormat="1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166</v>
      </c>
      <c r="F31" s="15">
        <f t="shared" si="1"/>
        <v>0</v>
      </c>
      <c r="G31" s="15">
        <v>0</v>
      </c>
    </row>
    <row r="32" spans="1:8" s="15" customFormat="1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168</v>
      </c>
      <c r="F32" s="15">
        <f t="shared" si="1"/>
        <v>0</v>
      </c>
      <c r="G32" s="15">
        <v>0</v>
      </c>
    </row>
    <row r="33" spans="1:7" s="15" customFormat="1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291</v>
      </c>
      <c r="F33" s="15">
        <f t="shared" si="1"/>
        <v>0</v>
      </c>
      <c r="G33" s="15">
        <v>0</v>
      </c>
    </row>
    <row r="34" spans="1:7" s="15" customFormat="1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163</v>
      </c>
      <c r="F34" s="15">
        <f t="shared" si="1"/>
        <v>0</v>
      </c>
      <c r="G34" s="15">
        <v>0</v>
      </c>
    </row>
    <row r="35" spans="1:7" s="15" customFormat="1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272</v>
      </c>
      <c r="F35" s="15">
        <v>0</v>
      </c>
      <c r="G35" s="15">
        <v>0</v>
      </c>
    </row>
    <row r="36" spans="1:7" s="15" customFormat="1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273</v>
      </c>
      <c r="F36" s="15">
        <f t="shared" si="1"/>
        <v>0</v>
      </c>
      <c r="G36" s="15">
        <v>0</v>
      </c>
    </row>
    <row r="37" spans="1:7" s="15" customFormat="1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274</v>
      </c>
      <c r="F37" s="15">
        <f t="shared" si="1"/>
        <v>0</v>
      </c>
      <c r="G37" s="15">
        <v>0</v>
      </c>
    </row>
    <row r="38" spans="1:7" s="15" customFormat="1">
      <c r="A38" s="15">
        <v>37</v>
      </c>
      <c r="B38" s="15">
        <v>1</v>
      </c>
      <c r="C38" s="15">
        <v>0</v>
      </c>
      <c r="D38" s="15">
        <f t="shared" si="3"/>
        <v>0</v>
      </c>
      <c r="E38" s="15" t="s">
        <v>253</v>
      </c>
      <c r="F38" s="15">
        <f t="shared" ref="F38:F51" si="4">C38</f>
        <v>0</v>
      </c>
      <c r="G38" s="15">
        <v>0</v>
      </c>
    </row>
    <row r="39" spans="1:7" s="15" customFormat="1">
      <c r="A39" s="15">
        <v>38</v>
      </c>
      <c r="B39" s="15">
        <v>1</v>
      </c>
      <c r="C39" s="15">
        <v>100</v>
      </c>
      <c r="D39" s="15">
        <f t="shared" si="3"/>
        <v>0.01</v>
      </c>
      <c r="E39" s="15" t="s">
        <v>167</v>
      </c>
      <c r="F39" s="15">
        <f t="shared" si="4"/>
        <v>100</v>
      </c>
      <c r="G39" s="15">
        <v>0</v>
      </c>
    </row>
    <row r="40" spans="1:7" s="15" customFormat="1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275</v>
      </c>
      <c r="F40" s="15">
        <f t="shared" si="4"/>
        <v>100</v>
      </c>
      <c r="G40" s="15">
        <v>0</v>
      </c>
    </row>
    <row r="41" spans="1:7" s="15" customFormat="1">
      <c r="A41" s="15">
        <v>40</v>
      </c>
      <c r="B41" s="15">
        <v>1</v>
      </c>
      <c r="C41" s="15">
        <v>300</v>
      </c>
      <c r="D41" s="15">
        <f t="shared" si="3"/>
        <v>3.3333333333333335E-3</v>
      </c>
      <c r="E41" s="15" t="s">
        <v>312</v>
      </c>
      <c r="F41" s="15">
        <f t="shared" si="4"/>
        <v>300</v>
      </c>
      <c r="G41" s="15">
        <v>0</v>
      </c>
    </row>
    <row r="42" spans="1:7" s="15" customFormat="1">
      <c r="A42" s="15">
        <v>41</v>
      </c>
      <c r="B42" s="15">
        <v>1</v>
      </c>
      <c r="C42" s="15">
        <v>200</v>
      </c>
      <c r="D42" s="15">
        <f t="shared" si="3"/>
        <v>5.0000000000000001E-3</v>
      </c>
      <c r="E42" s="15" t="s">
        <v>276</v>
      </c>
      <c r="F42" s="15">
        <f t="shared" si="4"/>
        <v>200</v>
      </c>
      <c r="G42" s="15">
        <v>0</v>
      </c>
    </row>
    <row r="43" spans="1:7" s="15" customFormat="1">
      <c r="A43" s="15">
        <v>42</v>
      </c>
      <c r="B43" s="15">
        <v>1</v>
      </c>
      <c r="C43" s="15">
        <v>0</v>
      </c>
      <c r="D43" s="15">
        <f t="shared" si="3"/>
        <v>0</v>
      </c>
      <c r="E43" s="15" t="s">
        <v>277</v>
      </c>
      <c r="F43" s="15">
        <f t="shared" si="4"/>
        <v>0</v>
      </c>
      <c r="G43" s="15">
        <v>0</v>
      </c>
    </row>
    <row r="44" spans="1:7" s="15" customFormat="1">
      <c r="A44" s="15">
        <v>43</v>
      </c>
      <c r="B44" s="15">
        <v>1</v>
      </c>
      <c r="C44" s="15">
        <v>200</v>
      </c>
      <c r="D44" s="15">
        <f t="shared" si="3"/>
        <v>5.0000000000000001E-3</v>
      </c>
      <c r="E44" s="15" t="s">
        <v>278</v>
      </c>
      <c r="F44" s="15">
        <f t="shared" si="4"/>
        <v>200</v>
      </c>
      <c r="G44" s="15">
        <v>0</v>
      </c>
    </row>
    <row r="45" spans="1:7" s="15" customFormat="1">
      <c r="A45" s="15">
        <v>44</v>
      </c>
      <c r="B45" s="15">
        <v>1</v>
      </c>
      <c r="C45" s="15">
        <v>0</v>
      </c>
      <c r="D45" s="15">
        <f t="shared" si="3"/>
        <v>0</v>
      </c>
      <c r="E45" s="15" t="s">
        <v>279</v>
      </c>
      <c r="F45" s="15">
        <f t="shared" si="4"/>
        <v>0</v>
      </c>
      <c r="G45" s="15">
        <v>0</v>
      </c>
    </row>
    <row r="46" spans="1:7" s="15" customFormat="1">
      <c r="A46" s="15">
        <v>45</v>
      </c>
      <c r="B46" s="15">
        <v>1</v>
      </c>
      <c r="C46" s="15">
        <v>0</v>
      </c>
      <c r="D46" s="15">
        <f t="shared" si="3"/>
        <v>0</v>
      </c>
      <c r="E46" s="15" t="s">
        <v>280</v>
      </c>
      <c r="F46" s="15">
        <f t="shared" si="4"/>
        <v>0</v>
      </c>
      <c r="G46" s="15">
        <v>0</v>
      </c>
    </row>
    <row r="47" spans="1:7" s="15" customFormat="1">
      <c r="A47" s="15">
        <v>46</v>
      </c>
      <c r="B47" s="15">
        <v>1</v>
      </c>
      <c r="C47" s="15">
        <v>200</v>
      </c>
      <c r="D47" s="15">
        <f t="shared" si="3"/>
        <v>5.0000000000000001E-3</v>
      </c>
      <c r="E47" s="15" t="s">
        <v>162</v>
      </c>
      <c r="F47" s="15">
        <f t="shared" si="4"/>
        <v>200</v>
      </c>
      <c r="G47" s="15">
        <v>0</v>
      </c>
    </row>
    <row r="48" spans="1:7" s="15" customFormat="1">
      <c r="A48" s="15">
        <v>47</v>
      </c>
      <c r="B48" s="15">
        <v>1</v>
      </c>
      <c r="C48" s="15">
        <v>150</v>
      </c>
      <c r="D48" s="15">
        <f t="shared" si="3"/>
        <v>6.6666666666666671E-3</v>
      </c>
      <c r="E48" s="15" t="s">
        <v>313</v>
      </c>
      <c r="F48" s="15">
        <f t="shared" si="4"/>
        <v>150</v>
      </c>
      <c r="G48" s="15">
        <v>0</v>
      </c>
    </row>
    <row r="49" spans="1:7" s="15" customFormat="1">
      <c r="A49" s="15">
        <v>48</v>
      </c>
      <c r="B49" s="15">
        <v>1</v>
      </c>
      <c r="C49" s="15">
        <v>250</v>
      </c>
      <c r="D49" s="15">
        <f t="shared" si="3"/>
        <v>4.0000000000000001E-3</v>
      </c>
      <c r="E49" s="15" t="s">
        <v>281</v>
      </c>
      <c r="F49" s="15">
        <f t="shared" si="4"/>
        <v>250</v>
      </c>
      <c r="G49" s="15">
        <v>0</v>
      </c>
    </row>
    <row r="50" spans="1:7" s="15" customFormat="1">
      <c r="A50" s="15">
        <v>49</v>
      </c>
      <c r="B50" s="15">
        <v>1</v>
      </c>
      <c r="C50" s="15">
        <v>200</v>
      </c>
      <c r="D50" s="15">
        <f t="shared" si="3"/>
        <v>5.0000000000000001E-3</v>
      </c>
      <c r="E50" s="15" t="s">
        <v>282</v>
      </c>
      <c r="F50" s="15">
        <f t="shared" si="4"/>
        <v>200</v>
      </c>
      <c r="G50" s="15">
        <v>0</v>
      </c>
    </row>
    <row r="51" spans="1:7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323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C109"/>
  <sheetViews>
    <sheetView topLeftCell="A85" workbookViewId="0">
      <selection activeCell="I119" sqref="I119"/>
    </sheetView>
  </sheetViews>
  <sheetFormatPr baseColWidth="10" defaultColWidth="8.6640625" defaultRowHeight="15"/>
  <cols>
    <col min="1" max="1" width="17.6640625" style="2" customWidth="1"/>
    <col min="2" max="2" width="26.33203125" style="2" customWidth="1"/>
    <col min="3" max="16384" width="8.6640625" style="2"/>
  </cols>
  <sheetData>
    <row r="1" spans="1:3" ht="38.25" customHeight="1">
      <c r="A1" s="1" t="s">
        <v>1</v>
      </c>
      <c r="B1" s="1" t="s">
        <v>60</v>
      </c>
      <c r="C1" s="1" t="s">
        <v>20</v>
      </c>
    </row>
    <row r="2" spans="1:3">
      <c r="A2" s="2">
        <v>1</v>
      </c>
      <c r="B2" s="2">
        <v>300</v>
      </c>
      <c r="C2" s="2">
        <v>1</v>
      </c>
    </row>
    <row r="3" spans="1:3">
      <c r="A3" s="2">
        <v>2</v>
      </c>
      <c r="B3" s="2">
        <v>300</v>
      </c>
      <c r="C3" s="2">
        <v>1</v>
      </c>
    </row>
    <row r="4" spans="1:3">
      <c r="A4" s="2">
        <v>3</v>
      </c>
      <c r="B4" s="2">
        <v>300</v>
      </c>
      <c r="C4" s="2">
        <v>1</v>
      </c>
    </row>
    <row r="5" spans="1:3">
      <c r="A5" s="2">
        <v>4</v>
      </c>
      <c r="B5" s="2">
        <v>300</v>
      </c>
      <c r="C5" s="2">
        <v>1</v>
      </c>
    </row>
    <row r="6" spans="1:3">
      <c r="A6" s="2">
        <v>5</v>
      </c>
      <c r="B6" s="2">
        <v>300</v>
      </c>
      <c r="C6" s="2">
        <v>1</v>
      </c>
    </row>
    <row r="7" spans="1:3">
      <c r="A7" s="2">
        <v>6</v>
      </c>
      <c r="B7" s="2">
        <v>300</v>
      </c>
      <c r="C7" s="2">
        <v>1</v>
      </c>
    </row>
    <row r="8" spans="1:3">
      <c r="A8" s="2">
        <v>7</v>
      </c>
      <c r="B8" s="2">
        <v>300</v>
      </c>
      <c r="C8" s="2">
        <v>2</v>
      </c>
    </row>
    <row r="9" spans="1:3">
      <c r="A9" s="2">
        <v>8</v>
      </c>
      <c r="B9" s="2">
        <v>300</v>
      </c>
      <c r="C9" s="2">
        <v>2</v>
      </c>
    </row>
    <row r="10" spans="1:3">
      <c r="A10" s="2">
        <v>9</v>
      </c>
      <c r="B10" s="2">
        <v>300</v>
      </c>
      <c r="C10" s="2">
        <v>2</v>
      </c>
    </row>
    <row r="11" spans="1:3">
      <c r="A11" s="2">
        <v>10</v>
      </c>
      <c r="B11" s="2">
        <v>300</v>
      </c>
      <c r="C11" s="2">
        <v>2</v>
      </c>
    </row>
    <row r="12" spans="1:3">
      <c r="A12" s="2">
        <v>11</v>
      </c>
      <c r="B12" s="2">
        <v>300</v>
      </c>
      <c r="C12" s="2">
        <v>2</v>
      </c>
    </row>
    <row r="13" spans="1:3">
      <c r="A13" s="2">
        <v>12</v>
      </c>
      <c r="B13" s="2">
        <v>300</v>
      </c>
      <c r="C13" s="2">
        <v>2</v>
      </c>
    </row>
    <row r="14" spans="1:3">
      <c r="A14" s="2">
        <v>13</v>
      </c>
      <c r="B14" s="2">
        <v>300</v>
      </c>
      <c r="C14" s="2">
        <v>2</v>
      </c>
    </row>
    <row r="15" spans="1:3">
      <c r="A15" s="2">
        <v>14</v>
      </c>
      <c r="B15" s="2">
        <v>300</v>
      </c>
      <c r="C15" s="2">
        <v>3</v>
      </c>
    </row>
    <row r="16" spans="1:3">
      <c r="A16" s="2">
        <v>15</v>
      </c>
      <c r="B16" s="2">
        <v>300</v>
      </c>
      <c r="C16" s="2">
        <v>3</v>
      </c>
    </row>
    <row r="17" spans="1:3">
      <c r="A17" s="2">
        <v>16</v>
      </c>
      <c r="B17" s="2">
        <v>300</v>
      </c>
      <c r="C17" s="2">
        <v>3</v>
      </c>
    </row>
    <row r="18" spans="1:3">
      <c r="A18" s="2">
        <v>17</v>
      </c>
      <c r="B18" s="2">
        <v>300</v>
      </c>
      <c r="C18" s="2">
        <v>3</v>
      </c>
    </row>
    <row r="19" spans="1:3">
      <c r="A19" s="2">
        <v>18</v>
      </c>
      <c r="B19" s="2">
        <v>300</v>
      </c>
      <c r="C19" s="2">
        <v>3</v>
      </c>
    </row>
    <row r="20" spans="1:3">
      <c r="A20" s="2">
        <v>19</v>
      </c>
      <c r="B20" s="2">
        <v>300</v>
      </c>
      <c r="C20" s="2">
        <v>3</v>
      </c>
    </row>
    <row r="21" spans="1:3">
      <c r="A21" s="2">
        <v>20</v>
      </c>
      <c r="B21" s="2">
        <v>300</v>
      </c>
      <c r="C21" s="2">
        <v>3</v>
      </c>
    </row>
    <row r="22" spans="1:3">
      <c r="A22" s="2">
        <v>21</v>
      </c>
      <c r="B22" s="2">
        <v>300</v>
      </c>
      <c r="C22" s="2">
        <v>4</v>
      </c>
    </row>
    <row r="23" spans="1:3">
      <c r="A23" s="2">
        <v>22</v>
      </c>
      <c r="B23" s="2">
        <v>300</v>
      </c>
      <c r="C23" s="2">
        <v>4</v>
      </c>
    </row>
    <row r="24" spans="1:3">
      <c r="A24" s="2">
        <v>23</v>
      </c>
      <c r="B24" s="2">
        <v>300</v>
      </c>
      <c r="C24" s="2">
        <v>4</v>
      </c>
    </row>
    <row r="25" spans="1:3">
      <c r="A25" s="2">
        <v>24</v>
      </c>
      <c r="B25" s="2">
        <v>300</v>
      </c>
      <c r="C25" s="2">
        <v>4</v>
      </c>
    </row>
    <row r="26" spans="1:3">
      <c r="A26" s="2">
        <v>25</v>
      </c>
      <c r="B26" s="2">
        <v>300</v>
      </c>
      <c r="C26" s="2">
        <v>4</v>
      </c>
    </row>
    <row r="27" spans="1:3">
      <c r="A27" s="2">
        <v>26</v>
      </c>
      <c r="B27" s="2">
        <v>300</v>
      </c>
      <c r="C27" s="2">
        <v>4</v>
      </c>
    </row>
    <row r="28" spans="1:3">
      <c r="A28" s="2">
        <v>27</v>
      </c>
      <c r="B28" s="2">
        <v>300</v>
      </c>
      <c r="C28" s="2">
        <v>4</v>
      </c>
    </row>
    <row r="29" spans="1:3">
      <c r="A29" s="2">
        <v>28</v>
      </c>
      <c r="B29" s="2">
        <v>300</v>
      </c>
      <c r="C29" s="2">
        <v>4</v>
      </c>
    </row>
    <row r="30" spans="1:3">
      <c r="A30" s="2">
        <v>29</v>
      </c>
      <c r="B30" s="2">
        <v>300</v>
      </c>
    </row>
    <row r="31" spans="1:3">
      <c r="A31" s="2">
        <v>30</v>
      </c>
      <c r="B31" s="2">
        <v>300</v>
      </c>
    </row>
    <row r="32" spans="1:3">
      <c r="A32" s="2">
        <v>31</v>
      </c>
      <c r="B32" s="2">
        <v>300</v>
      </c>
    </row>
    <row r="33" spans="1:2">
      <c r="A33" s="2">
        <v>32</v>
      </c>
      <c r="B33" s="2">
        <v>300</v>
      </c>
    </row>
    <row r="34" spans="1:2">
      <c r="A34" s="2">
        <v>33</v>
      </c>
      <c r="B34" s="2">
        <v>300</v>
      </c>
    </row>
    <row r="35" spans="1:2">
      <c r="A35" s="2">
        <v>34</v>
      </c>
      <c r="B35" s="2">
        <v>300</v>
      </c>
    </row>
    <row r="36" spans="1:2">
      <c r="A36" s="2">
        <v>35</v>
      </c>
      <c r="B36" s="2">
        <v>300</v>
      </c>
    </row>
    <row r="37" spans="1:2">
      <c r="A37" s="2">
        <v>36</v>
      </c>
      <c r="B37" s="2">
        <v>300</v>
      </c>
    </row>
    <row r="38" spans="1:2">
      <c r="A38" s="2">
        <v>37</v>
      </c>
      <c r="B38" s="2">
        <v>300</v>
      </c>
    </row>
    <row r="39" spans="1:2">
      <c r="A39" s="2">
        <v>38</v>
      </c>
      <c r="B39" s="2">
        <v>300</v>
      </c>
    </row>
    <row r="40" spans="1:2">
      <c r="A40" s="2">
        <v>39</v>
      </c>
      <c r="B40" s="2">
        <v>300</v>
      </c>
    </row>
    <row r="41" spans="1:2">
      <c r="A41" s="2">
        <v>40</v>
      </c>
      <c r="B41" s="2">
        <v>300</v>
      </c>
    </row>
    <row r="42" spans="1:2">
      <c r="A42" s="2">
        <v>41</v>
      </c>
      <c r="B42" s="2">
        <v>300</v>
      </c>
    </row>
    <row r="43" spans="1:2">
      <c r="A43" s="2">
        <v>42</v>
      </c>
      <c r="B43" s="2">
        <v>300</v>
      </c>
    </row>
    <row r="44" spans="1:2">
      <c r="A44" s="2">
        <v>43</v>
      </c>
      <c r="B44" s="2">
        <v>300</v>
      </c>
    </row>
    <row r="45" spans="1:2">
      <c r="A45" s="2">
        <v>44</v>
      </c>
      <c r="B45" s="2">
        <v>300</v>
      </c>
    </row>
    <row r="46" spans="1:2">
      <c r="A46" s="2">
        <v>45</v>
      </c>
      <c r="B46" s="2">
        <v>300</v>
      </c>
    </row>
    <row r="47" spans="1:2">
      <c r="A47" s="2">
        <v>46</v>
      </c>
      <c r="B47" s="2">
        <v>300</v>
      </c>
    </row>
    <row r="48" spans="1:2">
      <c r="A48" s="2">
        <v>47</v>
      </c>
      <c r="B48" s="2">
        <v>300</v>
      </c>
    </row>
    <row r="49" spans="1:2">
      <c r="A49" s="2">
        <v>48</v>
      </c>
      <c r="B49" s="2">
        <v>800</v>
      </c>
    </row>
    <row r="50" spans="1:2">
      <c r="A50" s="2">
        <v>49</v>
      </c>
      <c r="B50" s="2">
        <v>500</v>
      </c>
    </row>
    <row r="51" spans="1:2">
      <c r="A51" s="2">
        <v>50</v>
      </c>
      <c r="B51" s="2">
        <v>500</v>
      </c>
    </row>
    <row r="52" spans="1:2">
      <c r="A52" s="2">
        <v>51</v>
      </c>
      <c r="B52" s="2">
        <v>500</v>
      </c>
    </row>
    <row r="53" spans="1:2">
      <c r="A53" s="2">
        <v>52</v>
      </c>
      <c r="B53" s="2">
        <v>500</v>
      </c>
    </row>
    <row r="54" spans="1:2">
      <c r="A54" s="2">
        <v>53</v>
      </c>
      <c r="B54" s="2">
        <v>500</v>
      </c>
    </row>
    <row r="55" spans="1:2">
      <c r="A55" s="2">
        <v>54</v>
      </c>
      <c r="B55" s="2">
        <v>500</v>
      </c>
    </row>
    <row r="56" spans="1:2">
      <c r="A56" s="2">
        <v>55</v>
      </c>
      <c r="B56" s="2">
        <v>500</v>
      </c>
    </row>
    <row r="57" spans="1:2">
      <c r="A57" s="2">
        <v>56</v>
      </c>
      <c r="B57" s="2">
        <v>500</v>
      </c>
    </row>
    <row r="58" spans="1:2">
      <c r="A58" s="2">
        <v>57</v>
      </c>
      <c r="B58" s="2">
        <v>500</v>
      </c>
    </row>
    <row r="59" spans="1:2">
      <c r="A59" s="2">
        <v>58</v>
      </c>
      <c r="B59" s="2">
        <v>500</v>
      </c>
    </row>
    <row r="60" spans="1:2">
      <c r="A60" s="2">
        <v>59</v>
      </c>
      <c r="B60" s="2">
        <v>500</v>
      </c>
    </row>
    <row r="61" spans="1:2">
      <c r="A61" s="2">
        <v>60</v>
      </c>
      <c r="B61" s="2">
        <v>500</v>
      </c>
    </row>
    <row r="62" spans="1:2">
      <c r="A62" s="2">
        <v>61</v>
      </c>
      <c r="B62" s="2">
        <v>500</v>
      </c>
    </row>
    <row r="63" spans="1:2">
      <c r="A63" s="2">
        <v>62</v>
      </c>
      <c r="B63" s="2">
        <v>500</v>
      </c>
    </row>
    <row r="64" spans="1:2">
      <c r="A64" s="2">
        <v>63</v>
      </c>
      <c r="B64" s="2">
        <v>500</v>
      </c>
    </row>
    <row r="65" spans="1:2">
      <c r="A65" s="2">
        <v>64</v>
      </c>
      <c r="B65" s="2">
        <v>500</v>
      </c>
    </row>
    <row r="66" spans="1:2">
      <c r="A66" s="2">
        <v>65</v>
      </c>
      <c r="B66" s="2">
        <v>500</v>
      </c>
    </row>
    <row r="67" spans="1:2">
      <c r="A67" s="2">
        <v>66</v>
      </c>
      <c r="B67" s="2">
        <v>500</v>
      </c>
    </row>
    <row r="68" spans="1:2">
      <c r="A68" s="2">
        <v>67</v>
      </c>
      <c r="B68" s="2">
        <v>500</v>
      </c>
    </row>
    <row r="69" spans="1:2">
      <c r="A69" s="2">
        <v>68</v>
      </c>
      <c r="B69" s="2">
        <v>500</v>
      </c>
    </row>
    <row r="70" spans="1:2">
      <c r="A70" s="2">
        <v>69</v>
      </c>
      <c r="B70" s="2">
        <v>500</v>
      </c>
    </row>
    <row r="71" spans="1:2">
      <c r="A71" s="2">
        <v>70</v>
      </c>
      <c r="B71" s="2">
        <v>500</v>
      </c>
    </row>
    <row r="72" spans="1:2">
      <c r="A72" s="2">
        <v>71</v>
      </c>
      <c r="B72" s="2">
        <v>500</v>
      </c>
    </row>
    <row r="73" spans="1:2">
      <c r="A73" s="2">
        <v>72</v>
      </c>
      <c r="B73" s="2">
        <v>500</v>
      </c>
    </row>
    <row r="74" spans="1:2">
      <c r="A74" s="2">
        <v>73</v>
      </c>
      <c r="B74" s="2">
        <v>500</v>
      </c>
    </row>
    <row r="75" spans="1:2">
      <c r="A75" s="2">
        <v>74</v>
      </c>
      <c r="B75" s="2">
        <v>500</v>
      </c>
    </row>
    <row r="76" spans="1:2">
      <c r="A76" s="2">
        <v>75</v>
      </c>
      <c r="B76" s="2">
        <v>500</v>
      </c>
    </row>
    <row r="77" spans="1:2">
      <c r="A77" s="2">
        <v>76</v>
      </c>
      <c r="B77" s="2">
        <v>500</v>
      </c>
    </row>
    <row r="78" spans="1:2">
      <c r="A78" s="2">
        <v>77</v>
      </c>
      <c r="B78" s="2">
        <v>500</v>
      </c>
    </row>
    <row r="79" spans="1:2">
      <c r="A79" s="2">
        <v>78</v>
      </c>
      <c r="B79" s="2">
        <v>500</v>
      </c>
    </row>
    <row r="80" spans="1:2">
      <c r="A80" s="2">
        <v>79</v>
      </c>
      <c r="B80" s="2">
        <v>500</v>
      </c>
    </row>
    <row r="81" spans="1:2">
      <c r="A81" s="2">
        <v>80</v>
      </c>
      <c r="B81" s="2">
        <v>500</v>
      </c>
    </row>
    <row r="82" spans="1:2">
      <c r="A82" s="2">
        <v>81</v>
      </c>
      <c r="B82" s="2">
        <v>500</v>
      </c>
    </row>
    <row r="83" spans="1:2">
      <c r="A83" s="2">
        <v>82</v>
      </c>
      <c r="B83" s="2">
        <v>500</v>
      </c>
    </row>
    <row r="84" spans="1:2">
      <c r="A84" s="2">
        <v>83</v>
      </c>
      <c r="B84" s="2">
        <v>500</v>
      </c>
    </row>
    <row r="85" spans="1:2">
      <c r="A85" s="2">
        <v>84</v>
      </c>
      <c r="B85" s="2">
        <v>500</v>
      </c>
    </row>
    <row r="86" spans="1:2">
      <c r="A86" s="2">
        <v>85</v>
      </c>
      <c r="B86" s="2">
        <v>500</v>
      </c>
    </row>
    <row r="87" spans="1:2">
      <c r="A87" s="2">
        <v>86</v>
      </c>
      <c r="B87" s="2">
        <v>500</v>
      </c>
    </row>
    <row r="88" spans="1:2">
      <c r="A88" s="2">
        <v>87</v>
      </c>
      <c r="B88" s="2">
        <v>500</v>
      </c>
    </row>
    <row r="89" spans="1:2">
      <c r="A89" s="2">
        <v>88</v>
      </c>
      <c r="B89" s="2">
        <v>500</v>
      </c>
    </row>
    <row r="90" spans="1:2">
      <c r="A90" s="2">
        <v>89</v>
      </c>
      <c r="B90" s="2">
        <v>500</v>
      </c>
    </row>
    <row r="91" spans="1:2">
      <c r="A91" s="2">
        <v>90</v>
      </c>
      <c r="B91" s="2">
        <v>500</v>
      </c>
    </row>
    <row r="92" spans="1:2">
      <c r="A92" s="2">
        <v>91</v>
      </c>
      <c r="B92" s="2">
        <v>500</v>
      </c>
    </row>
    <row r="93" spans="1:2">
      <c r="A93" s="2">
        <v>92</v>
      </c>
      <c r="B93" s="2">
        <v>500</v>
      </c>
    </row>
    <row r="94" spans="1:2">
      <c r="A94" s="2">
        <v>93</v>
      </c>
      <c r="B94" s="2">
        <v>500</v>
      </c>
    </row>
    <row r="95" spans="1:2">
      <c r="A95" s="2">
        <v>94</v>
      </c>
      <c r="B95" s="2">
        <v>500</v>
      </c>
    </row>
    <row r="96" spans="1:2">
      <c r="A96" s="2">
        <v>95</v>
      </c>
      <c r="B96" s="2">
        <v>500</v>
      </c>
    </row>
    <row r="97" spans="1:2">
      <c r="A97" s="2">
        <v>96</v>
      </c>
      <c r="B97" s="2">
        <v>500</v>
      </c>
    </row>
    <row r="98" spans="1:2">
      <c r="A98" s="2">
        <v>97</v>
      </c>
      <c r="B98" s="2">
        <v>500</v>
      </c>
    </row>
    <row r="99" spans="1:2">
      <c r="A99" s="2">
        <v>98</v>
      </c>
      <c r="B99" s="2">
        <v>500</v>
      </c>
    </row>
    <row r="100" spans="1:2">
      <c r="A100" s="2">
        <v>99</v>
      </c>
      <c r="B100" s="2">
        <v>500</v>
      </c>
    </row>
    <row r="101" spans="1:2">
      <c r="A101" s="2">
        <v>100</v>
      </c>
      <c r="B101" s="2">
        <v>500</v>
      </c>
    </row>
    <row r="102" spans="1:2">
      <c r="A102" s="2">
        <v>101</v>
      </c>
      <c r="B102" s="2">
        <v>500</v>
      </c>
    </row>
    <row r="103" spans="1:2">
      <c r="A103" s="2">
        <v>102</v>
      </c>
      <c r="B103" s="2">
        <v>500</v>
      </c>
    </row>
    <row r="104" spans="1:2">
      <c r="A104" s="2">
        <v>103</v>
      </c>
      <c r="B104" s="2">
        <v>500</v>
      </c>
    </row>
    <row r="105" spans="1:2">
      <c r="A105" s="2">
        <v>104</v>
      </c>
      <c r="B105" s="2">
        <v>500</v>
      </c>
    </row>
    <row r="106" spans="1:2">
      <c r="A106" s="2">
        <v>11001</v>
      </c>
      <c r="B106" s="2">
        <v>500</v>
      </c>
    </row>
    <row r="107" spans="1:2">
      <c r="A107" s="2">
        <v>11002</v>
      </c>
      <c r="B107" s="2">
        <v>500</v>
      </c>
    </row>
    <row r="108" spans="1:2">
      <c r="A108" s="2">
        <v>11003</v>
      </c>
      <c r="B108" s="2">
        <v>500</v>
      </c>
    </row>
    <row r="109" spans="1: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D41"/>
  <sheetViews>
    <sheetView workbookViewId="0">
      <selection activeCell="C2" sqref="C2"/>
    </sheetView>
  </sheetViews>
  <sheetFormatPr baseColWidth="10" defaultColWidth="8.83203125" defaultRowHeight="15"/>
  <sheetData>
    <row r="1" spans="1:4" s="1" customFormat="1" ht="43.5" customHeight="1">
      <c r="A1" s="1" t="s">
        <v>24</v>
      </c>
      <c r="B1" s="1" t="s">
        <v>32</v>
      </c>
      <c r="C1" s="1" t="s">
        <v>34</v>
      </c>
      <c r="D1" s="1" t="s">
        <v>71</v>
      </c>
    </row>
    <row r="2" spans="1:4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/>
  <dimension ref="A1:B11"/>
  <sheetViews>
    <sheetView workbookViewId="0">
      <selection activeCell="D6" sqref="D6"/>
    </sheetView>
  </sheetViews>
  <sheetFormatPr baseColWidth="10" defaultColWidth="8.83203125" defaultRowHeight="15"/>
  <sheetData>
    <row r="1" spans="1:2" s="1" customFormat="1" ht="39.75" customHeight="1">
      <c r="A1" s="1" t="s">
        <v>35</v>
      </c>
      <c r="B1" s="1" t="s">
        <v>36</v>
      </c>
    </row>
    <row r="2" spans="1:2">
      <c r="A2">
        <v>1</v>
      </c>
      <c r="B2">
        <v>100</v>
      </c>
    </row>
    <row r="3" spans="1:2">
      <c r="A3">
        <v>2</v>
      </c>
      <c r="B3">
        <v>200</v>
      </c>
    </row>
    <row r="4" spans="1:2">
      <c r="A4">
        <v>3</v>
      </c>
      <c r="B4">
        <v>300</v>
      </c>
    </row>
    <row r="5" spans="1:2">
      <c r="A5">
        <v>4</v>
      </c>
      <c r="B5">
        <v>400</v>
      </c>
    </row>
    <row r="6" spans="1:2">
      <c r="A6">
        <v>5</v>
      </c>
      <c r="B6">
        <v>500</v>
      </c>
    </row>
    <row r="7" spans="1:2">
      <c r="A7">
        <v>6</v>
      </c>
      <c r="B7">
        <v>600</v>
      </c>
    </row>
    <row r="8" spans="1:2">
      <c r="A8">
        <v>7</v>
      </c>
      <c r="B8">
        <v>700</v>
      </c>
    </row>
    <row r="9" spans="1:2">
      <c r="A9">
        <v>8</v>
      </c>
      <c r="B9">
        <v>800</v>
      </c>
    </row>
    <row r="10" spans="1:2">
      <c r="A10">
        <v>9</v>
      </c>
      <c r="B10">
        <v>900</v>
      </c>
    </row>
    <row r="11" spans="1: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XFD3"/>
  <sheetViews>
    <sheetView workbookViewId="0">
      <selection activeCell="J13" sqref="J13"/>
    </sheetView>
  </sheetViews>
  <sheetFormatPr baseColWidth="10" defaultColWidth="8.83203125" defaultRowHeight="15"/>
  <sheetData>
    <row r="1" spans="1:4 16384:16384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>
      <c r="A2">
        <v>1</v>
      </c>
      <c r="B2" t="s">
        <v>65</v>
      </c>
      <c r="C2">
        <v>10</v>
      </c>
      <c r="D2">
        <v>0</v>
      </c>
    </row>
    <row r="3" spans="1:4 16384:16384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XFD7"/>
  <sheetViews>
    <sheetView workbookViewId="0">
      <selection activeCell="C4" sqref="C4"/>
    </sheetView>
  </sheetViews>
  <sheetFormatPr baseColWidth="10" defaultColWidth="9" defaultRowHeight="15"/>
  <cols>
    <col min="1" max="1" width="9" style="3"/>
    <col min="2" max="2" width="14.6640625" style="3" customWidth="1"/>
    <col min="3" max="3" width="17.6640625" style="3" customWidth="1"/>
    <col min="4" max="4" width="22.33203125" style="3" customWidth="1"/>
    <col min="5" max="5" width="19.1640625" customWidth="1"/>
    <col min="6" max="6" width="17.1640625" style="3" customWidth="1"/>
    <col min="7" max="16384" width="9" style="3"/>
  </cols>
  <sheetData>
    <row r="1" spans="1:10 16384:16384" ht="36" customHeight="1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>
      <c r="A2" s="2">
        <v>1</v>
      </c>
      <c r="B2" s="2" t="s">
        <v>86</v>
      </c>
      <c r="C2" s="2"/>
    </row>
    <row r="3" spans="1:10 16384:16384">
      <c r="A3" s="2">
        <v>2</v>
      </c>
      <c r="B3" s="2" t="s">
        <v>106</v>
      </c>
      <c r="C3" s="2" t="s">
        <v>87</v>
      </c>
    </row>
    <row r="4" spans="1:10 16384:16384">
      <c r="A4" s="2">
        <v>3</v>
      </c>
      <c r="B4" s="2" t="s">
        <v>107</v>
      </c>
      <c r="C4" s="2" t="s">
        <v>88</v>
      </c>
    </row>
    <row r="5" spans="1:10 16384:16384">
      <c r="A5" s="2"/>
      <c r="B5" s="2"/>
      <c r="C5" s="2"/>
      <c r="D5" s="2"/>
      <c r="F5" s="2"/>
    </row>
    <row r="6" spans="1:10 16384:16384">
      <c r="A6" s="2"/>
      <c r="B6" s="2"/>
      <c r="C6" s="2"/>
      <c r="D6" s="2"/>
      <c r="F6" s="2"/>
    </row>
    <row r="7" spans="1:10 16384:16384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XFD4"/>
  <sheetViews>
    <sheetView workbookViewId="0">
      <selection activeCell="F3" sqref="F3"/>
    </sheetView>
  </sheetViews>
  <sheetFormatPr baseColWidth="10" defaultColWidth="8.83203125" defaultRowHeight="15"/>
  <cols>
    <col min="2" max="2" width="15.5" customWidth="1"/>
    <col min="3" max="3" width="15.6640625" customWidth="1"/>
    <col min="4" max="4" width="32.6640625" customWidth="1"/>
    <col min="5" max="5" width="35" customWidth="1"/>
    <col min="6" max="6" width="54.6640625" customWidth="1"/>
  </cols>
  <sheetData>
    <row r="1" spans="1:10 16384:16384" s="3" customFormat="1" ht="36" customHeight="1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I8"/>
  <sheetViews>
    <sheetView workbookViewId="0">
      <selection sqref="A1:B1"/>
    </sheetView>
  </sheetViews>
  <sheetFormatPr baseColWidth="10" defaultColWidth="8.83203125" defaultRowHeight="15"/>
  <sheetData>
    <row r="1" spans="1:9" ht="30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>
      <c r="B2" s="10"/>
      <c r="C2" s="10"/>
      <c r="F2" s="10"/>
      <c r="G2" s="10"/>
      <c r="H2" s="10"/>
      <c r="I2" s="10"/>
    </row>
    <row r="3" spans="1:9">
      <c r="B3" s="10"/>
      <c r="C3" s="10"/>
      <c r="D3" s="10"/>
      <c r="E3" s="10"/>
      <c r="F3" s="10"/>
      <c r="G3" s="10"/>
      <c r="H3" s="10"/>
      <c r="I3" s="10"/>
    </row>
    <row r="4" spans="1:9">
      <c r="B4" s="10"/>
      <c r="C4" s="10"/>
      <c r="E4" s="10"/>
      <c r="F4" s="10"/>
      <c r="G4" s="10"/>
      <c r="H4" s="10"/>
      <c r="I4" s="10"/>
    </row>
    <row r="5" spans="1:9">
      <c r="B5" s="10"/>
      <c r="C5" s="10"/>
      <c r="D5" s="10"/>
      <c r="E5" s="10"/>
      <c r="F5" s="10"/>
      <c r="G5" s="10"/>
      <c r="H5" s="10"/>
      <c r="I5" s="10"/>
    </row>
    <row r="6" spans="1:9">
      <c r="B6" s="10"/>
      <c r="C6" s="10"/>
      <c r="D6" s="10"/>
      <c r="E6" s="10"/>
      <c r="F6" s="10"/>
      <c r="G6" s="10"/>
      <c r="H6" s="10"/>
      <c r="I6" s="10"/>
    </row>
    <row r="7" spans="1:9">
      <c r="B7" s="10"/>
      <c r="C7" s="10"/>
      <c r="D7" s="10"/>
      <c r="E7" s="10"/>
      <c r="F7" s="10"/>
      <c r="G7" s="10"/>
      <c r="H7" s="10"/>
      <c r="I7" s="10"/>
    </row>
    <row r="8" spans="1:9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B1"/>
  <sheetViews>
    <sheetView workbookViewId="0">
      <selection activeCell="J41" sqref="J41"/>
    </sheetView>
  </sheetViews>
  <sheetFormatPr baseColWidth="10" defaultColWidth="8.83203125" defaultRowHeight="15"/>
  <sheetData>
    <row r="1" spans="1: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C2"/>
  <sheetViews>
    <sheetView workbookViewId="0">
      <selection activeCell="B2" sqref="B2"/>
    </sheetView>
  </sheetViews>
  <sheetFormatPr baseColWidth="10" defaultColWidth="8.83203125" defaultRowHeight="15"/>
  <cols>
    <col min="2" max="2" width="26.1640625" customWidth="1"/>
    <col min="3" max="3" width="27.6640625" bestFit="1" customWidth="1"/>
  </cols>
  <sheetData>
    <row r="1" spans="1:3">
      <c r="A1" s="1" t="s">
        <v>136</v>
      </c>
      <c r="B1" s="1" t="s">
        <v>150</v>
      </c>
      <c r="C1" t="s">
        <v>151</v>
      </c>
    </row>
    <row r="2" spans="1:3">
      <c r="A2">
        <v>1</v>
      </c>
      <c r="B2" t="s">
        <v>330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2020-06-24T01:37:19Z</dcterms:modified>
</cp:coreProperties>
</file>