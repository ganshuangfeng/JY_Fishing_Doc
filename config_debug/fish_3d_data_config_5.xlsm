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6" i="5" l="1"/>
  <c r="G32" i="5"/>
  <c r="E48" i="14" l="1"/>
  <c r="E49" i="14"/>
  <c r="E50" i="14"/>
  <c r="I49" i="7"/>
  <c r="G20" i="5" l="1"/>
  <c r="H25" i="14" l="1"/>
  <c r="H26" i="14"/>
  <c r="H27" i="14"/>
  <c r="K24" i="14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H64" i="7"/>
  <c r="J64" i="7"/>
  <c r="J65" i="7"/>
  <c r="J66" i="7"/>
  <c r="J67" i="7"/>
  <c r="J2" i="7"/>
  <c r="G30" i="5" l="1"/>
  <c r="G21" i="5"/>
  <c r="G19" i="5"/>
  <c r="E26" i="14" l="1"/>
  <c r="J40" i="7"/>
  <c r="L25" i="14"/>
  <c r="J39" i="7"/>
  <c r="F26" i="1"/>
  <c r="I26" i="14" s="1"/>
  <c r="D26" i="1"/>
  <c r="F26" i="14" l="1"/>
  <c r="H40" i="7"/>
  <c r="L26" i="14"/>
  <c r="I40" i="7"/>
  <c r="E39" i="14"/>
  <c r="H53" i="7" s="1"/>
  <c r="F38" i="1"/>
  <c r="F51" i="1" l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4" i="7"/>
  <c r="H28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1" i="14" l="1"/>
  <c r="H32" i="14"/>
  <c r="D35" i="1"/>
  <c r="D34" i="1"/>
  <c r="D28" i="1"/>
  <c r="D29" i="1"/>
  <c r="D30" i="1"/>
  <c r="D31" i="1"/>
  <c r="D32" i="1"/>
  <c r="D33" i="1"/>
  <c r="K50" i="14"/>
  <c r="H63" i="7"/>
  <c r="K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F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F28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62" i="7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16" i="14"/>
  <c r="I12" i="7"/>
  <c r="I11" i="7"/>
  <c r="L17" i="14"/>
  <c r="I31" i="7"/>
  <c r="F34" i="14"/>
  <c r="H48" i="7"/>
  <c r="F36" i="14"/>
  <c r="H50" i="7"/>
  <c r="H52" i="7"/>
  <c r="F40" i="14"/>
  <c r="H54" i="7"/>
  <c r="F42" i="14"/>
  <c r="H56" i="7"/>
  <c r="F44" i="14"/>
  <c r="H58" i="7"/>
  <c r="H60" i="7"/>
  <c r="L30" i="14"/>
  <c r="I44" i="7"/>
  <c r="H14" i="7"/>
  <c r="H66" i="7"/>
  <c r="H21" i="7"/>
  <c r="I30" i="7"/>
  <c r="L29" i="14"/>
  <c r="I43" i="7"/>
  <c r="F49" i="14"/>
  <c r="H62" i="7"/>
  <c r="I27" i="7"/>
  <c r="I17" i="7"/>
  <c r="H18" i="7"/>
  <c r="H65" i="7"/>
  <c r="H20" i="7"/>
  <c r="H13" i="7"/>
  <c r="L15" i="14"/>
  <c r="I29" i="7"/>
  <c r="H3" i="7"/>
  <c r="H7" i="7"/>
  <c r="H6" i="7"/>
  <c r="H2" i="7"/>
  <c r="H4" i="7"/>
  <c r="H5" i="7"/>
  <c r="F33" i="14"/>
  <c r="H47" i="7"/>
  <c r="F35" i="14"/>
  <c r="H49" i="7"/>
  <c r="F37" i="14"/>
  <c r="H51" i="7"/>
  <c r="F41" i="14"/>
  <c r="H55" i="7"/>
  <c r="H57" i="7"/>
  <c r="H59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I19" i="7"/>
  <c r="I26" i="7"/>
  <c r="L18" i="14"/>
  <c r="I32" i="7"/>
  <c r="I8" i="7"/>
  <c r="I16" i="7"/>
  <c r="I67" i="7"/>
  <c r="I15" i="7"/>
  <c r="L43" i="14"/>
  <c r="I57" i="7"/>
  <c r="L38" i="14"/>
  <c r="I52" i="7"/>
  <c r="L41" i="14"/>
  <c r="I55" i="7"/>
  <c r="I23" i="7"/>
  <c r="I4" i="7"/>
  <c r="I3" i="7"/>
  <c r="I7" i="7"/>
  <c r="I5" i="7"/>
  <c r="I6" i="7"/>
  <c r="I2" i="7"/>
  <c r="L14" i="14"/>
  <c r="I24" i="7"/>
  <c r="I28" i="7"/>
  <c r="I25" i="7"/>
  <c r="I66" i="7"/>
  <c r="I14" i="7"/>
  <c r="I21" i="7"/>
  <c r="I20" i="7"/>
  <c r="I18" i="7"/>
  <c r="I13" i="7"/>
  <c r="I65" i="7"/>
  <c r="L36" i="14"/>
  <c r="I50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<sst xmlns="http://schemas.openxmlformats.org/spreadsheetml/2006/main" count="480" uniqueCount="373">
  <si>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</si>
  <si>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</si>
  <si>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</si>
  <si>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</si>
  <si>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</si>
  <si>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</si>
  <si>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</si>
  <si>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</si>
  <si>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</si>
  <si>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</si>
  <si>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</si>
  <si>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</si>
  <si>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</si>
  <si>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</si>
  <si>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</si>
  <si>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</si>
  <si>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</si>
  <si>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</si>
  <si>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</si>
  <si>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</si>
  <si>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</si>
  <si>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</si>
  <si>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</si>
  <si>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</si>
  <si>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</si>
  <si>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</si>
  <si>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</si>
  <si>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</si>
  <si>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</si>
  <si>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</si>
  <si>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</si>
  <si>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</si>
  <si>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</si>
  <si>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</si>
  <si>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</si>
  <si>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</si>
  <si>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</si>
  <si>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</si>
  <si>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</si>
  <si>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</si>
  <si>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</si>
  <si>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</si>
  <si>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</si>
  <si>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</si>
  <si>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</si>
  <si>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</si>
  <si>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</si>
  <si>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</si>
  <si>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</si>
  <si>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</si>
  <si>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</si>
  <si>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</si>
  <si>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</si>
  <si>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</si>
  <si>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</si>
  <si>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</si>
  <si>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</si>
  <si>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</si>
  <si>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</si>
  <si>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</si>
  <si>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</si>
  <si>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</si>
  <si>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</si>
  <si>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</si>
  <si>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</si>
  <si>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</si>
  <si>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</si>
  <si>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</si>
  <si>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</si>
  <si>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</si>
  <si>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</si>
  <si>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</si>
  <si>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</si>
  <si>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</si>
  <si>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</si>
  <si>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</si>
  <si>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</si>
  <si>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</si>
  <si>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</si>
  <si>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</si>
  <si>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</si>
  <si>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</si>
  <si>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</si>
  <si>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</si>
  <si>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</si>
  <si>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</si>
  <si>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</si>
  <si>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</si>
  <si>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</si>
  <si>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</si>
  <si>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</si>
  <si>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</si>
  <si>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</si>
  <si>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</si>
  <si>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</si>
  <si>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</si>
  <si>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</si>
  <si>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</si>
  <si>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</si>
  <si>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</si>
  <si>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</si>
  <si>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</si>
  <si>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</si>
  <si>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</si>
  <si>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</si>
  <si>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</si>
  <si>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</si>
  <si>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</si>
  <si>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</si>
  <si>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</si>
  <si>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</si>
  <si>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</si>
  <si>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</si>
  <si>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</si>
  <si>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</si>
  <si>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</si>
  <si>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</si>
  <si>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</si>
  <si>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</si>
  <si>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</si>
  <si>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</si>
  <si>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</si>
  <si>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</si>
  <si>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</si>
  <si>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</si>
  <si>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</si>
  <si>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</si>
  <si>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</si>
  <si>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</si>
  <si>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</si>
  <si>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</si>
  <si>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</si>
  <si>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</si>
  <si>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</si>
  <si>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</si>
  <si>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</si>
  <si>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</si>
  <si>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</si>
  <si>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</si>
  <si>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</si>
  <si>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</si>
  <si>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</si>
  <si>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</si>
  <si>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</si>
  <si>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</si>
  <si>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</si>
  <si>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</si>
  <si>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</si>
  <si>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</si>
  <si>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</si>
  <si>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</si>
  <si>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</si>
  <si>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</si>
  <si>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</si>
  <si>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</si>
  <si>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</si>
  <si>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</si>
  <si>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</si>
  <si>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</si>
  <si>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</si>
  <si>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</si>
  <si>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</si>
  <si>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</si>
  <si>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</si>
  <si>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</si>
  <si>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</si>
  <si>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</si>
  <si>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</si>
  <si>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</si>
  <si>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</si>
  <si>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</si>
  <si>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</si>
  <si>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</si>
  <si>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</si>
  <si>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</si>
  <si>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</si>
  <si>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</si>
  <si>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</si>
  <si>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</si>
  <si>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</si>
  <si>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</si>
  <si>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</si>
  <si>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</si>
  <si>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</si>
  <si>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</si>
  <si>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</si>
  <si>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</si>
  <si>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</si>
  <si>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</si>
  <si>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</si>
  <si>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</si>
  <si>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</si>
  <si>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</si>
  <si>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</si>
  <si>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</si>
  <si>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</si>
  <si>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</si>
  <si>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</si>
  <si>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</si>
  <si>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</si>
  <si>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</si>
  <si>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</si>
  <si>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</si>
  <si>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</si>
  <si>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</si>
  <si>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</si>
  <si>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</si>
  <si>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</si>
  <si>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</si>
  <si>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</si>
  <si>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</si>
  <si>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</si>
  <si>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</si>
  <si>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</si>
  <si>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</si>
  <si>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</si>
  <si>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</si>
  <si>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</si>
  <si>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</si>
  <si>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</si>
  <si>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</si>
  <si>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</si>
  <si>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</si>
  <si>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</si>
  <si>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</si>
  <si>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</si>
  <si>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</si>
  <si>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</si>
  <si>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</si>
  <si>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</si>
  <si>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</si>
  <si>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</si>
  <si>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</si>
  <si>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</si>
  <si>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</si>
  <si>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</si>
  <si>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</si>
  <si>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</si>
  <si>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</si>
  <si>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</si>
  <si>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</si>
  <si>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</si>
  <si>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</si>
  <si>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</si>
  <si>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</si>
  <si>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</si>
  <si>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</si>
  <si>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</si>
  <si>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</si>
  <si>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</si>
  <si>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</si>
  <si>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</si>
  <si>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</si>
  <si>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</si>
  <si>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</si>
  <si>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</si>
  <si>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</si>
  <si>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</si>
  <si>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</si>
  <si>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</si>
  <si>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</si>
  <si>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</si>
  <si>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</si>
  <si>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</si>
  <si>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</si>
  <si>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</si>
  <si>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</si>
  <si>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</si>
  <si>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</si>
  <si>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</si>
  <si>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</si>
  <si>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</si>
  <si>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</si>
  <si>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</si>
  <si>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</si>
  <si>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</si>
  <si>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</si>
  <si>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</si>
  <si>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</si>
  <si>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</si>
  <si>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</si>
  <si>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</si>
  <si>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</si>
  <si>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</si>
  <si>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</si>
  <si>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</si>
  <si>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</si>
  <si>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</si>
  <si>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</si>
  <si>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</si>
  <si>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</si>
  <si>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</si>
  <si>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</si>
  <si>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</si>
  <si>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</si>
  <si>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</si>
  <si>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</si>
  <si>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</si>
  <si>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</si>
  <si>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</si>
  <si>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</si>
  <si>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</si>
  <si>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</si>
  <si>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</si>
  <si>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</si>
  <si>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</si>
  <si>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</si>
  <si>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</si>
  <si>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</si>
  <si>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</si>
  <si>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</si>
  <si>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</si>
  <si>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</si>
  <si>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</si>
  <si>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</si>
  <si>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</si>
  <si>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</si>
  <si>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</si>
  <si>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</si>
  <si>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</si>
  <si>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</si>
  <si>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</si>
  <si>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</si>
  <si>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</si>
  <si>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</si>
  <si>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</si>
  <si>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</si>
  <si>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</si>
  <si>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</si>
  <si>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</si>
  <si>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</si>
  <si>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</si>
  <si>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</si>
  <si>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</si>
  <si>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1,0,10,1,20,2,20,</t>
    <phoneticPr fontId="1" type="noConversion"/>
  </si>
  <si>
    <t>初级彩贝</t>
    <phoneticPr fontId="1" type="noConversion"/>
  </si>
  <si>
    <t>1,1,20,2,20,3,10,4,10</t>
    <phoneticPr fontId="1" type="noConversion"/>
  </si>
  <si>
    <t>中级彩贝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</si>
  <si>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</si>
  <si>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</si>
  <si>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</si>
  <si>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</si>
  <si>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</si>
  <si>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幸运转盘</t>
    <phoneticPr fontId="1" type="noConversion"/>
  </si>
  <si>
    <t>50,50,50,50,100,</t>
    <phoneticPr fontId="1" type="noConversion"/>
  </si>
  <si>
    <t>0.02,0.02,0.02,0.02,0.01</t>
    <phoneticPr fontId="1" type="noConversion"/>
  </si>
  <si>
    <t>250,2,</t>
    <phoneticPr fontId="1" type="noConversion"/>
  </si>
  <si>
    <t>120,180</t>
    <phoneticPr fontId="1" type="noConversion"/>
  </si>
  <si>
    <t>强击弹</t>
    <phoneticPr fontId="1" type="noConversion"/>
  </si>
  <si>
    <t>强击弹（超级火力）</t>
    <phoneticPr fontId="1" type="noConversion"/>
  </si>
  <si>
    <t>强击弹（双倍）</t>
    <phoneticPr fontId="1" type="noConversion"/>
  </si>
  <si>
    <t>300,</t>
    <phoneticPr fontId="1" type="noConversion"/>
  </si>
  <si>
    <t>50,50,50,50,100,</t>
    <phoneticPr fontId="1" type="noConversion"/>
  </si>
  <si>
    <t>200,400</t>
    <phoneticPr fontId="1" type="noConversion"/>
  </si>
  <si>
    <t>300,</t>
    <phoneticPr fontId="1" type="noConversion"/>
  </si>
  <si>
    <t>疯狂6选一</t>
    <phoneticPr fontId="1" type="noConversion"/>
  </si>
  <si>
    <t>4,20,30,50,100,</t>
    <phoneticPr fontId="1" type="noConversion"/>
  </si>
  <si>
    <t>50,</t>
    <phoneticPr fontId="1" type="noConversion"/>
  </si>
  <si>
    <t>骰子龟</t>
    <phoneticPr fontId="1" type="noConversion"/>
  </si>
  <si>
    <t>250,2,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</si>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</sst>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210</v>
      </c>
    </row>
    <row r="2" spans="1:13" x14ac:dyDescent="0.2">
      <c r="A2" s="2">
        <v>1</v>
      </c>
      <c r="B2" s="2" t="s">
        <v>321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251</v>
      </c>
      <c r="C10" s="2">
        <v>4</v>
      </c>
      <c r="D10" t="s">
        <v>211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305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311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opLeftCell="C1" workbookViewId="0">
      <pane ySplit="1" topLeftCell="A38" activePane="bottomLeft" state="frozen"/>
      <selection pane="bottomLeft" activeCell="Q65" sqref="Q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252</v>
      </c>
      <c r="B1" s="1" t="s">
        <v>253</v>
      </c>
      <c r="C1" s="1" t="s">
        <v>254</v>
      </c>
      <c r="D1" s="1" t="s">
        <v>255</v>
      </c>
      <c r="E1" s="1" t="s">
        <v>256</v>
      </c>
      <c r="F1" s="1" t="s">
        <v>257</v>
      </c>
      <c r="G1" s="1" t="s">
        <v>258</v>
      </c>
      <c r="H1" s="1" t="s">
        <v>97</v>
      </c>
      <c r="I1" s="1" t="s">
        <v>259</v>
      </c>
      <c r="J1" s="9" t="s">
        <v>105</v>
      </c>
      <c r="K1" s="1" t="s">
        <v>260</v>
      </c>
      <c r="L1" s="1" t="s">
        <v>50</v>
      </c>
      <c r="Q1" s="1" t="s">
        <v>261</v>
      </c>
      <c r="R1" s="1" t="s">
        <v>261</v>
      </c>
      <c r="S1" s="1" t="s">
        <v>261</v>
      </c>
      <c r="T1" s="1" t="s">
        <v>261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262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243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263</v>
      </c>
      <c r="G7" s="45" t="s">
        <v>264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265</v>
      </c>
      <c r="G8" s="45" t="s">
        <v>266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267</v>
      </c>
      <c r="D10" s="29" t="s">
        <v>268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269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244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270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271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272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273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274</v>
      </c>
      <c r="G19" s="41" t="s">
        <v>275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276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277</v>
      </c>
      <c r="G21" s="41" t="s">
        <v>278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279</v>
      </c>
      <c r="G22" s="41" t="s">
        <v>203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280</v>
      </c>
      <c r="G23" s="21" t="s">
        <v>248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138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281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118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282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185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283</v>
      </c>
      <c r="G26" s="21" t="s">
        <v>284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285</v>
      </c>
      <c r="G27" s="41" t="s">
        <v>286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287</v>
      </c>
      <c r="G28" s="41" t="s">
        <v>288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289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290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291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292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293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294</v>
      </c>
      <c r="H39" s="19" t="s">
        <v>344</v>
      </c>
      <c r="I39" s="19" t="s">
        <v>345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295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296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297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298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299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301</v>
      </c>
      <c r="G65" s="45" t="s">
        <v>302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303</v>
      </c>
      <c r="G66" s="45" t="s">
        <v>249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304</v>
      </c>
      <c r="G67" s="46" t="s">
        <v>250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0" activePane="bottomLeft" state="frozen"/>
      <selection pane="bottomLeft" activeCell="F45" sqref="F45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310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361</v>
      </c>
      <c r="E21" s="19">
        <f>LOOKUP(use_fish!B21,base_fish!A:A,base_fish!C:C)+_xlfn.IFNA(INDEX(activity!F:F,MATCH(use_fish!C21,activity!A:A,0)),0)</f>
        <v>60</v>
      </c>
      <c r="F21" s="19">
        <f t="shared" si="3"/>
        <v>1.6666666666666666E-2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362</v>
      </c>
      <c r="E23" s="19">
        <f>LOOKUP(use_fish!B23,base_fish!A:A,base_fish!C:C)+_xlfn.IFNA(INDEX(activity!F:F,MATCH(use_fish!C23,activity!A:A,0)),0)</f>
        <v>60</v>
      </c>
      <c r="F23" s="19">
        <f t="shared" si="3"/>
        <v>1.6666666666666666E-2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363</v>
      </c>
      <c r="E24" s="19">
        <f>LOOKUP(use_fish!B24,base_fish!A:A,base_fish!C:C)+_xlfn.IFNA(INDEX(activity!F:F,MATCH(use_fish!C24,activity!A:A,0)),0)</f>
        <v>60</v>
      </c>
      <c r="F24" s="19">
        <f t="shared" si="3"/>
        <v>1.6666666666666666E-2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322</v>
      </c>
      <c r="F25" s="19" t="s">
        <v>324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325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361</v>
      </c>
      <c r="E26" s="19">
        <f>LOOKUP(use_fish!B26,base_fish!A:A,base_fish!C:C)+_xlfn.IFNA(INDEX(activity!F:F,MATCH(use_fish!C26,activity!A:A,0)),0)</f>
        <v>80</v>
      </c>
      <c r="F26" s="19">
        <f t="shared" ref="F26" si="5">1/E26</f>
        <v>1.2500000000000001E-2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361</v>
      </c>
      <c r="E27" s="19">
        <f>LOOKUP(use_fish!B27,base_fish!A:A,base_fish!C:C)+_xlfn.IFNA(INDEX(activity!F:F,MATCH(use_fish!C27,activity!A:A,0)),0)</f>
        <v>100</v>
      </c>
      <c r="F27" s="19">
        <f t="shared" si="3"/>
        <v>0.01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364</v>
      </c>
      <c r="E28" s="19">
        <f>LOOKUP(use_fish!B28,base_fish!A:A,base_fish!C:C)+_xlfn.IFNA(INDEX(activity!F:F,MATCH(use_fish!C28,activity!A:A,0)),0)</f>
        <v>100</v>
      </c>
      <c r="F28" s="19">
        <f t="shared" si="3"/>
        <v>0.01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8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9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8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9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8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9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8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9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8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9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9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365</v>
      </c>
      <c r="E39" s="32">
        <f>LOOKUP(use_fish!B39,base_fish!A:A,base_fish!C:C)+_xlfn.IFNA(INDEX(activity!F:F,MATCH(use_fish!C39,activity!A:A,0)),0)</f>
        <v>100</v>
      </c>
      <c r="F39" s="32">
        <f t="shared" si="8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9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366</v>
      </c>
      <c r="E40" s="32">
        <f>LOOKUP(use_fish!B40,base_fish!A:A,base_fish!C:C)+_xlfn.IFNA(INDEX(activity!F:F,MATCH(use_fish!C40,activity!A:A,0)),0)</f>
        <v>100</v>
      </c>
      <c r="F40" s="32">
        <f t="shared" ref="F40:F44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367</v>
      </c>
      <c r="E41" s="32">
        <f>LOOKUP(use_fish!B41,base_fish!A:A,base_fish!C:C)+_xlfn.IFNA(INDEX(activity!F:F,MATCH(use_fish!C41,activity!A:A,0)),0)</f>
        <v>300</v>
      </c>
      <c r="F41" s="32">
        <f t="shared" si="10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1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366</v>
      </c>
      <c r="E42" s="32">
        <f>LOOKUP(use_fish!B42,base_fish!A:A,base_fish!C:C)+_xlfn.IFNA(INDEX(activity!F:F,MATCH(use_fish!C42,activity!A:A,0)),0)</f>
        <v>200</v>
      </c>
      <c r="F42" s="32">
        <f t="shared" si="10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1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1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368</v>
      </c>
      <c r="E44" s="32">
        <f>LOOKUP(use_fish!B44,base_fish!A:A,base_fish!C:C)+_xlfn.IFNA(INDEX(activity!F:F,MATCH(use_fish!C44,activity!A:A,0)),0)</f>
        <v>200</v>
      </c>
      <c r="F44" s="32">
        <f t="shared" si="10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1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1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2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365</v>
      </c>
      <c r="E47" s="36">
        <f>LOOKUP(use_fish!B47,base_fish!A:A,base_fish!C:C)+_xlfn.IFNA(INDEX(activity!F:F,MATCH(use_fish!C47,activity!A:A,0)),0)</f>
        <v>200</v>
      </c>
      <c r="F47" s="36">
        <f t="shared" ref="F47:F50" si="13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2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369</v>
      </c>
      <c r="E48" s="36">
        <f>LOOKUP(use_fish!B48,base_fish!A:A,base_fish!C:C)+_xlfn.IFNA(INDEX(activity!F:F,MATCH(use_fish!C48,activity!A:A,0)),0)</f>
        <v>300</v>
      </c>
      <c r="F48" s="36">
        <f t="shared" si="13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2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365</v>
      </c>
      <c r="E49" s="36">
        <f>LOOKUP(use_fish!B49,base_fish!A:A,base_fish!C:C)+_xlfn.IFNA(INDEX(activity!F:F,MATCH(use_fish!C49,activity!A:A,0)),0)</f>
        <v>400</v>
      </c>
      <c r="F49" s="36">
        <f t="shared" si="13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2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370</v>
      </c>
      <c r="E50" s="36">
        <f>LOOKUP(use_fish!B50,base_fish!A:A,base_fish!C:C)+_xlfn.IFNA(INDEX(activity!F:F,MATCH(use_fish!C50,activity!A:A,0)),0)</f>
        <v>400</v>
      </c>
      <c r="F50" s="36">
        <f t="shared" si="13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2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315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abSelected="1" topLeftCell="A4" workbookViewId="0">
      <selection activeCell="C35" sqref="C35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245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313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326</v>
      </c>
      <c r="D18" s="4">
        <v>0</v>
      </c>
      <c r="E18" s="4">
        <v>0</v>
      </c>
      <c r="F18">
        <v>150</v>
      </c>
      <c r="G18" t="s">
        <v>312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327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s="11" t="s">
        <v>347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195</v>
      </c>
    </row>
    <row r="21" spans="1:9" x14ac:dyDescent="0.2">
      <c r="A21">
        <v>20</v>
      </c>
      <c r="B21">
        <v>19</v>
      </c>
      <c r="C21" t="s">
        <v>328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314</v>
      </c>
      <c r="D22" s="4">
        <v>0</v>
      </c>
      <c r="E22" s="4">
        <v>0</v>
      </c>
      <c r="F22">
        <v>50</v>
      </c>
      <c r="G22" t="s">
        <v>329</v>
      </c>
      <c r="H22">
        <v>26</v>
      </c>
      <c r="I22" t="s">
        <v>206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330</v>
      </c>
      <c r="H23">
        <v>27</v>
      </c>
      <c r="I23" t="s">
        <v>207</v>
      </c>
    </row>
    <row r="24" spans="1:9" x14ac:dyDescent="0.2">
      <c r="A24">
        <v>23</v>
      </c>
      <c r="B24">
        <v>20</v>
      </c>
      <c r="C24" s="11" t="s">
        <v>331</v>
      </c>
      <c r="D24" s="4">
        <v>0</v>
      </c>
      <c r="E24" s="4">
        <v>0</v>
      </c>
      <c r="F24">
        <v>250</v>
      </c>
      <c r="G24" t="s">
        <v>332</v>
      </c>
      <c r="H24">
        <v>28</v>
      </c>
      <c r="I24" t="s">
        <v>205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333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334</v>
      </c>
      <c r="D26" s="4">
        <v>0</v>
      </c>
      <c r="E26" s="4">
        <v>0</v>
      </c>
      <c r="F26">
        <v>10</v>
      </c>
      <c r="G26" t="s">
        <v>335</v>
      </c>
      <c r="H26">
        <v>30</v>
      </c>
      <c r="I26" t="s">
        <v>309</v>
      </c>
    </row>
    <row r="27" spans="1:9" x14ac:dyDescent="0.2">
      <c r="A27">
        <v>26</v>
      </c>
      <c r="B27">
        <v>21</v>
      </c>
      <c r="C27" s="11" t="s">
        <v>336</v>
      </c>
      <c r="D27" s="4">
        <v>0</v>
      </c>
      <c r="E27" s="4">
        <v>0</v>
      </c>
      <c r="F27">
        <v>50</v>
      </c>
      <c r="G27" t="s">
        <v>337</v>
      </c>
      <c r="H27">
        <v>31</v>
      </c>
      <c r="I27" t="s">
        <v>317</v>
      </c>
    </row>
    <row r="28" spans="1:9" x14ac:dyDescent="0.2">
      <c r="A28">
        <v>27</v>
      </c>
      <c r="B28">
        <v>21</v>
      </c>
      <c r="C28" s="11" t="s">
        <v>338</v>
      </c>
      <c r="D28" s="4">
        <v>0</v>
      </c>
      <c r="E28" s="4">
        <v>0</v>
      </c>
      <c r="F28">
        <v>100</v>
      </c>
      <c r="G28" t="s">
        <v>339</v>
      </c>
      <c r="H28">
        <v>32</v>
      </c>
      <c r="I28" t="s">
        <v>318</v>
      </c>
    </row>
    <row r="29" spans="1:9" x14ac:dyDescent="0.2">
      <c r="A29">
        <v>28</v>
      </c>
      <c r="B29">
        <v>22</v>
      </c>
      <c r="C29" s="11" t="s">
        <v>340</v>
      </c>
      <c r="D29" s="4">
        <v>0</v>
      </c>
      <c r="E29" s="4">
        <v>0</v>
      </c>
      <c r="F29">
        <v>100</v>
      </c>
      <c r="G29" t="s">
        <v>341</v>
      </c>
      <c r="H29">
        <v>33</v>
      </c>
      <c r="I29" t="s">
        <v>319</v>
      </c>
    </row>
    <row r="30" spans="1:9" x14ac:dyDescent="0.2">
      <c r="A30">
        <v>29</v>
      </c>
      <c r="B30">
        <v>23</v>
      </c>
      <c r="C30" t="s">
        <v>342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349</v>
      </c>
    </row>
    <row r="31" spans="1:9" x14ac:dyDescent="0.2">
      <c r="A31">
        <v>30</v>
      </c>
      <c r="B31">
        <v>24</v>
      </c>
      <c r="C31" s="11" t="s">
        <v>353</v>
      </c>
      <c r="D31" s="4">
        <v>0</v>
      </c>
      <c r="E31" s="4">
        <v>0</v>
      </c>
      <c r="F31">
        <v>300</v>
      </c>
      <c r="G31" t="s">
        <v>343</v>
      </c>
      <c r="H31">
        <v>39</v>
      </c>
      <c r="I31" t="s">
        <v>350</v>
      </c>
    </row>
    <row r="32" spans="1:9" x14ac:dyDescent="0.2">
      <c r="A32">
        <v>31</v>
      </c>
      <c r="B32">
        <v>25</v>
      </c>
      <c r="C32" t="s">
        <v>308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351</v>
      </c>
      <c r="D33" s="4">
        <v>0</v>
      </c>
      <c r="E33" s="4">
        <v>0</v>
      </c>
      <c r="F33">
        <v>300</v>
      </c>
      <c r="G33" t="s">
        <v>343</v>
      </c>
    </row>
    <row r="34" spans="1:7" x14ac:dyDescent="0.2">
      <c r="A34">
        <v>33</v>
      </c>
      <c r="B34">
        <v>29</v>
      </c>
      <c r="C34" t="s">
        <v>354</v>
      </c>
      <c r="D34" s="4">
        <v>0</v>
      </c>
      <c r="E34" s="4">
        <v>0</v>
      </c>
      <c r="F34">
        <v>300</v>
      </c>
      <c r="G34" t="s">
        <v>355</v>
      </c>
    </row>
    <row r="35" spans="1:7" x14ac:dyDescent="0.2">
      <c r="A35">
        <v>34</v>
      </c>
      <c r="B35">
        <v>30</v>
      </c>
      <c r="C35" s="11" t="s">
        <v>372</v>
      </c>
      <c r="D35" s="4">
        <v>0</v>
      </c>
      <c r="E35" s="4">
        <v>0</v>
      </c>
      <c r="F35">
        <v>150</v>
      </c>
      <c r="G35" t="s">
        <v>309</v>
      </c>
    </row>
    <row r="36" spans="1:7" x14ac:dyDescent="0.2">
      <c r="A36">
        <v>35</v>
      </c>
      <c r="B36">
        <v>31</v>
      </c>
      <c r="C36" t="s">
        <v>356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371</v>
      </c>
      <c r="D37" s="4">
        <v>0</v>
      </c>
      <c r="E37" s="4">
        <v>0</v>
      </c>
      <c r="F37">
        <v>300</v>
      </c>
      <c r="G37" t="s">
        <v>318</v>
      </c>
    </row>
    <row r="38" spans="1:7" x14ac:dyDescent="0.2">
      <c r="A38">
        <v>37</v>
      </c>
      <c r="B38">
        <v>33</v>
      </c>
      <c r="C38" t="s">
        <v>357</v>
      </c>
      <c r="D38" s="4">
        <v>0</v>
      </c>
      <c r="E38" s="4">
        <v>0</v>
      </c>
      <c r="F38">
        <v>200</v>
      </c>
      <c r="G38" t="s">
        <v>358</v>
      </c>
    </row>
    <row r="39" spans="1:7" x14ac:dyDescent="0.2">
      <c r="A39">
        <v>38</v>
      </c>
      <c r="B39">
        <v>38</v>
      </c>
      <c r="C39" t="s">
        <v>359</v>
      </c>
      <c r="D39" s="4">
        <v>0</v>
      </c>
      <c r="E39" s="4">
        <v>0</v>
      </c>
      <c r="F39">
        <v>250</v>
      </c>
      <c r="G39" t="s">
        <v>348</v>
      </c>
    </row>
    <row r="40" spans="1:7" x14ac:dyDescent="0.2">
      <c r="A40">
        <v>39</v>
      </c>
      <c r="B40">
        <v>39</v>
      </c>
      <c r="C40" t="s">
        <v>346</v>
      </c>
      <c r="D40" s="4">
        <v>0</v>
      </c>
      <c r="E40" s="4">
        <v>0</v>
      </c>
      <c r="F40">
        <v>250</v>
      </c>
      <c r="G40" t="s">
        <v>360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6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225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242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227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228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352</v>
      </c>
      <c r="D25" s="15" t="s">
        <v>323</v>
      </c>
      <c r="E25" s="17" t="s">
        <v>229</v>
      </c>
      <c r="F25" s="15" t="s">
        <v>322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230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247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212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306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235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236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237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238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239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307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240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241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316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320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2020-06-17T12:09:50Z</dcterms:modified>
</cp:coreProperties>
</file>