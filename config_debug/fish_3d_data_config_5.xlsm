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5" i="14" l="1"/>
  <c r="H26" i="14"/>
  <c r="H27" i="14"/>
  <c r="K24" i="14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I49" i="7"/>
  <c r="J49" i="7"/>
  <c r="J50" i="7"/>
  <c r="J51" i="7"/>
  <c r="J52" i="7"/>
  <c r="J53" i="7"/>
  <c r="J54" i="7"/>
  <c r="J55" i="7"/>
  <c r="J56" i="7"/>
  <c r="J57" i="7"/>
  <c r="J58" i="7"/>
  <c r="J59" i="7"/>
  <c r="J60" i="7"/>
  <c r="H61" i="7"/>
  <c r="I61" i="7"/>
  <c r="J61" i="7"/>
  <c r="J62" i="7"/>
  <c r="J63" i="7"/>
  <c r="H64" i="7"/>
  <c r="I64" i="7"/>
  <c r="J64" i="7"/>
  <c r="J65" i="7"/>
  <c r="J66" i="7"/>
  <c r="J67" i="7"/>
  <c r="J2" i="7"/>
  <c r="G36" i="5" l="1"/>
  <c r="G32" i="5"/>
  <c r="G30" i="5"/>
  <c r="G21" i="5"/>
  <c r="G20" i="5"/>
  <c r="G19" i="5"/>
  <c r="I26" i="14" l="1"/>
  <c r="E26" i="14"/>
  <c r="J40" i="7"/>
  <c r="L25" i="14"/>
  <c r="J39" i="7"/>
  <c r="F26" i="1"/>
  <c r="D26" i="1"/>
  <c r="F26" i="14" l="1"/>
  <c r="H40" i="7"/>
  <c r="L26" i="14"/>
  <c r="I40" i="7"/>
  <c r="E39" i="14"/>
  <c r="H53" i="7" s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E50" i="14"/>
  <c r="H63" i="7" s="1"/>
  <c r="K49" i="14"/>
  <c r="E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I12" i="7" l="1"/>
  <c r="I11" i="7"/>
  <c r="L17" i="14"/>
  <c r="I31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L30" i="14"/>
  <c r="I44" i="7"/>
  <c r="H14" i="7"/>
  <c r="H66" i="7"/>
  <c r="H21" i="7"/>
  <c r="I30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F43" i="14"/>
  <c r="H57" i="7"/>
  <c r="F45" i="14"/>
  <c r="H59" i="7"/>
  <c r="H20" i="14"/>
  <c r="H30" i="14"/>
  <c r="L19" i="14"/>
  <c r="F50" i="14"/>
  <c r="I43" i="14"/>
  <c r="I39" i="14"/>
  <c r="I53" i="7" s="1"/>
  <c r="I20" i="14"/>
  <c r="I34" i="7" s="1"/>
  <c r="I41" i="14"/>
  <c r="I8" i="14"/>
  <c r="I19" i="7" s="1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I22" i="7" s="1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6" i="7" l="1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<sst xmlns="http://schemas.openxmlformats.org/spreadsheetml/2006/main" count="477" uniqueCount="360">
  <si>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</si>
  <si>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</si>
  <si>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</si>
  <si>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</si>
  <si>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</si>
  <si>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</si>
  <si>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</si>
  <si>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</si>
  <si>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</si>
  <si>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</si>
  <si>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</si>
  <si>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</si>
  <si>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</si>
  <si>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</si>
  <si>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</si>
  <si>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</si>
  <si>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</si>
  <si>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</si>
  <si>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</si>
  <si>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</si>
  <si>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</si>
  <si>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</si>
  <si>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</si>
  <si>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</si>
  <si>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</si>
  <si>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</si>
  <si>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</si>
  <si>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</si>
  <si>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</si>
  <si>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</si>
  <si>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</si>
  <si>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</si>
  <si>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</si>
  <si>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</si>
  <si>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</si>
  <si>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</si>
  <si>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</si>
  <si>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</si>
  <si>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</si>
  <si>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</si>
  <si>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</si>
  <si>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</si>
  <si>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</si>
  <si>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</si>
  <si>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</si>
  <si>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</si>
  <si>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</si>
  <si>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</si>
  <si>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</si>
  <si>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</si>
  <si>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</si>
  <si>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</si>
  <si>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</si>
  <si>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</si>
  <si>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</si>
  <si>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</si>
  <si>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</si>
  <si>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</si>
  <si>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</si>
  <si>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</si>
  <si>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</si>
  <si>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</si>
  <si>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</si>
  <si>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</si>
  <si>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</si>
  <si>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</si>
  <si>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</si>
  <si>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</si>
  <si>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</si>
  <si>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</si>
  <si>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</si>
  <si>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</si>
  <si>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</si>
  <si>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</si>
  <si>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</si>
  <si>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</si>
  <si>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</si>
  <si>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</si>
  <si>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</si>
  <si>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</si>
  <si>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</si>
  <si>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</si>
  <si>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</si>
  <si>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</si>
  <si>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</si>
  <si>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</si>
  <si>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</si>
  <si>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</si>
  <si>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</si>
  <si>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</si>
  <si>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</si>
  <si>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</si>
  <si>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</si>
  <si>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</si>
  <si>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</si>
  <si>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</si>
  <si>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</si>
  <si>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</si>
  <si>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</si>
  <si>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</si>
  <si>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</si>
  <si>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</si>
  <si>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</si>
  <si>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</si>
  <si>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</si>
  <si>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</si>
  <si>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</si>
  <si>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</si>
  <si>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</si>
  <si>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</si>
  <si>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</si>
  <si>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</si>
  <si>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</si>
  <si>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</si>
  <si>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</si>
  <si>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</si>
  <si>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</si>
  <si>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</si>
  <si>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</si>
  <si>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</si>
  <si>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</si>
  <si>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</si>
  <si>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</si>
  <si>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</si>
  <si>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</si>
  <si>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</si>
  <si>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</si>
  <si>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</si>
  <si>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</si>
  <si>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</si>
  <si>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</si>
  <si>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</si>
  <si>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</si>
  <si>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</si>
  <si>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</si>
  <si>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</si>
  <si>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</si>
  <si>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</si>
  <si>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</si>
  <si>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</si>
  <si>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</si>
  <si>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</si>
  <si>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</si>
  <si>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</si>
  <si>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</si>
  <si>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</si>
  <si>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</si>
  <si>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</si>
  <si>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</si>
  <si>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</si>
  <si>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</si>
  <si>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</si>
  <si>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</si>
  <si>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</si>
  <si>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</si>
  <si>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</si>
  <si>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</si>
  <si>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</si>
  <si>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</si>
  <si>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</si>
  <si>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</si>
  <si>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</si>
  <si>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</si>
  <si>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</si>
  <si>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</si>
  <si>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</si>
  <si>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</si>
  <si>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</si>
  <si>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</si>
  <si>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</si>
  <si>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</si>
  <si>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</si>
  <si>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</si>
  <si>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</si>
  <si>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</si>
  <si>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</si>
  <si>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</si>
  <si>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</si>
  <si>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</si>
  <si>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</si>
  <si>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</si>
  <si>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</si>
  <si>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</si>
  <si>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</si>
  <si>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</si>
  <si>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</si>
  <si>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</si>
  <si>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</si>
  <si>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</si>
  <si>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</si>
  <si>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</si>
  <si>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</si>
  <si>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</si>
  <si>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</si>
  <si>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</si>
  <si>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</si>
  <si>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</si>
  <si>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</si>
  <si>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</si>
  <si>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</si>
  <si>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</si>
  <si>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</si>
  <si>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</si>
  <si>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</si>
  <si>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</si>
  <si>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</si>
  <si>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</si>
  <si>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</si>
  <si>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</si>
  <si>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</si>
  <si>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</si>
  <si>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</si>
  <si>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</si>
  <si>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</si>
  <si>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</si>
  <si>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</si>
  <si>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</si>
  <si>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</si>
  <si>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</si>
  <si>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</si>
  <si>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</si>
  <si>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</si>
  <si>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</si>
  <si>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</si>
  <si>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</si>
  <si>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</si>
  <si>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</si>
  <si>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</si>
  <si>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</si>
  <si>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</si>
  <si>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</si>
  <si>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</si>
  <si>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</si>
  <si>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</si>
  <si>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</si>
  <si>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</si>
  <si>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</si>
  <si>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</si>
  <si>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</si>
  <si>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</si>
  <si>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</si>
  <si>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</si>
  <si>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</si>
  <si>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</si>
  <si>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</si>
  <si>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</si>
  <si>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</si>
  <si>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</si>
  <si>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</si>
  <si>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</si>
  <si>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</si>
  <si>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</si>
  <si>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</si>
  <si>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</si>
  <si>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</si>
  <si>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</si>
  <si>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</si>
  <si>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</si>
  <si>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</si>
  <si>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</si>
  <si>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</si>
  <si>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</si>
  <si>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</si>
  <si>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</si>
  <si>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</si>
  <si>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</si>
  <si>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</si>
  <si>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</si>
  <si>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</si>
  <si>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</si>
  <si>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</si>
  <si>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</si>
  <si>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</si>
  <si>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</si>
  <si>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</si>
  <si>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</si>
  <si>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</si>
  <si>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</si>
  <si>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</si>
  <si>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</si>
  <si>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</si>
  <si>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</si>
  <si>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</si>
  <si>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</si>
  <si>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</si>
  <si>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</si>
  <si>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</si>
  <si>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</si>
  <si>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</si>
  <si>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</si>
  <si>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</si>
  <si>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</si>
  <si>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</si>
  <si>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</si>
  <si>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</si>
  <si>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</si>
  <si>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</si>
  <si>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</si>
  <si>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</si>
  <si>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</si>
  <si>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</si>
  <si>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</si>
  <si>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</si>
  <si>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</si>
  <si>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</si>
  <si>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</si>
  <si>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</si>
  <si>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</si>
  <si>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</si>
  <si>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</si>
  <si>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</si>
  <si>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</si>
  <si>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</si>
  <si>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</si>
  <si>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</si>
  <si>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</si>
  <si>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</si>
  <si>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</si>
  <si>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</si>
  <si>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</si>
  <si>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</si>
  <si>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</si>
  <si>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</si>
  <si>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</si>
  <si>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</si>
  <si>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</si>
  <si>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</si>
  <si>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</si>
  <si>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</si>
  <si>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</si>
  <si>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</si>
  <si>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</si>
  <si>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</si>
  <si>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60,90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</si>
  <si>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</si>
  <si>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</si>
  <si>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</si>
  <si>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</si>
  <si>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</si>
  <si>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</si>
  <si>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1,0,10,1,20,2,20,</t>
    <phoneticPr fontId="1" type="noConversion"/>
  </si>
  <si>
    <t>初级彩贝</t>
    <phoneticPr fontId="1" type="noConversion"/>
  </si>
  <si>
    <t>1,1,20,2,20,3,10,4,10</t>
    <phoneticPr fontId="1" type="noConversion"/>
  </si>
  <si>
    <t>中级彩贝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</si>
  <si>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</si>
  <si>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</si>
  <si>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</si>
  <si>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</si>
  <si>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</si>
  <si>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400,500</t>
    <phoneticPr fontId="1" type="noConversion"/>
  </si>
  <si>
    <t>幸运转盘</t>
    <phoneticPr fontId="1" type="noConversion"/>
  </si>
  <si>
    <t>100,</t>
    <phoneticPr fontId="1" type="noConversion"/>
  </si>
  <si>
    <t>疯狂6选一</t>
    <phoneticPr fontId="1" type="noConversion"/>
  </si>
  <si>
    <t>4,40,60,80,120,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</si>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</sst>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A8" sqref="A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J5" sqref="J5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210</v>
      </c>
    </row>
    <row r="2" spans="1:13" x14ac:dyDescent="0.2">
      <c r="A2" s="2">
        <v>1</v>
      </c>
      <c r="B2" s="2" t="s">
        <v>325</v>
      </c>
      <c r="C2" s="2">
        <v>1</v>
      </c>
      <c r="D2" t="s">
        <v>120</v>
      </c>
      <c r="E2" s="2">
        <v>3000</v>
      </c>
      <c r="F2" s="2">
        <v>3000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251</v>
      </c>
      <c r="C10" s="2">
        <v>4</v>
      </c>
      <c r="D10" t="s">
        <v>211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312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L16" sqref="L16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H1" s="1" t="s">
        <v>97</v>
      </c>
      <c r="I1" s="1" t="s">
        <v>259</v>
      </c>
      <c r="J1" s="9" t="s">
        <v>105</v>
      </c>
      <c r="K1" s="1" t="s">
        <v>260</v>
      </c>
      <c r="L1" s="1" t="s">
        <v>50</v>
      </c>
      <c r="Q1" s="1" t="s">
        <v>261</v>
      </c>
      <c r="R1" s="1" t="s">
        <v>261</v>
      </c>
      <c r="S1" s="1" t="s">
        <v>261</v>
      </c>
      <c r="T1" s="1" t="s">
        <v>261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262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243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263</v>
      </c>
      <c r="G7" s="45" t="s">
        <v>264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265</v>
      </c>
      <c r="D8" s="29" t="s">
        <v>159</v>
      </c>
      <c r="G8" s="45" t="s">
        <v>266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267</v>
      </c>
      <c r="D10" s="29" t="s">
        <v>268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269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244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270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271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272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273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274</v>
      </c>
      <c r="G19" s="41" t="s">
        <v>275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276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277</v>
      </c>
      <c r="G21" s="41" t="s">
        <v>278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279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280</v>
      </c>
      <c r="G23" s="21" t="s">
        <v>248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281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282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283</v>
      </c>
      <c r="G26" s="21" t="s">
        <v>284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285</v>
      </c>
      <c r="G27" s="41" t="s">
        <v>286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287</v>
      </c>
      <c r="G28" s="41" t="s">
        <v>288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289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290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291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292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293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294</v>
      </c>
      <c r="H39" s="19" t="s">
        <v>358</v>
      </c>
      <c r="I39" s="19" t="s">
        <v>359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295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150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150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100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100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125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125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250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301</v>
      </c>
      <c r="G65" s="45" t="s">
        <v>302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303</v>
      </c>
      <c r="G66" s="45" t="s">
        <v>249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304</v>
      </c>
      <c r="G67" s="46" t="s">
        <v>250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1" activePane="bottomLeft" state="frozen"/>
      <selection pane="bottomLeft" activeCell="H23" sqref="H2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311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315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315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326</v>
      </c>
      <c r="F25" s="19" t="s">
        <v>329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330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328</v>
      </c>
      <c r="E26" s="19">
        <f>LOOKUP(use_fish!B26,base_fish!A:A,base_fish!C:C)+_xlfn.IFNA(INDEX(activity!F:F,MATCH(use_fish!C26,activity!A:A,0)),0)</f>
        <v>150</v>
      </c>
      <c r="F26" s="19">
        <f t="shared" ref="F26" si="5">1/E26</f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315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150</v>
      </c>
      <c r="F30" s="23">
        <f t="shared" si="6"/>
        <v>6.6666666666666671E-3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150</v>
      </c>
      <c r="J30" s="25">
        <v>1</v>
      </c>
      <c r="K30" s="25">
        <f>LOOKUP(use_fish!B30,base_fish!A:A,base_fish!G:G)</f>
        <v>0</v>
      </c>
      <c r="L30" s="25">
        <f t="shared" si="7"/>
        <v>150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100</v>
      </c>
      <c r="F31" s="23">
        <f t="shared" si="6"/>
        <v>0.01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100</v>
      </c>
      <c r="J31" s="25">
        <v>1</v>
      </c>
      <c r="K31" s="25">
        <f>LOOKUP(use_fish!B31,base_fish!A:A,base_fish!G:G)</f>
        <v>0</v>
      </c>
      <c r="L31" s="25">
        <f t="shared" si="7"/>
        <v>100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125</v>
      </c>
      <c r="F32" s="23">
        <f t="shared" si="6"/>
        <v>8.0000000000000002E-3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125</v>
      </c>
      <c r="J32" s="25">
        <v>1</v>
      </c>
      <c r="K32" s="25">
        <f>LOOKUP(use_fish!B32,base_fish!A:A,base_fish!G:G)</f>
        <v>0</v>
      </c>
      <c r="L32" s="25">
        <f t="shared" si="7"/>
        <v>125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8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9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8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9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310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355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355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355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355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355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356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310</v>
      </c>
      <c r="E48" s="36">
        <v>250</v>
      </c>
      <c r="F48" s="36">
        <f t="shared" si="12"/>
        <v>4.0000000000000001E-3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356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357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13" workbookViewId="0">
      <selection activeCell="F38" sqref="F3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331</v>
      </c>
      <c r="D18" s="4">
        <v>0</v>
      </c>
      <c r="E18" s="4">
        <v>0</v>
      </c>
      <c r="F18">
        <v>150</v>
      </c>
      <c r="G18" t="s">
        <v>313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332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t="s">
        <v>333</v>
      </c>
      <c r="D20" s="4">
        <v>0</v>
      </c>
      <c r="E20" s="4">
        <v>0</v>
      </c>
      <c r="F20">
        <v>150</v>
      </c>
      <c r="G20" t="str">
        <f t="shared" si="1"/>
        <v>钻头弹</v>
      </c>
      <c r="H20">
        <v>24</v>
      </c>
      <c r="I20" t="s">
        <v>195</v>
      </c>
    </row>
    <row r="21" spans="1:9" x14ac:dyDescent="0.2">
      <c r="A21">
        <v>20</v>
      </c>
      <c r="B21">
        <v>19</v>
      </c>
      <c r="C21" t="s">
        <v>334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317</v>
      </c>
      <c r="D22" s="4">
        <v>0</v>
      </c>
      <c r="E22" s="4">
        <v>0</v>
      </c>
      <c r="F22">
        <v>50</v>
      </c>
      <c r="G22" t="s">
        <v>335</v>
      </c>
      <c r="H22">
        <v>26</v>
      </c>
      <c r="I22" t="s">
        <v>206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336</v>
      </c>
      <c r="H23">
        <v>27</v>
      </c>
      <c r="I23" t="s">
        <v>207</v>
      </c>
    </row>
    <row r="24" spans="1:9" x14ac:dyDescent="0.2">
      <c r="A24">
        <v>23</v>
      </c>
      <c r="B24">
        <v>20</v>
      </c>
      <c r="C24" s="11" t="s">
        <v>337</v>
      </c>
      <c r="D24" s="4">
        <v>0</v>
      </c>
      <c r="E24" s="4">
        <v>0</v>
      </c>
      <c r="F24">
        <v>250</v>
      </c>
      <c r="G24" t="s">
        <v>338</v>
      </c>
      <c r="H24">
        <v>28</v>
      </c>
      <c r="I24" t="s">
        <v>205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339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340</v>
      </c>
      <c r="D26" s="4">
        <v>0</v>
      </c>
      <c r="E26" s="4">
        <v>0</v>
      </c>
      <c r="F26">
        <v>10</v>
      </c>
      <c r="G26" t="s">
        <v>341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342</v>
      </c>
      <c r="D27" s="4">
        <v>0</v>
      </c>
      <c r="E27" s="4">
        <v>0</v>
      </c>
      <c r="F27">
        <v>50</v>
      </c>
      <c r="G27" t="s">
        <v>343</v>
      </c>
      <c r="H27">
        <v>31</v>
      </c>
      <c r="I27" t="s">
        <v>320</v>
      </c>
    </row>
    <row r="28" spans="1:9" x14ac:dyDescent="0.2">
      <c r="A28">
        <v>27</v>
      </c>
      <c r="B28">
        <v>21</v>
      </c>
      <c r="C28" s="11" t="s">
        <v>344</v>
      </c>
      <c r="D28" s="4">
        <v>0</v>
      </c>
      <c r="E28" s="4">
        <v>0</v>
      </c>
      <c r="F28">
        <v>100</v>
      </c>
      <c r="G28" t="s">
        <v>345</v>
      </c>
      <c r="H28">
        <v>32</v>
      </c>
      <c r="I28" t="s">
        <v>321</v>
      </c>
    </row>
    <row r="29" spans="1:9" x14ac:dyDescent="0.2">
      <c r="A29">
        <v>28</v>
      </c>
      <c r="B29">
        <v>22</v>
      </c>
      <c r="C29" s="11" t="s">
        <v>346</v>
      </c>
      <c r="D29" s="4">
        <v>0</v>
      </c>
      <c r="E29" s="4">
        <v>0</v>
      </c>
      <c r="F29">
        <v>100</v>
      </c>
      <c r="G29" t="s">
        <v>347</v>
      </c>
      <c r="H29">
        <v>33</v>
      </c>
      <c r="I29" t="s">
        <v>322</v>
      </c>
    </row>
    <row r="30" spans="1:9" x14ac:dyDescent="0.2">
      <c r="A30">
        <v>29</v>
      </c>
      <c r="B30">
        <v>23</v>
      </c>
      <c r="C30" t="s">
        <v>348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349</v>
      </c>
      <c r="D31" s="4">
        <v>0</v>
      </c>
      <c r="E31" s="4">
        <v>0</v>
      </c>
      <c r="F31">
        <v>500</v>
      </c>
      <c r="G31" t="s">
        <v>350</v>
      </c>
    </row>
    <row r="32" spans="1:9" x14ac:dyDescent="0.2">
      <c r="A32">
        <v>31</v>
      </c>
      <c r="B32">
        <v>25</v>
      </c>
      <c r="C32" t="s">
        <v>351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351</v>
      </c>
      <c r="D33" s="4">
        <v>0</v>
      </c>
      <c r="E33" s="4">
        <v>0</v>
      </c>
      <c r="F33">
        <v>100</v>
      </c>
      <c r="G33" t="s">
        <v>350</v>
      </c>
    </row>
    <row r="34" spans="1:7" x14ac:dyDescent="0.2">
      <c r="A34">
        <v>33</v>
      </c>
      <c r="B34">
        <v>29</v>
      </c>
      <c r="C34" t="s">
        <v>351</v>
      </c>
      <c r="D34" s="4">
        <v>0</v>
      </c>
      <c r="E34" s="4">
        <v>0</v>
      </c>
      <c r="F34">
        <v>100</v>
      </c>
      <c r="G34" t="s">
        <v>352</v>
      </c>
    </row>
    <row r="35" spans="1:7" x14ac:dyDescent="0.2">
      <c r="A35">
        <v>34</v>
      </c>
      <c r="B35">
        <v>30</v>
      </c>
      <c r="C35" s="11" t="s">
        <v>308</v>
      </c>
      <c r="D35" s="4">
        <v>0</v>
      </c>
      <c r="E35" s="4">
        <v>0</v>
      </c>
      <c r="F35">
        <v>200</v>
      </c>
      <c r="G35" t="s">
        <v>309</v>
      </c>
    </row>
    <row r="36" spans="1:7" x14ac:dyDescent="0.2">
      <c r="A36">
        <v>35</v>
      </c>
      <c r="B36">
        <v>31</v>
      </c>
      <c r="C36" t="s">
        <v>353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354</v>
      </c>
      <c r="D37" s="4">
        <v>0</v>
      </c>
      <c r="E37" s="4">
        <v>0</v>
      </c>
      <c r="F37">
        <v>500</v>
      </c>
      <c r="G37" t="s">
        <v>321</v>
      </c>
    </row>
    <row r="38" spans="1:7" x14ac:dyDescent="0.2">
      <c r="A38">
        <v>37</v>
      </c>
      <c r="B38">
        <v>33</v>
      </c>
      <c r="C38" t="s">
        <v>323</v>
      </c>
      <c r="D38" s="4">
        <v>0</v>
      </c>
      <c r="E38" s="4">
        <v>0</v>
      </c>
      <c r="F38">
        <v>500</v>
      </c>
      <c r="G38" t="s">
        <v>322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31" sqref="C3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225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242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227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228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326</v>
      </c>
      <c r="D25" s="15" t="s">
        <v>327</v>
      </c>
      <c r="E25" s="17" t="s">
        <v>229</v>
      </c>
      <c r="F25" s="15" t="s">
        <v>326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230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212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306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235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236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237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238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239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307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240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241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324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2020-05-26T06:28:17Z</dcterms:modified>
</cp:coreProperties>
</file>