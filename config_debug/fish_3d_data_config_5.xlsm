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E48" i="14"/>
  <c r="E49" i="14"/>
  <c r="E50" i="14"/>
  <c r="I49" i="7"/>
  <c r="G20" i="5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/>
  <c r="G21" i="5"/>
  <c r="G19" i="5"/>
  <c r="J40" i="7"/>
  <c r="L25" i="14"/>
  <c r="J39" i="7"/>
  <c r="F26" i="1"/>
  <c r="I26" i="14"/>
  <c r="D26" i="1"/>
  <c r="H40" i="7"/>
  <c r="L26" i="14"/>
  <c r="I40" i="7"/>
  <c r="E39" i="14"/>
  <c r="H53" i="7"/>
  <c r="F38" i="1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1" i="14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I30" i="7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<sst xmlns="http://schemas.openxmlformats.org/spreadsheetml/2006/main" count="552" uniqueCount="414">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</sst>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tabSelected="1" workbookViewId="0">
      <pane ySplit="1" topLeftCell="A71" activePane="bottomLeft" state="frozen"/>
      <selection pane="bottomLeft" activeCell="G73" sqref="G7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333</v>
      </c>
      <c r="I39" s="19" t="s">
        <v>334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386</v>
      </c>
      <c r="H68" s="31">
        <f>SUM(_xlfn.IFNA(LOOKUP(Q68,[2]use_fish!A:A,[2]use_fish!E:E),0),_xlfn.IFNA(LOOKUP(R68,[2]use_fish!A:A,[2]use_fish!E:E),0),_xlfn.IFNA(LOOKUP(S68,[2]use_fish!A:A,[2]use_fish!E:E),0),_xlfn.IFNA(LOOKUP(T68,[2]use_fish!A:A,[2]use_fish!E:E),0),_xlfn.IFNA(LOOKUP(U68,[2]use_fish!A:A,[2]use_fish!E:E),0),_xlfn.IFNA(LOOKUP(V68,[2]use_fish!A:A,[2]use_fish!E:E),0),_xlfn.IFNA(LOOKUP(W68,[2]use_fish!A:A,[2]use_fish!E:E),0),)</f>
        <v>45</v>
      </c>
      <c r="I68" s="31">
        <f>SUM(_xlfn.IFNA(LOOKUP(Q68,[2]use_fish!A:A,[2]use_fish!I:I),0),_xlfn.IFNA(LOOKUP(R68,[2]use_fish!A:A,[2]use_fish!I:I),0),_xlfn.IFNA(LOOKUP(S68,[2]use_fish!A:A,[2]use_fish!I:I),0),_xlfn.IFNA(LOOKUP(T68,[2]use_fish!A:A,[2]use_fish!I:I),0),_xlfn.IFNA(LOOKUP(U68,[2]use_fish!A:A,[2]use_fish!I:I),0),_xlfn.IFNA(LOOKUP(V68,[2]use_fish!A:A,[2]use_fish!I:I),0),_xlfn.IFNA(LOOKUP(W68,[2]use_fish!A:A,[2]use_fish!I:I),0),)</f>
        <v>45</v>
      </c>
      <c r="J68" s="32">
        <f>SUM(_xlfn.IFNA(LOOKUP(Q68,[2]use_fish!A:A,[2]use_fish!K:K),0),_xlfn.IFNA(LOOKUP(R68,[2]use_fish!A:A,[2]use_fish!K:K),0),_xlfn.IFNA(LOOKUP(S68,[2]use_fish!A:A,[2]use_fish!K:K),0),_xlfn.IFNA(LOOKUP(T68,[2]use_fish!A:A,[2]use_fish!K:K),0),_xlfn.IFNA(LOOKUP(U68,[2]use_fish!A:A,[2]use_fish!K:K),0),_xlfn.IFNA(LOOKUP(V68,[2]use_fish!A:A,[2]use_fish!K:K),0),_xlfn.IFNA(LOOKUP(W68,[2]use_fish!A:A,[2]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387</v>
      </c>
      <c r="H69" s="31">
        <f>SUM(_xlfn.IFNA(LOOKUP(Q69,[2]use_fish!A:A,[2]use_fish!E:E),0),_xlfn.IFNA(LOOKUP(R69,[2]use_fish!A:A,[2]use_fish!E:E),0),_xlfn.IFNA(LOOKUP(S69,[2]use_fish!A:A,[2]use_fish!E:E),0),_xlfn.IFNA(LOOKUP(T69,[2]use_fish!A:A,[2]use_fish!E:E),0),_xlfn.IFNA(LOOKUP(U69,[2]use_fish!A:A,[2]use_fish!E:E),0),_xlfn.IFNA(LOOKUP(V69,[2]use_fish!A:A,[2]use_fish!E:E),0),_xlfn.IFNA(LOOKUP(W69,[2]use_fish!A:A,[2]use_fish!E:E),0),)</f>
        <v>48</v>
      </c>
      <c r="I69" s="31">
        <f>SUM(_xlfn.IFNA(LOOKUP(Q69,[2]use_fish!A:A,[2]use_fish!I:I),0),_xlfn.IFNA(LOOKUP(R69,[2]use_fish!A:A,[2]use_fish!I:I),0),_xlfn.IFNA(LOOKUP(S69,[2]use_fish!A:A,[2]use_fish!I:I),0),_xlfn.IFNA(LOOKUP(T69,[2]use_fish!A:A,[2]use_fish!I:I),0),_xlfn.IFNA(LOOKUP(U69,[2]use_fish!A:A,[2]use_fish!I:I),0),_xlfn.IFNA(LOOKUP(V69,[2]use_fish!A:A,[2]use_fish!I:I),0),_xlfn.IFNA(LOOKUP(W69,[2]use_fish!A:A,[2]use_fish!I:I),0),)</f>
        <v>48</v>
      </c>
      <c r="J69" s="32">
        <f>SUM(_xlfn.IFNA(LOOKUP(Q69,[2]use_fish!A:A,[2]use_fish!K:K),0),_xlfn.IFNA(LOOKUP(R69,[2]use_fish!A:A,[2]use_fish!K:K),0),_xlfn.IFNA(LOOKUP(S69,[2]use_fish!A:A,[2]use_fish!K:K),0),_xlfn.IFNA(LOOKUP(T69,[2]use_fish!A:A,[2]use_fish!K:K),0),_xlfn.IFNA(LOOKUP(U69,[2]use_fish!A:A,[2]use_fish!K:K),0),_xlfn.IFNA(LOOKUP(V69,[2]use_fish!A:A,[2]use_fish!K:K),0),_xlfn.IFNA(LOOKUP(W69,[2]use_fish!A:A,[2]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388</v>
      </c>
      <c r="H70" s="31">
        <f>SUM(_xlfn.IFNA(LOOKUP(Q70,[2]use_fish!A:A,[2]use_fish!E:E),0),_xlfn.IFNA(LOOKUP(R70,[2]use_fish!A:A,[2]use_fish!E:E),0),_xlfn.IFNA(LOOKUP(S70,[2]use_fish!A:A,[2]use_fish!E:E),0),_xlfn.IFNA(LOOKUP(T70,[2]use_fish!A:A,[2]use_fish!E:E),0),_xlfn.IFNA(LOOKUP(U70,[2]use_fish!A:A,[2]use_fish!E:E),0),_xlfn.IFNA(LOOKUP(V70,[2]use_fish!A:A,[2]use_fish!E:E),0),_xlfn.IFNA(LOOKUP(W70,[2]use_fish!A:A,[2]use_fish!E:E),0),)</f>
        <v>50</v>
      </c>
      <c r="I70" s="31">
        <f>SUM(_xlfn.IFNA(LOOKUP(Q70,[2]use_fish!A:A,[2]use_fish!I:I),0),_xlfn.IFNA(LOOKUP(R70,[2]use_fish!A:A,[2]use_fish!I:I),0),_xlfn.IFNA(LOOKUP(S70,[2]use_fish!A:A,[2]use_fish!I:I),0),_xlfn.IFNA(LOOKUP(T70,[2]use_fish!A:A,[2]use_fish!I:I),0),_xlfn.IFNA(LOOKUP(U70,[2]use_fish!A:A,[2]use_fish!I:I),0),_xlfn.IFNA(LOOKUP(V70,[2]use_fish!A:A,[2]use_fish!I:I),0),_xlfn.IFNA(LOOKUP(W70,[2]use_fish!A:A,[2]use_fish!I:I),0),)</f>
        <v>50</v>
      </c>
      <c r="J70" s="32">
        <f>SUM(_xlfn.IFNA(LOOKUP(Q70,[2]use_fish!A:A,[2]use_fish!K:K),0),_xlfn.IFNA(LOOKUP(R70,[2]use_fish!A:A,[2]use_fish!K:K),0),_xlfn.IFNA(LOOKUP(S70,[2]use_fish!A:A,[2]use_fish!K:K),0),_xlfn.IFNA(LOOKUP(T70,[2]use_fish!A:A,[2]use_fish!K:K),0),_xlfn.IFNA(LOOKUP(U70,[2]use_fish!A:A,[2]use_fish!K:K),0),_xlfn.IFNA(LOOKUP(V70,[2]use_fish!A:A,[2]use_fish!K:K),0),_xlfn.IFNA(LOOKUP(W70,[2]use_fish!A:A,[2]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389</v>
      </c>
      <c r="H71" s="31">
        <f>SUM(_xlfn.IFNA(LOOKUP(Q71,[2]use_fish!A:A,[2]use_fish!E:E),0),_xlfn.IFNA(LOOKUP(R71,[2]use_fish!A:A,[2]use_fish!E:E),0),_xlfn.IFNA(LOOKUP(S71,[2]use_fish!A:A,[2]use_fish!E:E),0),_xlfn.IFNA(LOOKUP(T71,[2]use_fish!A:A,[2]use_fish!E:E),0),_xlfn.IFNA(LOOKUP(U71,[2]use_fish!A:A,[2]use_fish!E:E),0),_xlfn.IFNA(LOOKUP(V71,[2]use_fish!A:A,[2]use_fish!E:E),0),_xlfn.IFNA(LOOKUP(W71,[2]use_fish!A:A,[2]use_fish!E:E),0),)</f>
        <v>55</v>
      </c>
      <c r="I71" s="31">
        <f>SUM(_xlfn.IFNA(LOOKUP(Q71,[2]use_fish!A:A,[2]use_fish!I:I),0),_xlfn.IFNA(LOOKUP(R71,[2]use_fish!A:A,[2]use_fish!I:I),0),_xlfn.IFNA(LOOKUP(S71,[2]use_fish!A:A,[2]use_fish!I:I),0),_xlfn.IFNA(LOOKUP(T71,[2]use_fish!A:A,[2]use_fish!I:I),0),_xlfn.IFNA(LOOKUP(U71,[2]use_fish!A:A,[2]use_fish!I:I),0),_xlfn.IFNA(LOOKUP(V71,[2]use_fish!A:A,[2]use_fish!I:I),0),_xlfn.IFNA(LOOKUP(W71,[2]use_fish!A:A,[2]use_fish!I:I),0),)</f>
        <v>55</v>
      </c>
      <c r="J71" s="32">
        <f>SUM(_xlfn.IFNA(LOOKUP(Q71,[2]use_fish!A:A,[2]use_fish!K:K),0),_xlfn.IFNA(LOOKUP(R71,[2]use_fish!A:A,[2]use_fish!K:K),0),_xlfn.IFNA(LOOKUP(S71,[2]use_fish!A:A,[2]use_fish!K:K),0),_xlfn.IFNA(LOOKUP(T71,[2]use_fish!A:A,[2]use_fish!K:K),0),_xlfn.IFNA(LOOKUP(U71,[2]use_fish!A:A,[2]use_fish!K:K),0),_xlfn.IFNA(LOOKUP(V71,[2]use_fish!A:A,[2]use_fish!K:K),0),_xlfn.IFNA(LOOKUP(W71,[2]use_fish!A:A,[2]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390</v>
      </c>
      <c r="H72" s="31">
        <f>SUM(_xlfn.IFNA(LOOKUP(Q72,[2]use_fish!A:A,[2]use_fish!E:E),0),_xlfn.IFNA(LOOKUP(R72,[2]use_fish!A:A,[2]use_fish!E:E),0),_xlfn.IFNA(LOOKUP(S72,[2]use_fish!A:A,[2]use_fish!E:E),0),_xlfn.IFNA(LOOKUP(T72,[2]use_fish!A:A,[2]use_fish!E:E),0),_xlfn.IFNA(LOOKUP(U72,[2]use_fish!A:A,[2]use_fish!E:E),0),_xlfn.IFNA(LOOKUP(V72,[2]use_fish!A:A,[2]use_fish!E:E),0),_xlfn.IFNA(LOOKUP(W72,[2]use_fish!A:A,[2]use_fish!E:E),0),)</f>
        <v>60</v>
      </c>
      <c r="I72" s="31">
        <f>SUM(_xlfn.IFNA(LOOKUP(Q72,[2]use_fish!A:A,[2]use_fish!I:I),0),_xlfn.IFNA(LOOKUP(R72,[2]use_fish!A:A,[2]use_fish!I:I),0),_xlfn.IFNA(LOOKUP(S72,[2]use_fish!A:A,[2]use_fish!I:I),0),_xlfn.IFNA(LOOKUP(T72,[2]use_fish!A:A,[2]use_fish!I:I),0),_xlfn.IFNA(LOOKUP(U72,[2]use_fish!A:A,[2]use_fish!I:I),0),_xlfn.IFNA(LOOKUP(V72,[2]use_fish!A:A,[2]use_fish!I:I),0),_xlfn.IFNA(LOOKUP(W72,[2]use_fish!A:A,[2]use_fish!I:I),0),)</f>
        <v>60</v>
      </c>
      <c r="J72" s="32">
        <f>SUM(_xlfn.IFNA(LOOKUP(Q72,[2]use_fish!A:A,[2]use_fish!K:K),0),_xlfn.IFNA(LOOKUP(R72,[2]use_fish!A:A,[2]use_fish!K:K),0),_xlfn.IFNA(LOOKUP(S72,[2]use_fish!A:A,[2]use_fish!K:K),0),_xlfn.IFNA(LOOKUP(T72,[2]use_fish!A:A,[2]use_fish!K:K),0),_xlfn.IFNA(LOOKUP(U72,[2]use_fish!A:A,[2]use_fish!K:K),0),_xlfn.IFNA(LOOKUP(V72,[2]use_fish!A:A,[2]use_fish!K:K),0),_xlfn.IFNA(LOOKUP(W72,[2]use_fish!A:A,[2]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391</v>
      </c>
      <c r="H73" s="31">
        <f>SUM(_xlfn.IFNA(LOOKUP(Q73,[2]use_fish!A:A,[2]use_fish!E:E),0),_xlfn.IFNA(LOOKUP(R73,[2]use_fish!A:A,[2]use_fish!E:E),0),_xlfn.IFNA(LOOKUP(S73,[2]use_fish!A:A,[2]use_fish!E:E),0),_xlfn.IFNA(LOOKUP(T73,[2]use_fish!A:A,[2]use_fish!E:E),0),_xlfn.IFNA(LOOKUP(U73,[2]use_fish!A:A,[2]use_fish!E:E),0),_xlfn.IFNA(LOOKUP(V73,[2]use_fish!A:A,[2]use_fish!E:E),0),_xlfn.IFNA(LOOKUP(W73,[2]use_fish!A:A,[2]use_fish!E:E),0),)</f>
        <v>65</v>
      </c>
      <c r="I73" s="31">
        <f>SUM(_xlfn.IFNA(LOOKUP(Q73,[2]use_fish!A:A,[2]use_fish!I:I),0),_xlfn.IFNA(LOOKUP(R73,[2]use_fish!A:A,[2]use_fish!I:I),0),_xlfn.IFNA(LOOKUP(S73,[2]use_fish!A:A,[2]use_fish!I:I),0),_xlfn.IFNA(LOOKUP(T73,[2]use_fish!A:A,[2]use_fish!I:I),0),_xlfn.IFNA(LOOKUP(U73,[2]use_fish!A:A,[2]use_fish!I:I),0),_xlfn.IFNA(LOOKUP(V73,[2]use_fish!A:A,[2]use_fish!I:I),0),_xlfn.IFNA(LOOKUP(W73,[2]use_fish!A:A,[2]use_fish!I:I),0),)</f>
        <v>65</v>
      </c>
      <c r="J73" s="32">
        <f>SUM(_xlfn.IFNA(LOOKUP(Q73,[2]use_fish!A:A,[2]use_fish!K:K),0),_xlfn.IFNA(LOOKUP(R73,[2]use_fish!A:A,[2]use_fish!K:K),0),_xlfn.IFNA(LOOKUP(S73,[2]use_fish!A:A,[2]use_fish!K:K),0),_xlfn.IFNA(LOOKUP(T73,[2]use_fish!A:A,[2]use_fish!K:K),0),_xlfn.IFNA(LOOKUP(U73,[2]use_fish!A:A,[2]use_fish!K:K),0),_xlfn.IFNA(LOOKUP(V73,[2]use_fish!A:A,[2]use_fish!K:K),0),_xlfn.IFNA(LOOKUP(W73,[2]use_fish!A:A,[2]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392</v>
      </c>
      <c r="H74" s="31">
        <f>SUM(_xlfn.IFNA(LOOKUP(Q74,[2]use_fish!A:A,[2]use_fish!E:E),0),_xlfn.IFNA(LOOKUP(R74,[2]use_fish!A:A,[2]use_fish!E:E),0),_xlfn.IFNA(LOOKUP(S74,[2]use_fish!A:A,[2]use_fish!E:E),0),_xlfn.IFNA(LOOKUP(T74,[2]use_fish!A:A,[2]use_fish!E:E),0),_xlfn.IFNA(LOOKUP(U74,[2]use_fish!A:A,[2]use_fish!E:E),0),_xlfn.IFNA(LOOKUP(V74,[2]use_fish!A:A,[2]use_fish!E:E),0),_xlfn.IFNA(LOOKUP(W74,[2]use_fish!A:A,[2]use_fish!E:E),0),)</f>
        <v>70</v>
      </c>
      <c r="I74" s="31">
        <f>SUM(_xlfn.IFNA(LOOKUP(Q74,[2]use_fish!A:A,[2]use_fish!I:I),0),_xlfn.IFNA(LOOKUP(R74,[2]use_fish!A:A,[2]use_fish!I:I),0),_xlfn.IFNA(LOOKUP(S74,[2]use_fish!A:A,[2]use_fish!I:I),0),_xlfn.IFNA(LOOKUP(T74,[2]use_fish!A:A,[2]use_fish!I:I),0),_xlfn.IFNA(LOOKUP(U74,[2]use_fish!A:A,[2]use_fish!I:I),0),_xlfn.IFNA(LOOKUP(V74,[2]use_fish!A:A,[2]use_fish!I:I),0),_xlfn.IFNA(LOOKUP(W74,[2]use_fish!A:A,[2]use_fish!I:I),0),)</f>
        <v>70</v>
      </c>
      <c r="J74" s="32">
        <f>SUM(_xlfn.IFNA(LOOKUP(Q74,[2]use_fish!A:A,[2]use_fish!K:K),0),_xlfn.IFNA(LOOKUP(R74,[2]use_fish!A:A,[2]use_fish!K:K),0),_xlfn.IFNA(LOOKUP(S74,[2]use_fish!A:A,[2]use_fish!K:K),0),_xlfn.IFNA(LOOKUP(T74,[2]use_fish!A:A,[2]use_fish!K:K),0),_xlfn.IFNA(LOOKUP(U74,[2]use_fish!A:A,[2]use_fish!K:K),0),_xlfn.IFNA(LOOKUP(V74,[2]use_fish!A:A,[2]use_fish!K:K),0),_xlfn.IFNA(LOOKUP(W74,[2]use_fish!A:A,[2]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393</v>
      </c>
      <c r="H75" s="31">
        <f>SUM(_xlfn.IFNA(LOOKUP(Q75,[2]use_fish!A:A,[2]use_fish!E:E),0),_xlfn.IFNA(LOOKUP(R75,[2]use_fish!A:A,[2]use_fish!E:E),0),_xlfn.IFNA(LOOKUP(S75,[2]use_fish!A:A,[2]use_fish!E:E),0),_xlfn.IFNA(LOOKUP(T75,[2]use_fish!A:A,[2]use_fish!E:E),0),_xlfn.IFNA(LOOKUP(U75,[2]use_fish!A:A,[2]use_fish!E:E),0),_xlfn.IFNA(LOOKUP(V75,[2]use_fish!A:A,[2]use_fish!E:E),0),_xlfn.IFNA(LOOKUP(W75,[2]use_fish!A:A,[2]use_fish!E:E),0),)</f>
        <v>90</v>
      </c>
      <c r="I75" s="31">
        <f>SUM(_xlfn.IFNA(LOOKUP(Q75,[2]use_fish!A:A,[2]use_fish!I:I),0),_xlfn.IFNA(LOOKUP(R75,[2]use_fish!A:A,[2]use_fish!I:I),0),_xlfn.IFNA(LOOKUP(S75,[2]use_fish!A:A,[2]use_fish!I:I),0),_xlfn.IFNA(LOOKUP(T75,[2]use_fish!A:A,[2]use_fish!I:I),0),_xlfn.IFNA(LOOKUP(U75,[2]use_fish!A:A,[2]use_fish!I:I),0),_xlfn.IFNA(LOOKUP(V75,[2]use_fish!A:A,[2]use_fish!I:I),0),_xlfn.IFNA(LOOKUP(W75,[2]use_fish!A:A,[2]use_fish!I:I),0),)</f>
        <v>90</v>
      </c>
      <c r="J75" s="32">
        <f>SUM(_xlfn.IFNA(LOOKUP(Q75,[2]use_fish!A:A,[2]use_fish!K:K),0),_xlfn.IFNA(LOOKUP(R75,[2]use_fish!A:A,[2]use_fish!K:K),0),_xlfn.IFNA(LOOKUP(S75,[2]use_fish!A:A,[2]use_fish!K:K),0),_xlfn.IFNA(LOOKUP(T75,[2]use_fish!A:A,[2]use_fish!K:K),0),_xlfn.IFNA(LOOKUP(U75,[2]use_fish!A:A,[2]use_fish!K:K),0),_xlfn.IFNA(LOOKUP(V75,[2]use_fish!A:A,[2]use_fish!K:K),0),_xlfn.IFNA(LOOKUP(W75,[2]use_fish!A:A,[2]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394</v>
      </c>
      <c r="H76" s="31">
        <f>SUM(_xlfn.IFNA(LOOKUP(Q76,[2]use_fish!A:A,[2]use_fish!E:E),0),_xlfn.IFNA(LOOKUP(R76,[2]use_fish!A:A,[2]use_fish!E:E),0),_xlfn.IFNA(LOOKUP(S76,[2]use_fish!A:A,[2]use_fish!E:E),0),_xlfn.IFNA(LOOKUP(T76,[2]use_fish!A:A,[2]use_fish!E:E),0),_xlfn.IFNA(LOOKUP(U76,[2]use_fish!A:A,[2]use_fish!E:E),0),_xlfn.IFNA(LOOKUP(V76,[2]use_fish!A:A,[2]use_fish!E:E),0),_xlfn.IFNA(LOOKUP(W76,[2]use_fish!A:A,[2]use_fish!E:E),0),)</f>
        <v>93</v>
      </c>
      <c r="I76" s="31">
        <f>SUM(_xlfn.IFNA(LOOKUP(Q76,[2]use_fish!A:A,[2]use_fish!I:I),0),_xlfn.IFNA(LOOKUP(R76,[2]use_fish!A:A,[2]use_fish!I:I),0),_xlfn.IFNA(LOOKUP(S76,[2]use_fish!A:A,[2]use_fish!I:I),0),_xlfn.IFNA(LOOKUP(T76,[2]use_fish!A:A,[2]use_fish!I:I),0),_xlfn.IFNA(LOOKUP(U76,[2]use_fish!A:A,[2]use_fish!I:I),0),_xlfn.IFNA(LOOKUP(V76,[2]use_fish!A:A,[2]use_fish!I:I),0),_xlfn.IFNA(LOOKUP(W76,[2]use_fish!A:A,[2]use_fish!I:I),0),)</f>
        <v>90</v>
      </c>
      <c r="J76" s="32">
        <f>SUM(_xlfn.IFNA(LOOKUP(Q76,[2]use_fish!A:A,[2]use_fish!K:K),0),_xlfn.IFNA(LOOKUP(R76,[2]use_fish!A:A,[2]use_fish!K:K),0),_xlfn.IFNA(LOOKUP(S76,[2]use_fish!A:A,[2]use_fish!K:K),0),_xlfn.IFNA(LOOKUP(T76,[2]use_fish!A:A,[2]use_fish!K:K),0),_xlfn.IFNA(LOOKUP(U76,[2]use_fish!A:A,[2]use_fish!K:K),0),_xlfn.IFNA(LOOKUP(V76,[2]use_fish!A:A,[2]use_fish!K:K),0),_xlfn.IFNA(LOOKUP(W76,[2]use_fish!A:A,[2]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395</v>
      </c>
      <c r="H77" s="31">
        <f>SUM(_xlfn.IFNA(LOOKUP(Q77,[2]use_fish!A:A,[2]use_fish!E:E),0),_xlfn.IFNA(LOOKUP(R77,[2]use_fish!A:A,[2]use_fish!E:E),0),_xlfn.IFNA(LOOKUP(S77,[2]use_fish!A:A,[2]use_fish!E:E),0),_xlfn.IFNA(LOOKUP(T77,[2]use_fish!A:A,[2]use_fish!E:E),0),_xlfn.IFNA(LOOKUP(U77,[2]use_fish!A:A,[2]use_fish!E:E),0),_xlfn.IFNA(LOOKUP(V77,[2]use_fish!A:A,[2]use_fish!E:E),0),_xlfn.IFNA(LOOKUP(W77,[2]use_fish!A:A,[2]use_fish!E:E),0),)</f>
        <v>93</v>
      </c>
      <c r="I77" s="31">
        <f>SUM(_xlfn.IFNA(LOOKUP(Q77,[2]use_fish!A:A,[2]use_fish!I:I),0),_xlfn.IFNA(LOOKUP(R77,[2]use_fish!A:A,[2]use_fish!I:I),0),_xlfn.IFNA(LOOKUP(S77,[2]use_fish!A:A,[2]use_fish!I:I),0),_xlfn.IFNA(LOOKUP(T77,[2]use_fish!A:A,[2]use_fish!I:I),0),_xlfn.IFNA(LOOKUP(U77,[2]use_fish!A:A,[2]use_fish!I:I),0),_xlfn.IFNA(LOOKUP(V77,[2]use_fish!A:A,[2]use_fish!I:I),0),_xlfn.IFNA(LOOKUP(W77,[2]use_fish!A:A,[2]use_fish!I:I),0),)</f>
        <v>90</v>
      </c>
      <c r="J77" s="32">
        <f>SUM(_xlfn.IFNA(LOOKUP(Q77,[2]use_fish!A:A,[2]use_fish!K:K),0),_xlfn.IFNA(LOOKUP(R77,[2]use_fish!A:A,[2]use_fish!K:K),0),_xlfn.IFNA(LOOKUP(S77,[2]use_fish!A:A,[2]use_fish!K:K),0),_xlfn.IFNA(LOOKUP(T77,[2]use_fish!A:A,[2]use_fish!K:K),0),_xlfn.IFNA(LOOKUP(U77,[2]use_fish!A:A,[2]use_fish!K:K),0),_xlfn.IFNA(LOOKUP(V77,[2]use_fish!A:A,[2]use_fish!K:K),0),_xlfn.IFNA(LOOKUP(W77,[2]use_fish!A:A,[2]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396</v>
      </c>
      <c r="H78" s="31">
        <f>SUM(_xlfn.IFNA(LOOKUP(Q78,[2]use_fish!A:A,[2]use_fish!E:E),0),_xlfn.IFNA(LOOKUP(R78,[2]use_fish!A:A,[2]use_fish!E:E),0),_xlfn.IFNA(LOOKUP(S78,[2]use_fish!A:A,[2]use_fish!E:E),0),_xlfn.IFNA(LOOKUP(T78,[2]use_fish!A:A,[2]use_fish!E:E),0),_xlfn.IFNA(LOOKUP(U78,[2]use_fish!A:A,[2]use_fish!E:E),0),_xlfn.IFNA(LOOKUP(V78,[2]use_fish!A:A,[2]use_fish!E:E),0),_xlfn.IFNA(LOOKUP(W78,[2]use_fish!A:A,[2]use_fish!E:E),0),)</f>
        <v>135</v>
      </c>
      <c r="I78" s="31">
        <f>SUM(_xlfn.IFNA(LOOKUP(Q78,[2]use_fish!A:A,[2]use_fish!I:I),0),_xlfn.IFNA(LOOKUP(R78,[2]use_fish!A:A,[2]use_fish!I:I),0),_xlfn.IFNA(LOOKUP(S78,[2]use_fish!A:A,[2]use_fish!I:I),0),_xlfn.IFNA(LOOKUP(T78,[2]use_fish!A:A,[2]use_fish!I:I),0),_xlfn.IFNA(LOOKUP(U78,[2]use_fish!A:A,[2]use_fish!I:I),0),_xlfn.IFNA(LOOKUP(V78,[2]use_fish!A:A,[2]use_fish!I:I),0),_xlfn.IFNA(LOOKUP(W78,[2]use_fish!A:A,[2]use_fish!I:I),0),)</f>
        <v>90</v>
      </c>
      <c r="J78" s="32">
        <f>SUM(_xlfn.IFNA(LOOKUP(Q78,[2]use_fish!A:A,[2]use_fish!K:K),0),_xlfn.IFNA(LOOKUP(R78,[2]use_fish!A:A,[2]use_fish!K:K),0),_xlfn.IFNA(LOOKUP(S78,[2]use_fish!A:A,[2]use_fish!K:K),0),_xlfn.IFNA(LOOKUP(T78,[2]use_fish!A:A,[2]use_fish!K:K),0),_xlfn.IFNA(LOOKUP(U78,[2]use_fish!A:A,[2]use_fish!K:K),0),_xlfn.IFNA(LOOKUP(V78,[2]use_fish!A:A,[2]use_fish!K:K),0),_xlfn.IFNA(LOOKUP(W78,[2]use_fish!A:A,[2]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397</v>
      </c>
      <c r="H79" s="31">
        <f>SUM(_xlfn.IFNA(LOOKUP(Q79,[2]use_fish!A:A,[2]use_fish!E:E),0),_xlfn.IFNA(LOOKUP(R79,[2]use_fish!A:A,[2]use_fish!E:E),0),_xlfn.IFNA(LOOKUP(S79,[2]use_fish!A:A,[2]use_fish!E:E),0),_xlfn.IFNA(LOOKUP(T79,[2]use_fish!A:A,[2]use_fish!E:E),0),_xlfn.IFNA(LOOKUP(U79,[2]use_fish!A:A,[2]use_fish!E:E),0),_xlfn.IFNA(LOOKUP(V79,[2]use_fish!A:A,[2]use_fish!E:E),0),_xlfn.IFNA(LOOKUP(W79,[2]use_fish!A:A,[2]use_fish!E:E),0),)</f>
        <v>114</v>
      </c>
      <c r="I79" s="31">
        <f>SUM(_xlfn.IFNA(LOOKUP(Q79,[2]use_fish!A:A,[2]use_fish!I:I),0),_xlfn.IFNA(LOOKUP(R79,[2]use_fish!A:A,[2]use_fish!I:I),0),_xlfn.IFNA(LOOKUP(S79,[2]use_fish!A:A,[2]use_fish!I:I),0),_xlfn.IFNA(LOOKUP(T79,[2]use_fish!A:A,[2]use_fish!I:I),0),_xlfn.IFNA(LOOKUP(U79,[2]use_fish!A:A,[2]use_fish!I:I),0),_xlfn.IFNA(LOOKUP(V79,[2]use_fish!A:A,[2]use_fish!I:I),0),_xlfn.IFNA(LOOKUP(W79,[2]use_fish!A:A,[2]use_fish!I:I),0),)</f>
        <v>110</v>
      </c>
      <c r="J79" s="32">
        <f>SUM(_xlfn.IFNA(LOOKUP(Q79,[2]use_fish!A:A,[2]use_fish!K:K),0),_xlfn.IFNA(LOOKUP(R79,[2]use_fish!A:A,[2]use_fish!K:K),0),_xlfn.IFNA(LOOKUP(S79,[2]use_fish!A:A,[2]use_fish!K:K),0),_xlfn.IFNA(LOOKUP(T79,[2]use_fish!A:A,[2]use_fish!K:K),0),_xlfn.IFNA(LOOKUP(U79,[2]use_fish!A:A,[2]use_fish!K:K),0),_xlfn.IFNA(LOOKUP(V79,[2]use_fish!A:A,[2]use_fish!K:K),0),_xlfn.IFNA(LOOKUP(W79,[2]use_fish!A:A,[2]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398</v>
      </c>
      <c r="H80" s="31">
        <f>SUM(_xlfn.IFNA(LOOKUP(Q80,[2]use_fish!A:A,[2]use_fish!E:E),0),_xlfn.IFNA(LOOKUP(R80,[2]use_fish!A:A,[2]use_fish!E:E),0),_xlfn.IFNA(LOOKUP(S80,[2]use_fish!A:A,[2]use_fish!E:E),0),_xlfn.IFNA(LOOKUP(T80,[2]use_fish!A:A,[2]use_fish!E:E),0),_xlfn.IFNA(LOOKUP(U80,[2]use_fish!A:A,[2]use_fish!E:E),0),_xlfn.IFNA(LOOKUP(V80,[2]use_fish!A:A,[2]use_fish!E:E),0),_xlfn.IFNA(LOOKUP(W80,[2]use_fish!A:A,[2]use_fish!E:E),0),)</f>
        <v>135</v>
      </c>
      <c r="I80" s="31">
        <f>SUM(_xlfn.IFNA(LOOKUP(Q80,[2]use_fish!A:A,[2]use_fish!I:I),0),_xlfn.IFNA(LOOKUP(R80,[2]use_fish!A:A,[2]use_fish!I:I),0),_xlfn.IFNA(LOOKUP(S80,[2]use_fish!A:A,[2]use_fish!I:I),0),_xlfn.IFNA(LOOKUP(T80,[2]use_fish!A:A,[2]use_fish!I:I),0),_xlfn.IFNA(LOOKUP(U80,[2]use_fish!A:A,[2]use_fish!I:I),0),_xlfn.IFNA(LOOKUP(V80,[2]use_fish!A:A,[2]use_fish!I:I),0),_xlfn.IFNA(LOOKUP(W80,[2]use_fish!A:A,[2]use_fish!I:I),0),)</f>
        <v>130</v>
      </c>
      <c r="J80" s="32">
        <f>SUM(_xlfn.IFNA(LOOKUP(Q80,[2]use_fish!A:A,[2]use_fish!K:K),0),_xlfn.IFNA(LOOKUP(R80,[2]use_fish!A:A,[2]use_fish!K:K),0),_xlfn.IFNA(LOOKUP(S80,[2]use_fish!A:A,[2]use_fish!K:K),0),_xlfn.IFNA(LOOKUP(T80,[2]use_fish!A:A,[2]use_fish!K:K),0),_xlfn.IFNA(LOOKUP(U80,[2]use_fish!A:A,[2]use_fish!K:K),0),_xlfn.IFNA(LOOKUP(V80,[2]use_fish!A:A,[2]use_fish!K:K),0),_xlfn.IFNA(LOOKUP(W80,[2]use_fish!A:A,[2]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399</v>
      </c>
      <c r="H81" s="31">
        <f>SUM(_xlfn.IFNA(LOOKUP(Q81,[2]use_fish!A:A,[2]use_fish!E:E),0),_xlfn.IFNA(LOOKUP(R81,[2]use_fish!A:A,[2]use_fish!E:E),0),_xlfn.IFNA(LOOKUP(S81,[2]use_fish!A:A,[2]use_fish!E:E),0),_xlfn.IFNA(LOOKUP(T81,[2]use_fish!A:A,[2]use_fish!E:E),0),_xlfn.IFNA(LOOKUP(U81,[2]use_fish!A:A,[2]use_fish!E:E),0),_xlfn.IFNA(LOOKUP(V81,[2]use_fish!A:A,[2]use_fish!E:E),0),_xlfn.IFNA(LOOKUP(W81,[2]use_fish!A:A,[2]use_fish!E:E),0),)</f>
        <v>135</v>
      </c>
      <c r="I81" s="31">
        <f>SUM(_xlfn.IFNA(LOOKUP(Q81,[2]use_fish!A:A,[2]use_fish!I:I),0),_xlfn.IFNA(LOOKUP(R81,[2]use_fish!A:A,[2]use_fish!I:I),0),_xlfn.IFNA(LOOKUP(S81,[2]use_fish!A:A,[2]use_fish!I:I),0),_xlfn.IFNA(LOOKUP(T81,[2]use_fish!A:A,[2]use_fish!I:I),0),_xlfn.IFNA(LOOKUP(U81,[2]use_fish!A:A,[2]use_fish!I:I),0),_xlfn.IFNA(LOOKUP(V81,[2]use_fish!A:A,[2]use_fish!I:I),0),_xlfn.IFNA(LOOKUP(W81,[2]use_fish!A:A,[2]use_fish!I:I),0),)</f>
        <v>130</v>
      </c>
      <c r="J81" s="32">
        <f>SUM(_xlfn.IFNA(LOOKUP(Q81,[2]use_fish!A:A,[2]use_fish!K:K),0),_xlfn.IFNA(LOOKUP(R81,[2]use_fish!A:A,[2]use_fish!K:K),0),_xlfn.IFNA(LOOKUP(S81,[2]use_fish!A:A,[2]use_fish!K:K),0),_xlfn.IFNA(LOOKUP(T81,[2]use_fish!A:A,[2]use_fish!K:K),0),_xlfn.IFNA(LOOKUP(U81,[2]use_fish!A:A,[2]use_fish!K:K),0),_xlfn.IFNA(LOOKUP(V81,[2]use_fish!A:A,[2]use_fish!K:K),0),_xlfn.IFNA(LOOKUP(W81,[2]use_fish!A:A,[2]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400</v>
      </c>
      <c r="H82" s="31">
        <f>SUM(_xlfn.IFNA(LOOKUP(Q82,[2]use_fish!A:A,[2]use_fish!E:E),0),_xlfn.IFNA(LOOKUP(R82,[2]use_fish!A:A,[2]use_fish!E:E),0),_xlfn.IFNA(LOOKUP(S82,[2]use_fish!A:A,[2]use_fish!E:E),0),_xlfn.IFNA(LOOKUP(T82,[2]use_fish!A:A,[2]use_fish!E:E),0),_xlfn.IFNA(LOOKUP(U82,[2]use_fish!A:A,[2]use_fish!E:E),0),_xlfn.IFNA(LOOKUP(V82,[2]use_fish!A:A,[2]use_fish!E:E),0),_xlfn.IFNA(LOOKUP(W82,[2]use_fish!A:A,[2]use_fish!E:E),0),)</f>
        <v>65</v>
      </c>
      <c r="I82" s="31">
        <f>SUM(_xlfn.IFNA(LOOKUP(Q82,[2]use_fish!A:A,[2]use_fish!I:I),0),_xlfn.IFNA(LOOKUP(R82,[2]use_fish!A:A,[2]use_fish!I:I),0),_xlfn.IFNA(LOOKUP(S82,[2]use_fish!A:A,[2]use_fish!I:I),0),_xlfn.IFNA(LOOKUP(T82,[2]use_fish!A:A,[2]use_fish!I:I),0),_xlfn.IFNA(LOOKUP(U82,[2]use_fish!A:A,[2]use_fish!I:I),0),_xlfn.IFNA(LOOKUP(V82,[2]use_fish!A:A,[2]use_fish!I:I),0),_xlfn.IFNA(LOOKUP(W82,[2]use_fish!A:A,[2]use_fish!I:I),0),)</f>
        <v>65</v>
      </c>
      <c r="J82" s="32">
        <f>SUM(_xlfn.IFNA(LOOKUP(Q82,[2]use_fish!A:A,[2]use_fish!K:K),0),_xlfn.IFNA(LOOKUP(R82,[2]use_fish!A:A,[2]use_fish!K:K),0),_xlfn.IFNA(LOOKUP(S82,[2]use_fish!A:A,[2]use_fish!K:K),0),_xlfn.IFNA(LOOKUP(T82,[2]use_fish!A:A,[2]use_fish!K:K),0),_xlfn.IFNA(LOOKUP(U82,[2]use_fish!A:A,[2]use_fish!K:K),0),_xlfn.IFNA(LOOKUP(V82,[2]use_fish!A:A,[2]use_fish!K:K),0),_xlfn.IFNA(LOOKUP(W82,[2]use_fish!A:A,[2]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401</v>
      </c>
      <c r="H83" s="31">
        <f>SUM(_xlfn.IFNA(LOOKUP(Q83,[2]use_fish!A:A,[2]use_fish!E:E),0),_xlfn.IFNA(LOOKUP(R83,[2]use_fish!A:A,[2]use_fish!E:E),0),_xlfn.IFNA(LOOKUP(S83,[2]use_fish!A:A,[2]use_fish!E:E),0),_xlfn.IFNA(LOOKUP(T83,[2]use_fish!A:A,[2]use_fish!E:E),0),_xlfn.IFNA(LOOKUP(U83,[2]use_fish!A:A,[2]use_fish!E:E),0),_xlfn.IFNA(LOOKUP(V83,[2]use_fish!A:A,[2]use_fish!E:E),0),_xlfn.IFNA(LOOKUP(W83,[2]use_fish!A:A,[2]use_fish!E:E),0),)</f>
        <v>68</v>
      </c>
      <c r="I83" s="31">
        <f>SUM(_xlfn.IFNA(LOOKUP(Q83,[2]use_fish!A:A,[2]use_fish!I:I),0),_xlfn.IFNA(LOOKUP(R83,[2]use_fish!A:A,[2]use_fish!I:I),0),_xlfn.IFNA(LOOKUP(S83,[2]use_fish!A:A,[2]use_fish!I:I),0),_xlfn.IFNA(LOOKUP(T83,[2]use_fish!A:A,[2]use_fish!I:I),0),_xlfn.IFNA(LOOKUP(U83,[2]use_fish!A:A,[2]use_fish!I:I),0),_xlfn.IFNA(LOOKUP(V83,[2]use_fish!A:A,[2]use_fish!I:I),0),_xlfn.IFNA(LOOKUP(W83,[2]use_fish!A:A,[2]use_fish!I:I),0),)</f>
        <v>68</v>
      </c>
      <c r="J83" s="32">
        <f>SUM(_xlfn.IFNA(LOOKUP(Q83,[2]use_fish!A:A,[2]use_fish!K:K),0),_xlfn.IFNA(LOOKUP(R83,[2]use_fish!A:A,[2]use_fish!K:K),0),_xlfn.IFNA(LOOKUP(S83,[2]use_fish!A:A,[2]use_fish!K:K),0),_xlfn.IFNA(LOOKUP(T83,[2]use_fish!A:A,[2]use_fish!K:K),0),_xlfn.IFNA(LOOKUP(U83,[2]use_fish!A:A,[2]use_fish!K:K),0),_xlfn.IFNA(LOOKUP(V83,[2]use_fish!A:A,[2]use_fish!K:K),0),_xlfn.IFNA(LOOKUP(W83,[2]use_fish!A:A,[2]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402</v>
      </c>
      <c r="H84" s="31">
        <f>SUM(_xlfn.IFNA(LOOKUP(Q84,[2]use_fish!A:A,[2]use_fish!E:E),0),_xlfn.IFNA(LOOKUP(R84,[2]use_fish!A:A,[2]use_fish!E:E),0),_xlfn.IFNA(LOOKUP(S84,[2]use_fish!A:A,[2]use_fish!E:E),0),_xlfn.IFNA(LOOKUP(T84,[2]use_fish!A:A,[2]use_fish!E:E),0),_xlfn.IFNA(LOOKUP(U84,[2]use_fish!A:A,[2]use_fish!E:E),0),_xlfn.IFNA(LOOKUP(V84,[2]use_fish!A:A,[2]use_fish!E:E),0),_xlfn.IFNA(LOOKUP(W84,[2]use_fish!A:A,[2]use_fish!E:E),0),)</f>
        <v>70</v>
      </c>
      <c r="I84" s="31">
        <f>SUM(_xlfn.IFNA(LOOKUP(Q84,[2]use_fish!A:A,[2]use_fish!I:I),0),_xlfn.IFNA(LOOKUP(R84,[2]use_fish!A:A,[2]use_fish!I:I),0),_xlfn.IFNA(LOOKUP(S84,[2]use_fish!A:A,[2]use_fish!I:I),0),_xlfn.IFNA(LOOKUP(T84,[2]use_fish!A:A,[2]use_fish!I:I),0),_xlfn.IFNA(LOOKUP(U84,[2]use_fish!A:A,[2]use_fish!I:I),0),_xlfn.IFNA(LOOKUP(V84,[2]use_fish!A:A,[2]use_fish!I:I),0),_xlfn.IFNA(LOOKUP(W84,[2]use_fish!A:A,[2]use_fish!I:I),0),)</f>
        <v>70</v>
      </c>
      <c r="J84" s="32">
        <f>SUM(_xlfn.IFNA(LOOKUP(Q84,[2]use_fish!A:A,[2]use_fish!K:K),0),_xlfn.IFNA(LOOKUP(R84,[2]use_fish!A:A,[2]use_fish!K:K),0),_xlfn.IFNA(LOOKUP(S84,[2]use_fish!A:A,[2]use_fish!K:K),0),_xlfn.IFNA(LOOKUP(T84,[2]use_fish!A:A,[2]use_fish!K:K),0),_xlfn.IFNA(LOOKUP(U84,[2]use_fish!A:A,[2]use_fish!K:K),0),_xlfn.IFNA(LOOKUP(V84,[2]use_fish!A:A,[2]use_fish!K:K),0),_xlfn.IFNA(LOOKUP(W84,[2]use_fish!A:A,[2]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403</v>
      </c>
      <c r="H85" s="31">
        <f>SUM(_xlfn.IFNA(LOOKUP(Q85,[2]use_fish!A:A,[2]use_fish!E:E),0),_xlfn.IFNA(LOOKUP(R85,[2]use_fish!A:A,[2]use_fish!E:E),0),_xlfn.IFNA(LOOKUP(S85,[2]use_fish!A:A,[2]use_fish!E:E),0),_xlfn.IFNA(LOOKUP(T85,[2]use_fish!A:A,[2]use_fish!E:E),0),_xlfn.IFNA(LOOKUP(U85,[2]use_fish!A:A,[2]use_fish!E:E),0),_xlfn.IFNA(LOOKUP(V85,[2]use_fish!A:A,[2]use_fish!E:E),0),_xlfn.IFNA(LOOKUP(W85,[2]use_fish!A:A,[2]use_fish!E:E),0),)</f>
        <v>75</v>
      </c>
      <c r="I85" s="31">
        <f>SUM(_xlfn.IFNA(LOOKUP(Q85,[2]use_fish!A:A,[2]use_fish!I:I),0),_xlfn.IFNA(LOOKUP(R85,[2]use_fish!A:A,[2]use_fish!I:I),0),_xlfn.IFNA(LOOKUP(S85,[2]use_fish!A:A,[2]use_fish!I:I),0),_xlfn.IFNA(LOOKUP(T85,[2]use_fish!A:A,[2]use_fish!I:I),0),_xlfn.IFNA(LOOKUP(U85,[2]use_fish!A:A,[2]use_fish!I:I),0),_xlfn.IFNA(LOOKUP(V85,[2]use_fish!A:A,[2]use_fish!I:I),0),_xlfn.IFNA(LOOKUP(W85,[2]use_fish!A:A,[2]use_fish!I:I),0),)</f>
        <v>75</v>
      </c>
      <c r="J85" s="32">
        <f>SUM(_xlfn.IFNA(LOOKUP(Q85,[2]use_fish!A:A,[2]use_fish!K:K),0),_xlfn.IFNA(LOOKUP(R85,[2]use_fish!A:A,[2]use_fish!K:K),0),_xlfn.IFNA(LOOKUP(S85,[2]use_fish!A:A,[2]use_fish!K:K),0),_xlfn.IFNA(LOOKUP(T85,[2]use_fish!A:A,[2]use_fish!K:K),0),_xlfn.IFNA(LOOKUP(U85,[2]use_fish!A:A,[2]use_fish!K:K),0),_xlfn.IFNA(LOOKUP(V85,[2]use_fish!A:A,[2]use_fish!K:K),0),_xlfn.IFNA(LOOKUP(W85,[2]use_fish!A:A,[2]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404</v>
      </c>
      <c r="H86" s="31">
        <f>SUM(_xlfn.IFNA(LOOKUP(Q86,[2]use_fish!A:A,[2]use_fish!E:E),0),_xlfn.IFNA(LOOKUP(R86,[2]use_fish!A:A,[2]use_fish!E:E),0),_xlfn.IFNA(LOOKUP(S86,[2]use_fish!A:A,[2]use_fish!E:E),0),_xlfn.IFNA(LOOKUP(T86,[2]use_fish!A:A,[2]use_fish!E:E),0),_xlfn.IFNA(LOOKUP(U86,[2]use_fish!A:A,[2]use_fish!E:E),0),_xlfn.IFNA(LOOKUP(V86,[2]use_fish!A:A,[2]use_fish!E:E),0),_xlfn.IFNA(LOOKUP(W86,[2]use_fish!A:A,[2]use_fish!E:E),0),)</f>
        <v>80</v>
      </c>
      <c r="I86" s="31">
        <f>SUM(_xlfn.IFNA(LOOKUP(Q86,[2]use_fish!A:A,[2]use_fish!I:I),0),_xlfn.IFNA(LOOKUP(R86,[2]use_fish!A:A,[2]use_fish!I:I),0),_xlfn.IFNA(LOOKUP(S86,[2]use_fish!A:A,[2]use_fish!I:I),0),_xlfn.IFNA(LOOKUP(T86,[2]use_fish!A:A,[2]use_fish!I:I),0),_xlfn.IFNA(LOOKUP(U86,[2]use_fish!A:A,[2]use_fish!I:I),0),_xlfn.IFNA(LOOKUP(V86,[2]use_fish!A:A,[2]use_fish!I:I),0),_xlfn.IFNA(LOOKUP(W86,[2]use_fish!A:A,[2]use_fish!I:I),0),)</f>
        <v>80</v>
      </c>
      <c r="J86" s="32">
        <f>SUM(_xlfn.IFNA(LOOKUP(Q86,[2]use_fish!A:A,[2]use_fish!K:K),0),_xlfn.IFNA(LOOKUP(R86,[2]use_fish!A:A,[2]use_fish!K:K),0),_xlfn.IFNA(LOOKUP(S86,[2]use_fish!A:A,[2]use_fish!K:K),0),_xlfn.IFNA(LOOKUP(T86,[2]use_fish!A:A,[2]use_fish!K:K),0),_xlfn.IFNA(LOOKUP(U86,[2]use_fish!A:A,[2]use_fish!K:K),0),_xlfn.IFNA(LOOKUP(V86,[2]use_fish!A:A,[2]use_fish!K:K),0),_xlfn.IFNA(LOOKUP(W86,[2]use_fish!A:A,[2]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405</v>
      </c>
      <c r="H87" s="31">
        <f>SUM(_xlfn.IFNA(LOOKUP(Q87,[2]use_fish!A:A,[2]use_fish!E:E),0),_xlfn.IFNA(LOOKUP(R87,[2]use_fish!A:A,[2]use_fish!E:E),0),_xlfn.IFNA(LOOKUP(S87,[2]use_fish!A:A,[2]use_fish!E:E),0),_xlfn.IFNA(LOOKUP(T87,[2]use_fish!A:A,[2]use_fish!E:E),0),_xlfn.IFNA(LOOKUP(U87,[2]use_fish!A:A,[2]use_fish!E:E),0),_xlfn.IFNA(LOOKUP(V87,[2]use_fish!A:A,[2]use_fish!E:E),0),_xlfn.IFNA(LOOKUP(W87,[2]use_fish!A:A,[2]use_fish!E:E),0),)</f>
        <v>85</v>
      </c>
      <c r="I87" s="31">
        <f>SUM(_xlfn.IFNA(LOOKUP(Q87,[2]use_fish!A:A,[2]use_fish!I:I),0),_xlfn.IFNA(LOOKUP(R87,[2]use_fish!A:A,[2]use_fish!I:I),0),_xlfn.IFNA(LOOKUP(S87,[2]use_fish!A:A,[2]use_fish!I:I),0),_xlfn.IFNA(LOOKUP(T87,[2]use_fish!A:A,[2]use_fish!I:I),0),_xlfn.IFNA(LOOKUP(U87,[2]use_fish!A:A,[2]use_fish!I:I),0),_xlfn.IFNA(LOOKUP(V87,[2]use_fish!A:A,[2]use_fish!I:I),0),_xlfn.IFNA(LOOKUP(W87,[2]use_fish!A:A,[2]use_fish!I:I),0),)</f>
        <v>85</v>
      </c>
      <c r="J87" s="32">
        <f>SUM(_xlfn.IFNA(LOOKUP(Q87,[2]use_fish!A:A,[2]use_fish!K:K),0),_xlfn.IFNA(LOOKUP(R87,[2]use_fish!A:A,[2]use_fish!K:K),0),_xlfn.IFNA(LOOKUP(S87,[2]use_fish!A:A,[2]use_fish!K:K),0),_xlfn.IFNA(LOOKUP(T87,[2]use_fish!A:A,[2]use_fish!K:K),0),_xlfn.IFNA(LOOKUP(U87,[2]use_fish!A:A,[2]use_fish!K:K),0),_xlfn.IFNA(LOOKUP(V87,[2]use_fish!A:A,[2]use_fish!K:K),0),_xlfn.IFNA(LOOKUP(W87,[2]use_fish!A:A,[2]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406</v>
      </c>
      <c r="H88" s="31">
        <f>SUM(_xlfn.IFNA(LOOKUP(Q88,[2]use_fish!A:A,[2]use_fish!E:E),0),_xlfn.IFNA(LOOKUP(R88,[2]use_fish!A:A,[2]use_fish!E:E),0),_xlfn.IFNA(LOOKUP(S88,[2]use_fish!A:A,[2]use_fish!E:E),0),_xlfn.IFNA(LOOKUP(T88,[2]use_fish!A:A,[2]use_fish!E:E),0),_xlfn.IFNA(LOOKUP(U88,[2]use_fish!A:A,[2]use_fish!E:E),0),_xlfn.IFNA(LOOKUP(V88,[2]use_fish!A:A,[2]use_fish!E:E),0),_xlfn.IFNA(LOOKUP(W88,[2]use_fish!A:A,[2]use_fish!E:E),0),)</f>
        <v>90</v>
      </c>
      <c r="I88" s="31">
        <f>SUM(_xlfn.IFNA(LOOKUP(Q88,[2]use_fish!A:A,[2]use_fish!I:I),0),_xlfn.IFNA(LOOKUP(R88,[2]use_fish!A:A,[2]use_fish!I:I),0),_xlfn.IFNA(LOOKUP(S88,[2]use_fish!A:A,[2]use_fish!I:I),0),_xlfn.IFNA(LOOKUP(T88,[2]use_fish!A:A,[2]use_fish!I:I),0),_xlfn.IFNA(LOOKUP(U88,[2]use_fish!A:A,[2]use_fish!I:I),0),_xlfn.IFNA(LOOKUP(V88,[2]use_fish!A:A,[2]use_fish!I:I),0),_xlfn.IFNA(LOOKUP(W88,[2]use_fish!A:A,[2]use_fish!I:I),0),)</f>
        <v>90</v>
      </c>
      <c r="J88" s="32">
        <f>SUM(_xlfn.IFNA(LOOKUP(Q88,[2]use_fish!A:A,[2]use_fish!K:K),0),_xlfn.IFNA(LOOKUP(R88,[2]use_fish!A:A,[2]use_fish!K:K),0),_xlfn.IFNA(LOOKUP(S88,[2]use_fish!A:A,[2]use_fish!K:K),0),_xlfn.IFNA(LOOKUP(T88,[2]use_fish!A:A,[2]use_fish!K:K),0),_xlfn.IFNA(LOOKUP(U88,[2]use_fish!A:A,[2]use_fish!K:K),0),_xlfn.IFNA(LOOKUP(V88,[2]use_fish!A:A,[2]use_fish!K:K),0),_xlfn.IFNA(LOOKUP(W88,[2]use_fish!A:A,[2]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407</v>
      </c>
      <c r="H89" s="31">
        <f>SUM(_xlfn.IFNA(LOOKUP(Q89,[2]use_fish!A:A,[2]use_fish!E:E),0),_xlfn.IFNA(LOOKUP(R89,[2]use_fish!A:A,[2]use_fish!E:E),0),_xlfn.IFNA(LOOKUP(S89,[2]use_fish!A:A,[2]use_fish!E:E),0),_xlfn.IFNA(LOOKUP(T89,[2]use_fish!A:A,[2]use_fish!E:E),0),_xlfn.IFNA(LOOKUP(U89,[2]use_fish!A:A,[2]use_fish!E:E),0),_xlfn.IFNA(LOOKUP(V89,[2]use_fish!A:A,[2]use_fish!E:E),0),_xlfn.IFNA(LOOKUP(W89,[2]use_fish!A:A,[2]use_fish!E:E),0),)</f>
        <v>110</v>
      </c>
      <c r="I89" s="31">
        <f>SUM(_xlfn.IFNA(LOOKUP(Q89,[2]use_fish!A:A,[2]use_fish!I:I),0),_xlfn.IFNA(LOOKUP(R89,[2]use_fish!A:A,[2]use_fish!I:I),0),_xlfn.IFNA(LOOKUP(S89,[2]use_fish!A:A,[2]use_fish!I:I),0),_xlfn.IFNA(LOOKUP(T89,[2]use_fish!A:A,[2]use_fish!I:I),0),_xlfn.IFNA(LOOKUP(U89,[2]use_fish!A:A,[2]use_fish!I:I),0),_xlfn.IFNA(LOOKUP(V89,[2]use_fish!A:A,[2]use_fish!I:I),0),_xlfn.IFNA(LOOKUP(W89,[2]use_fish!A:A,[2]use_fish!I:I),0),)</f>
        <v>110</v>
      </c>
      <c r="J89" s="32">
        <f>SUM(_xlfn.IFNA(LOOKUP(Q89,[2]use_fish!A:A,[2]use_fish!K:K),0),_xlfn.IFNA(LOOKUP(R89,[2]use_fish!A:A,[2]use_fish!K:K),0),_xlfn.IFNA(LOOKUP(S89,[2]use_fish!A:A,[2]use_fish!K:K),0),_xlfn.IFNA(LOOKUP(T89,[2]use_fish!A:A,[2]use_fish!K:K),0),_xlfn.IFNA(LOOKUP(U89,[2]use_fish!A:A,[2]use_fish!K:K),0),_xlfn.IFNA(LOOKUP(V89,[2]use_fish!A:A,[2]use_fish!K:K),0),_xlfn.IFNA(LOOKUP(W89,[2]use_fish!A:A,[2]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408</v>
      </c>
      <c r="H90" s="31">
        <f>SUM(_xlfn.IFNA(LOOKUP(Q90,[2]use_fish!A:A,[2]use_fish!E:E),0),_xlfn.IFNA(LOOKUP(R90,[2]use_fish!A:A,[2]use_fish!E:E),0),_xlfn.IFNA(LOOKUP(S90,[2]use_fish!A:A,[2]use_fish!E:E),0),_xlfn.IFNA(LOOKUP(T90,[2]use_fish!A:A,[2]use_fish!E:E),0),_xlfn.IFNA(LOOKUP(U90,[2]use_fish!A:A,[2]use_fish!E:E),0),_xlfn.IFNA(LOOKUP(V90,[2]use_fish!A:A,[2]use_fish!E:E),0),_xlfn.IFNA(LOOKUP(W90,[2]use_fish!A:A,[2]use_fish!E:E),0),)</f>
        <v>113</v>
      </c>
      <c r="I90" s="31">
        <f>SUM(_xlfn.IFNA(LOOKUP(Q90,[2]use_fish!A:A,[2]use_fish!I:I),0),_xlfn.IFNA(LOOKUP(R90,[2]use_fish!A:A,[2]use_fish!I:I),0),_xlfn.IFNA(LOOKUP(S90,[2]use_fish!A:A,[2]use_fish!I:I),0),_xlfn.IFNA(LOOKUP(T90,[2]use_fish!A:A,[2]use_fish!I:I),0),_xlfn.IFNA(LOOKUP(U90,[2]use_fish!A:A,[2]use_fish!I:I),0),_xlfn.IFNA(LOOKUP(V90,[2]use_fish!A:A,[2]use_fish!I:I),0),_xlfn.IFNA(LOOKUP(W90,[2]use_fish!A:A,[2]use_fish!I:I),0),)</f>
        <v>110</v>
      </c>
      <c r="J90" s="32">
        <f>SUM(_xlfn.IFNA(LOOKUP(Q90,[2]use_fish!A:A,[2]use_fish!K:K),0),_xlfn.IFNA(LOOKUP(R90,[2]use_fish!A:A,[2]use_fish!K:K),0),_xlfn.IFNA(LOOKUP(S90,[2]use_fish!A:A,[2]use_fish!K:K),0),_xlfn.IFNA(LOOKUP(T90,[2]use_fish!A:A,[2]use_fish!K:K),0),_xlfn.IFNA(LOOKUP(U90,[2]use_fish!A:A,[2]use_fish!K:K),0),_xlfn.IFNA(LOOKUP(V90,[2]use_fish!A:A,[2]use_fish!K:K),0),_xlfn.IFNA(LOOKUP(W90,[2]use_fish!A:A,[2]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409</v>
      </c>
      <c r="H91" s="31">
        <f>SUM(_xlfn.IFNA(LOOKUP(Q91,[2]use_fish!A:A,[2]use_fish!E:E),0),_xlfn.IFNA(LOOKUP(R91,[2]use_fish!A:A,[2]use_fish!E:E),0),_xlfn.IFNA(LOOKUP(S91,[2]use_fish!A:A,[2]use_fish!E:E),0),_xlfn.IFNA(LOOKUP(T91,[2]use_fish!A:A,[2]use_fish!E:E),0),_xlfn.IFNA(LOOKUP(U91,[2]use_fish!A:A,[2]use_fish!E:E),0),_xlfn.IFNA(LOOKUP(V91,[2]use_fish!A:A,[2]use_fish!E:E),0),_xlfn.IFNA(LOOKUP(W91,[2]use_fish!A:A,[2]use_fish!E:E),0),)</f>
        <v>113</v>
      </c>
      <c r="I91" s="31">
        <f>SUM(_xlfn.IFNA(LOOKUP(Q91,[2]use_fish!A:A,[2]use_fish!I:I),0),_xlfn.IFNA(LOOKUP(R91,[2]use_fish!A:A,[2]use_fish!I:I),0),_xlfn.IFNA(LOOKUP(S91,[2]use_fish!A:A,[2]use_fish!I:I),0),_xlfn.IFNA(LOOKUP(T91,[2]use_fish!A:A,[2]use_fish!I:I),0),_xlfn.IFNA(LOOKUP(U91,[2]use_fish!A:A,[2]use_fish!I:I),0),_xlfn.IFNA(LOOKUP(V91,[2]use_fish!A:A,[2]use_fish!I:I),0),_xlfn.IFNA(LOOKUP(W91,[2]use_fish!A:A,[2]use_fish!I:I),0),)</f>
        <v>110</v>
      </c>
      <c r="J91" s="32">
        <f>SUM(_xlfn.IFNA(LOOKUP(Q91,[2]use_fish!A:A,[2]use_fish!K:K),0),_xlfn.IFNA(LOOKUP(R91,[2]use_fish!A:A,[2]use_fish!K:K),0),_xlfn.IFNA(LOOKUP(S91,[2]use_fish!A:A,[2]use_fish!K:K),0),_xlfn.IFNA(LOOKUP(T91,[2]use_fish!A:A,[2]use_fish!K:K),0),_xlfn.IFNA(LOOKUP(U91,[2]use_fish!A:A,[2]use_fish!K:K),0),_xlfn.IFNA(LOOKUP(V91,[2]use_fish!A:A,[2]use_fish!K:K),0),_xlfn.IFNA(LOOKUP(W91,[2]use_fish!A:A,[2]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410</v>
      </c>
      <c r="H92" s="31">
        <f>SUM(_xlfn.IFNA(LOOKUP(Q92,[2]use_fish!A:A,[2]use_fish!E:E),0),_xlfn.IFNA(LOOKUP(R92,[2]use_fish!A:A,[2]use_fish!E:E),0),_xlfn.IFNA(LOOKUP(S92,[2]use_fish!A:A,[2]use_fish!E:E),0),_xlfn.IFNA(LOOKUP(T92,[2]use_fish!A:A,[2]use_fish!E:E),0),_xlfn.IFNA(LOOKUP(U92,[2]use_fish!A:A,[2]use_fish!E:E),0),_xlfn.IFNA(LOOKUP(V92,[2]use_fish!A:A,[2]use_fish!E:E),0),_xlfn.IFNA(LOOKUP(W92,[2]use_fish!A:A,[2]use_fish!E:E),0),)</f>
        <v>155</v>
      </c>
      <c r="I92" s="31">
        <f>SUM(_xlfn.IFNA(LOOKUP(Q92,[2]use_fish!A:A,[2]use_fish!I:I),0),_xlfn.IFNA(LOOKUP(R92,[2]use_fish!A:A,[2]use_fish!I:I),0),_xlfn.IFNA(LOOKUP(S92,[2]use_fish!A:A,[2]use_fish!I:I),0),_xlfn.IFNA(LOOKUP(T92,[2]use_fish!A:A,[2]use_fish!I:I),0),_xlfn.IFNA(LOOKUP(U92,[2]use_fish!A:A,[2]use_fish!I:I),0),_xlfn.IFNA(LOOKUP(V92,[2]use_fish!A:A,[2]use_fish!I:I),0),_xlfn.IFNA(LOOKUP(W92,[2]use_fish!A:A,[2]use_fish!I:I),0),)</f>
        <v>110</v>
      </c>
      <c r="J92" s="32">
        <f>SUM(_xlfn.IFNA(LOOKUP(Q92,[2]use_fish!A:A,[2]use_fish!K:K),0),_xlfn.IFNA(LOOKUP(R92,[2]use_fish!A:A,[2]use_fish!K:K),0),_xlfn.IFNA(LOOKUP(S92,[2]use_fish!A:A,[2]use_fish!K:K),0),_xlfn.IFNA(LOOKUP(T92,[2]use_fish!A:A,[2]use_fish!K:K),0),_xlfn.IFNA(LOOKUP(U92,[2]use_fish!A:A,[2]use_fish!K:K),0),_xlfn.IFNA(LOOKUP(V92,[2]use_fish!A:A,[2]use_fish!K:K),0),_xlfn.IFNA(LOOKUP(W92,[2]use_fish!A:A,[2]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411</v>
      </c>
      <c r="H93" s="31">
        <f>SUM(_xlfn.IFNA(LOOKUP(Q93,[2]use_fish!A:A,[2]use_fish!E:E),0),_xlfn.IFNA(LOOKUP(R93,[2]use_fish!A:A,[2]use_fish!E:E),0),_xlfn.IFNA(LOOKUP(S93,[2]use_fish!A:A,[2]use_fish!E:E),0),_xlfn.IFNA(LOOKUP(T93,[2]use_fish!A:A,[2]use_fish!E:E),0),_xlfn.IFNA(LOOKUP(U93,[2]use_fish!A:A,[2]use_fish!E:E),0),_xlfn.IFNA(LOOKUP(V93,[2]use_fish!A:A,[2]use_fish!E:E),0),_xlfn.IFNA(LOOKUP(W93,[2]use_fish!A:A,[2]use_fish!E:E),0),)</f>
        <v>134</v>
      </c>
      <c r="I93" s="31">
        <f>SUM(_xlfn.IFNA(LOOKUP(Q93,[2]use_fish!A:A,[2]use_fish!I:I),0),_xlfn.IFNA(LOOKUP(R93,[2]use_fish!A:A,[2]use_fish!I:I),0),_xlfn.IFNA(LOOKUP(S93,[2]use_fish!A:A,[2]use_fish!I:I),0),_xlfn.IFNA(LOOKUP(T93,[2]use_fish!A:A,[2]use_fish!I:I),0),_xlfn.IFNA(LOOKUP(U93,[2]use_fish!A:A,[2]use_fish!I:I),0),_xlfn.IFNA(LOOKUP(V93,[2]use_fish!A:A,[2]use_fish!I:I),0),_xlfn.IFNA(LOOKUP(W93,[2]use_fish!A:A,[2]use_fish!I:I),0),)</f>
        <v>130</v>
      </c>
      <c r="J93" s="32">
        <f>SUM(_xlfn.IFNA(LOOKUP(Q93,[2]use_fish!A:A,[2]use_fish!K:K),0),_xlfn.IFNA(LOOKUP(R93,[2]use_fish!A:A,[2]use_fish!K:K),0),_xlfn.IFNA(LOOKUP(S93,[2]use_fish!A:A,[2]use_fish!K:K),0),_xlfn.IFNA(LOOKUP(T93,[2]use_fish!A:A,[2]use_fish!K:K),0),_xlfn.IFNA(LOOKUP(U93,[2]use_fish!A:A,[2]use_fish!K:K),0),_xlfn.IFNA(LOOKUP(V93,[2]use_fish!A:A,[2]use_fish!K:K),0),_xlfn.IFNA(LOOKUP(W93,[2]use_fish!A:A,[2]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412</v>
      </c>
      <c r="H94" s="31">
        <f>SUM(_xlfn.IFNA(LOOKUP(Q94,[2]use_fish!A:A,[2]use_fish!E:E),0),_xlfn.IFNA(LOOKUP(R94,[2]use_fish!A:A,[2]use_fish!E:E),0),_xlfn.IFNA(LOOKUP(S94,[2]use_fish!A:A,[2]use_fish!E:E),0),_xlfn.IFNA(LOOKUP(T94,[2]use_fish!A:A,[2]use_fish!E:E),0),_xlfn.IFNA(LOOKUP(U94,[2]use_fish!A:A,[2]use_fish!E:E),0),_xlfn.IFNA(LOOKUP(V94,[2]use_fish!A:A,[2]use_fish!E:E),0),_xlfn.IFNA(LOOKUP(W94,[2]use_fish!A:A,[2]use_fish!E:E),0),)</f>
        <v>155</v>
      </c>
      <c r="I94" s="31">
        <f>SUM(_xlfn.IFNA(LOOKUP(Q94,[2]use_fish!A:A,[2]use_fish!I:I),0),_xlfn.IFNA(LOOKUP(R94,[2]use_fish!A:A,[2]use_fish!I:I),0),_xlfn.IFNA(LOOKUP(S94,[2]use_fish!A:A,[2]use_fish!I:I),0),_xlfn.IFNA(LOOKUP(T94,[2]use_fish!A:A,[2]use_fish!I:I),0),_xlfn.IFNA(LOOKUP(U94,[2]use_fish!A:A,[2]use_fish!I:I),0),_xlfn.IFNA(LOOKUP(V94,[2]use_fish!A:A,[2]use_fish!I:I),0),_xlfn.IFNA(LOOKUP(W94,[2]use_fish!A:A,[2]use_fish!I:I),0),)</f>
        <v>150</v>
      </c>
      <c r="J94" s="32">
        <f>SUM(_xlfn.IFNA(LOOKUP(Q94,[2]use_fish!A:A,[2]use_fish!K:K),0),_xlfn.IFNA(LOOKUP(R94,[2]use_fish!A:A,[2]use_fish!K:K),0),_xlfn.IFNA(LOOKUP(S94,[2]use_fish!A:A,[2]use_fish!K:K),0),_xlfn.IFNA(LOOKUP(T94,[2]use_fish!A:A,[2]use_fish!K:K),0),_xlfn.IFNA(LOOKUP(U94,[2]use_fish!A:A,[2]use_fish!K:K),0),_xlfn.IFNA(LOOKUP(V94,[2]use_fish!A:A,[2]use_fish!K:K),0),_xlfn.IFNA(LOOKUP(W94,[2]use_fish!A:A,[2]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413</v>
      </c>
      <c r="H95" s="31">
        <f>SUM(_xlfn.IFNA(LOOKUP(Q95,[2]use_fish!A:A,[2]use_fish!E:E),0),_xlfn.IFNA(LOOKUP(R95,[2]use_fish!A:A,[2]use_fish!E:E),0),_xlfn.IFNA(LOOKUP(S95,[2]use_fish!A:A,[2]use_fish!E:E),0),_xlfn.IFNA(LOOKUP(T95,[2]use_fish!A:A,[2]use_fish!E:E),0),_xlfn.IFNA(LOOKUP(U95,[2]use_fish!A:A,[2]use_fish!E:E),0),_xlfn.IFNA(LOOKUP(V95,[2]use_fish!A:A,[2]use_fish!E:E),0),_xlfn.IFNA(LOOKUP(W95,[2]use_fish!A:A,[2]use_fish!E:E),0),)</f>
        <v>155</v>
      </c>
      <c r="I95" s="31">
        <f>SUM(_xlfn.IFNA(LOOKUP(Q95,[2]use_fish!A:A,[2]use_fish!I:I),0),_xlfn.IFNA(LOOKUP(R95,[2]use_fish!A:A,[2]use_fish!I:I),0),_xlfn.IFNA(LOOKUP(S95,[2]use_fish!A:A,[2]use_fish!I:I),0),_xlfn.IFNA(LOOKUP(T95,[2]use_fish!A:A,[2]use_fish!I:I),0),_xlfn.IFNA(LOOKUP(U95,[2]use_fish!A:A,[2]use_fish!I:I),0),_xlfn.IFNA(LOOKUP(V95,[2]use_fish!A:A,[2]use_fish!I:I),0),_xlfn.IFNA(LOOKUP(W95,[2]use_fish!A:A,[2]use_fish!I:I),0),)</f>
        <v>150</v>
      </c>
      <c r="J95" s="32">
        <f>SUM(_xlfn.IFNA(LOOKUP(Q95,[2]use_fish!A:A,[2]use_fish!K:K),0),_xlfn.IFNA(LOOKUP(R95,[2]use_fish!A:A,[2]use_fish!K:K),0),_xlfn.IFNA(LOOKUP(S95,[2]use_fish!A:A,[2]use_fish!K:K),0),_xlfn.IFNA(LOOKUP(T95,[2]use_fish!A:A,[2]use_fish!K:K),0),_xlfn.IFNA(LOOKUP(U95,[2]use_fish!A:A,[2]use_fish!K:K),0),_xlfn.IFNA(LOOKUP(V95,[2]use_fish!A:A,[2]use_fish!K:K),0),_xlfn.IFNA(LOOKUP(W95,[2]use_fish!A:A,[2]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1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A52" sqref="A52:XFD7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LOOKUP([2]use_fish!B52,[2]base_fish!A:A,[2]base_fish!C:C)+_xlfn.IFNA(INDEX([2]activity!F:F,MATCH([2]use_fish!C52,[2]activity!A:A,0)),0)</f>
        <v>45</v>
      </c>
      <c r="F52" s="27">
        <f t="shared" ref="F52:F79" si="13">1/E52</f>
        <v>2.2222222222222223E-2</v>
      </c>
      <c r="G52" s="27" t="s">
        <v>17</v>
      </c>
      <c r="H52" s="28" t="str">
        <f>INDEX([2]base_fish!E:E,MATCH([2]use_fish!B52,[2]base_fish!A:A,0))&amp;_xlfn.IFNA("+"&amp;INDEX([2]activity!G:G,MATCH([2]use_fish!C52,[2]activity!A:A,0)),"")</f>
        <v>小海龟+炸弹</v>
      </c>
      <c r="I52" s="27">
        <f>LOOKUP([2]use_fish!B52,[2]base_fish!A:A,[2]base_fish!F:F)+_xlfn.IFNA(INDEX([2]activity!F:F,MATCH([2]use_fish!C52,[2]activity!A:A,0)),0)</f>
        <v>45</v>
      </c>
      <c r="J52" s="29">
        <v>1</v>
      </c>
      <c r="K52" s="29">
        <f>LOOKUP([2]use_fish!B52,[2]base_fish!A:A,[2]base_fish!G:G)</f>
        <v>0</v>
      </c>
      <c r="L52" s="29">
        <f t="shared" ref="L52:L79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LOOKUP([2]use_fish!B53,[2]base_fish!A:A,[2]base_fish!C:C)+_xlfn.IFNA(INDEX([2]activity!F:F,MATCH([2]use_fish!C53,[2]activity!A:A,0)),0)</f>
        <v>48</v>
      </c>
      <c r="F53" s="39">
        <f t="shared" si="13"/>
        <v>2.0833333333333332E-2</v>
      </c>
      <c r="G53" s="39" t="s">
        <v>17</v>
      </c>
      <c r="H53" s="40" t="str">
        <f>INDEX([2]base_fish!E:E,MATCH([2]use_fish!B53,[2]base_fish!A:A,0))&amp;_xlfn.IFNA("+"&amp;INDEX([2]activity!G:G,MATCH([2]use_fish!C53,[2]activity!A:A,0)),"")</f>
        <v>狮子鱼+炸弹</v>
      </c>
      <c r="I53" s="39">
        <f>LOOKUP([2]use_fish!B53,[2]base_fish!A:A,[2]base_fish!F:F)+_xlfn.IFNA(INDEX([2]activity!F:F,MATCH([2]use_fish!C53,[2]activity!A:A,0)),0)</f>
        <v>48</v>
      </c>
      <c r="J53" s="41">
        <v>1</v>
      </c>
      <c r="K53" s="41">
        <f>LOOKUP([2]use_fish!B53,[2]base_fish!A:A,[2]base_fish!G:G)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LOOKUP([2]use_fish!B54,[2]base_fish!A:A,[2]base_fish!C:C)+_xlfn.IFNA(INDEX([2]activity!F:F,MATCH([2]use_fish!C54,[2]activity!A:A,0)),0)</f>
        <v>50</v>
      </c>
      <c r="F54" s="39">
        <f t="shared" si="13"/>
        <v>0.02</v>
      </c>
      <c r="G54" s="39" t="s">
        <v>17</v>
      </c>
      <c r="H54" s="40" t="str">
        <f>INDEX([2]base_fish!E:E,MATCH([2]use_fish!B54,[2]base_fish!A:A,0))&amp;_xlfn.IFNA("+"&amp;INDEX([2]activity!G:G,MATCH([2]use_fish!C54,[2]activity!A:A,0)),"")</f>
        <v>蝴蝶鱼+炸弹</v>
      </c>
      <c r="I54" s="39">
        <f>LOOKUP([2]use_fish!B54,[2]base_fish!A:A,[2]base_fish!F:F)+_xlfn.IFNA(INDEX([2]activity!F:F,MATCH([2]use_fish!C54,[2]activity!A:A,0)),0)</f>
        <v>50</v>
      </c>
      <c r="J54" s="41">
        <v>1</v>
      </c>
      <c r="K54" s="41">
        <f>LOOKUP([2]use_fish!B54,[2]base_fish!A:A,[2]base_fish!G:G)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LOOKUP([2]use_fish!B55,[2]base_fish!A:A,[2]base_fish!C:C)+_xlfn.IFNA(INDEX([2]activity!F:F,MATCH([2]use_fish!C55,[2]activity!A:A,0)),0)</f>
        <v>55</v>
      </c>
      <c r="F55" s="39">
        <f t="shared" si="13"/>
        <v>1.8181818181818181E-2</v>
      </c>
      <c r="G55" s="39" t="s">
        <v>17</v>
      </c>
      <c r="H55" s="40" t="str">
        <f>INDEX([2]base_fish!E:E,MATCH([2]use_fish!B55,[2]base_fish!A:A,0))&amp;_xlfn.IFNA("+"&amp;INDEX([2]activity!G:G,MATCH([2]use_fish!C55,[2]activity!A:A,0)),"")</f>
        <v>巨大小丑鱼+炸弹</v>
      </c>
      <c r="I55" s="39">
        <f>LOOKUP([2]use_fish!B55,[2]base_fish!A:A,[2]base_fish!F:F)+_xlfn.IFNA(INDEX([2]activity!F:F,MATCH([2]use_fish!C55,[2]activity!A:A,0)),0)</f>
        <v>55</v>
      </c>
      <c r="J55" s="41">
        <v>1</v>
      </c>
      <c r="K55" s="41">
        <f>LOOKUP([2]use_fish!B55,[2]base_fish!A:A,[2]base_fish!G:G)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LOOKUP([2]use_fish!B56,[2]base_fish!A:A,[2]base_fish!C:C)+_xlfn.IFNA(INDEX([2]activity!F:F,MATCH([2]use_fish!C56,[2]activity!A:A,0)),0)</f>
        <v>60</v>
      </c>
      <c r="F56" s="39">
        <f t="shared" si="13"/>
        <v>1.6666666666666666E-2</v>
      </c>
      <c r="G56" s="39" t="s">
        <v>17</v>
      </c>
      <c r="H56" s="40" t="str">
        <f>INDEX([2]base_fish!E:E,MATCH([2]use_fish!B56,[2]base_fish!A:A,0))&amp;_xlfn.IFNA("+"&amp;INDEX([2]activity!G:G,MATCH([2]use_fish!C56,[2]activity!A:A,0)),"")</f>
        <v>巨大灯笼鱼+炸弹</v>
      </c>
      <c r="I56" s="39">
        <f>LOOKUP([2]use_fish!B56,[2]base_fish!A:A,[2]base_fish!F:F)+_xlfn.IFNA(INDEX([2]activity!F:F,MATCH([2]use_fish!C56,[2]activity!A:A,0)),0)</f>
        <v>60</v>
      </c>
      <c r="J56" s="41">
        <v>1</v>
      </c>
      <c r="K56" s="41">
        <f>LOOKUP([2]use_fish!B56,[2]base_fish!A:A,[2]base_fish!G:G)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LOOKUP([2]use_fish!B57,[2]base_fish!A:A,[2]base_fish!C:C)+_xlfn.IFNA(INDEX([2]activity!F:F,MATCH([2]use_fish!C57,[2]activity!A:A,0)),0)</f>
        <v>65</v>
      </c>
      <c r="F57" s="39">
        <f t="shared" si="13"/>
        <v>1.5384615384615385E-2</v>
      </c>
      <c r="G57" s="39" t="s">
        <v>17</v>
      </c>
      <c r="H57" s="40" t="str">
        <f>INDEX([2]base_fish!E:E,MATCH([2]use_fish!B57,[2]base_fish!A:A,0))&amp;_xlfn.IFNA("+"&amp;INDEX([2]activity!G:G,MATCH([2]use_fish!C57,[2]activity!A:A,0)),"")</f>
        <v>巨大燕鱼+炸弹</v>
      </c>
      <c r="I57" s="39">
        <f>LOOKUP([2]use_fish!B57,[2]base_fish!A:A,[2]base_fish!F:F)+_xlfn.IFNA(INDEX([2]activity!F:F,MATCH([2]use_fish!C57,[2]activity!A:A,0)),0)</f>
        <v>65</v>
      </c>
      <c r="J57" s="41">
        <v>1</v>
      </c>
      <c r="K57" s="41">
        <f>LOOKUP([2]use_fish!B57,[2]base_fish!A:A,[2]base_fish!G:G)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LOOKUP([2]use_fish!B58,[2]base_fish!A:A,[2]base_fish!C:C)+_xlfn.IFNA(INDEX([2]activity!F:F,MATCH([2]use_fish!C58,[2]activity!A:A,0)),0)</f>
        <v>70</v>
      </c>
      <c r="F58" s="39">
        <f t="shared" si="13"/>
        <v>1.4285714285714285E-2</v>
      </c>
      <c r="G58" s="39" t="s">
        <v>17</v>
      </c>
      <c r="H58" s="40" t="str">
        <f>INDEX([2]base_fish!E:E,MATCH([2]use_fish!B58,[2]base_fish!A:A,0))&amp;_xlfn.IFNA("+"&amp;INDEX([2]activity!G:G,MATCH([2]use_fish!C58,[2]activity!A:A,0)),"")</f>
        <v>魔鬼鱼+炸弹</v>
      </c>
      <c r="I58" s="39">
        <f>LOOKUP([2]use_fish!B58,[2]base_fish!A:A,[2]base_fish!F:F)+_xlfn.IFNA(INDEX([2]activity!F:F,MATCH([2]use_fish!C58,[2]activity!A:A,0)),0)</f>
        <v>70</v>
      </c>
      <c r="J58" s="41">
        <v>1</v>
      </c>
      <c r="K58" s="41">
        <f>LOOKUP([2]use_fish!B58,[2]base_fish!A:A,[2]base_fish!G:G)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LOOKUP([2]use_fish!B59,[2]base_fish!A:A,[2]base_fish!C:C)+_xlfn.IFNA(INDEX([2]activity!F:F,MATCH([2]use_fish!C59,[2]activity!A:A,0)),0)</f>
        <v>90</v>
      </c>
      <c r="F59" s="39">
        <f t="shared" si="13"/>
        <v>1.1111111111111112E-2</v>
      </c>
      <c r="G59" s="39" t="s">
        <v>17</v>
      </c>
      <c r="H59" s="40" t="str">
        <f>INDEX([2]base_fish!E:E,MATCH([2]use_fish!B59,[2]base_fish!A:A,0))&amp;_xlfn.IFNA("+"&amp;INDEX([2]activity!G:G,MATCH([2]use_fish!C59,[2]activity!A:A,0)),"")</f>
        <v>虎鲸+炸弹</v>
      </c>
      <c r="I59" s="39">
        <f>LOOKUP([2]use_fish!B59,[2]base_fish!A:A,[2]base_fish!F:F)+_xlfn.IFNA(INDEX([2]activity!F:F,MATCH([2]use_fish!C59,[2]activity!A:A,0)),0)</f>
        <v>90</v>
      </c>
      <c r="J59" s="41">
        <v>1</v>
      </c>
      <c r="K59" s="41">
        <f>LOOKUP([2]use_fish!B59,[2]base_fish!A:A,[2]base_fish!G:G)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379</v>
      </c>
      <c r="E60" s="19">
        <v>93</v>
      </c>
      <c r="F60" s="19">
        <f t="shared" si="13"/>
        <v>1.0752688172043012E-2</v>
      </c>
      <c r="G60" s="19" t="s">
        <v>17</v>
      </c>
      <c r="H60" s="20" t="str">
        <f>INDEX([2]base_fish!E:E,MATCH([2]use_fish!B60,[2]base_fish!A:A,0))&amp;_xlfn.IFNA("+"&amp;INDEX([2]activity!G:G,MATCH([2]use_fish!C60,[2]activity!A:A,0)),"")</f>
        <v>黄金灯笼鱼+炸弹</v>
      </c>
      <c r="I60" s="19">
        <f>LOOKUP([2]use_fish!B60,[2]base_fish!A:A,[2]base_fish!F:F)+_xlfn.IFNA(INDEX([2]activity!F:F,MATCH([2]use_fish!C60,[2]activity!A:A,0)),0)</f>
        <v>90</v>
      </c>
      <c r="J60" s="21">
        <v>1</v>
      </c>
      <c r="K60" s="21">
        <f>LOOKUP([2]use_fish!B60,[2]base_fish!A:A,[2]base_fish!G:G)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380</v>
      </c>
      <c r="E61" s="19">
        <v>93</v>
      </c>
      <c r="F61" s="19">
        <f t="shared" si="13"/>
        <v>1.0752688172043012E-2</v>
      </c>
      <c r="G61" s="19" t="s">
        <v>17</v>
      </c>
      <c r="H61" s="20" t="str">
        <f>INDEX([2]base_fish!E:E,MATCH([2]use_fish!B61,[2]base_fish!A:A,0))&amp;_xlfn.IFNA("+"&amp;INDEX([2]activity!G:G,MATCH([2]use_fish!C61,[2]activity!A:A,0)),"")</f>
        <v>黄金狮子鱼+炸弹</v>
      </c>
      <c r="I61" s="19">
        <f>LOOKUP([2]use_fish!B61,[2]base_fish!A:A,[2]base_fish!F:F)+_xlfn.IFNA(INDEX([2]activity!F:F,MATCH([2]use_fish!C61,[2]activity!A:A,0)),0)</f>
        <v>90</v>
      </c>
      <c r="J61" s="21">
        <v>1</v>
      </c>
      <c r="K61" s="21">
        <f>LOOKUP([2]use_fish!B61,[2]base_fish!A:A,[2]base_fish!G:G)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381</v>
      </c>
      <c r="E62" s="19">
        <v>135</v>
      </c>
      <c r="F62" s="19">
        <f t="shared" si="13"/>
        <v>7.4074074074074077E-3</v>
      </c>
      <c r="G62" s="19" t="s">
        <v>17</v>
      </c>
      <c r="H62" s="20" t="str">
        <f>INDEX([2]base_fish!E:E,MATCH([2]use_fish!B62,[2]base_fish!A:A,0))&amp;_xlfn.IFNA("+"&amp;INDEX([2]activity!G:G,MATCH([2]use_fish!C62,[2]activity!A:A,0)),"")</f>
        <v>黄金海龟+炸弹</v>
      </c>
      <c r="I62" s="19">
        <f>LOOKUP([2]use_fish!B62,[2]base_fish!A:A,[2]base_fish!F:F)+_xlfn.IFNA(INDEX([2]activity!F:F,MATCH([2]use_fish!C62,[2]activity!A:A,0)),0)</f>
        <v>90</v>
      </c>
      <c r="J62" s="21">
        <v>1</v>
      </c>
      <c r="K62" s="21">
        <f>LOOKUP([2]use_fish!B62,[2]base_fish!A:A,[2]base_fish!G:G)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382</v>
      </c>
      <c r="E63" s="19">
        <v>114</v>
      </c>
      <c r="F63" s="19">
        <f t="shared" si="13"/>
        <v>8.771929824561403E-3</v>
      </c>
      <c r="G63" s="19" t="s">
        <v>17</v>
      </c>
      <c r="H63" s="20" t="str">
        <f>INDEX([2]base_fish!E:E,MATCH([2]use_fish!B63,[2]base_fish!A:A,0))&amp;_xlfn.IFNA("+"&amp;INDEX([2]activity!G:G,MATCH([2]use_fish!C63,[2]activity!A:A,0)),"")</f>
        <v>金蟾+炸弹</v>
      </c>
      <c r="I63" s="19">
        <f>LOOKUP([2]use_fish!B63,[2]base_fish!A:A,[2]base_fish!F:F)+_xlfn.IFNA(INDEX([2]activity!F:F,MATCH([2]use_fish!C63,[2]activity!A:A,0)),0)</f>
        <v>110</v>
      </c>
      <c r="J63" s="21">
        <v>1</v>
      </c>
      <c r="K63" s="21">
        <f>LOOKUP([2]use_fish!B63,[2]base_fish!A:A,[2]base_fish!G:G)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379</v>
      </c>
      <c r="E64" s="19">
        <v>135</v>
      </c>
      <c r="F64" s="19">
        <f t="shared" si="13"/>
        <v>7.4074074074074077E-3</v>
      </c>
      <c r="G64" s="19" t="s">
        <v>17</v>
      </c>
      <c r="H64" s="20" t="str">
        <f>INDEX([2]base_fish!E:E,MATCH([2]use_fish!B64,[2]base_fish!A:A,0))&amp;_xlfn.IFNA("+"&amp;INDEX([2]activity!G:G,MATCH([2]use_fish!C64,[2]activity!A:A,0)),"")</f>
        <v>大金鲨+炸弹</v>
      </c>
      <c r="I64" s="19">
        <f>LOOKUP([2]use_fish!B64,[2]base_fish!A:A,[2]base_fish!F:F)+_xlfn.IFNA(INDEX([2]activity!F:F,MATCH([2]use_fish!C64,[2]activity!A:A,0)),0)</f>
        <v>130</v>
      </c>
      <c r="J64" s="21">
        <v>1</v>
      </c>
      <c r="K64" s="21">
        <f>LOOKUP([2]use_fish!B64,[2]base_fish!A:A,[2]base_fish!G:G)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380</v>
      </c>
      <c r="E65" s="19">
        <v>135</v>
      </c>
      <c r="F65" s="19">
        <f t="shared" si="13"/>
        <v>7.4074074074074077E-3</v>
      </c>
      <c r="G65" s="19" t="s">
        <v>17</v>
      </c>
      <c r="H65" s="20" t="str">
        <f>INDEX([2]base_fish!E:E,MATCH([2]use_fish!B65,[2]base_fish!A:A,0))&amp;_xlfn.IFNA("+"&amp;INDEX([2]activity!G:G,MATCH([2]use_fish!C65,[2]activity!A:A,0)),"")</f>
        <v>黄金锤头鲨+炸弹</v>
      </c>
      <c r="I65" s="19">
        <f>LOOKUP([2]use_fish!B65,[2]base_fish!A:A,[2]base_fish!F:F)+_xlfn.IFNA(INDEX([2]activity!F:F,MATCH([2]use_fish!C65,[2]activity!A:A,0)),0)</f>
        <v>130</v>
      </c>
      <c r="J65" s="21">
        <v>1</v>
      </c>
      <c r="K65" s="21">
        <f>LOOKUP([2]use_fish!B65,[2]base_fish!A:A,[2]base_fish!G:G)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LOOKUP([2]use_fish!B66,[2]base_fish!A:A,[2]base_fish!C:C)+_xlfn.IFNA(INDEX([2]activity!F:F,MATCH([2]use_fish!C66,[2]activity!A:A,0)),0)</f>
        <v>65</v>
      </c>
      <c r="F66" s="27">
        <f t="shared" si="13"/>
        <v>1.5384615384615385E-2</v>
      </c>
      <c r="G66" s="27" t="s">
        <v>17</v>
      </c>
      <c r="H66" s="28" t="str">
        <f>INDEX([2]base_fish!E:E,MATCH([2]use_fish!B66,[2]base_fish!A:A,0))&amp;_xlfn.IFNA("+"&amp;INDEX([2]activity!G:G,MATCH([2]use_fish!C66,[2]activity!A:A,0)),"")</f>
        <v>小海龟+闪电</v>
      </c>
      <c r="I66" s="27">
        <f>LOOKUP([2]use_fish!B66,[2]base_fish!A:A,[2]base_fish!F:F)+_xlfn.IFNA(INDEX([2]activity!F:F,MATCH([2]use_fish!C66,[2]activity!A:A,0)),0)</f>
        <v>65</v>
      </c>
      <c r="J66" s="29">
        <v>1</v>
      </c>
      <c r="K66" s="29">
        <f>LOOKUP([2]use_fish!B66,[2]base_fish!A:A,[2]base_fish!G:G)</f>
        <v>0</v>
      </c>
      <c r="L66" s="29">
        <f t="shared" si="14"/>
        <v>65</v>
      </c>
      <c r="M66" s="29">
        <v>1</v>
      </c>
      <c r="N66" s="29">
        <f t="shared" ref="N66:N71" si="16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LOOKUP([2]use_fish!B67,[2]base_fish!A:A,[2]base_fish!C:C)+_xlfn.IFNA(INDEX([2]activity!F:F,MATCH([2]use_fish!C67,[2]activity!A:A,0)),0)</f>
        <v>68</v>
      </c>
      <c r="F67" s="39">
        <f t="shared" si="13"/>
        <v>1.4705882352941176E-2</v>
      </c>
      <c r="G67" s="39" t="s">
        <v>17</v>
      </c>
      <c r="H67" s="40" t="str">
        <f>INDEX([2]base_fish!E:E,MATCH([2]use_fish!B67,[2]base_fish!A:A,0))&amp;_xlfn.IFNA("+"&amp;INDEX([2]activity!G:G,MATCH([2]use_fish!C67,[2]activity!A:A,0)),"")</f>
        <v>狮子鱼+闪电</v>
      </c>
      <c r="I67" s="39">
        <f>LOOKUP([2]use_fish!B67,[2]base_fish!A:A,[2]base_fish!F:F)+_xlfn.IFNA(INDEX([2]activity!F:F,MATCH([2]use_fish!C67,[2]activity!A:A,0)),0)</f>
        <v>68</v>
      </c>
      <c r="J67" s="41">
        <v>1</v>
      </c>
      <c r="K67" s="41">
        <f>LOOKUP([2]use_fish!B67,[2]base_fish!A:A,[2]base_fish!G:G)</f>
        <v>0</v>
      </c>
      <c r="L67" s="41">
        <f t="shared" si="14"/>
        <v>68</v>
      </c>
      <c r="M67" s="41">
        <v>1</v>
      </c>
      <c r="N67" s="41">
        <f t="shared" si="16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LOOKUP([2]use_fish!B68,[2]base_fish!A:A,[2]base_fish!C:C)+_xlfn.IFNA(INDEX([2]activity!F:F,MATCH([2]use_fish!C68,[2]activity!A:A,0)),0)</f>
        <v>70</v>
      </c>
      <c r="F68" s="39">
        <f t="shared" si="13"/>
        <v>1.4285714285714285E-2</v>
      </c>
      <c r="G68" s="39" t="s">
        <v>17</v>
      </c>
      <c r="H68" s="40" t="str">
        <f>INDEX([2]base_fish!E:E,MATCH([2]use_fish!B68,[2]base_fish!A:A,0))&amp;_xlfn.IFNA("+"&amp;INDEX([2]activity!G:G,MATCH([2]use_fish!C68,[2]activity!A:A,0)),"")</f>
        <v>蝴蝶鱼+闪电</v>
      </c>
      <c r="I68" s="39">
        <f>LOOKUP([2]use_fish!B68,[2]base_fish!A:A,[2]base_fish!F:F)+_xlfn.IFNA(INDEX([2]activity!F:F,MATCH([2]use_fish!C68,[2]activity!A:A,0)),0)</f>
        <v>70</v>
      </c>
      <c r="J68" s="41">
        <v>1</v>
      </c>
      <c r="K68" s="41">
        <f>LOOKUP([2]use_fish!B68,[2]base_fish!A:A,[2]base_fish!G:G)</f>
        <v>0</v>
      </c>
      <c r="L68" s="41">
        <f t="shared" si="14"/>
        <v>70</v>
      </c>
      <c r="M68" s="41">
        <v>1</v>
      </c>
      <c r="N68" s="41">
        <f t="shared" si="16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LOOKUP([2]use_fish!B69,[2]base_fish!A:A,[2]base_fish!C:C)+_xlfn.IFNA(INDEX([2]activity!F:F,MATCH([2]use_fish!C69,[2]activity!A:A,0)),0)</f>
        <v>75</v>
      </c>
      <c r="F69" s="39">
        <f t="shared" si="13"/>
        <v>1.3333333333333334E-2</v>
      </c>
      <c r="G69" s="39" t="s">
        <v>17</v>
      </c>
      <c r="H69" s="40" t="str">
        <f>INDEX([2]base_fish!E:E,MATCH([2]use_fish!B69,[2]base_fish!A:A,0))&amp;_xlfn.IFNA("+"&amp;INDEX([2]activity!G:G,MATCH([2]use_fish!C69,[2]activity!A:A,0)),"")</f>
        <v>巨大小丑鱼+闪电</v>
      </c>
      <c r="I69" s="39">
        <f>LOOKUP([2]use_fish!B69,[2]base_fish!A:A,[2]base_fish!F:F)+_xlfn.IFNA(INDEX([2]activity!F:F,MATCH([2]use_fish!C69,[2]activity!A:A,0)),0)</f>
        <v>75</v>
      </c>
      <c r="J69" s="41">
        <v>1</v>
      </c>
      <c r="K69" s="41">
        <f>LOOKUP([2]use_fish!B69,[2]base_fish!A:A,[2]base_fish!G:G)</f>
        <v>0</v>
      </c>
      <c r="L69" s="41">
        <f t="shared" si="14"/>
        <v>75</v>
      </c>
      <c r="M69" s="41">
        <v>1</v>
      </c>
      <c r="N69" s="41">
        <f t="shared" si="16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LOOKUP([2]use_fish!B70,[2]base_fish!A:A,[2]base_fish!C:C)+_xlfn.IFNA(INDEX([2]activity!F:F,MATCH([2]use_fish!C70,[2]activity!A:A,0)),0)</f>
        <v>80</v>
      </c>
      <c r="F70" s="39">
        <f t="shared" si="13"/>
        <v>1.2500000000000001E-2</v>
      </c>
      <c r="G70" s="39" t="s">
        <v>17</v>
      </c>
      <c r="H70" s="40" t="str">
        <f>INDEX([2]base_fish!E:E,MATCH([2]use_fish!B70,[2]base_fish!A:A,0))&amp;_xlfn.IFNA("+"&amp;INDEX([2]activity!G:G,MATCH([2]use_fish!C70,[2]activity!A:A,0)),"")</f>
        <v>巨大灯笼鱼+闪电</v>
      </c>
      <c r="I70" s="39">
        <f>LOOKUP([2]use_fish!B70,[2]base_fish!A:A,[2]base_fish!F:F)+_xlfn.IFNA(INDEX([2]activity!F:F,MATCH([2]use_fish!C70,[2]activity!A:A,0)),0)</f>
        <v>80</v>
      </c>
      <c r="J70" s="41">
        <v>1</v>
      </c>
      <c r="K70" s="41">
        <f>LOOKUP([2]use_fish!B70,[2]base_fish!A:A,[2]base_fish!G:G)</f>
        <v>0</v>
      </c>
      <c r="L70" s="41">
        <f t="shared" si="14"/>
        <v>80</v>
      </c>
      <c r="M70" s="41">
        <v>1</v>
      </c>
      <c r="N70" s="41">
        <f t="shared" si="16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LOOKUP([2]use_fish!B71,[2]base_fish!A:A,[2]base_fish!C:C)+_xlfn.IFNA(INDEX([2]activity!F:F,MATCH([2]use_fish!C71,[2]activity!A:A,0)),0)</f>
        <v>85</v>
      </c>
      <c r="F71" s="39">
        <f t="shared" si="13"/>
        <v>1.1764705882352941E-2</v>
      </c>
      <c r="G71" s="39" t="s">
        <v>17</v>
      </c>
      <c r="H71" s="40" t="str">
        <f>INDEX([2]base_fish!E:E,MATCH([2]use_fish!B71,[2]base_fish!A:A,0))&amp;_xlfn.IFNA("+"&amp;INDEX([2]activity!G:G,MATCH([2]use_fish!C71,[2]activity!A:A,0)),"")</f>
        <v>巨大燕鱼+闪电</v>
      </c>
      <c r="I71" s="39">
        <f>LOOKUP([2]use_fish!B71,[2]base_fish!A:A,[2]base_fish!F:F)+_xlfn.IFNA(INDEX([2]activity!F:F,MATCH([2]use_fish!C71,[2]activity!A:A,0)),0)</f>
        <v>85</v>
      </c>
      <c r="J71" s="41">
        <v>1</v>
      </c>
      <c r="K71" s="41">
        <f>LOOKUP([2]use_fish!B71,[2]base_fish!A:A,[2]base_fish!G:G)</f>
        <v>0</v>
      </c>
      <c r="L71" s="41">
        <f t="shared" si="14"/>
        <v>85</v>
      </c>
      <c r="M71" s="41">
        <v>1</v>
      </c>
      <c r="N71" s="41">
        <f t="shared" si="16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LOOKUP([2]use_fish!B72,[2]base_fish!A:A,[2]base_fish!C:C)+_xlfn.IFNA(INDEX([2]activity!F:F,MATCH([2]use_fish!C72,[2]activity!A:A,0)),0)</f>
        <v>90</v>
      </c>
      <c r="F72" s="39">
        <f t="shared" si="13"/>
        <v>1.1111111111111112E-2</v>
      </c>
      <c r="G72" s="39" t="s">
        <v>17</v>
      </c>
      <c r="H72" s="40" t="str">
        <f>INDEX([2]base_fish!E:E,MATCH([2]use_fish!B72,[2]base_fish!A:A,0))&amp;_xlfn.IFNA("+"&amp;INDEX([2]activity!G:G,MATCH([2]use_fish!C72,[2]activity!A:A,0)),"")</f>
        <v>魔鬼鱼+闪电</v>
      </c>
      <c r="I72" s="39">
        <f>LOOKUP([2]use_fish!B72,[2]base_fish!A:A,[2]base_fish!F:F)+_xlfn.IFNA(INDEX([2]activity!F:F,MATCH([2]use_fish!C72,[2]activity!A:A,0)),0)</f>
        <v>90</v>
      </c>
      <c r="J72" s="41">
        <v>1</v>
      </c>
      <c r="K72" s="41">
        <f>LOOKUP([2]use_fish!B72,[2]base_fish!A:A,[2]base_fish!G:G)</f>
        <v>0</v>
      </c>
      <c r="L72" s="41">
        <f t="shared" si="14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LOOKUP([2]use_fish!B73,[2]base_fish!A:A,[2]base_fish!C:C)+_xlfn.IFNA(INDEX([2]activity!F:F,MATCH([2]use_fish!C73,[2]activity!A:A,0)),0)</f>
        <v>110</v>
      </c>
      <c r="F73" s="39">
        <f t="shared" si="13"/>
        <v>9.0909090909090905E-3</v>
      </c>
      <c r="G73" s="39" t="s">
        <v>17</v>
      </c>
      <c r="H73" s="40" t="str">
        <f>INDEX([2]base_fish!E:E,MATCH([2]use_fish!B73,[2]base_fish!A:A,0))&amp;_xlfn.IFNA("+"&amp;INDEX([2]activity!G:G,MATCH([2]use_fish!C73,[2]activity!A:A,0)),"")</f>
        <v>虎鲸+闪电</v>
      </c>
      <c r="I73" s="39">
        <f>LOOKUP([2]use_fish!B73,[2]base_fish!A:A,[2]base_fish!F:F)+_xlfn.IFNA(INDEX([2]activity!F:F,MATCH([2]use_fish!C73,[2]activity!A:A,0)),0)</f>
        <v>110</v>
      </c>
      <c r="J73" s="41">
        <v>1</v>
      </c>
      <c r="K73" s="41">
        <f>LOOKUP([2]use_fish!B73,[2]base_fish!A:A,[2]base_fish!G:G)</f>
        <v>0</v>
      </c>
      <c r="L73" s="41">
        <f t="shared" si="14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379</v>
      </c>
      <c r="E74" s="19">
        <v>113</v>
      </c>
      <c r="F74" s="19">
        <f t="shared" si="13"/>
        <v>8.8495575221238937E-3</v>
      </c>
      <c r="G74" s="19" t="s">
        <v>17</v>
      </c>
      <c r="H74" s="20" t="str">
        <f>INDEX([2]base_fish!E:E,MATCH([2]use_fish!B74,[2]base_fish!A:A,0))&amp;_xlfn.IFNA("+"&amp;INDEX([2]activity!G:G,MATCH([2]use_fish!C74,[2]activity!A:A,0)),"")</f>
        <v>黄金灯笼鱼+闪电</v>
      </c>
      <c r="I74" s="19">
        <f>LOOKUP([2]use_fish!B74,[2]base_fish!A:A,[2]base_fish!F:F)+_xlfn.IFNA(INDEX([2]activity!F:F,MATCH([2]use_fish!C74,[2]activity!A:A,0)),0)</f>
        <v>110</v>
      </c>
      <c r="J74" s="21">
        <v>1</v>
      </c>
      <c r="K74" s="21">
        <f>LOOKUP([2]use_fish!B74,[2]base_fish!A:A,[2]base_fish!G:G)</f>
        <v>0</v>
      </c>
      <c r="L74" s="21">
        <f t="shared" si="14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380</v>
      </c>
      <c r="E75" s="19">
        <v>113</v>
      </c>
      <c r="F75" s="19">
        <f t="shared" si="13"/>
        <v>8.8495575221238937E-3</v>
      </c>
      <c r="G75" s="19" t="s">
        <v>17</v>
      </c>
      <c r="H75" s="20" t="str">
        <f>INDEX([2]base_fish!E:E,MATCH([2]use_fish!B75,[2]base_fish!A:A,0))&amp;_xlfn.IFNA("+"&amp;INDEX([2]activity!G:G,MATCH([2]use_fish!C75,[2]activity!A:A,0)),"")</f>
        <v>黄金狮子鱼+闪电</v>
      </c>
      <c r="I75" s="19">
        <f>LOOKUP([2]use_fish!B75,[2]base_fish!A:A,[2]base_fish!F:F)+_xlfn.IFNA(INDEX([2]activity!F:F,MATCH([2]use_fish!C75,[2]activity!A:A,0)),0)</f>
        <v>110</v>
      </c>
      <c r="J75" s="21">
        <v>1</v>
      </c>
      <c r="K75" s="21">
        <f>LOOKUP([2]use_fish!B75,[2]base_fish!A:A,[2]base_fish!G:G)</f>
        <v>0</v>
      </c>
      <c r="L75" s="21">
        <f t="shared" si="14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383</v>
      </c>
      <c r="E76" s="19">
        <v>155</v>
      </c>
      <c r="F76" s="19">
        <f t="shared" si="13"/>
        <v>6.4516129032258064E-3</v>
      </c>
      <c r="G76" s="19" t="s">
        <v>17</v>
      </c>
      <c r="H76" s="20" t="str">
        <f>INDEX([2]base_fish!E:E,MATCH([2]use_fish!B76,[2]base_fish!A:A,0))&amp;_xlfn.IFNA("+"&amp;INDEX([2]activity!G:G,MATCH([2]use_fish!C76,[2]activity!A:A,0)),"")</f>
        <v>黄金海龟+闪电</v>
      </c>
      <c r="I76" s="19">
        <f>LOOKUP([2]use_fish!B76,[2]base_fish!A:A,[2]base_fish!F:F)+_xlfn.IFNA(INDEX([2]activity!F:F,MATCH([2]use_fish!C76,[2]activity!A:A,0)),0)</f>
        <v>110</v>
      </c>
      <c r="J76" s="21">
        <v>1</v>
      </c>
      <c r="K76" s="21">
        <f>LOOKUP([2]use_fish!B76,[2]base_fish!A:A,[2]base_fish!G:G)</f>
        <v>0</v>
      </c>
      <c r="L76" s="21">
        <f t="shared" si="14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384</v>
      </c>
      <c r="E77" s="19">
        <v>134</v>
      </c>
      <c r="F77" s="19">
        <f t="shared" si="13"/>
        <v>7.462686567164179E-3</v>
      </c>
      <c r="G77" s="19" t="s">
        <v>17</v>
      </c>
      <c r="H77" s="20" t="str">
        <f>INDEX([2]base_fish!E:E,MATCH([2]use_fish!B77,[2]base_fish!A:A,0))&amp;_xlfn.IFNA("+"&amp;INDEX([2]activity!G:G,MATCH([2]use_fish!C77,[2]activity!A:A,0)),"")</f>
        <v>金蟾+闪电</v>
      </c>
      <c r="I77" s="19">
        <f>LOOKUP([2]use_fish!B77,[2]base_fish!A:A,[2]base_fish!F:F)+_xlfn.IFNA(INDEX([2]activity!F:F,MATCH([2]use_fish!C77,[2]activity!A:A,0)),0)</f>
        <v>130</v>
      </c>
      <c r="J77" s="21">
        <v>1</v>
      </c>
      <c r="K77" s="21">
        <f>LOOKUP([2]use_fish!B77,[2]base_fish!A:A,[2]base_fish!G:G)</f>
        <v>0</v>
      </c>
      <c r="L77" s="21">
        <f t="shared" si="14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379</v>
      </c>
      <c r="E78" s="19">
        <v>155</v>
      </c>
      <c r="F78" s="19">
        <f t="shared" si="13"/>
        <v>6.4516129032258064E-3</v>
      </c>
      <c r="G78" s="19" t="s">
        <v>17</v>
      </c>
      <c r="H78" s="20" t="str">
        <f>INDEX([2]base_fish!E:E,MATCH([2]use_fish!B78,[2]base_fish!A:A,0))&amp;_xlfn.IFNA("+"&amp;INDEX([2]activity!G:G,MATCH([2]use_fish!C78,[2]activity!A:A,0)),"")</f>
        <v>大金鲨+闪电</v>
      </c>
      <c r="I78" s="19">
        <f>LOOKUP([2]use_fish!B78,[2]base_fish!A:A,[2]base_fish!F:F)+_xlfn.IFNA(INDEX([2]activity!F:F,MATCH([2]use_fish!C78,[2]activity!A:A,0)),0)</f>
        <v>150</v>
      </c>
      <c r="J78" s="21">
        <v>1</v>
      </c>
      <c r="K78" s="21">
        <f>LOOKUP([2]use_fish!B78,[2]base_fish!A:A,[2]base_fish!G:G)</f>
        <v>0</v>
      </c>
      <c r="L78" s="21">
        <f t="shared" si="14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385</v>
      </c>
      <c r="E79" s="19">
        <v>155</v>
      </c>
      <c r="F79" s="19">
        <f t="shared" si="13"/>
        <v>6.4516129032258064E-3</v>
      </c>
      <c r="G79" s="19" t="s">
        <v>17</v>
      </c>
      <c r="H79" s="20" t="str">
        <f>INDEX([2]base_fish!E:E,MATCH([2]use_fish!B79,[2]base_fish!A:A,0))&amp;_xlfn.IFNA("+"&amp;INDEX([2]activity!G:G,MATCH([2]use_fish!C79,[2]activity!A:A,0)),"")</f>
        <v>黄金锤头鲨+闪电</v>
      </c>
      <c r="I79" s="19">
        <f>LOOKUP([2]use_fish!B79,[2]base_fish!A:A,[2]base_fish!F:F)+_xlfn.IFNA(INDEX([2]activity!F:F,MATCH([2]use_fish!C79,[2]activity!A:A,0)),0)</f>
        <v>150</v>
      </c>
      <c r="J79" s="21">
        <v>1</v>
      </c>
      <c r="K79" s="21">
        <f>LOOKUP([2]use_fish!B79,[2]base_fish!A:A,[2]base_fish!G:G)</f>
        <v>0</v>
      </c>
      <c r="L79" s="21">
        <f t="shared" si="14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opLeftCell="A22" workbookViewId="0">
      <selection activeCell="A43" sqref="A43:XFD4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362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363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367</v>
      </c>
      <c r="D26" s="4">
        <v>0</v>
      </c>
      <c r="E26" s="4">
        <v>0</v>
      </c>
      <c r="F26">
        <v>5</v>
      </c>
      <c r="G26" t="s">
        <v>368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369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330</v>
      </c>
      <c r="D29" s="4">
        <v>0</v>
      </c>
      <c r="E29" s="4">
        <v>0</v>
      </c>
      <c r="F29">
        <v>100</v>
      </c>
      <c r="G29" t="s">
        <v>331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341</v>
      </c>
      <c r="D34" s="4">
        <v>0</v>
      </c>
      <c r="E34" s="4">
        <v>0</v>
      </c>
      <c r="F34">
        <v>300</v>
      </c>
      <c r="G34" t="s">
        <v>342</v>
      </c>
    </row>
    <row r="35" spans="1:7" x14ac:dyDescent="0.2">
      <c r="A35">
        <v>34</v>
      </c>
      <c r="B35">
        <v>30</v>
      </c>
      <c r="C35" s="11" t="s">
        <v>358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361</v>
      </c>
      <c r="D38" s="4">
        <v>0</v>
      </c>
      <c r="E38" s="4">
        <v>0</v>
      </c>
      <c r="F38">
        <v>200</v>
      </c>
      <c r="G38" t="s">
        <v>344</v>
      </c>
    </row>
    <row r="39" spans="1:7" x14ac:dyDescent="0.2">
      <c r="A39">
        <v>38</v>
      </c>
      <c r="B39">
        <v>38</v>
      </c>
      <c r="C39" t="s">
        <v>345</v>
      </c>
      <c r="D39" s="4">
        <v>0</v>
      </c>
      <c r="E39" s="4">
        <v>0</v>
      </c>
      <c r="F39">
        <v>250</v>
      </c>
      <c r="G39" t="s">
        <v>337</v>
      </c>
    </row>
    <row r="40" spans="1:7" x14ac:dyDescent="0.2">
      <c r="A40">
        <v>39</v>
      </c>
      <c r="B40">
        <v>39</v>
      </c>
      <c r="C40" t="s">
        <v>335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373</v>
      </c>
      <c r="D41" s="4">
        <v>0</v>
      </c>
      <c r="E41" s="4">
        <v>0</v>
      </c>
      <c r="F41">
        <v>2</v>
      </c>
      <c r="G41" t="s">
        <v>374</v>
      </c>
    </row>
    <row r="42" spans="1:7" x14ac:dyDescent="0.2">
      <c r="A42">
        <v>41</v>
      </c>
      <c r="B42">
        <v>21</v>
      </c>
      <c r="C42" s="11" t="s">
        <v>376</v>
      </c>
      <c r="D42" s="4">
        <v>0</v>
      </c>
      <c r="E42" s="4">
        <v>0</v>
      </c>
      <c r="F42">
        <v>2</v>
      </c>
      <c r="G42" t="s">
        <v>375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377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340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2020-07-22T13:25:31Z</dcterms:modified>
</cp:coreProperties>
</file>