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5" activeTab="10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0" i="7" l="1"/>
  <c r="H40" i="7"/>
  <c r="I26" i="14"/>
  <c r="L26" i="14" s="1"/>
  <c r="E26" i="14"/>
  <c r="F26" i="14" s="1"/>
  <c r="K26" i="14"/>
  <c r="H26" i="14"/>
  <c r="L25" i="14"/>
  <c r="K25" i="14"/>
  <c r="H25" i="14"/>
  <c r="F26" i="1"/>
  <c r="D26" i="1"/>
  <c r="E39" i="14" l="1"/>
  <c r="F38" i="1"/>
  <c r="G36" i="5" l="1"/>
  <c r="F51" i="1" l="1"/>
  <c r="D51" i="1"/>
  <c r="I7" i="14" l="1"/>
  <c r="F7" i="14"/>
  <c r="F7" i="1"/>
  <c r="D7" i="1"/>
  <c r="J67" i="7" l="1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J4" i="7"/>
  <c r="J3" i="7"/>
  <c r="J2" i="7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7" i="14"/>
  <c r="E28" i="14"/>
  <c r="E29" i="14"/>
  <c r="E30" i="14"/>
  <c r="E31" i="14"/>
  <c r="E32" i="14"/>
  <c r="F39" i="1"/>
  <c r="F40" i="1"/>
  <c r="F41" i="1"/>
  <c r="F42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D24" i="1"/>
  <c r="F9" i="1"/>
  <c r="I9" i="14" s="1"/>
  <c r="F10" i="1"/>
  <c r="I10" i="14" s="1"/>
  <c r="L10" i="14" s="1"/>
  <c r="D9" i="1"/>
  <c r="D10" i="1"/>
  <c r="F24" i="14" l="1"/>
  <c r="L24" i="14"/>
  <c r="L9" i="14"/>
  <c r="F10" i="14"/>
  <c r="F9" i="14"/>
  <c r="D38" i="1"/>
  <c r="E8" i="14" l="1"/>
  <c r="F32" i="1" l="1"/>
  <c r="F33" i="1"/>
  <c r="F34" i="1"/>
  <c r="F36" i="1"/>
  <c r="F37" i="1"/>
  <c r="D37" i="1"/>
  <c r="D36" i="1" l="1"/>
  <c r="G32" i="5" l="1"/>
  <c r="H31" i="14" s="1"/>
  <c r="G30" i="5"/>
  <c r="H32" i="14" s="1"/>
  <c r="D35" i="1"/>
  <c r="D34" i="1"/>
  <c r="D28" i="1"/>
  <c r="D29" i="1"/>
  <c r="D30" i="1"/>
  <c r="D31" i="1"/>
  <c r="D32" i="1"/>
  <c r="D33" i="1"/>
  <c r="K50" i="14"/>
  <c r="E50" i="14"/>
  <c r="K49" i="14"/>
  <c r="E49" i="14"/>
  <c r="F49" i="14" s="1"/>
  <c r="K48" i="14"/>
  <c r="K47" i="14"/>
  <c r="E47" i="14"/>
  <c r="F47" i="14" s="1"/>
  <c r="K46" i="14"/>
  <c r="E46" i="14"/>
  <c r="F46" i="14" s="1"/>
  <c r="K45" i="14"/>
  <c r="E45" i="14"/>
  <c r="F45" i="14" s="1"/>
  <c r="K44" i="14"/>
  <c r="E44" i="14"/>
  <c r="F44" i="14" s="1"/>
  <c r="K43" i="14"/>
  <c r="E43" i="14"/>
  <c r="F43" i="14" s="1"/>
  <c r="K42" i="14"/>
  <c r="E42" i="14"/>
  <c r="F42" i="14" s="1"/>
  <c r="K41" i="14"/>
  <c r="E41" i="14"/>
  <c r="F41" i="14" s="1"/>
  <c r="K40" i="14"/>
  <c r="E40" i="14"/>
  <c r="F40" i="14" s="1"/>
  <c r="K39" i="14"/>
  <c r="F39" i="14"/>
  <c r="K38" i="14"/>
  <c r="E38" i="14"/>
  <c r="F38" i="14" s="1"/>
  <c r="K37" i="14"/>
  <c r="E37" i="14"/>
  <c r="F37" i="14" s="1"/>
  <c r="K36" i="14"/>
  <c r="E36" i="14"/>
  <c r="F36" i="14" s="1"/>
  <c r="K35" i="14"/>
  <c r="E35" i="14"/>
  <c r="F35" i="14" s="1"/>
  <c r="K34" i="14"/>
  <c r="E34" i="14"/>
  <c r="F34" i="14" s="1"/>
  <c r="K33" i="14"/>
  <c r="E33" i="14"/>
  <c r="F33" i="14" s="1"/>
  <c r="F8" i="1"/>
  <c r="D8" i="1"/>
  <c r="F8" i="14"/>
  <c r="F29" i="14"/>
  <c r="K29" i="14"/>
  <c r="F30" i="14"/>
  <c r="I30" i="14"/>
  <c r="L30" i="14" s="1"/>
  <c r="K30" i="14"/>
  <c r="F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K24" i="14"/>
  <c r="K27" i="14"/>
  <c r="F28" i="14"/>
  <c r="H28" i="14"/>
  <c r="K28" i="14"/>
  <c r="I29" i="14"/>
  <c r="L29" i="14" s="1"/>
  <c r="F31" i="1"/>
  <c r="I31" i="14" s="1"/>
  <c r="I32" i="14"/>
  <c r="G20" i="5"/>
  <c r="H27" i="14" s="1"/>
  <c r="G21" i="5"/>
  <c r="H48" i="14" s="1"/>
  <c r="G19" i="5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49" i="14" s="1"/>
  <c r="F15" i="1"/>
  <c r="I15" i="14" s="1"/>
  <c r="L15" i="14" s="1"/>
  <c r="I16" i="14"/>
  <c r="F17" i="1"/>
  <c r="I17" i="14" s="1"/>
  <c r="L17" i="14" s="1"/>
  <c r="F18" i="1"/>
  <c r="F19" i="1"/>
  <c r="I19" i="14" s="1"/>
  <c r="F20" i="1"/>
  <c r="E3" i="14"/>
  <c r="E4" i="14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13" i="14"/>
  <c r="H20" i="14" l="1"/>
  <c r="H30" i="14"/>
  <c r="L19" i="14"/>
  <c r="F50" i="14"/>
  <c r="I43" i="14"/>
  <c r="L43" i="14" s="1"/>
  <c r="I39" i="14"/>
  <c r="I20" i="14"/>
  <c r="I41" i="14"/>
  <c r="L41" i="14" s="1"/>
  <c r="I8" i="14"/>
  <c r="I2" i="14"/>
  <c r="I28" i="14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18" i="14"/>
  <c r="L18" i="14" s="1"/>
  <c r="I38" i="14"/>
  <c r="L38" i="14" s="1"/>
  <c r="I36" i="14"/>
  <c r="L36" i="14" s="1"/>
  <c r="I14" i="14"/>
  <c r="L14" i="14" s="1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50" i="14"/>
  <c r="I44" i="14"/>
  <c r="I37" i="14"/>
  <c r="I42" i="14"/>
  <c r="I34" i="14"/>
  <c r="L13" i="14"/>
  <c r="I46" i="14"/>
  <c r="I40" i="14"/>
  <c r="I33" i="14"/>
  <c r="I6" i="14"/>
  <c r="I3" i="14"/>
  <c r="I22" i="14"/>
  <c r="I21" i="14"/>
  <c r="L23" i="14" l="1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  <c r="H29" i="7" l="1"/>
  <c r="H31" i="7"/>
  <c r="H38" i="7"/>
  <c r="H43" i="7"/>
  <c r="H44" i="7"/>
  <c r="H45" i="7"/>
  <c r="H46" i="7"/>
  <c r="I38" i="7"/>
  <c r="I10" i="7" l="1"/>
  <c r="I9" i="7"/>
  <c r="H34" i="7"/>
  <c r="H42" i="7"/>
  <c r="H37" i="7"/>
  <c r="H33" i="7"/>
  <c r="H11" i="7"/>
  <c r="H12" i="7"/>
  <c r="H30" i="7"/>
  <c r="H26" i="7"/>
  <c r="H41" i="7"/>
  <c r="H36" i="7"/>
  <c r="H32" i="7"/>
  <c r="H28" i="7"/>
  <c r="H24" i="7"/>
  <c r="H25" i="7"/>
  <c r="H17" i="7"/>
  <c r="H10" i="7"/>
  <c r="H35" i="7"/>
  <c r="H27" i="7"/>
  <c r="H23" i="7"/>
  <c r="H22" i="7"/>
  <c r="H9" i="7"/>
  <c r="H16" i="7" l="1"/>
  <c r="H67" i="7"/>
  <c r="H8" i="7"/>
  <c r="H15" i="7"/>
  <c r="H61" i="7" l="1"/>
  <c r="I45" i="7"/>
  <c r="I46" i="7"/>
  <c r="I62" i="7"/>
  <c r="I33" i="7"/>
  <c r="H19" i="7"/>
  <c r="I59" i="7"/>
  <c r="H7" i="7" l="1"/>
  <c r="I27" i="7"/>
  <c r="I17" i="7"/>
  <c r="I11" i="7"/>
  <c r="I12" i="7"/>
  <c r="I29" i="7"/>
  <c r="I31" i="7"/>
  <c r="I41" i="7"/>
  <c r="I43" i="7"/>
  <c r="I44" i="7"/>
  <c r="I30" i="7"/>
  <c r="H50" i="7"/>
  <c r="H52" i="7"/>
  <c r="H54" i="7"/>
  <c r="H56" i="7"/>
  <c r="H58" i="7"/>
  <c r="H60" i="7"/>
  <c r="H64" i="7"/>
  <c r="H63" i="7"/>
  <c r="H62" i="7"/>
  <c r="H18" i="7"/>
  <c r="H13" i="7"/>
  <c r="H65" i="7"/>
  <c r="H20" i="7"/>
  <c r="H4" i="7"/>
  <c r="H6" i="7"/>
  <c r="H5" i="7"/>
  <c r="H2" i="7"/>
  <c r="H3" i="7"/>
  <c r="H48" i="7"/>
  <c r="H47" i="7"/>
  <c r="H49" i="7"/>
  <c r="H51" i="7"/>
  <c r="H53" i="7"/>
  <c r="H55" i="7"/>
  <c r="H57" i="7"/>
  <c r="H59" i="7"/>
  <c r="H14" i="7"/>
  <c r="H21" i="7"/>
  <c r="H66" i="7"/>
  <c r="I53" i="7"/>
  <c r="I34" i="7"/>
  <c r="I8" i="7"/>
  <c r="I42" i="7"/>
  <c r="I37" i="7"/>
  <c r="I58" i="7"/>
  <c r="I51" i="7"/>
  <c r="I56" i="7"/>
  <c r="I49" i="7"/>
  <c r="I60" i="7"/>
  <c r="I54" i="7"/>
  <c r="I23" i="7"/>
  <c r="K33" i="7" l="1" a="1"/>
  <c r="K33" i="7" s="1"/>
  <c r="I7" i="7"/>
  <c r="K10" i="7" a="1"/>
  <c r="K10" i="7" s="1"/>
  <c r="K36" i="7" a="1"/>
  <c r="K36" i="7" s="1"/>
  <c r="K17" i="7" a="1"/>
  <c r="K17" i="7" s="1"/>
  <c r="K18" i="7" a="1"/>
  <c r="K18" i="7" s="1"/>
  <c r="K9" i="7" a="1"/>
  <c r="K9" i="7" s="1"/>
  <c r="K41" i="7" a="1"/>
  <c r="K41" i="7" s="1"/>
  <c r="K40" i="7" a="1"/>
  <c r="K40" i="7" s="1"/>
  <c r="K38" i="7" a="1"/>
  <c r="K38" i="7" s="1"/>
  <c r="K35" i="7" a="1"/>
  <c r="K35" i="7" s="1"/>
  <c r="L16" i="7" a="1"/>
  <c r="L16" i="7" s="1"/>
  <c r="K67" i="7" a="1"/>
  <c r="K67" i="7" s="1"/>
  <c r="L15" i="7" a="1"/>
  <c r="L15" i="7" s="1"/>
  <c r="K8" i="7" a="1"/>
  <c r="K8" i="7" s="1"/>
  <c r="K45" i="7" a="1"/>
  <c r="K45" i="7" s="1"/>
  <c r="K39" i="7" a="1"/>
  <c r="K39" i="7" s="1"/>
  <c r="K34" i="7" a="1"/>
  <c r="K34" i="7" s="1"/>
  <c r="K12" i="7" a="1"/>
  <c r="K12" i="7" s="1"/>
  <c r="K11" i="7" a="1"/>
  <c r="K11" i="7" s="1"/>
  <c r="K44" i="7" a="1"/>
  <c r="K44" i="7" s="1"/>
  <c r="K37" i="7" a="1"/>
  <c r="K37" i="7" s="1"/>
  <c r="I48" i="7"/>
  <c r="I61" i="7"/>
  <c r="I24" i="7"/>
  <c r="I28" i="7"/>
  <c r="I25" i="7"/>
  <c r="I55" i="7"/>
  <c r="I36" i="7"/>
  <c r="I50" i="7"/>
  <c r="I22" i="7"/>
  <c r="I66" i="7"/>
  <c r="I14" i="7"/>
  <c r="I21" i="7"/>
  <c r="I13" i="7"/>
  <c r="I20" i="7"/>
  <c r="I65" i="7"/>
  <c r="I18" i="7"/>
  <c r="I52" i="7"/>
  <c r="I3" i="7"/>
  <c r="I6" i="7"/>
  <c r="I2" i="7"/>
  <c r="I4" i="7"/>
  <c r="I5" i="7"/>
  <c r="I35" i="7"/>
  <c r="I47" i="7"/>
  <c r="I64" i="7"/>
  <c r="I63" i="7"/>
  <c r="I32" i="7"/>
  <c r="I16" i="7"/>
  <c r="I67" i="7"/>
  <c r="I15" i="7"/>
  <c r="I57" i="7"/>
  <c r="I26" i="7"/>
  <c r="I19" i="7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<sst xmlns="http://schemas.openxmlformats.org/spreadsheetml/2006/main" count="478" uniqueCount="365">
  <si>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</si>
  <si>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</si>
  <si>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</si>
  <si>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</si>
  <si>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</si>
  <si>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</si>
  <si>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</si>
  <si>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</si>
  <si>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</si>
  <si>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</si>
  <si>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</si>
  <si>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</si>
  <si>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</si>
  <si>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</si>
  <si>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</si>
  <si>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</si>
  <si>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</si>
  <si>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</si>
  <si>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</si>
  <si>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</si>
  <si>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</si>
  <si>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</si>
  <si>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</si>
  <si>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</si>
  <si>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</si>
  <si>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</si>
  <si>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</si>
  <si>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</si>
  <si>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</si>
  <si>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</si>
  <si>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</si>
  <si>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</si>
  <si>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</si>
  <si>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</si>
  <si>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</si>
  <si>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</si>
  <si>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</si>
  <si>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</si>
  <si>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</si>
  <si>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</si>
  <si>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</si>
  <si>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</si>
  <si>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</si>
  <si>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</si>
  <si>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</si>
  <si>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</si>
  <si>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</si>
  <si>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</si>
  <si>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</si>
  <si>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</si>
  <si>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</si>
  <si>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</si>
  <si>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</si>
  <si>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</si>
  <si>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</si>
  <si>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</si>
  <si>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</si>
  <si>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</si>
  <si>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</si>
  <si>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</si>
  <si>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</si>
  <si>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</si>
  <si>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</si>
  <si>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</si>
  <si>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</si>
  <si>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</si>
  <si>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</si>
  <si>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</si>
  <si>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</si>
  <si>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</si>
  <si>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</si>
  <si>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</si>
  <si>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</si>
  <si>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</si>
  <si>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</si>
  <si>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</si>
  <si>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</si>
  <si>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</si>
  <si>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</si>
  <si>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</si>
  <si>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</si>
  <si>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</si>
  <si>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</si>
  <si>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</si>
  <si>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</si>
  <si>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</si>
  <si>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</si>
  <si>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</si>
  <si>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</si>
  <si>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</si>
  <si>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</si>
  <si>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</si>
  <si>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</si>
  <si>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</si>
  <si>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</si>
  <si>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</si>
  <si>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</si>
  <si>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</si>
  <si>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</si>
  <si>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</si>
  <si>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</si>
  <si>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</si>
  <si>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</si>
  <si>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</si>
  <si>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</si>
  <si>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</si>
  <si>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</si>
  <si>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</si>
  <si>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</si>
  <si>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</si>
  <si>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</si>
  <si>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</si>
  <si>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</si>
  <si>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</si>
  <si>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</si>
  <si>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</si>
  <si>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</si>
  <si>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</si>
  <si>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</si>
  <si>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</si>
  <si>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</si>
  <si>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</si>
  <si>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</si>
  <si>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</si>
  <si>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</si>
  <si>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</si>
  <si>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</si>
  <si>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</si>
  <si>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</si>
  <si>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</si>
  <si>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</si>
  <si>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</si>
  <si>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</si>
  <si>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</si>
  <si>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</si>
  <si>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</si>
  <si>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</si>
  <si>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</si>
  <si>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</si>
  <si>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</si>
  <si>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</si>
  <si>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</si>
  <si>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</si>
  <si>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</si>
  <si>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</si>
  <si>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</si>
  <si>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</si>
  <si>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60,90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</si>
  <si>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</si>
  <si>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</si>
  <si>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</si>
  <si>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</si>
  <si>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</si>
  <si>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</si>
  <si>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</si>
  <si>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</si>
  <si>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</si>
  <si>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</si>
  <si>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</si>
  <si>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</si>
  <si>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</si>
  <si>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</si>
  <si>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</si>
  <si>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</si>
  <si>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</si>
  <si>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</si>
  <si>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</si>
  <si>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</si>
  <si>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</si>
  <si>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</si>
  <si>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</si>
  <si>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</si>
  <si>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</si>
  <si>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</si>
  <si>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</si>
  <si>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</si>
  <si>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</si>
  <si>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</si>
  <si>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</si>
  <si>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</si>
  <si>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</si>
  <si>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</si>
  <si>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</si>
  <si>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</si>
  <si>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</si>
  <si>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</si>
  <si>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</si>
  <si>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</si>
  <si>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</si>
  <si>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</si>
  <si>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</si>
  <si>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</si>
  <si>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</si>
  <si>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</si>
  <si>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</si>
  <si>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</si>
  <si>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</si>
  <si>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</si>
  <si>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初级彩贝</t>
    <phoneticPr fontId="1" type="noConversion"/>
  </si>
  <si>
    <t>中级彩贝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</si>
  <si>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</si>
  <si>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</si>
  <si>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</si>
  <si>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</si>
  <si>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</si>
  <si>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</si>
  <si>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</si>
  <si>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</si>
  <si>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</si>
  <si>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</si>
  <si>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</si>
  <si>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</si>
  <si>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</si>
  <si>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</si>
  <si>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</si>
  <si>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100,</t>
    <phoneticPr fontId="1" type="noConversion"/>
  </si>
  <si>
    <t>4,10,17</t>
    <phoneticPr fontId="1" type="noConversion"/>
  </si>
  <si>
    <t>幸运转盘</t>
    <phoneticPr fontId="1" type="noConversion"/>
  </si>
  <si>
    <t>疯狂6选一</t>
    <phoneticPr fontId="1" type="noConversion"/>
  </si>
  <si>
    <t>幸运转盘</t>
    <phoneticPr fontId="1" type="noConversion"/>
  </si>
  <si>
    <t>100,</t>
    <phoneticPr fontId="1" type="noConversion"/>
  </si>
  <si>
    <t>100,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</si>
  <si>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</si>
  <si>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</si>
  <si>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</si>
  <si>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</si>
  <si>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</si>
  <si>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</si>
  <si>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</si>
  <si>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</si>
  <si>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</si>
  <si>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</si>
  <si>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</si>
  <si>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</si>
  <si>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</si>
  <si>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</si>
  <si>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</si>
  <si>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</si>
  <si>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</si>
  <si>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</si>
  <si>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</si>
  <si>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</si>
  <si>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</si>
  <si>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</si>
  <si>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</si>
  <si>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</si>
  <si>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</si>
  <si>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</si>
  <si>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</si>
  <si>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</si>
  <si>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</si>
  <si>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</si>
  <si>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</si>
  <si>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</si>
  <si>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</si>
  <si>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</si>
  <si>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</si>
  <si>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</si>
  <si>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</si>
  <si>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</si>
  <si>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</si>
  <si>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</si>
  <si>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</si>
  <si>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</si>
  <si>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</si>
  <si>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</si>
  <si>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</si>
  <si>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</si>
  <si>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</si>
  <si>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幸运转盘</t>
    <phoneticPr fontId="1" type="noConversion"/>
  </si>
  <si>
    <t>400,500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</si>
  <si>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</si>
  <si>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</si>
  <si>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</si>
  <si>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</si>
  <si>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</si>
  <si>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</si>
  <si>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</si>
  <si>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</si>
  <si>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</si>
  <si>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</si>
  <si>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</si>
  <si>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</si>
  <si>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</si>
  <si>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</si>
  <si>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</si>
  <si>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</si>
  <si>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</si>
  <si>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</si>
  <si>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</si>
  <si>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</si>
  <si>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</si>
  <si>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</si>
  <si>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</si>
  <si>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</si>
  <si>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</si>
  <si>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</si>
  <si>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</si>
  <si>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</si>
  <si>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</si>
  <si>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</si>
  <si>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</si>
  <si>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</si>
  <si>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</si>
  <si>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</si>
  <si>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</si>
  <si>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</si>
  <si>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</si>
  <si>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</si>
  <si>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</si>
  <si>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</si>
  <si>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</si>
  <si>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</si>
  <si>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</si>
  <si>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</si>
  <si>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</si>
  <si>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</si>
  <si>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</si>
  <si>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</si>
  <si>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</si>
  <si>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</si>
  <si>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</si>
  <si>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</si>
  <si>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</si>
  <si>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</si>
  <si>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</si>
  <si>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</si>
  <si>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</si>
  <si>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</si>
  <si>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</si>
  <si>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</si>
  <si>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200,</t>
    <phoneticPr fontId="1" type="noConversion"/>
  </si>
  <si>
    <t>吞噬天下</t>
    <phoneticPr fontId="1" type="noConversion"/>
  </si>
  <si>
    <t>吞噬天下</t>
    <phoneticPr fontId="1" type="noConversion"/>
  </si>
  <si>
    <t>0,100</t>
    <phoneticPr fontId="1" type="noConversion"/>
  </si>
  <si>
    <t>0,100</t>
    <phoneticPr fontId="1" type="noConversion"/>
  </si>
  <si>
    <t>0,200</t>
  </si>
  <si>
    <t>0,300</t>
  </si>
  <si>
    <t>append_life_rate|随机的倍率和奖励</t>
    <phoneticPr fontId="1" type="noConversion"/>
  </si>
  <si>
    <t>fish_3d_yutu_gd_smallboss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</si>
  <si>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</si>
  <si>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</si>
  <si>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</si>
  <si>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0,20</t>
    <phoneticPr fontId="1" type="noConversion"/>
  </si>
  <si>
    <t>0,50</t>
    <phoneticPr fontId="1" type="noConversion"/>
  </si>
  <si>
    <t>0,90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</si>
  <si>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</si>
  <si>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</si>
  <si>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</si>
  <si>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4,30,40,50,60,</t>
    <phoneticPr fontId="1" type="noConversion"/>
  </si>
  <si>
    <t>炽火龙王</t>
    <phoneticPr fontId="1" type="noConversion"/>
  </si>
  <si>
    <t>炽火龙王</t>
    <phoneticPr fontId="1" type="noConversion"/>
  </si>
  <si>
    <t>骰子龟</t>
    <phoneticPr fontId="1" type="noConversion"/>
  </si>
  <si>
    <t>50,</t>
    <phoneticPr fontId="1" type="noConversion"/>
  </si>
  <si>
    <t>骰子龟</t>
    <phoneticPr fontId="1" type="noConversion"/>
  </si>
  <si>
    <t>60,100,100</t>
    <phoneticPr fontId="1" type="noConversion"/>
  </si>
  <si>
    <t>34,35,36,37,38,39,40,41,</t>
    <phoneticPr fontId="1" type="noConversion"/>
  </si>
  <si>
    <t>1,500,</t>
    <phoneticPr fontId="1" type="noConversion"/>
  </si>
  <si>
    <t>fish_3d_yutu_random_5</t>
    <phoneticPr fontId="1" type="noConversion"/>
  </si>
  <si>
    <t>50,50,50,50,100,</t>
    <phoneticPr fontId="1" type="noConversion"/>
  </si>
  <si>
    <t>0.02,0.02,0.02,0.02,0.01</t>
    <phoneticPr fontId="1" type="noConversion"/>
  </si>
  <si>
    <t>0,20</t>
    <phoneticPr fontId="1" type="noConversion"/>
  </si>
  <si>
    <t>0.02,0.02,0.02,0.02,0.01</t>
    <phoneticPr fontId="1" type="noConversion"/>
  </si>
  <si>
    <t>50,50,50,50,100,</t>
    <phoneticPr fontId="1" type="noConversion"/>
  </si>
  <si>
    <t>0.02,0.02,0.02,0.02,0.01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</si>
</sst>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3D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>
        <row r="2">
          <cell r="L2" t="str">
            <v>海龟</v>
          </cell>
        </row>
      </sheetData>
      <sheetData sheetId="6">
        <row r="1">
          <cell r="A1" t="str">
            <v>id|在group使用的鱼ID</v>
          </cell>
          <cell r="E1" t="str">
            <v>life|生命</v>
          </cell>
          <cell r="H1" t="str">
            <v>|组合名</v>
          </cell>
          <cell r="I1" t="str">
            <v>rate|奖励倍数</v>
          </cell>
          <cell r="K1" t="str">
            <v>gd_award|固定奖励</v>
          </cell>
        </row>
        <row r="2">
          <cell r="A2">
            <v>1</v>
          </cell>
          <cell r="E2">
            <v>2</v>
          </cell>
          <cell r="H2" t="str">
            <v>小牛角</v>
          </cell>
          <cell r="I2">
            <v>2</v>
          </cell>
          <cell r="K2">
            <v>0</v>
          </cell>
        </row>
        <row r="3">
          <cell r="A3">
            <v>2</v>
          </cell>
          <cell r="E3">
            <v>2</v>
          </cell>
          <cell r="H3" t="str">
            <v>小气泡</v>
          </cell>
          <cell r="I3">
            <v>2</v>
          </cell>
          <cell r="K3">
            <v>0</v>
          </cell>
        </row>
        <row r="4">
          <cell r="A4">
            <v>3</v>
          </cell>
          <cell r="E4">
            <v>3</v>
          </cell>
          <cell r="H4" t="str">
            <v>小丑鱼</v>
          </cell>
          <cell r="I4">
            <v>3</v>
          </cell>
          <cell r="K4">
            <v>0</v>
          </cell>
        </row>
        <row r="5">
          <cell r="A5">
            <v>4</v>
          </cell>
          <cell r="E5">
            <v>4</v>
          </cell>
          <cell r="H5" t="str">
            <v>小燕鱼</v>
          </cell>
          <cell r="I5">
            <v>4</v>
          </cell>
          <cell r="K5">
            <v>0</v>
          </cell>
        </row>
        <row r="6">
          <cell r="A6">
            <v>5</v>
          </cell>
          <cell r="E6">
            <v>5</v>
          </cell>
          <cell r="H6" t="str">
            <v>小黄鳍</v>
          </cell>
          <cell r="I6">
            <v>5</v>
          </cell>
          <cell r="K6">
            <v>0</v>
          </cell>
        </row>
        <row r="7">
          <cell r="A7">
            <v>6</v>
          </cell>
          <cell r="E7">
            <v>6</v>
          </cell>
          <cell r="H7" t="str">
            <v>河豚</v>
          </cell>
          <cell r="I7">
            <v>6</v>
          </cell>
          <cell r="K7">
            <v>0</v>
          </cell>
        </row>
        <row r="8">
          <cell r="A8">
            <v>7</v>
          </cell>
          <cell r="E8">
            <v>7</v>
          </cell>
          <cell r="H8" t="str">
            <v>小灯笼</v>
          </cell>
          <cell r="I8">
            <v>7</v>
          </cell>
          <cell r="K8">
            <v>0</v>
          </cell>
        </row>
        <row r="9">
          <cell r="A9">
            <v>8</v>
          </cell>
          <cell r="E9">
            <v>8</v>
          </cell>
          <cell r="H9" t="str">
            <v>小旗鱼</v>
          </cell>
          <cell r="I9">
            <v>8</v>
          </cell>
          <cell r="K9">
            <v>0</v>
          </cell>
        </row>
        <row r="10">
          <cell r="A10">
            <v>9</v>
          </cell>
          <cell r="E10">
            <v>10</v>
          </cell>
          <cell r="H10" t="str">
            <v>小水母</v>
          </cell>
          <cell r="I10">
            <v>10</v>
          </cell>
          <cell r="K10">
            <v>0</v>
          </cell>
        </row>
        <row r="11">
          <cell r="A11">
            <v>10</v>
          </cell>
          <cell r="E11">
            <v>12</v>
          </cell>
          <cell r="H11" t="str">
            <v>小章鱼</v>
          </cell>
          <cell r="I11">
            <v>12</v>
          </cell>
          <cell r="K11">
            <v>0</v>
          </cell>
        </row>
        <row r="12">
          <cell r="A12">
            <v>11</v>
          </cell>
          <cell r="E12">
            <v>15</v>
          </cell>
          <cell r="H12" t="str">
            <v>小海龟</v>
          </cell>
          <cell r="I12">
            <v>15</v>
          </cell>
          <cell r="K12">
            <v>0</v>
          </cell>
        </row>
        <row r="13">
          <cell r="A13">
            <v>12</v>
          </cell>
          <cell r="E13">
            <v>18</v>
          </cell>
          <cell r="H13" t="str">
            <v>狮子鱼</v>
          </cell>
          <cell r="I13">
            <v>18</v>
          </cell>
          <cell r="K13">
            <v>0</v>
          </cell>
        </row>
        <row r="14">
          <cell r="A14">
            <v>13</v>
          </cell>
          <cell r="E14">
            <v>20</v>
          </cell>
          <cell r="H14" t="str">
            <v>蝴蝶鱼</v>
          </cell>
          <cell r="I14">
            <v>20</v>
          </cell>
          <cell r="K14">
            <v>0</v>
          </cell>
        </row>
        <row r="15">
          <cell r="A15">
            <v>14</v>
          </cell>
          <cell r="E15">
            <v>25</v>
          </cell>
          <cell r="H15" t="str">
            <v>巨大小丑鱼</v>
          </cell>
          <cell r="I15">
            <v>25</v>
          </cell>
          <cell r="K15">
            <v>0</v>
          </cell>
        </row>
        <row r="16">
          <cell r="A16">
            <v>15</v>
          </cell>
          <cell r="E16">
            <v>30</v>
          </cell>
          <cell r="H16" t="str">
            <v>巨大灯笼鱼</v>
          </cell>
          <cell r="I16">
            <v>30</v>
          </cell>
          <cell r="K16">
            <v>0</v>
          </cell>
        </row>
        <row r="17">
          <cell r="A17">
            <v>16</v>
          </cell>
          <cell r="E17">
            <v>35</v>
          </cell>
          <cell r="H17" t="str">
            <v>巨大燕鱼</v>
          </cell>
          <cell r="I17">
            <v>35</v>
          </cell>
          <cell r="K17">
            <v>0</v>
          </cell>
        </row>
        <row r="18">
          <cell r="A18">
            <v>17</v>
          </cell>
          <cell r="E18">
            <v>40</v>
          </cell>
          <cell r="H18" t="str">
            <v>魔鬼鱼</v>
          </cell>
          <cell r="I18">
            <v>40</v>
          </cell>
          <cell r="K18">
            <v>0</v>
          </cell>
        </row>
        <row r="19">
          <cell r="A19">
            <v>18</v>
          </cell>
          <cell r="E19">
            <v>60</v>
          </cell>
          <cell r="H19" t="str">
            <v>虎鲸</v>
          </cell>
          <cell r="I19">
            <v>60</v>
          </cell>
          <cell r="K19">
            <v>0</v>
          </cell>
        </row>
        <row r="20">
          <cell r="A20">
            <v>19</v>
          </cell>
          <cell r="E20">
            <v>31</v>
          </cell>
          <cell r="H20" t="str">
            <v>炸弹鱼+炸弹</v>
          </cell>
          <cell r="I20">
            <v>31</v>
          </cell>
          <cell r="K20">
            <v>0</v>
          </cell>
        </row>
        <row r="21">
          <cell r="A21">
            <v>20</v>
          </cell>
          <cell r="E21">
            <v>80</v>
          </cell>
          <cell r="H21" t="str">
            <v>黄金灯笼鱼</v>
          </cell>
          <cell r="I21">
            <v>80</v>
          </cell>
          <cell r="K21">
            <v>0</v>
          </cell>
        </row>
        <row r="22">
          <cell r="A22">
            <v>21</v>
          </cell>
          <cell r="E22">
            <v>101</v>
          </cell>
          <cell r="H22" t="str">
            <v>黄金炸弹鱼+炸弹</v>
          </cell>
          <cell r="I22">
            <v>101</v>
          </cell>
          <cell r="K22">
            <v>0</v>
          </cell>
        </row>
        <row r="23">
          <cell r="A23">
            <v>22</v>
          </cell>
          <cell r="E23">
            <v>120</v>
          </cell>
          <cell r="H23" t="str">
            <v>黄金狮子鱼</v>
          </cell>
          <cell r="I23">
            <v>120</v>
          </cell>
          <cell r="K23">
            <v>0</v>
          </cell>
        </row>
        <row r="24">
          <cell r="A24">
            <v>23</v>
          </cell>
          <cell r="E24">
            <v>140</v>
          </cell>
          <cell r="H24" t="str">
            <v>黄金海龟</v>
          </cell>
          <cell r="I24">
            <v>140</v>
          </cell>
          <cell r="K24">
            <v>0</v>
          </cell>
        </row>
        <row r="25">
          <cell r="A25">
            <v>24</v>
          </cell>
          <cell r="B25">
            <v>24</v>
          </cell>
          <cell r="E25" t="str">
            <v>50,50,50,50,100,</v>
          </cell>
          <cell r="H25" t="str">
            <v>黄金河豚</v>
          </cell>
          <cell r="I25" t="str">
            <v>50,50,50,50,100,</v>
          </cell>
          <cell r="K25">
            <v>0</v>
          </cell>
        </row>
        <row r="26">
          <cell r="A26">
            <v>25</v>
          </cell>
          <cell r="B26">
            <v>25</v>
          </cell>
          <cell r="E26">
            <v>150</v>
          </cell>
          <cell r="H26" t="str">
            <v>金蟾</v>
          </cell>
          <cell r="I26">
            <v>150</v>
          </cell>
          <cell r="K26">
            <v>0</v>
          </cell>
        </row>
        <row r="27">
          <cell r="A27">
            <v>26</v>
          </cell>
          <cell r="E27">
            <v>180</v>
          </cell>
          <cell r="H27" t="str">
            <v>大金鲨</v>
          </cell>
          <cell r="I27">
            <v>180</v>
          </cell>
          <cell r="K27">
            <v>0</v>
          </cell>
        </row>
        <row r="28">
          <cell r="A28">
            <v>27</v>
          </cell>
          <cell r="E28">
            <v>200</v>
          </cell>
          <cell r="H28" t="str">
            <v>黄金锤头鲨</v>
          </cell>
          <cell r="I28">
            <v>200</v>
          </cell>
          <cell r="K28">
            <v>0</v>
          </cell>
        </row>
        <row r="29">
          <cell r="A29">
            <v>28</v>
          </cell>
          <cell r="E29">
            <v>101</v>
          </cell>
          <cell r="H29" t="str">
            <v>闪电海鳗+闪电</v>
          </cell>
          <cell r="I29">
            <v>101</v>
          </cell>
          <cell r="K29">
            <v>0</v>
          </cell>
        </row>
        <row r="30">
          <cell r="A30">
            <v>29</v>
          </cell>
          <cell r="E30">
            <v>151</v>
          </cell>
          <cell r="H30" t="str">
            <v>穿云蟹+钻头弹</v>
          </cell>
          <cell r="I30">
            <v>151</v>
          </cell>
          <cell r="K30">
            <v>0</v>
          </cell>
        </row>
        <row r="31">
          <cell r="A31">
            <v>30</v>
          </cell>
          <cell r="E31">
            <v>101</v>
          </cell>
          <cell r="H31" t="str">
            <v>电磁蟹+电磁弹</v>
          </cell>
          <cell r="I31">
            <v>101</v>
          </cell>
          <cell r="K31">
            <v>0</v>
          </cell>
        </row>
        <row r="32">
          <cell r="A32">
            <v>31</v>
          </cell>
          <cell r="E32">
            <v>126</v>
          </cell>
          <cell r="H32" t="str">
            <v>奇遇蟹+时限免费超级活力子弹</v>
          </cell>
          <cell r="I32">
            <v>126</v>
          </cell>
          <cell r="K32">
            <v>0</v>
          </cell>
        </row>
        <row r="33">
          <cell r="A33">
            <v>32</v>
          </cell>
          <cell r="E33">
            <v>101</v>
          </cell>
          <cell r="H33" t="str">
            <v>宝藏章鱼+幸运转盘</v>
          </cell>
          <cell r="I33">
            <v>101</v>
          </cell>
          <cell r="K33">
            <v>0</v>
          </cell>
        </row>
        <row r="34">
          <cell r="A34">
            <v>33</v>
          </cell>
          <cell r="E34">
            <v>101</v>
          </cell>
          <cell r="H34" t="str">
            <v>美人鱼+疯狂6选一</v>
          </cell>
          <cell r="I34">
            <v>101</v>
          </cell>
          <cell r="K34">
            <v>0</v>
          </cell>
        </row>
        <row r="35">
          <cell r="A35">
            <v>34</v>
          </cell>
          <cell r="E35">
            <v>500</v>
          </cell>
          <cell r="H35" t="str">
            <v>骰子龟+骰子龟</v>
          </cell>
          <cell r="I35">
            <v>0</v>
          </cell>
          <cell r="K35">
            <v>0</v>
          </cell>
        </row>
        <row r="36">
          <cell r="A36">
            <v>35</v>
          </cell>
          <cell r="E36">
            <v>501</v>
          </cell>
          <cell r="H36" t="str">
            <v>金龙转盘+幸运转盘</v>
          </cell>
          <cell r="I36">
            <v>501</v>
          </cell>
          <cell r="K36">
            <v>0</v>
          </cell>
        </row>
        <row r="37">
          <cell r="A37">
            <v>36</v>
          </cell>
          <cell r="E37">
            <v>501</v>
          </cell>
          <cell r="H37" t="str">
            <v>炽火龙王+炽火龙王</v>
          </cell>
          <cell r="I37">
            <v>501</v>
          </cell>
          <cell r="K37">
            <v>0</v>
          </cell>
        </row>
        <row r="38">
          <cell r="A38">
            <v>37</v>
          </cell>
          <cell r="E38">
            <v>50</v>
          </cell>
          <cell r="H38" t="str">
            <v>财神</v>
          </cell>
          <cell r="I38">
            <v>50</v>
          </cell>
          <cell r="K38">
            <v>0</v>
          </cell>
        </row>
        <row r="39">
          <cell r="A39">
            <v>38</v>
          </cell>
          <cell r="E39">
            <v>100</v>
          </cell>
          <cell r="H39" t="str">
            <v>黄金巨龙</v>
          </cell>
          <cell r="I39">
            <v>100</v>
          </cell>
          <cell r="K39">
            <v>0</v>
          </cell>
        </row>
        <row r="40">
          <cell r="A40">
            <v>39</v>
          </cell>
          <cell r="E40">
            <v>100</v>
          </cell>
          <cell r="H40" t="str">
            <v>霸王蟹</v>
          </cell>
          <cell r="I40">
            <v>100</v>
          </cell>
          <cell r="K40">
            <v>0</v>
          </cell>
        </row>
        <row r="41">
          <cell r="A41">
            <v>40</v>
          </cell>
          <cell r="E41">
            <v>100</v>
          </cell>
          <cell r="H41" t="str">
            <v>深海鲸</v>
          </cell>
          <cell r="I41">
            <v>100</v>
          </cell>
          <cell r="K41">
            <v>0</v>
          </cell>
        </row>
        <row r="42">
          <cell r="A42">
            <v>41</v>
          </cell>
          <cell r="E42">
            <v>100</v>
          </cell>
          <cell r="H42" t="str">
            <v>鲨鱼武士</v>
          </cell>
          <cell r="I42">
            <v>100</v>
          </cell>
          <cell r="K42">
            <v>0</v>
          </cell>
        </row>
        <row r="43">
          <cell r="A43">
            <v>42</v>
          </cell>
          <cell r="E43">
            <v>100</v>
          </cell>
          <cell r="H43" t="str">
            <v>荧光女皇</v>
          </cell>
          <cell r="I43">
            <v>100</v>
          </cell>
          <cell r="K43">
            <v>0</v>
          </cell>
        </row>
        <row r="44">
          <cell r="A44">
            <v>43</v>
          </cell>
          <cell r="E44">
            <v>100</v>
          </cell>
          <cell r="H44" t="str">
            <v>龙龟</v>
          </cell>
          <cell r="I44">
            <v>100</v>
          </cell>
          <cell r="K44">
            <v>0</v>
          </cell>
        </row>
        <row r="45">
          <cell r="A45">
            <v>44</v>
          </cell>
          <cell r="E45">
            <v>100</v>
          </cell>
          <cell r="H45" t="str">
            <v>麒麟兽</v>
          </cell>
          <cell r="I45">
            <v>100</v>
          </cell>
          <cell r="K45">
            <v>0</v>
          </cell>
        </row>
        <row r="46">
          <cell r="A46">
            <v>45</v>
          </cell>
          <cell r="E46">
            <v>100</v>
          </cell>
          <cell r="H46" t="str">
            <v>海盗船</v>
          </cell>
          <cell r="I46">
            <v>100</v>
          </cell>
          <cell r="K46">
            <v>0</v>
          </cell>
        </row>
        <row r="47">
          <cell r="A47">
            <v>46</v>
          </cell>
          <cell r="E47">
            <v>300</v>
          </cell>
          <cell r="H47" t="str">
            <v>金蟾</v>
          </cell>
          <cell r="I47">
            <v>300</v>
          </cell>
          <cell r="K47">
            <v>0</v>
          </cell>
        </row>
        <row r="48">
          <cell r="A48">
            <v>47</v>
          </cell>
          <cell r="E48">
            <v>600</v>
          </cell>
          <cell r="H48" t="str">
            <v>深海狂鲨+吞噬天下</v>
          </cell>
          <cell r="I48">
            <v>600</v>
          </cell>
          <cell r="K48">
            <v>0</v>
          </cell>
        </row>
        <row r="49">
          <cell r="A49">
            <v>48</v>
          </cell>
          <cell r="E49">
            <v>900</v>
          </cell>
          <cell r="H49" t="str">
            <v>鳄鱼+宝箱</v>
          </cell>
          <cell r="I49">
            <v>900</v>
          </cell>
          <cell r="K49">
            <v>0</v>
          </cell>
        </row>
        <row r="50">
          <cell r="A50">
            <v>49</v>
          </cell>
          <cell r="E50">
            <v>800</v>
          </cell>
          <cell r="H50" t="str">
            <v>大王乌贼+连环炸弹</v>
          </cell>
          <cell r="I50">
            <v>800</v>
          </cell>
          <cell r="K50">
            <v>0</v>
          </cell>
        </row>
        <row r="51">
          <cell r="A51">
            <v>50</v>
          </cell>
          <cell r="E51">
            <v>0</v>
          </cell>
          <cell r="H51" t="str">
            <v>贝壳鱼</v>
          </cell>
          <cell r="I51">
            <v>0</v>
          </cell>
          <cell r="K51">
            <v>0</v>
          </cell>
        </row>
      </sheetData>
      <sheetData sheetId="7">
        <row r="1">
          <cell r="A1" t="str">
            <v>id|编号</v>
          </cell>
          <cell r="G1" t="str">
            <v>|活动名</v>
          </cell>
        </row>
        <row r="2">
          <cell r="A2">
            <v>1</v>
          </cell>
          <cell r="G2" t="str">
            <v>免费子弹</v>
          </cell>
        </row>
        <row r="3">
          <cell r="A3">
            <v>2</v>
          </cell>
          <cell r="G3" t="str">
            <v>威力提升</v>
          </cell>
        </row>
        <row r="4">
          <cell r="A4">
            <v>3</v>
          </cell>
          <cell r="G4" t="str">
            <v>暴击时刻</v>
          </cell>
        </row>
        <row r="5">
          <cell r="A5">
            <v>4</v>
          </cell>
          <cell r="G5" t="str">
            <v>炸弹</v>
          </cell>
        </row>
        <row r="6">
          <cell r="A6">
            <v>5</v>
          </cell>
          <cell r="G6" t="str">
            <v>闪电</v>
          </cell>
        </row>
        <row r="7">
          <cell r="A7">
            <v>6</v>
          </cell>
          <cell r="G7" t="str">
            <v>炸弹</v>
          </cell>
        </row>
        <row r="8">
          <cell r="A8">
            <v>7</v>
          </cell>
          <cell r="G8" t="str">
            <v>免费子弹</v>
          </cell>
        </row>
        <row r="9">
          <cell r="A9">
            <v>8</v>
          </cell>
          <cell r="G9" t="str">
            <v>炸弹</v>
          </cell>
        </row>
        <row r="10">
          <cell r="A10">
            <v>9</v>
          </cell>
          <cell r="G10" t="str">
            <v>闪电</v>
          </cell>
        </row>
        <row r="11">
          <cell r="A11">
            <v>10</v>
          </cell>
          <cell r="G11" t="str">
            <v>闪电</v>
          </cell>
        </row>
        <row r="12">
          <cell r="A12">
            <v>11</v>
          </cell>
          <cell r="G12" t="str">
            <v>锁定卡</v>
          </cell>
        </row>
        <row r="13">
          <cell r="A13">
            <v>12</v>
          </cell>
          <cell r="G13" t="str">
            <v>锁定卡</v>
          </cell>
        </row>
        <row r="14">
          <cell r="A14">
            <v>13</v>
          </cell>
          <cell r="G14" t="str">
            <v>冰冻卡</v>
          </cell>
        </row>
        <row r="15">
          <cell r="A15">
            <v>14</v>
          </cell>
          <cell r="G15" t="str">
            <v>冰冻卡</v>
          </cell>
        </row>
        <row r="16">
          <cell r="A16">
            <v>15</v>
          </cell>
          <cell r="G16" t="str">
            <v>临时活动</v>
          </cell>
        </row>
        <row r="17">
          <cell r="A17">
            <v>16</v>
          </cell>
          <cell r="G17" t="str">
            <v>临时活动</v>
          </cell>
        </row>
        <row r="18">
          <cell r="A18">
            <v>17</v>
          </cell>
          <cell r="G18" t="str">
            <v>宝箱</v>
          </cell>
        </row>
        <row r="19">
          <cell r="A19">
            <v>18</v>
          </cell>
          <cell r="G19" t="str">
            <v>穿透钢弹</v>
          </cell>
        </row>
        <row r="20">
          <cell r="A20">
            <v>19</v>
          </cell>
          <cell r="G20" t="str">
            <v>钻头弹</v>
          </cell>
        </row>
        <row r="21">
          <cell r="A21">
            <v>20</v>
          </cell>
          <cell r="G21" t="str">
            <v>神灯</v>
          </cell>
        </row>
        <row r="22">
          <cell r="A22">
            <v>21</v>
          </cell>
          <cell r="G22" t="str">
            <v>财神-50</v>
          </cell>
        </row>
        <row r="23">
          <cell r="A23">
            <v>22</v>
          </cell>
          <cell r="G23" t="str">
            <v>财神-150</v>
          </cell>
        </row>
        <row r="24">
          <cell r="A24">
            <v>23</v>
          </cell>
          <cell r="G24" t="str">
            <v>财神-250</v>
          </cell>
        </row>
        <row r="25">
          <cell r="A25">
            <v>24</v>
          </cell>
          <cell r="G25" t="str">
            <v>财神-450</v>
          </cell>
        </row>
        <row r="26">
          <cell r="A26">
            <v>25</v>
          </cell>
          <cell r="G26" t="str">
            <v>初级彩贝</v>
          </cell>
        </row>
        <row r="27">
          <cell r="A27">
            <v>26</v>
          </cell>
          <cell r="G27" t="str">
            <v>中级彩贝</v>
          </cell>
        </row>
        <row r="28">
          <cell r="A28">
            <v>27</v>
          </cell>
          <cell r="G28" t="str">
            <v>高级彩贝</v>
          </cell>
        </row>
        <row r="29">
          <cell r="A29">
            <v>28</v>
          </cell>
          <cell r="G29" t="str">
            <v>100倍金币爆发</v>
          </cell>
        </row>
        <row r="30">
          <cell r="A30">
            <v>29</v>
          </cell>
          <cell r="G30" t="str">
            <v>时限免费超级活力子弹</v>
          </cell>
        </row>
        <row r="31">
          <cell r="A31">
            <v>30</v>
          </cell>
          <cell r="G31" t="str">
            <v>幸运转盘</v>
          </cell>
        </row>
        <row r="32">
          <cell r="A32">
            <v>31</v>
          </cell>
          <cell r="G32" t="str">
            <v>电磁弹</v>
          </cell>
        </row>
        <row r="33">
          <cell r="A33">
            <v>32</v>
          </cell>
          <cell r="G33" t="str">
            <v>幸运转盘</v>
          </cell>
        </row>
        <row r="34">
          <cell r="A34">
            <v>33</v>
          </cell>
          <cell r="G34" t="str">
            <v>疯狂6选一</v>
          </cell>
        </row>
        <row r="35">
          <cell r="A35">
            <v>34</v>
          </cell>
          <cell r="G35" t="str">
            <v>吞噬天下</v>
          </cell>
        </row>
        <row r="36">
          <cell r="A36">
            <v>35</v>
          </cell>
          <cell r="G36" t="str">
            <v>连环炸弹</v>
          </cell>
        </row>
        <row r="37">
          <cell r="A37">
            <v>36</v>
          </cell>
          <cell r="G37" t="str">
            <v>炽火龙王</v>
          </cell>
        </row>
        <row r="38">
          <cell r="A38">
            <v>37</v>
          </cell>
          <cell r="G38" t="str">
            <v>骰子龟</v>
          </cell>
        </row>
      </sheetData>
      <sheetData sheetId="8"/>
      <sheetData sheetId="9">
        <row r="1">
          <cell r="A1" t="str">
            <v>id|基础鱼的ID</v>
          </cell>
          <cell r="E1" t="str">
            <v>|鱼名</v>
          </cell>
          <cell r="G1" t="str">
            <v>gd_award|固定奖励</v>
          </cell>
        </row>
        <row r="2">
          <cell r="A2">
            <v>1</v>
          </cell>
          <cell r="E2" t="str">
            <v>小牛角</v>
          </cell>
          <cell r="G2">
            <v>0</v>
          </cell>
        </row>
        <row r="3">
          <cell r="A3">
            <v>2</v>
          </cell>
          <cell r="E3" t="str">
            <v>小气泡</v>
          </cell>
          <cell r="G3">
            <v>0</v>
          </cell>
        </row>
        <row r="4">
          <cell r="A4">
            <v>3</v>
          </cell>
          <cell r="E4" t="str">
            <v>小丑鱼</v>
          </cell>
          <cell r="G4">
            <v>0</v>
          </cell>
        </row>
        <row r="5">
          <cell r="A5">
            <v>4</v>
          </cell>
          <cell r="E5" t="str">
            <v>小燕鱼</v>
          </cell>
          <cell r="G5">
            <v>0</v>
          </cell>
        </row>
        <row r="6">
          <cell r="A6">
            <v>5</v>
          </cell>
          <cell r="E6" t="str">
            <v>小黄鳍</v>
          </cell>
          <cell r="G6">
            <v>0</v>
          </cell>
        </row>
        <row r="7">
          <cell r="A7">
            <v>6</v>
          </cell>
          <cell r="E7" t="str">
            <v>河豚</v>
          </cell>
          <cell r="G7">
            <v>0</v>
          </cell>
        </row>
        <row r="8">
          <cell r="A8">
            <v>7</v>
          </cell>
          <cell r="E8" t="str">
            <v>小灯笼</v>
          </cell>
          <cell r="G8">
            <v>0</v>
          </cell>
        </row>
        <row r="9">
          <cell r="A9">
            <v>8</v>
          </cell>
          <cell r="E9" t="str">
            <v>小旗鱼</v>
          </cell>
          <cell r="G9">
            <v>0</v>
          </cell>
        </row>
        <row r="10">
          <cell r="A10">
            <v>9</v>
          </cell>
          <cell r="E10" t="str">
            <v>小水母</v>
          </cell>
          <cell r="G10">
            <v>0</v>
          </cell>
        </row>
        <row r="11">
          <cell r="A11">
            <v>10</v>
          </cell>
          <cell r="E11" t="str">
            <v>小章鱼</v>
          </cell>
          <cell r="G11">
            <v>0</v>
          </cell>
        </row>
        <row r="12">
          <cell r="A12">
            <v>11</v>
          </cell>
          <cell r="E12" t="str">
            <v>小海龟</v>
          </cell>
          <cell r="G12">
            <v>0</v>
          </cell>
        </row>
        <row r="13">
          <cell r="A13">
            <v>12</v>
          </cell>
          <cell r="E13" t="str">
            <v>狮子鱼</v>
          </cell>
          <cell r="G13">
            <v>0</v>
          </cell>
        </row>
        <row r="14">
          <cell r="A14">
            <v>13</v>
          </cell>
          <cell r="E14" t="str">
            <v>蝴蝶鱼</v>
          </cell>
          <cell r="G14">
            <v>0</v>
          </cell>
        </row>
        <row r="15">
          <cell r="A15">
            <v>14</v>
          </cell>
          <cell r="E15" t="str">
            <v>巨大小丑鱼</v>
          </cell>
          <cell r="G15">
            <v>0</v>
          </cell>
        </row>
        <row r="16">
          <cell r="A16">
            <v>15</v>
          </cell>
          <cell r="E16" t="str">
            <v>巨大灯笼鱼</v>
          </cell>
          <cell r="G16">
            <v>0</v>
          </cell>
        </row>
        <row r="17">
          <cell r="A17">
            <v>16</v>
          </cell>
          <cell r="E17" t="str">
            <v>巨大燕鱼</v>
          </cell>
          <cell r="G17">
            <v>0</v>
          </cell>
        </row>
        <row r="18">
          <cell r="A18">
            <v>17</v>
          </cell>
          <cell r="E18" t="str">
            <v>魔鬼鱼</v>
          </cell>
          <cell r="G18">
            <v>0</v>
          </cell>
        </row>
        <row r="19">
          <cell r="A19">
            <v>18</v>
          </cell>
          <cell r="E19" t="str">
            <v>虎鲸</v>
          </cell>
          <cell r="G19">
            <v>0</v>
          </cell>
        </row>
        <row r="20">
          <cell r="A20">
            <v>19</v>
          </cell>
          <cell r="E20" t="str">
            <v>炸弹鱼</v>
          </cell>
          <cell r="G20">
            <v>0</v>
          </cell>
        </row>
        <row r="21">
          <cell r="A21">
            <v>20</v>
          </cell>
          <cell r="E21" t="str">
            <v>黄金灯笼鱼</v>
          </cell>
          <cell r="G21">
            <v>0</v>
          </cell>
        </row>
        <row r="22">
          <cell r="A22">
            <v>21</v>
          </cell>
          <cell r="E22" t="str">
            <v>黄金炸弹鱼</v>
          </cell>
          <cell r="G22">
            <v>0</v>
          </cell>
        </row>
        <row r="23">
          <cell r="A23">
            <v>22</v>
          </cell>
          <cell r="E23" t="str">
            <v>黄金狮子鱼</v>
          </cell>
          <cell r="G23">
            <v>0</v>
          </cell>
        </row>
        <row r="24">
          <cell r="A24">
            <v>23</v>
          </cell>
          <cell r="E24" t="str">
            <v>黄金海龟</v>
          </cell>
          <cell r="G24">
            <v>0</v>
          </cell>
        </row>
        <row r="25">
          <cell r="A25">
            <v>24</v>
          </cell>
          <cell r="E25" t="str">
            <v>黄金河豚</v>
          </cell>
          <cell r="G25">
            <v>0</v>
          </cell>
        </row>
        <row r="26">
          <cell r="A26">
            <v>25</v>
          </cell>
          <cell r="E26" t="str">
            <v>金蟾</v>
          </cell>
          <cell r="G26">
            <v>0</v>
          </cell>
        </row>
        <row r="27">
          <cell r="A27">
            <v>26</v>
          </cell>
          <cell r="E27" t="str">
            <v>大金鲨</v>
          </cell>
          <cell r="G27">
            <v>0</v>
          </cell>
        </row>
        <row r="28">
          <cell r="A28">
            <v>27</v>
          </cell>
          <cell r="E28" t="str">
            <v>黄金锤头鲨</v>
          </cell>
          <cell r="G28">
            <v>0</v>
          </cell>
        </row>
        <row r="29">
          <cell r="A29">
            <v>28</v>
          </cell>
          <cell r="E29" t="str">
            <v>闪电海鳗</v>
          </cell>
          <cell r="G29">
            <v>0</v>
          </cell>
        </row>
        <row r="30">
          <cell r="A30">
            <v>29</v>
          </cell>
          <cell r="E30" t="str">
            <v>穿云蟹</v>
          </cell>
          <cell r="G30">
            <v>0</v>
          </cell>
        </row>
        <row r="31">
          <cell r="A31">
            <v>30</v>
          </cell>
          <cell r="E31" t="str">
            <v>电磁蟹</v>
          </cell>
          <cell r="G31">
            <v>0</v>
          </cell>
        </row>
        <row r="32">
          <cell r="A32">
            <v>31</v>
          </cell>
          <cell r="E32" t="str">
            <v>奇遇蟹</v>
          </cell>
          <cell r="G32">
            <v>0</v>
          </cell>
        </row>
        <row r="33">
          <cell r="A33">
            <v>32</v>
          </cell>
          <cell r="E33" t="str">
            <v>宝藏章鱼</v>
          </cell>
          <cell r="G33">
            <v>0</v>
          </cell>
        </row>
        <row r="34">
          <cell r="A34">
            <v>33</v>
          </cell>
          <cell r="E34" t="str">
            <v>美人鱼</v>
          </cell>
          <cell r="G34">
            <v>0</v>
          </cell>
        </row>
        <row r="35">
          <cell r="A35">
            <v>34</v>
          </cell>
          <cell r="E35" t="str">
            <v>骰子龟</v>
          </cell>
          <cell r="G35">
            <v>0</v>
          </cell>
        </row>
        <row r="36">
          <cell r="A36">
            <v>35</v>
          </cell>
          <cell r="E36" t="str">
            <v>金龙转盘</v>
          </cell>
          <cell r="G36">
            <v>0</v>
          </cell>
        </row>
        <row r="37">
          <cell r="A37">
            <v>36</v>
          </cell>
          <cell r="E37" t="str">
            <v>炽火龙王</v>
          </cell>
          <cell r="G37">
            <v>0</v>
          </cell>
        </row>
        <row r="38">
          <cell r="A38">
            <v>37</v>
          </cell>
          <cell r="E38" t="str">
            <v>财神</v>
          </cell>
          <cell r="G38">
            <v>0</v>
          </cell>
        </row>
        <row r="39">
          <cell r="A39">
            <v>38</v>
          </cell>
          <cell r="E39" t="str">
            <v>黄金巨龙</v>
          </cell>
          <cell r="G39">
            <v>0</v>
          </cell>
        </row>
        <row r="40">
          <cell r="A40">
            <v>39</v>
          </cell>
          <cell r="E40" t="str">
            <v>霸王蟹</v>
          </cell>
          <cell r="G40">
            <v>0</v>
          </cell>
        </row>
        <row r="41">
          <cell r="A41">
            <v>40</v>
          </cell>
          <cell r="E41" t="str">
            <v>深海鲸</v>
          </cell>
          <cell r="G41">
            <v>0</v>
          </cell>
        </row>
        <row r="42">
          <cell r="A42">
            <v>41</v>
          </cell>
          <cell r="E42" t="str">
            <v>鲨鱼武士</v>
          </cell>
          <cell r="G42">
            <v>0</v>
          </cell>
        </row>
        <row r="43">
          <cell r="A43">
            <v>42</v>
          </cell>
          <cell r="E43" t="str">
            <v>荧光女皇</v>
          </cell>
          <cell r="G43">
            <v>0</v>
          </cell>
        </row>
        <row r="44">
          <cell r="A44">
            <v>43</v>
          </cell>
          <cell r="E44" t="str">
            <v>龙龟</v>
          </cell>
          <cell r="G44">
            <v>0</v>
          </cell>
        </row>
        <row r="45">
          <cell r="A45">
            <v>44</v>
          </cell>
          <cell r="E45" t="str">
            <v>麒麟兽</v>
          </cell>
          <cell r="G45">
            <v>0</v>
          </cell>
        </row>
        <row r="46">
          <cell r="A46">
            <v>45</v>
          </cell>
          <cell r="E46" t="str">
            <v>海盗船</v>
          </cell>
          <cell r="G46">
            <v>0</v>
          </cell>
        </row>
        <row r="47">
          <cell r="A47">
            <v>46</v>
          </cell>
          <cell r="E47" t="str">
            <v>金蟾</v>
          </cell>
          <cell r="G47">
            <v>0</v>
          </cell>
        </row>
        <row r="48">
          <cell r="A48">
            <v>47</v>
          </cell>
          <cell r="E48" t="str">
            <v>深海狂鲨</v>
          </cell>
          <cell r="G48">
            <v>0</v>
          </cell>
        </row>
        <row r="49">
          <cell r="A49">
            <v>48</v>
          </cell>
          <cell r="E49" t="str">
            <v>鳄鱼</v>
          </cell>
          <cell r="G49">
            <v>0</v>
          </cell>
        </row>
        <row r="50">
          <cell r="A50">
            <v>49</v>
          </cell>
          <cell r="E50" t="str">
            <v>大王乌贼</v>
          </cell>
          <cell r="G50">
            <v>0</v>
          </cell>
        </row>
        <row r="51">
          <cell r="A51">
            <v>50</v>
          </cell>
          <cell r="E51" t="str">
            <v>贝壳鱼</v>
          </cell>
          <cell r="G5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8" sqref="B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5.0000000000000001E-3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5.0000000000000001E-3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5.0000000000000001E-3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5.0000000000000001E-3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5.0000000000000001E-3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5.0000000000000001E-3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5.0000000000000001E-3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5.0000000000000001E-3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5.0000000000000001E-3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5.0000000000000001E-3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1.4999999999999999E-2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1.4999999999999999E-2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1.4999999999999999E-2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1.4999999999999999E-2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1.4999999999999999E-2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1.4999999999999999E-2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1.4999999999999999E-2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1.4999999999999999E-2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1.4999999999999999E-2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1.4999999999999999E-2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0.02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0.02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0.02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0.02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0.02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0.02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0.02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0.02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0.02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0.02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0.03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0.03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0.03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0.03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0.03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0.03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0.03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0.03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0.03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0.03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232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M2" sqref="M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210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212</v>
      </c>
      <c r="M1" s="8" t="s">
        <v>227</v>
      </c>
    </row>
    <row r="2" spans="1:13" x14ac:dyDescent="0.2">
      <c r="A2" s="2">
        <v>1</v>
      </c>
      <c r="B2" s="2" t="s">
        <v>358</v>
      </c>
      <c r="C2" s="2">
        <v>1</v>
      </c>
      <c r="D2" t="s">
        <v>120</v>
      </c>
      <c r="E2" s="2">
        <v>3000</v>
      </c>
      <c r="F2" s="2">
        <v>3000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213</v>
      </c>
      <c r="C3" s="2">
        <v>1</v>
      </c>
      <c r="D3" t="s">
        <v>211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213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213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213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213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213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213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274</v>
      </c>
      <c r="C10" s="2">
        <v>4</v>
      </c>
      <c r="D10" t="s">
        <v>232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328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339</v>
      </c>
      <c r="C12" s="2">
        <v>4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23" activePane="bottomLeft" state="frozen"/>
      <selection pane="bottomLeft" activeCell="I41" sqref="I41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275</v>
      </c>
      <c r="B1" s="1" t="s">
        <v>276</v>
      </c>
      <c r="C1" s="1" t="s">
        <v>277</v>
      </c>
      <c r="D1" s="1" t="s">
        <v>278</v>
      </c>
      <c r="E1" s="1" t="s">
        <v>279</v>
      </c>
      <c r="F1" s="1" t="s">
        <v>280</v>
      </c>
      <c r="G1" s="1" t="s">
        <v>281</v>
      </c>
      <c r="H1" s="1" t="s">
        <v>97</v>
      </c>
      <c r="I1" s="1" t="s">
        <v>282</v>
      </c>
      <c r="J1" s="9" t="s">
        <v>105</v>
      </c>
      <c r="K1" s="1" t="s">
        <v>283</v>
      </c>
      <c r="L1" s="1" t="s">
        <v>50</v>
      </c>
      <c r="Q1" s="1" t="s">
        <v>284</v>
      </c>
      <c r="R1" s="1" t="s">
        <v>284</v>
      </c>
      <c r="S1" s="1" t="s">
        <v>284</v>
      </c>
      <c r="T1" s="1" t="s">
        <v>284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285</v>
      </c>
      <c r="D2" s="29" t="s">
        <v>162</v>
      </c>
      <c r="F2" s="29">
        <v>5</v>
      </c>
      <c r="G2" s="27"/>
      <c r="H2" s="29">
        <f>SUM(_xlfn.IFNA(LOOKUP(Q2,[1]use_fish!A:A,[1]use_fish!E:E),0),_xlfn.IFNA(LOOKUP(R2,[1]use_fish!A:A,[1]use_fish!E:E),0),_xlfn.IFNA(LOOKUP(S2,[1]use_fish!A:A,[1]use_fish!E:E),0),_xlfn.IFNA(LOOKUP(T2,[1]use_fish!A:A,[1]use_fish!E:E),0),_xlfn.IFNA(LOOKUP(U2,[1]use_fish!A:A,[1]use_fish!E:E),0),_xlfn.IFNA(LOOKUP(V2,[1]use_fish!A:A,[1]use_fish!E:E),0),_xlfn.IFNA(LOOKUP(W2,[1]use_fish!A:A,[1]use_fish!E:E),0),)</f>
        <v>2</v>
      </c>
      <c r="I2" s="29">
        <f>SUM(_xlfn.IFNA(LOOKUP(Q2,[1]use_fish!A:A,[1]use_fish!I:I),0),_xlfn.IFNA(LOOKUP(R2,[1]use_fish!A:A,[1]use_fish!I:I),0),_xlfn.IFNA(LOOKUP(S2,[1]use_fish!A:A,[1]use_fish!I:I),0),_xlfn.IFNA(LOOKUP(T2,[1]use_fish!A:A,[1]use_fish!I:I),0),_xlfn.IFNA(LOOKUP(U2,[1]use_fish!A:A,[1]use_fish!I:I),0),_xlfn.IFNA(LOOKUP(V2,[1]use_fish!A:A,[1]use_fish!I:I),0),_xlfn.IFNA(LOOKUP(W2,[1]use_fish!A:A,[1]use_fish!I:I),0),)</f>
        <v>2</v>
      </c>
      <c r="J2" s="27">
        <f>SUM(_xlfn.IFNA(LOOKUP(Q2,[1]use_fish!A:A,[1]use_fish!K:K),0),_xlfn.IFNA(LOOKUP(R2,[1]use_fish!A:A,[1]use_fish!K:K),0),_xlfn.IFNA(LOOKUP(S2,[1]use_fish!A:A,[1]use_fish!K:K),0),_xlfn.IFNA(LOOKUP(T2,[1]use_fish!A:A,[1]use_fish!K:K),0),_xlfn.IFNA(LOOKUP(U2,[1]use_fish!A:A,[1]use_fish!K:K),0),_xlfn.IFNA(LOOKUP(V2,[1]use_fish!A:A,[1]use_fish!K:K),0),_xlfn.IFNA(LOOKUP(W2,[1]use_fish!A:A,[1]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162</v>
      </c>
      <c r="D3" s="29" t="s">
        <v>162</v>
      </c>
      <c r="F3" s="29">
        <v>5</v>
      </c>
      <c r="G3" s="27"/>
      <c r="H3" s="29">
        <f>SUM(_xlfn.IFNA(LOOKUP(Q3,[1]use_fish!A:A,[1]use_fish!E:E),0),_xlfn.IFNA(LOOKUP(R3,[1]use_fish!A:A,[1]use_fish!E:E),0),_xlfn.IFNA(LOOKUP(S3,[1]use_fish!A:A,[1]use_fish!E:E),0),_xlfn.IFNA(LOOKUP(T3,[1]use_fish!A:A,[1]use_fish!E:E),0),_xlfn.IFNA(LOOKUP(U3,[1]use_fish!A:A,[1]use_fish!E:E),0),_xlfn.IFNA(LOOKUP(V3,[1]use_fish!A:A,[1]use_fish!E:E),0),_xlfn.IFNA(LOOKUP(W3,[1]use_fish!A:A,[1]use_fish!E:E),0),)</f>
        <v>2</v>
      </c>
      <c r="I3" s="29">
        <f>SUM(_xlfn.IFNA(LOOKUP(Q3,[1]use_fish!A:A,[1]use_fish!I:I),0),_xlfn.IFNA(LOOKUP(R3,[1]use_fish!A:A,[1]use_fish!I:I),0),_xlfn.IFNA(LOOKUP(S3,[1]use_fish!A:A,[1]use_fish!I:I),0),_xlfn.IFNA(LOOKUP(T3,[1]use_fish!A:A,[1]use_fish!I:I),0),_xlfn.IFNA(LOOKUP(U3,[1]use_fish!A:A,[1]use_fish!I:I),0),_xlfn.IFNA(LOOKUP(V3,[1]use_fish!A:A,[1]use_fish!I:I),0),_xlfn.IFNA(LOOKUP(W3,[1]use_fish!A:A,[1]use_fish!I:I),0),)</f>
        <v>2</v>
      </c>
      <c r="J3" s="27">
        <f>SUM(_xlfn.IFNA(LOOKUP(Q3,[1]use_fish!A:A,[1]use_fish!K:K),0),_xlfn.IFNA(LOOKUP(R3,[1]use_fish!A:A,[1]use_fish!K:K),0),_xlfn.IFNA(LOOKUP(S3,[1]use_fish!A:A,[1]use_fish!K:K),0),_xlfn.IFNA(LOOKUP(T3,[1]use_fish!A:A,[1]use_fish!K:K),0),_xlfn.IFNA(LOOKUP(U3,[1]use_fish!A:A,[1]use_fish!K:K),0),_xlfn.IFNA(LOOKUP(V3,[1]use_fish!A:A,[1]use_fish!K:K),0),_xlfn.IFNA(LOOKUP(W3,[1]use_fish!A:A,[1]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264</v>
      </c>
      <c r="D4" s="29" t="s">
        <v>162</v>
      </c>
      <c r="G4" s="27"/>
      <c r="H4" s="29">
        <f>SUM(_xlfn.IFNA(LOOKUP(Q4,[1]use_fish!A:A,[1]use_fish!E:E),0),_xlfn.IFNA(LOOKUP(R4,[1]use_fish!A:A,[1]use_fish!E:E),0),_xlfn.IFNA(LOOKUP(S4,[1]use_fish!A:A,[1]use_fish!E:E),0),_xlfn.IFNA(LOOKUP(T4,[1]use_fish!A:A,[1]use_fish!E:E),0),_xlfn.IFNA(LOOKUP(U4,[1]use_fish!A:A,[1]use_fish!E:E),0),_xlfn.IFNA(LOOKUP(V4,[1]use_fish!A:A,[1]use_fish!E:E),0),_xlfn.IFNA(LOOKUP(W4,[1]use_fish!A:A,[1]use_fish!E:E),0),)</f>
        <v>2</v>
      </c>
      <c r="I4" s="29">
        <f>SUM(_xlfn.IFNA(LOOKUP(Q4,[1]use_fish!A:A,[1]use_fish!I:I),0),_xlfn.IFNA(LOOKUP(R4,[1]use_fish!A:A,[1]use_fish!I:I),0),_xlfn.IFNA(LOOKUP(S4,[1]use_fish!A:A,[1]use_fish!I:I),0),_xlfn.IFNA(LOOKUP(T4,[1]use_fish!A:A,[1]use_fish!I:I),0),_xlfn.IFNA(LOOKUP(U4,[1]use_fish!A:A,[1]use_fish!I:I),0),_xlfn.IFNA(LOOKUP(V4,[1]use_fish!A:A,[1]use_fish!I:I),0),_xlfn.IFNA(LOOKUP(W4,[1]use_fish!A:A,[1]use_fish!I:I),0),)</f>
        <v>2</v>
      </c>
      <c r="J4" s="27">
        <f>SUM(_xlfn.IFNA(LOOKUP(Q4,[1]use_fish!A:A,[1]use_fish!K:K),0),_xlfn.IFNA(LOOKUP(R4,[1]use_fish!A:A,[1]use_fish!K:K),0),_xlfn.IFNA(LOOKUP(S4,[1]use_fish!A:A,[1]use_fish!K:K),0),_xlfn.IFNA(LOOKUP(T4,[1]use_fish!A:A,[1]use_fish!K:K),0),_xlfn.IFNA(LOOKUP(U4,[1]use_fish!A:A,[1]use_fish!K:K),0),_xlfn.IFNA(LOOKUP(V4,[1]use_fish!A:A,[1]use_fish!K:K),0),_xlfn.IFNA(LOOKUP(W4,[1]use_fish!A:A,[1]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224</v>
      </c>
      <c r="D5" s="29" t="s">
        <v>162</v>
      </c>
      <c r="G5" s="27"/>
      <c r="H5" s="29">
        <f>SUM(_xlfn.IFNA(LOOKUP(Q5,[1]use_fish!A:A,[1]use_fish!E:E),0),_xlfn.IFNA(LOOKUP(R5,[1]use_fish!A:A,[1]use_fish!E:E),0),_xlfn.IFNA(LOOKUP(S5,[1]use_fish!A:A,[1]use_fish!E:E),0),_xlfn.IFNA(LOOKUP(T5,[1]use_fish!A:A,[1]use_fish!E:E),0),_xlfn.IFNA(LOOKUP(U5,[1]use_fish!A:A,[1]use_fish!E:E),0),_xlfn.IFNA(LOOKUP(V5,[1]use_fish!A:A,[1]use_fish!E:E),0),_xlfn.IFNA(LOOKUP(W5,[1]use_fish!A:A,[1]use_fish!E:E),0),)</f>
        <v>2</v>
      </c>
      <c r="I5" s="29">
        <f>SUM(_xlfn.IFNA(LOOKUP(Q5,[1]use_fish!A:A,[1]use_fish!I:I),0),_xlfn.IFNA(LOOKUP(R5,[1]use_fish!A:A,[1]use_fish!I:I),0),_xlfn.IFNA(LOOKUP(S5,[1]use_fish!A:A,[1]use_fish!I:I),0),_xlfn.IFNA(LOOKUP(T5,[1]use_fish!A:A,[1]use_fish!I:I),0),_xlfn.IFNA(LOOKUP(U5,[1]use_fish!A:A,[1]use_fish!I:I),0),_xlfn.IFNA(LOOKUP(V5,[1]use_fish!A:A,[1]use_fish!I:I),0),_xlfn.IFNA(LOOKUP(W5,[1]use_fish!A:A,[1]use_fish!I:I),0),)</f>
        <v>2</v>
      </c>
      <c r="J5" s="27">
        <f>SUM(_xlfn.IFNA(LOOKUP(Q5,[1]use_fish!A:A,[1]use_fish!K:K),0),_xlfn.IFNA(LOOKUP(R5,[1]use_fish!A:A,[1]use_fish!K:K),0),_xlfn.IFNA(LOOKUP(S5,[1]use_fish!A:A,[1]use_fish!K:K),0),_xlfn.IFNA(LOOKUP(T5,[1]use_fish!A:A,[1]use_fish!K:K),0),_xlfn.IFNA(LOOKUP(U5,[1]use_fish!A:A,[1]use_fish!K:K),0),_xlfn.IFNA(LOOKUP(V5,[1]use_fish!A:A,[1]use_fish!K:K),0),_xlfn.IFNA(LOOKUP(W5,[1]use_fish!A:A,[1]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225</v>
      </c>
      <c r="D6" s="29" t="s">
        <v>162</v>
      </c>
      <c r="G6" s="27"/>
      <c r="H6" s="29">
        <f>SUM(_xlfn.IFNA(LOOKUP(Q6,[1]use_fish!A:A,[1]use_fish!E:E),0),_xlfn.IFNA(LOOKUP(R6,[1]use_fish!A:A,[1]use_fish!E:E),0),_xlfn.IFNA(LOOKUP(S6,[1]use_fish!A:A,[1]use_fish!E:E),0),_xlfn.IFNA(LOOKUP(T6,[1]use_fish!A:A,[1]use_fish!E:E),0),_xlfn.IFNA(LOOKUP(U6,[1]use_fish!A:A,[1]use_fish!E:E),0),_xlfn.IFNA(LOOKUP(V6,[1]use_fish!A:A,[1]use_fish!E:E),0),_xlfn.IFNA(LOOKUP(W6,[1]use_fish!A:A,[1]use_fish!E:E),0),)</f>
        <v>2</v>
      </c>
      <c r="I6" s="29">
        <f>SUM(_xlfn.IFNA(LOOKUP(Q6,[1]use_fish!A:A,[1]use_fish!I:I),0),_xlfn.IFNA(LOOKUP(R6,[1]use_fish!A:A,[1]use_fish!I:I),0),_xlfn.IFNA(LOOKUP(S6,[1]use_fish!A:A,[1]use_fish!I:I),0),_xlfn.IFNA(LOOKUP(T6,[1]use_fish!A:A,[1]use_fish!I:I),0),_xlfn.IFNA(LOOKUP(U6,[1]use_fish!A:A,[1]use_fish!I:I),0),_xlfn.IFNA(LOOKUP(V6,[1]use_fish!A:A,[1]use_fish!I:I),0),_xlfn.IFNA(LOOKUP(W6,[1]use_fish!A:A,[1]use_fish!I:I),0),)</f>
        <v>2</v>
      </c>
      <c r="J6" s="27">
        <f>SUM(_xlfn.IFNA(LOOKUP(Q6,[1]use_fish!A:A,[1]use_fish!K:K),0),_xlfn.IFNA(LOOKUP(R6,[1]use_fish!A:A,[1]use_fish!K:K),0),_xlfn.IFNA(LOOKUP(S6,[1]use_fish!A:A,[1]use_fish!K:K),0),_xlfn.IFNA(LOOKUP(T6,[1]use_fish!A:A,[1]use_fish!K:K),0),_xlfn.IFNA(LOOKUP(U6,[1]use_fish!A:A,[1]use_fish!K:K),0),_xlfn.IFNA(LOOKUP(V6,[1]use_fish!A:A,[1]use_fish!K:K),0),_xlfn.IFNA(LOOKUP(W6,[1]use_fish!A:A,[1]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286</v>
      </c>
      <c r="G7" s="45" t="s">
        <v>287</v>
      </c>
      <c r="H7" s="29">
        <f>SUM(_xlfn.IFNA(LOOKUP(Q7,[1]use_fish!A:A,[1]use_fish!E:E),0),_xlfn.IFNA(LOOKUP(R7,[1]use_fish!A:A,[1]use_fish!E:E),0),_xlfn.IFNA(LOOKUP(S7,[1]use_fish!A:A,[1]use_fish!E:E),0),_xlfn.IFNA(LOOKUP(T7,[1]use_fish!A:A,[1]use_fish!E:E),0),_xlfn.IFNA(LOOKUP(U7,[1]use_fish!A:A,[1]use_fish!E:E),0),_xlfn.IFNA(LOOKUP(V7,[1]use_fish!A:A,[1]use_fish!E:E),0),_xlfn.IFNA(LOOKUP(W7,[1]use_fish!A:A,[1]use_fish!E:E),0),)</f>
        <v>2</v>
      </c>
      <c r="I7" s="29">
        <f>SUM(_xlfn.IFNA(LOOKUP(Q7,[1]use_fish!A:A,[1]use_fish!I:I),0),_xlfn.IFNA(LOOKUP(R7,[1]use_fish!A:A,[1]use_fish!I:I),0),_xlfn.IFNA(LOOKUP(S7,[1]use_fish!A:A,[1]use_fish!I:I),0),_xlfn.IFNA(LOOKUP(T7,[1]use_fish!A:A,[1]use_fish!I:I),0),_xlfn.IFNA(LOOKUP(U7,[1]use_fish!A:A,[1]use_fish!I:I),0),_xlfn.IFNA(LOOKUP(V7,[1]use_fish!A:A,[1]use_fish!I:I),0),_xlfn.IFNA(LOOKUP(W7,[1]use_fish!A:A,[1]use_fish!I:I),0),)</f>
        <v>2</v>
      </c>
      <c r="J7" s="27">
        <f>SUM(_xlfn.IFNA(LOOKUP(Q7,[1]use_fish!A:A,[1]use_fish!K:K),0),_xlfn.IFNA(LOOKUP(R7,[1]use_fish!A:A,[1]use_fish!K:K),0),_xlfn.IFNA(LOOKUP(S7,[1]use_fish!A:A,[1]use_fish!K:K),0),_xlfn.IFNA(LOOKUP(T7,[1]use_fish!A:A,[1]use_fish!K:K),0),_xlfn.IFNA(LOOKUP(U7,[1]use_fish!A:A,[1]use_fish!K:K),0),_xlfn.IFNA(LOOKUP(V7,[1]use_fish!A:A,[1]use_fish!K:K),0),_xlfn.IFNA(LOOKUP(W7,[1]use_fish!A:A,[1]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288</v>
      </c>
      <c r="D8" s="29" t="s">
        <v>162</v>
      </c>
      <c r="G8" s="45" t="s">
        <v>289</v>
      </c>
      <c r="H8" s="29">
        <f>SUM(_xlfn.IFNA(LOOKUP(Q8,[1]use_fish!A:A,[1]use_fish!E:E),0),_xlfn.IFNA(LOOKUP(R8,[1]use_fish!A:A,[1]use_fish!E:E),0),_xlfn.IFNA(LOOKUP(S8,[1]use_fish!A:A,[1]use_fish!E:E),0),_xlfn.IFNA(LOOKUP(T8,[1]use_fish!A:A,[1]use_fish!E:E),0),_xlfn.IFNA(LOOKUP(U8,[1]use_fish!A:A,[1]use_fish!E:E),0),_xlfn.IFNA(LOOKUP(V8,[1]use_fish!A:A,[1]use_fish!E:E),0),_xlfn.IFNA(LOOKUP(W8,[1]use_fish!A:A,[1]use_fish!E:E),0),)</f>
        <v>7</v>
      </c>
      <c r="I8" s="29">
        <f>SUM(_xlfn.IFNA(LOOKUP(Q8,[1]use_fish!A:A,[1]use_fish!I:I),0),_xlfn.IFNA(LOOKUP(R8,[1]use_fish!A:A,[1]use_fish!I:I),0),_xlfn.IFNA(LOOKUP(S8,[1]use_fish!A:A,[1]use_fish!I:I),0),_xlfn.IFNA(LOOKUP(T8,[1]use_fish!A:A,[1]use_fish!I:I),0),_xlfn.IFNA(LOOKUP(U8,[1]use_fish!A:A,[1]use_fish!I:I),0),_xlfn.IFNA(LOOKUP(V8,[1]use_fish!A:A,[1]use_fish!I:I),0),_xlfn.IFNA(LOOKUP(W8,[1]use_fish!A:A,[1]use_fish!I:I),0),)</f>
        <v>7</v>
      </c>
      <c r="J8" s="27">
        <f>SUM(_xlfn.IFNA(LOOKUP(Q8,[1]use_fish!A:A,[1]use_fish!K:K),0),_xlfn.IFNA(LOOKUP(R8,[1]use_fish!A:A,[1]use_fish!K:K),0),_xlfn.IFNA(LOOKUP(S8,[1]use_fish!A:A,[1]use_fish!K:K),0),_xlfn.IFNA(LOOKUP(T8,[1]use_fish!A:A,[1]use_fish!K:K),0),_xlfn.IFNA(LOOKUP(U8,[1]use_fish!A:A,[1]use_fish!K:K),0),_xlfn.IFNA(LOOKUP(V8,[1]use_fish!A:A,[1]use_fish!K:K),0),_xlfn.IFNA(LOOKUP(W8,[1]use_fish!A:A,[1]use_fish!K:K),0),)</f>
        <v>0</v>
      </c>
      <c r="K8" s="29" t="str">
        <f t="array" ref="K8">INDEX([1]use_fish!A:A,SMALL(IF([1]group!$L$2&amp;IF(ISBLANK($L$14),$L$14,"+"&amp;$L$14)=[1]use_fish!H:H,ROW([1]use_fish!H:H),4^8),ROW(16:16)))&amp;""</f>
        <v/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163</v>
      </c>
      <c r="D9" s="29" t="s">
        <v>162</v>
      </c>
      <c r="F9" s="29">
        <v>10</v>
      </c>
      <c r="H9" s="29">
        <f>SUM(_xlfn.IFNA(LOOKUP(Q9,[1]use_fish!A:A,[1]use_fish!E:E),0),_xlfn.IFNA(LOOKUP(R9,[1]use_fish!A:A,[1]use_fish!E:E),0),_xlfn.IFNA(LOOKUP(S9,[1]use_fish!A:A,[1]use_fish!E:E),0),_xlfn.IFNA(LOOKUP(T9,[1]use_fish!A:A,[1]use_fish!E:E),0),_xlfn.IFNA(LOOKUP(U9,[1]use_fish!A:A,[1]use_fish!E:E),0),_xlfn.IFNA(LOOKUP(V9,[1]use_fish!A:A,[1]use_fish!E:E),0),_xlfn.IFNA(LOOKUP(W9,[1]use_fish!A:A,[1]use_fish!E:E),0),)</f>
        <v>8</v>
      </c>
      <c r="I9" s="29">
        <f>SUM(_xlfn.IFNA(LOOKUP(Q9,[1]use_fish!A:A,[1]use_fish!I:I),0),_xlfn.IFNA(LOOKUP(R9,[1]use_fish!A:A,[1]use_fish!I:I),0),_xlfn.IFNA(LOOKUP(S9,[1]use_fish!A:A,[1]use_fish!I:I),0),_xlfn.IFNA(LOOKUP(T9,[1]use_fish!A:A,[1]use_fish!I:I),0),_xlfn.IFNA(LOOKUP(U9,[1]use_fish!A:A,[1]use_fish!I:I),0),_xlfn.IFNA(LOOKUP(V9,[1]use_fish!A:A,[1]use_fish!I:I),0),_xlfn.IFNA(LOOKUP(W9,[1]use_fish!A:A,[1]use_fish!I:I),0),)</f>
        <v>8</v>
      </c>
      <c r="J9" s="27">
        <f>SUM(_xlfn.IFNA(LOOKUP(Q9,[1]use_fish!A:A,[1]use_fish!K:K),0),_xlfn.IFNA(LOOKUP(R9,[1]use_fish!A:A,[1]use_fish!K:K),0),_xlfn.IFNA(LOOKUP(S9,[1]use_fish!A:A,[1]use_fish!K:K),0),_xlfn.IFNA(LOOKUP(T9,[1]use_fish!A:A,[1]use_fish!K:K),0),_xlfn.IFNA(LOOKUP(U9,[1]use_fish!A:A,[1]use_fish!K:K),0),_xlfn.IFNA(LOOKUP(V9,[1]use_fish!A:A,[1]use_fish!K:K),0),_xlfn.IFNA(LOOKUP(W9,[1]use_fish!A:A,[1]use_fish!K:K),0),)</f>
        <v>0</v>
      </c>
      <c r="K9" s="29" t="str">
        <f t="array" ref="K9">INDEX([1]use_fish!A:A,SMALL(IF([1]group!$L$2&amp;IF(ISBLANK($L$14),$L$14,"+"&amp;$L$14)=[1]use_fish!H:H,ROW([1]use_fish!H:H),4^8),ROW(17:17)))&amp;""</f>
        <v/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290</v>
      </c>
      <c r="D10" s="29" t="s">
        <v>291</v>
      </c>
      <c r="H10" s="29">
        <f>SUM(_xlfn.IFNA(LOOKUP(Q10,[1]use_fish!A:A,[1]use_fish!E:E),0),_xlfn.IFNA(LOOKUP(R10,[1]use_fish!A:A,[1]use_fish!E:E),0),_xlfn.IFNA(LOOKUP(S10,[1]use_fish!A:A,[1]use_fish!E:E),0),_xlfn.IFNA(LOOKUP(T10,[1]use_fish!A:A,[1]use_fish!E:E),0),_xlfn.IFNA(LOOKUP(U10,[1]use_fish!A:A,[1]use_fish!E:E),0),_xlfn.IFNA(LOOKUP(V10,[1]use_fish!A:A,[1]use_fish!E:E),0),_xlfn.IFNA(LOOKUP(W10,[1]use_fish!A:A,[1]use_fish!E:E),0),)</f>
        <v>10</v>
      </c>
      <c r="I10" s="29">
        <f>SUM(_xlfn.IFNA(LOOKUP(Q10,[1]use_fish!A:A,[1]use_fish!I:I),0),_xlfn.IFNA(LOOKUP(R10,[1]use_fish!A:A,[1]use_fish!I:I),0),_xlfn.IFNA(LOOKUP(S10,[1]use_fish!A:A,[1]use_fish!I:I),0),_xlfn.IFNA(LOOKUP(T10,[1]use_fish!A:A,[1]use_fish!I:I),0),_xlfn.IFNA(LOOKUP(U10,[1]use_fish!A:A,[1]use_fish!I:I),0),_xlfn.IFNA(LOOKUP(V10,[1]use_fish!A:A,[1]use_fish!I:I),0),_xlfn.IFNA(LOOKUP(W10,[1]use_fish!A:A,[1]use_fish!I:I),0),)</f>
        <v>10</v>
      </c>
      <c r="J10" s="27">
        <f>SUM(_xlfn.IFNA(LOOKUP(Q10,[1]use_fish!A:A,[1]use_fish!K:K),0),_xlfn.IFNA(LOOKUP(R10,[1]use_fish!A:A,[1]use_fish!K:K),0),_xlfn.IFNA(LOOKUP(S10,[1]use_fish!A:A,[1]use_fish!K:K),0),_xlfn.IFNA(LOOKUP(T10,[1]use_fish!A:A,[1]use_fish!K:K),0),_xlfn.IFNA(LOOKUP(U10,[1]use_fish!A:A,[1]use_fish!K:K),0),_xlfn.IFNA(LOOKUP(V10,[1]use_fish!A:A,[1]use_fish!K:K),0),_xlfn.IFNA(LOOKUP(W10,[1]use_fish!A:A,[1]use_fish!K:K),0),)</f>
        <v>0</v>
      </c>
      <c r="K10" s="29" t="str">
        <f t="array" ref="K10">INDEX([1]use_fish!A:A,SMALL(IF([1]group!$L$2&amp;IF(ISBLANK($L$14),$L$14,"+"&amp;$L$14)=[1]use_fish!H:H,ROW([1]use_fish!H:H),4^8),ROW(18:18)))&amp;""</f>
        <v/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292</v>
      </c>
      <c r="H11" s="29">
        <f>SUM(_xlfn.IFNA(LOOKUP(Q11,[1]use_fish!A:A,[1]use_fish!E:E),0),_xlfn.IFNA(LOOKUP(R11,[1]use_fish!A:A,[1]use_fish!E:E),0),_xlfn.IFNA(LOOKUP(S11,[1]use_fish!A:A,[1]use_fish!E:E),0),_xlfn.IFNA(LOOKUP(T11,[1]use_fish!A:A,[1]use_fish!E:E),0),_xlfn.IFNA(LOOKUP(U11,[1]use_fish!A:A,[1]use_fish!E:E),0),_xlfn.IFNA(LOOKUP(V11,[1]use_fish!A:A,[1]use_fish!E:E),0),_xlfn.IFNA(LOOKUP(W11,[1]use_fish!A:A,[1]use_fish!E:E),0),)</f>
        <v>12</v>
      </c>
      <c r="I11" s="29">
        <f>SUM(_xlfn.IFNA(LOOKUP(Q11,[1]use_fish!A:A,[1]use_fish!I:I),0),_xlfn.IFNA(LOOKUP(R11,[1]use_fish!A:A,[1]use_fish!I:I),0),_xlfn.IFNA(LOOKUP(S11,[1]use_fish!A:A,[1]use_fish!I:I),0),_xlfn.IFNA(LOOKUP(T11,[1]use_fish!A:A,[1]use_fish!I:I),0),_xlfn.IFNA(LOOKUP(U11,[1]use_fish!A:A,[1]use_fish!I:I),0),_xlfn.IFNA(LOOKUP(V11,[1]use_fish!A:A,[1]use_fish!I:I),0),_xlfn.IFNA(LOOKUP(W11,[1]use_fish!A:A,[1]use_fish!I:I),0),)</f>
        <v>12</v>
      </c>
      <c r="J11" s="27">
        <f>SUM(_xlfn.IFNA(LOOKUP(Q11,[1]use_fish!A:A,[1]use_fish!K:K),0),_xlfn.IFNA(LOOKUP(R11,[1]use_fish!A:A,[1]use_fish!K:K),0),_xlfn.IFNA(LOOKUP(S11,[1]use_fish!A:A,[1]use_fish!K:K),0),_xlfn.IFNA(LOOKUP(T11,[1]use_fish!A:A,[1]use_fish!K:K),0),_xlfn.IFNA(LOOKUP(U11,[1]use_fish!A:A,[1]use_fish!K:K),0),_xlfn.IFNA(LOOKUP(V11,[1]use_fish!A:A,[1]use_fish!K:K),0),_xlfn.IFNA(LOOKUP(W11,[1]use_fish!A:A,[1]use_fish!K:K),0),)</f>
        <v>0</v>
      </c>
      <c r="K11" s="29" t="str">
        <f t="array" ref="K11">INDEX([1]use_fish!A:A,SMALL(IF([1]group!$L$2&amp;IF(ISBLANK($L$14),$L$14,"+"&amp;$L$14)=[1]use_fish!H:H,ROW([1]use_fish!H:H),4^8),ROW(8:8)))&amp;""</f>
        <v/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265</v>
      </c>
      <c r="D12" s="29" t="s">
        <v>162</v>
      </c>
      <c r="H12" s="29">
        <f>SUM(_xlfn.IFNA(LOOKUP(Q12,[1]use_fish!A:A,[1]use_fish!E:E),0),_xlfn.IFNA(LOOKUP(R12,[1]use_fish!A:A,[1]use_fish!E:E),0),_xlfn.IFNA(LOOKUP(S12,[1]use_fish!A:A,[1]use_fish!E:E),0),_xlfn.IFNA(LOOKUP(T12,[1]use_fish!A:A,[1]use_fish!E:E),0),_xlfn.IFNA(LOOKUP(U12,[1]use_fish!A:A,[1]use_fish!E:E),0),_xlfn.IFNA(LOOKUP(V12,[1]use_fish!A:A,[1]use_fish!E:E),0),_xlfn.IFNA(LOOKUP(W12,[1]use_fish!A:A,[1]use_fish!E:E),0),)</f>
        <v>12</v>
      </c>
      <c r="I12" s="29">
        <f>SUM(_xlfn.IFNA(LOOKUP(Q12,[1]use_fish!A:A,[1]use_fish!I:I),0),_xlfn.IFNA(LOOKUP(R12,[1]use_fish!A:A,[1]use_fish!I:I),0),_xlfn.IFNA(LOOKUP(S12,[1]use_fish!A:A,[1]use_fish!I:I),0),_xlfn.IFNA(LOOKUP(T12,[1]use_fish!A:A,[1]use_fish!I:I),0),_xlfn.IFNA(LOOKUP(U12,[1]use_fish!A:A,[1]use_fish!I:I),0),_xlfn.IFNA(LOOKUP(V12,[1]use_fish!A:A,[1]use_fish!I:I),0),_xlfn.IFNA(LOOKUP(W12,[1]use_fish!A:A,[1]use_fish!I:I),0),)</f>
        <v>12</v>
      </c>
      <c r="J12" s="27">
        <f>SUM(_xlfn.IFNA(LOOKUP(Q12,[1]use_fish!A:A,[1]use_fish!K:K),0),_xlfn.IFNA(LOOKUP(R12,[1]use_fish!A:A,[1]use_fish!K:K),0),_xlfn.IFNA(LOOKUP(S12,[1]use_fish!A:A,[1]use_fish!K:K),0),_xlfn.IFNA(LOOKUP(T12,[1]use_fish!A:A,[1]use_fish!K:K),0),_xlfn.IFNA(LOOKUP(U12,[1]use_fish!A:A,[1]use_fish!K:K),0),_xlfn.IFNA(LOOKUP(V12,[1]use_fish!A:A,[1]use_fish!K:K),0),_xlfn.IFNA(LOOKUP(W12,[1]use_fish!A:A,[1]use_fish!K:K),0),)</f>
        <v>0</v>
      </c>
      <c r="K12" s="29" t="str">
        <f t="array" ref="K12">INDEX([1]use_fish!A:A,SMALL(IF([1]group!$L$2&amp;IF(ISBLANK($L$14),$L$14,"+"&amp;$L$14)=[1]use_fish!H:H,ROW([1]use_fish!H:H),4^8),ROW(9:9)))&amp;""</f>
        <v/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171</v>
      </c>
      <c r="H13" s="12">
        <f>SUM(_xlfn.IFNA(LOOKUP(Q13,[1]use_fish!A:A,[1]use_fish!E:E),0),_xlfn.IFNA(LOOKUP(R13,[1]use_fish!A:A,[1]use_fish!E:E),0),_xlfn.IFNA(LOOKUP(S13,[1]use_fish!A:A,[1]use_fish!E:E),0),_xlfn.IFNA(LOOKUP(T13,[1]use_fish!A:A,[1]use_fish!E:E),0),_xlfn.IFNA(LOOKUP(U13,[1]use_fish!A:A,[1]use_fish!E:E),0),_xlfn.IFNA(LOOKUP(V13,[1]use_fish!A:A,[1]use_fish!E:E),0),_xlfn.IFNA(LOOKUP(W13,[1]use_fish!A:A,[1]use_fish!E:E),0),)</f>
        <v>18</v>
      </c>
      <c r="I13" s="12">
        <f>SUM(_xlfn.IFNA(LOOKUP(Q13,[1]use_fish!A:A,[1]use_fish!I:I),0),_xlfn.IFNA(LOOKUP(R13,[1]use_fish!A:A,[1]use_fish!I:I),0),_xlfn.IFNA(LOOKUP(S13,[1]use_fish!A:A,[1]use_fish!I:I),0),_xlfn.IFNA(LOOKUP(T13,[1]use_fish!A:A,[1]use_fish!I:I),0),_xlfn.IFNA(LOOKUP(U13,[1]use_fish!A:A,[1]use_fish!I:I),0),_xlfn.IFNA(LOOKUP(V13,[1]use_fish!A:A,[1]use_fish!I:I),0),_xlfn.IFNA(LOOKUP(W13,[1]use_fish!A:A,[1]use_fish!I:I),0),)</f>
        <v>18</v>
      </c>
      <c r="J13" s="13">
        <f>SUM(_xlfn.IFNA(LOOKUP(Q13,[1]use_fish!A:A,[1]use_fish!K:K),0),_xlfn.IFNA(LOOKUP(R13,[1]use_fish!A:A,[1]use_fish!K:K),0),_xlfn.IFNA(LOOKUP(S13,[1]use_fish!A:A,[1]use_fish!K:K),0),_xlfn.IFNA(LOOKUP(T13,[1]use_fish!A:A,[1]use_fish!K:K),0),_xlfn.IFNA(LOOKUP(U13,[1]use_fish!A:A,[1]use_fish!K:K),0),_xlfn.IFNA(LOOKUP(V13,[1]use_fish!A:A,[1]use_fish!K:K),0),_xlfn.IFNA(LOOKUP(W13,[1]use_fish!A:A,[1]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293</v>
      </c>
      <c r="H14" s="12">
        <f>SUM(_xlfn.IFNA(LOOKUP(Q14,[1]use_fish!A:A,[1]use_fish!E:E),0),_xlfn.IFNA(LOOKUP(R14,[1]use_fish!A:A,[1]use_fish!E:E),0),_xlfn.IFNA(LOOKUP(S14,[1]use_fish!A:A,[1]use_fish!E:E),0),_xlfn.IFNA(LOOKUP(T14,[1]use_fish!A:A,[1]use_fish!E:E),0),_xlfn.IFNA(LOOKUP(U14,[1]use_fish!A:A,[1]use_fish!E:E),0),_xlfn.IFNA(LOOKUP(V14,[1]use_fish!A:A,[1]use_fish!E:E),0),_xlfn.IFNA(LOOKUP(W14,[1]use_fish!A:A,[1]use_fish!E:E),0),)</f>
        <v>17</v>
      </c>
      <c r="I14" s="12">
        <f>SUM(_xlfn.IFNA(LOOKUP(Q14,[1]use_fish!A:A,[1]use_fish!I:I),0),_xlfn.IFNA(LOOKUP(R14,[1]use_fish!A:A,[1]use_fish!I:I),0),_xlfn.IFNA(LOOKUP(S14,[1]use_fish!A:A,[1]use_fish!I:I),0),_xlfn.IFNA(LOOKUP(T14,[1]use_fish!A:A,[1]use_fish!I:I),0),_xlfn.IFNA(LOOKUP(U14,[1]use_fish!A:A,[1]use_fish!I:I),0),_xlfn.IFNA(LOOKUP(V14,[1]use_fish!A:A,[1]use_fish!I:I),0),_xlfn.IFNA(LOOKUP(W14,[1]use_fish!A:A,[1]use_fish!I:I),0),)</f>
        <v>17</v>
      </c>
      <c r="J14" s="13">
        <f>SUM(_xlfn.IFNA(LOOKUP(Q14,[1]use_fish!A:A,[1]use_fish!K:K),0),_xlfn.IFNA(LOOKUP(R14,[1]use_fish!A:A,[1]use_fish!K:K),0),_xlfn.IFNA(LOOKUP(S14,[1]use_fish!A:A,[1]use_fish!K:K),0),_xlfn.IFNA(LOOKUP(T14,[1]use_fish!A:A,[1]use_fish!K:K),0),_xlfn.IFNA(LOOKUP(U14,[1]use_fish!A:A,[1]use_fish!K:K),0),_xlfn.IFNA(LOOKUP(V14,[1]use_fish!A:A,[1]use_fish!K:K),0),_xlfn.IFNA(LOOKUP(W14,[1]use_fish!A:A,[1]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294</v>
      </c>
      <c r="H15" s="12">
        <f>SUM(_xlfn.IFNA(LOOKUP(Q15,[1]use_fish!A:A,[1]use_fish!E:E),0),_xlfn.IFNA(LOOKUP(R15,[1]use_fish!A:A,[1]use_fish!E:E),0),_xlfn.IFNA(LOOKUP(S15,[1]use_fish!A:A,[1]use_fish!E:E),0),_xlfn.IFNA(LOOKUP(T15,[1]use_fish!A:A,[1]use_fish!E:E),0),_xlfn.IFNA(LOOKUP(U15,[1]use_fish!A:A,[1]use_fish!E:E),0),_xlfn.IFNA(LOOKUP(V15,[1]use_fish!A:A,[1]use_fish!E:E),0),_xlfn.IFNA(LOOKUP(W15,[1]use_fish!A:A,[1]use_fish!E:E),0),)</f>
        <v>23</v>
      </c>
      <c r="I15" s="12">
        <f>SUM(_xlfn.IFNA(LOOKUP(Q15,[1]use_fish!A:A,[1]use_fish!I:I),0),_xlfn.IFNA(LOOKUP(R15,[1]use_fish!A:A,[1]use_fish!I:I),0),_xlfn.IFNA(LOOKUP(S15,[1]use_fish!A:A,[1]use_fish!I:I),0),_xlfn.IFNA(LOOKUP(T15,[1]use_fish!A:A,[1]use_fish!I:I),0),_xlfn.IFNA(LOOKUP(U15,[1]use_fish!A:A,[1]use_fish!I:I),0),_xlfn.IFNA(LOOKUP(V15,[1]use_fish!A:A,[1]use_fish!I:I),0),_xlfn.IFNA(LOOKUP(W15,[1]use_fish!A:A,[1]use_fish!I:I),0),)</f>
        <v>23</v>
      </c>
      <c r="J15" s="13">
        <f>SUM(_xlfn.IFNA(LOOKUP(Q15,[1]use_fish!A:A,[1]use_fish!K:K),0),_xlfn.IFNA(LOOKUP(R15,[1]use_fish!A:A,[1]use_fish!K:K),0),_xlfn.IFNA(LOOKUP(S15,[1]use_fish!A:A,[1]use_fish!K:K),0),_xlfn.IFNA(LOOKUP(T15,[1]use_fish!A:A,[1]use_fish!K:K),0),_xlfn.IFNA(LOOKUP(U15,[1]use_fish!A:A,[1]use_fish!K:K),0),_xlfn.IFNA(LOOKUP(V15,[1]use_fish!A:A,[1]use_fish!K:K),0),_xlfn.IFNA(LOOKUP(W15,[1]use_fish!A:A,[1]use_fish!K:K),0),)</f>
        <v>0</v>
      </c>
      <c r="L15" s="12" t="str">
        <f t="array" ref="L15">INDEX([1]use_fish!A:A,SMALL(IF([1]group!$L$2&amp;IF(ISBLANK($L$14),$L$14,"+"&amp;$L$14)=[1]use_fish!H:H,ROW([1]use_fish!H:H),4^8),ROW(1:1)))&amp;""</f>
        <v/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295</v>
      </c>
      <c r="H16" s="12">
        <f>SUM(_xlfn.IFNA(LOOKUP(Q16,[1]use_fish!A:A,[1]use_fish!E:E),0),_xlfn.IFNA(LOOKUP(R16,[1]use_fish!A:A,[1]use_fish!E:E),0),_xlfn.IFNA(LOOKUP(S16,[1]use_fish!A:A,[1]use_fish!E:E),0),_xlfn.IFNA(LOOKUP(T16,[1]use_fish!A:A,[1]use_fish!E:E),0),_xlfn.IFNA(LOOKUP(U16,[1]use_fish!A:A,[1]use_fish!E:E),0),_xlfn.IFNA(LOOKUP(V16,[1]use_fish!A:A,[1]use_fish!E:E),0),_xlfn.IFNA(LOOKUP(W16,[1]use_fish!A:A,[1]use_fish!E:E),0),)</f>
        <v>24</v>
      </c>
      <c r="I16" s="12">
        <f>SUM(_xlfn.IFNA(LOOKUP(Q16,[1]use_fish!A:A,[1]use_fish!I:I),0),_xlfn.IFNA(LOOKUP(R16,[1]use_fish!A:A,[1]use_fish!I:I),0),_xlfn.IFNA(LOOKUP(S16,[1]use_fish!A:A,[1]use_fish!I:I),0),_xlfn.IFNA(LOOKUP(T16,[1]use_fish!A:A,[1]use_fish!I:I),0),_xlfn.IFNA(LOOKUP(U16,[1]use_fish!A:A,[1]use_fish!I:I),0),_xlfn.IFNA(LOOKUP(V16,[1]use_fish!A:A,[1]use_fish!I:I),0),_xlfn.IFNA(LOOKUP(W16,[1]use_fish!A:A,[1]use_fish!I:I),0),)</f>
        <v>24</v>
      </c>
      <c r="J16" s="13">
        <f>SUM(_xlfn.IFNA(LOOKUP(Q16,[1]use_fish!A:A,[1]use_fish!K:K),0),_xlfn.IFNA(LOOKUP(R16,[1]use_fish!A:A,[1]use_fish!K:K),0),_xlfn.IFNA(LOOKUP(S16,[1]use_fish!A:A,[1]use_fish!K:K),0),_xlfn.IFNA(LOOKUP(T16,[1]use_fish!A:A,[1]use_fish!K:K),0),_xlfn.IFNA(LOOKUP(U16,[1]use_fish!A:A,[1]use_fish!K:K),0),_xlfn.IFNA(LOOKUP(V16,[1]use_fish!A:A,[1]use_fish!K:K),0),_xlfn.IFNA(LOOKUP(W16,[1]use_fish!A:A,[1]use_fish!K:K),0),)</f>
        <v>0</v>
      </c>
      <c r="L16" s="12" t="str">
        <f t="array" ref="L16">INDEX([1]use_fish!A:A,SMALL(IF([1]group!$L$2&amp;IF(ISBLANK($L$14),$L$14,"+"&amp;$L$14)=[1]use_fish!H:H,ROW([1]use_fish!H:H),4^8),ROW(2:2)))&amp;""</f>
        <v/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296</v>
      </c>
      <c r="H17" s="12">
        <f>SUM(_xlfn.IFNA(LOOKUP(Q17,[1]use_fish!A:A,[1]use_fish!E:E),0),_xlfn.IFNA(LOOKUP(R17,[1]use_fish!A:A,[1]use_fish!E:E),0),_xlfn.IFNA(LOOKUP(S17,[1]use_fish!A:A,[1]use_fish!E:E),0),_xlfn.IFNA(LOOKUP(T17,[1]use_fish!A:A,[1]use_fish!E:E),0),_xlfn.IFNA(LOOKUP(U17,[1]use_fish!A:A,[1]use_fish!E:E),0),_xlfn.IFNA(LOOKUP(V17,[1]use_fish!A:A,[1]use_fish!E:E),0),_xlfn.IFNA(LOOKUP(W17,[1]use_fish!A:A,[1]use_fish!E:E),0),)</f>
        <v>38</v>
      </c>
      <c r="I17" s="12">
        <f>SUM(_xlfn.IFNA(LOOKUP(Q17,[1]use_fish!A:A,[1]use_fish!I:I),0),_xlfn.IFNA(LOOKUP(R17,[1]use_fish!A:A,[1]use_fish!I:I),0),_xlfn.IFNA(LOOKUP(S17,[1]use_fish!A:A,[1]use_fish!I:I),0),_xlfn.IFNA(LOOKUP(T17,[1]use_fish!A:A,[1]use_fish!I:I),0),_xlfn.IFNA(LOOKUP(U17,[1]use_fish!A:A,[1]use_fish!I:I),0),_xlfn.IFNA(LOOKUP(V17,[1]use_fish!A:A,[1]use_fish!I:I),0),_xlfn.IFNA(LOOKUP(W17,[1]use_fish!A:A,[1]use_fish!I:I),0),)</f>
        <v>38</v>
      </c>
      <c r="J17" s="13">
        <f>SUM(_xlfn.IFNA(LOOKUP(Q17,[1]use_fish!A:A,[1]use_fish!K:K),0),_xlfn.IFNA(LOOKUP(R17,[1]use_fish!A:A,[1]use_fish!K:K),0),_xlfn.IFNA(LOOKUP(S17,[1]use_fish!A:A,[1]use_fish!K:K),0),_xlfn.IFNA(LOOKUP(T17,[1]use_fish!A:A,[1]use_fish!K:K),0),_xlfn.IFNA(LOOKUP(U17,[1]use_fish!A:A,[1]use_fish!K:K),0),_xlfn.IFNA(LOOKUP(V17,[1]use_fish!A:A,[1]use_fish!K:K),0),_xlfn.IFNA(LOOKUP(W17,[1]use_fish!A:A,[1]use_fish!K:K),0),)</f>
        <v>0</v>
      </c>
      <c r="K17" s="12" t="str">
        <f t="array" ref="K17">INDEX([1]use_fish!A:A,SMALL(IF([1]group!$L$2&amp;IF(ISBLANK($L$14),$L$14,"+"&amp;$L$14)=[1]use_fish!H:H,ROW([1]use_fish!H:H),4^8),ROW(14:14)))&amp;""</f>
        <v/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171</v>
      </c>
      <c r="H18" s="12">
        <f>SUM(_xlfn.IFNA(LOOKUP(Q18,[1]use_fish!A:A,[1]use_fish!E:E),0),_xlfn.IFNA(LOOKUP(R18,[1]use_fish!A:A,[1]use_fish!E:E),0),_xlfn.IFNA(LOOKUP(S18,[1]use_fish!A:A,[1]use_fish!E:E),0),_xlfn.IFNA(LOOKUP(T18,[1]use_fish!A:A,[1]use_fish!E:E),0),_xlfn.IFNA(LOOKUP(U18,[1]use_fish!A:A,[1]use_fish!E:E),0),_xlfn.IFNA(LOOKUP(V18,[1]use_fish!A:A,[1]use_fish!E:E),0),_xlfn.IFNA(LOOKUP(W18,[1]use_fish!A:A,[1]use_fish!E:E),0),)</f>
        <v>18</v>
      </c>
      <c r="I18" s="12">
        <f>SUM(_xlfn.IFNA(LOOKUP(Q18,[1]use_fish!A:A,[1]use_fish!I:I),0),_xlfn.IFNA(LOOKUP(R18,[1]use_fish!A:A,[1]use_fish!I:I),0),_xlfn.IFNA(LOOKUP(S18,[1]use_fish!A:A,[1]use_fish!I:I),0),_xlfn.IFNA(LOOKUP(T18,[1]use_fish!A:A,[1]use_fish!I:I),0),_xlfn.IFNA(LOOKUP(U18,[1]use_fish!A:A,[1]use_fish!I:I),0),_xlfn.IFNA(LOOKUP(V18,[1]use_fish!A:A,[1]use_fish!I:I),0),_xlfn.IFNA(LOOKUP(W18,[1]use_fish!A:A,[1]use_fish!I:I),0),)</f>
        <v>18</v>
      </c>
      <c r="J18" s="13">
        <f>SUM(_xlfn.IFNA(LOOKUP(Q18,[1]use_fish!A:A,[1]use_fish!K:K),0),_xlfn.IFNA(LOOKUP(R18,[1]use_fish!A:A,[1]use_fish!K:K),0),_xlfn.IFNA(LOOKUP(S18,[1]use_fish!A:A,[1]use_fish!K:K),0),_xlfn.IFNA(LOOKUP(T18,[1]use_fish!A:A,[1]use_fish!K:K),0),_xlfn.IFNA(LOOKUP(U18,[1]use_fish!A:A,[1]use_fish!K:K),0),_xlfn.IFNA(LOOKUP(V18,[1]use_fish!A:A,[1]use_fish!K:K),0),_xlfn.IFNA(LOOKUP(W18,[1]use_fish!A:A,[1]use_fish!K:K),0),)</f>
        <v>0</v>
      </c>
      <c r="K18" s="12" t="str">
        <f t="array" ref="K18">INDEX([1]use_fish!A:A,SMALL(IF([1]group!$L$2&amp;IF(ISBLANK($L$14),$L$14,"+"&amp;$L$14)=[1]use_fish!H:H,ROW([1]use_fish!H:H),4^8),ROW(15:15)))&amp;""</f>
        <v/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297</v>
      </c>
      <c r="G19" s="41" t="s">
        <v>298</v>
      </c>
      <c r="H19" s="41">
        <f>SUM(_xlfn.IFNA(LOOKUP(Q19,[1]use_fish!A:A,[1]use_fish!E:E),0),_xlfn.IFNA(LOOKUP(R19,[1]use_fish!A:A,[1]use_fish!E:E),0),_xlfn.IFNA(LOOKUP(S19,[1]use_fish!A:A,[1]use_fish!E:E),0),_xlfn.IFNA(LOOKUP(T19,[1]use_fish!A:A,[1]use_fish!E:E),0),_xlfn.IFNA(LOOKUP(U19,[1]use_fish!A:A,[1]use_fish!E:E),0),_xlfn.IFNA(LOOKUP(V19,[1]use_fish!A:A,[1]use_fish!E:E),0),_xlfn.IFNA(LOOKUP(W19,[1]use_fish!A:A,[1]use_fish!E:E),0),)</f>
        <v>50</v>
      </c>
      <c r="I19" s="41">
        <f>SUM(_xlfn.IFNA(LOOKUP(Q19,[1]use_fish!A:A,[1]use_fish!I:I),0),_xlfn.IFNA(LOOKUP(R19,[1]use_fish!A:A,[1]use_fish!I:I),0),_xlfn.IFNA(LOOKUP(S19,[1]use_fish!A:A,[1]use_fish!I:I),0),_xlfn.IFNA(LOOKUP(T19,[1]use_fish!A:A,[1]use_fish!I:I),0),_xlfn.IFNA(LOOKUP(U19,[1]use_fish!A:A,[1]use_fish!I:I),0),_xlfn.IFNA(LOOKUP(V19,[1]use_fish!A:A,[1]use_fish!I:I),0),_xlfn.IFNA(LOOKUP(W19,[1]use_fish!A:A,[1]use_fish!I:I),0),)</f>
        <v>50</v>
      </c>
      <c r="J19" s="39">
        <f>SUM(_xlfn.IFNA(LOOKUP(Q19,[1]use_fish!A:A,[1]use_fish!K:K),0),_xlfn.IFNA(LOOKUP(R19,[1]use_fish!A:A,[1]use_fish!K:K),0),_xlfn.IFNA(LOOKUP(S19,[1]use_fish!A:A,[1]use_fish!K:K),0),_xlfn.IFNA(LOOKUP(T19,[1]use_fish!A:A,[1]use_fish!K:K),0),_xlfn.IFNA(LOOKUP(U19,[1]use_fish!A:A,[1]use_fish!K:K),0),_xlfn.IFNA(LOOKUP(V19,[1]use_fish!A:A,[1]use_fish!K:K),0),_xlfn.IFNA(LOOKUP(W19,[1]use_fish!A:A,[1]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299</v>
      </c>
      <c r="G20" s="41" t="s">
        <v>172</v>
      </c>
      <c r="H20" s="41">
        <f>SUM(_xlfn.IFNA(LOOKUP(Q20,[1]use_fish!A:A,[1]use_fish!E:E),0),_xlfn.IFNA(LOOKUP(R20,[1]use_fish!A:A,[1]use_fish!E:E),0),_xlfn.IFNA(LOOKUP(S20,[1]use_fish!A:A,[1]use_fish!E:E),0),_xlfn.IFNA(LOOKUP(T20,[1]use_fish!A:A,[1]use_fish!E:E),0),_xlfn.IFNA(LOOKUP(U20,[1]use_fish!A:A,[1]use_fish!E:E),0),_xlfn.IFNA(LOOKUP(V20,[1]use_fish!A:A,[1]use_fish!E:E),0),_xlfn.IFNA(LOOKUP(W20,[1]use_fish!A:A,[1]use_fish!E:E),0),)</f>
        <v>69</v>
      </c>
      <c r="I20" s="41">
        <f>SUM(_xlfn.IFNA(LOOKUP(Q20,[1]use_fish!A:A,[1]use_fish!I:I),0),_xlfn.IFNA(LOOKUP(R20,[1]use_fish!A:A,[1]use_fish!I:I),0),_xlfn.IFNA(LOOKUP(S20,[1]use_fish!A:A,[1]use_fish!I:I),0),_xlfn.IFNA(LOOKUP(T20,[1]use_fish!A:A,[1]use_fish!I:I),0),_xlfn.IFNA(LOOKUP(U20,[1]use_fish!A:A,[1]use_fish!I:I),0),_xlfn.IFNA(LOOKUP(V20,[1]use_fish!A:A,[1]use_fish!I:I),0),_xlfn.IFNA(LOOKUP(W20,[1]use_fish!A:A,[1]use_fish!I:I),0),)</f>
        <v>69</v>
      </c>
      <c r="J20" s="39">
        <f>SUM(_xlfn.IFNA(LOOKUP(Q20,[1]use_fish!A:A,[1]use_fish!K:K),0),_xlfn.IFNA(LOOKUP(R20,[1]use_fish!A:A,[1]use_fish!K:K),0),_xlfn.IFNA(LOOKUP(S20,[1]use_fish!A:A,[1]use_fish!K:K),0),_xlfn.IFNA(LOOKUP(T20,[1]use_fish!A:A,[1]use_fish!K:K),0),_xlfn.IFNA(LOOKUP(U20,[1]use_fish!A:A,[1]use_fish!K:K),0),_xlfn.IFNA(LOOKUP(V20,[1]use_fish!A:A,[1]use_fish!K:K),0),_xlfn.IFNA(LOOKUP(W20,[1]use_fish!A:A,[1]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300</v>
      </c>
      <c r="G21" s="41" t="s">
        <v>301</v>
      </c>
      <c r="H21" s="41">
        <f>SUM(_xlfn.IFNA(LOOKUP(Q21,[1]use_fish!A:A,[1]use_fish!E:E),0),_xlfn.IFNA(LOOKUP(R21,[1]use_fish!A:A,[1]use_fish!E:E),0),_xlfn.IFNA(LOOKUP(S21,[1]use_fish!A:A,[1]use_fish!E:E),0),_xlfn.IFNA(LOOKUP(T21,[1]use_fish!A:A,[1]use_fish!E:E),0),_xlfn.IFNA(LOOKUP(U21,[1]use_fish!A:A,[1]use_fish!E:E),0),_xlfn.IFNA(LOOKUP(V21,[1]use_fish!A:A,[1]use_fish!E:E),0),_xlfn.IFNA(LOOKUP(W21,[1]use_fish!A:A,[1]use_fish!E:E),0),)</f>
        <v>73</v>
      </c>
      <c r="I21" s="41">
        <f>SUM(_xlfn.IFNA(LOOKUP(Q21,[1]use_fish!A:A,[1]use_fish!I:I),0),_xlfn.IFNA(LOOKUP(R21,[1]use_fish!A:A,[1]use_fish!I:I),0),_xlfn.IFNA(LOOKUP(S21,[1]use_fish!A:A,[1]use_fish!I:I),0),_xlfn.IFNA(LOOKUP(T21,[1]use_fish!A:A,[1]use_fish!I:I),0),_xlfn.IFNA(LOOKUP(U21,[1]use_fish!A:A,[1]use_fish!I:I),0),_xlfn.IFNA(LOOKUP(V21,[1]use_fish!A:A,[1]use_fish!I:I),0),_xlfn.IFNA(LOOKUP(W21,[1]use_fish!A:A,[1]use_fish!I:I),0),)</f>
        <v>73</v>
      </c>
      <c r="J21" s="39">
        <f>SUM(_xlfn.IFNA(LOOKUP(Q21,[1]use_fish!A:A,[1]use_fish!K:K),0),_xlfn.IFNA(LOOKUP(R21,[1]use_fish!A:A,[1]use_fish!K:K),0),_xlfn.IFNA(LOOKUP(S21,[1]use_fish!A:A,[1]use_fish!K:K),0),_xlfn.IFNA(LOOKUP(T21,[1]use_fish!A:A,[1]use_fish!K:K),0),_xlfn.IFNA(LOOKUP(U21,[1]use_fish!A:A,[1]use_fish!K:K),0),_xlfn.IFNA(LOOKUP(V21,[1]use_fish!A:A,[1]use_fish!K:K),0),_xlfn.IFNA(LOOKUP(W21,[1]use_fish!A:A,[1]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302</v>
      </c>
      <c r="G22" s="41" t="s">
        <v>216</v>
      </c>
      <c r="H22" s="41">
        <f>SUM(_xlfn.IFNA(LOOKUP(Q22,[1]use_fish!A:A,[1]use_fish!E:E),0),_xlfn.IFNA(LOOKUP(R22,[1]use_fish!A:A,[1]use_fish!E:E),0),_xlfn.IFNA(LOOKUP(S22,[1]use_fish!A:A,[1]use_fish!E:E),0),_xlfn.IFNA(LOOKUP(T22,[1]use_fish!A:A,[1]use_fish!E:E),0),_xlfn.IFNA(LOOKUP(U22,[1]use_fish!A:A,[1]use_fish!E:E),0),_xlfn.IFNA(LOOKUP(V22,[1]use_fish!A:A,[1]use_fish!E:E),0),_xlfn.IFNA(LOOKUP(W22,[1]use_fish!A:A,[1]use_fish!E:E),0),)</f>
        <v>78</v>
      </c>
      <c r="I22" s="41">
        <f>SUM(_xlfn.IFNA(LOOKUP(Q22,[1]use_fish!A:A,[1]use_fish!I:I),0),_xlfn.IFNA(LOOKUP(R22,[1]use_fish!A:A,[1]use_fish!I:I),0),_xlfn.IFNA(LOOKUP(S22,[1]use_fish!A:A,[1]use_fish!I:I),0),_xlfn.IFNA(LOOKUP(T22,[1]use_fish!A:A,[1]use_fish!I:I),0),_xlfn.IFNA(LOOKUP(U22,[1]use_fish!A:A,[1]use_fish!I:I),0),_xlfn.IFNA(LOOKUP(V22,[1]use_fish!A:A,[1]use_fish!I:I),0),_xlfn.IFNA(LOOKUP(W22,[1]use_fish!A:A,[1]use_fish!I:I),0),)</f>
        <v>78</v>
      </c>
      <c r="J22" s="39">
        <f>SUM(_xlfn.IFNA(LOOKUP(Q22,[1]use_fish!A:A,[1]use_fish!K:K),0),_xlfn.IFNA(LOOKUP(R22,[1]use_fish!A:A,[1]use_fish!K:K),0),_xlfn.IFNA(LOOKUP(S22,[1]use_fish!A:A,[1]use_fish!K:K),0),_xlfn.IFNA(LOOKUP(T22,[1]use_fish!A:A,[1]use_fish!K:K),0),_xlfn.IFNA(LOOKUP(U22,[1]use_fish!A:A,[1]use_fish!K:K),0),_xlfn.IFNA(LOOKUP(V22,[1]use_fish!A:A,[1]use_fish!K:K),0),_xlfn.IFNA(LOOKUP(W22,[1]use_fish!A:A,[1]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303</v>
      </c>
      <c r="G23" s="21" t="s">
        <v>271</v>
      </c>
      <c r="H23" s="21">
        <f>SUM(_xlfn.IFNA(LOOKUP(Q23,[1]use_fish!A:A,[1]use_fish!E:E),0),_xlfn.IFNA(LOOKUP(R23,[1]use_fish!A:A,[1]use_fish!E:E),0),_xlfn.IFNA(LOOKUP(S23,[1]use_fish!A:A,[1]use_fish!E:E),0),_xlfn.IFNA(LOOKUP(T23,[1]use_fish!A:A,[1]use_fish!E:E),0),_xlfn.IFNA(LOOKUP(U23,[1]use_fish!A:A,[1]use_fish!E:E),0),_xlfn.IFNA(LOOKUP(V23,[1]use_fish!A:A,[1]use_fish!E:E),0),_xlfn.IFNA(LOOKUP(W23,[1]use_fish!A:A,[1]use_fish!E:E),0),)</f>
        <v>158</v>
      </c>
      <c r="I23" s="21">
        <f>SUM(_xlfn.IFNA(LOOKUP(Q23,[1]use_fish!A:A,[1]use_fish!I:I),0),_xlfn.IFNA(LOOKUP(R23,[1]use_fish!A:A,[1]use_fish!I:I),0),_xlfn.IFNA(LOOKUP(S23,[1]use_fish!A:A,[1]use_fish!I:I),0),_xlfn.IFNA(LOOKUP(T23,[1]use_fish!A:A,[1]use_fish!I:I),0),_xlfn.IFNA(LOOKUP(U23,[1]use_fish!A:A,[1]use_fish!I:I),0),_xlfn.IFNA(LOOKUP(V23,[1]use_fish!A:A,[1]use_fish!I:I),0),_xlfn.IFNA(LOOKUP(W23,[1]use_fish!A:A,[1]use_fish!I:I),0),)</f>
        <v>158</v>
      </c>
      <c r="J23" s="19">
        <f>SUM(_xlfn.IFNA(LOOKUP(Q23,[1]use_fish!A:A,[1]use_fish!K:K),0),_xlfn.IFNA(LOOKUP(R23,[1]use_fish!A:A,[1]use_fish!K:K),0),_xlfn.IFNA(LOOKUP(S23,[1]use_fish!A:A,[1]use_fish!K:K),0),_xlfn.IFNA(LOOKUP(T23,[1]use_fish!A:A,[1]use_fish!K:K),0),_xlfn.IFNA(LOOKUP(U23,[1]use_fish!A:A,[1]use_fish!K:K),0),_xlfn.IFNA(LOOKUP(V23,[1]use_fish!A:A,[1]use_fish!K:K),0),_xlfn.IFNA(LOOKUP(W23,[1]use_fish!A:A,[1]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304</v>
      </c>
      <c r="G24" s="21" t="s">
        <v>173</v>
      </c>
      <c r="H24" s="21">
        <f>SUM(_xlfn.IFNA(LOOKUP(Q24,[1]use_fish!A:A,[1]use_fish!E:E),0),_xlfn.IFNA(LOOKUP(R24,[1]use_fish!A:A,[1]use_fish!E:E),0),_xlfn.IFNA(LOOKUP(S24,[1]use_fish!A:A,[1]use_fish!E:E),0),_xlfn.IFNA(LOOKUP(T24,[1]use_fish!A:A,[1]use_fish!E:E),0),_xlfn.IFNA(LOOKUP(U24,[1]use_fish!A:A,[1]use_fish!E:E),0),_xlfn.IFNA(LOOKUP(V24,[1]use_fish!A:A,[1]use_fish!E:E),0),_xlfn.IFNA(LOOKUP(W24,[1]use_fish!A:A,[1]use_fish!E:E),0),)</f>
        <v>198</v>
      </c>
      <c r="I24" s="21">
        <f>SUM(_xlfn.IFNA(LOOKUP(Q24,[1]use_fish!A:A,[1]use_fish!I:I),0),_xlfn.IFNA(LOOKUP(R24,[1]use_fish!A:A,[1]use_fish!I:I),0),_xlfn.IFNA(LOOKUP(S24,[1]use_fish!A:A,[1]use_fish!I:I),0),_xlfn.IFNA(LOOKUP(T24,[1]use_fish!A:A,[1]use_fish!I:I),0),_xlfn.IFNA(LOOKUP(U24,[1]use_fish!A:A,[1]use_fish!I:I),0),_xlfn.IFNA(LOOKUP(V24,[1]use_fish!A:A,[1]use_fish!I:I),0),_xlfn.IFNA(LOOKUP(W24,[1]use_fish!A:A,[1]use_fish!I:I),0),)</f>
        <v>198</v>
      </c>
      <c r="J24" s="19">
        <f>SUM(_xlfn.IFNA(LOOKUP(Q24,[1]use_fish!A:A,[1]use_fish!K:K),0),_xlfn.IFNA(LOOKUP(R24,[1]use_fish!A:A,[1]use_fish!K:K),0),_xlfn.IFNA(LOOKUP(S24,[1]use_fish!A:A,[1]use_fish!K:K),0),_xlfn.IFNA(LOOKUP(T24,[1]use_fish!A:A,[1]use_fish!K:K),0),_xlfn.IFNA(LOOKUP(U24,[1]use_fish!A:A,[1]use_fish!K:K),0),_xlfn.IFNA(LOOKUP(V24,[1]use_fish!A:A,[1]use_fish!K:K),0),_xlfn.IFNA(LOOKUP(W24,[1]use_fish!A:A,[1]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305</v>
      </c>
      <c r="G25" s="21" t="s">
        <v>174</v>
      </c>
      <c r="H25" s="21">
        <f>SUM(_xlfn.IFNA(LOOKUP(Q25,[1]use_fish!A:A,[1]use_fish!E:E),0),_xlfn.IFNA(LOOKUP(R25,[1]use_fish!A:A,[1]use_fish!E:E),0),_xlfn.IFNA(LOOKUP(S25,[1]use_fish!A:A,[1]use_fish!E:E),0),_xlfn.IFNA(LOOKUP(T25,[1]use_fish!A:A,[1]use_fish!E:E),0),_xlfn.IFNA(LOOKUP(U25,[1]use_fish!A:A,[1]use_fish!E:E),0),_xlfn.IFNA(LOOKUP(V25,[1]use_fish!A:A,[1]use_fish!E:E),0),_xlfn.IFNA(LOOKUP(W25,[1]use_fish!A:A,[1]use_fish!E:E),0),)</f>
        <v>265</v>
      </c>
      <c r="I25" s="21">
        <f>SUM(_xlfn.IFNA(LOOKUP(Q25,[1]use_fish!A:A,[1]use_fish!I:I),0),_xlfn.IFNA(LOOKUP(R25,[1]use_fish!A:A,[1]use_fish!I:I),0),_xlfn.IFNA(LOOKUP(S25,[1]use_fish!A:A,[1]use_fish!I:I),0),_xlfn.IFNA(LOOKUP(T25,[1]use_fish!A:A,[1]use_fish!I:I),0),_xlfn.IFNA(LOOKUP(U25,[1]use_fish!A:A,[1]use_fish!I:I),0),_xlfn.IFNA(LOOKUP(V25,[1]use_fish!A:A,[1]use_fish!I:I),0),_xlfn.IFNA(LOOKUP(W25,[1]use_fish!A:A,[1]use_fish!I:I),0),)</f>
        <v>265</v>
      </c>
      <c r="J25" s="19">
        <f>SUM(_xlfn.IFNA(LOOKUP(Q25,[1]use_fish!A:A,[1]use_fish!K:K),0),_xlfn.IFNA(LOOKUP(R25,[1]use_fish!A:A,[1]use_fish!K:K),0),_xlfn.IFNA(LOOKUP(S25,[1]use_fish!A:A,[1]use_fish!K:K),0),_xlfn.IFNA(LOOKUP(T25,[1]use_fish!A:A,[1]use_fish!K:K),0),_xlfn.IFNA(LOOKUP(U25,[1]use_fish!A:A,[1]use_fish!K:K),0),_xlfn.IFNA(LOOKUP(V25,[1]use_fish!A:A,[1]use_fish!K:K),0),_xlfn.IFNA(LOOKUP(W25,[1]use_fish!A:A,[1]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306</v>
      </c>
      <c r="G26" s="21" t="s">
        <v>307</v>
      </c>
      <c r="H26" s="21">
        <f>SUM(_xlfn.IFNA(LOOKUP(Q26,[1]use_fish!A:A,[1]use_fish!E:E),0),_xlfn.IFNA(LOOKUP(R26,[1]use_fish!A:A,[1]use_fish!E:E),0),_xlfn.IFNA(LOOKUP(S26,[1]use_fish!A:A,[1]use_fish!E:E),0),_xlfn.IFNA(LOOKUP(T26,[1]use_fish!A:A,[1]use_fish!E:E),0),_xlfn.IFNA(LOOKUP(U26,[1]use_fish!A:A,[1]use_fish!E:E),0),_xlfn.IFNA(LOOKUP(V26,[1]use_fish!A:A,[1]use_fish!E:E),0),_xlfn.IFNA(LOOKUP(W26,[1]use_fish!A:A,[1]use_fish!E:E),0),)</f>
        <v>325</v>
      </c>
      <c r="I26" s="21">
        <f>SUM(_xlfn.IFNA(LOOKUP(Q26,[1]use_fish!A:A,[1]use_fish!I:I),0),_xlfn.IFNA(LOOKUP(R26,[1]use_fish!A:A,[1]use_fish!I:I),0),_xlfn.IFNA(LOOKUP(S26,[1]use_fish!A:A,[1]use_fish!I:I),0),_xlfn.IFNA(LOOKUP(T26,[1]use_fish!A:A,[1]use_fish!I:I),0),_xlfn.IFNA(LOOKUP(U26,[1]use_fish!A:A,[1]use_fish!I:I),0),_xlfn.IFNA(LOOKUP(V26,[1]use_fish!A:A,[1]use_fish!I:I),0),_xlfn.IFNA(LOOKUP(W26,[1]use_fish!A:A,[1]use_fish!I:I),0),)</f>
        <v>325</v>
      </c>
      <c r="J26" s="19">
        <f>SUM(_xlfn.IFNA(LOOKUP(Q26,[1]use_fish!A:A,[1]use_fish!K:K),0),_xlfn.IFNA(LOOKUP(R26,[1]use_fish!A:A,[1]use_fish!K:K),0),_xlfn.IFNA(LOOKUP(S26,[1]use_fish!A:A,[1]use_fish!K:K),0),_xlfn.IFNA(LOOKUP(T26,[1]use_fish!A:A,[1]use_fish!K:K),0),_xlfn.IFNA(LOOKUP(U26,[1]use_fish!A:A,[1]use_fish!K:K),0),_xlfn.IFNA(LOOKUP(V26,[1]use_fish!A:A,[1]use_fish!K:K),0),_xlfn.IFNA(LOOKUP(W26,[1]use_fish!A:A,[1]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308</v>
      </c>
      <c r="G27" s="41" t="s">
        <v>309</v>
      </c>
      <c r="H27" s="41">
        <f>SUM(_xlfn.IFNA(LOOKUP(Q27,[1]use_fish!A:A,[1]use_fish!E:E),0),_xlfn.IFNA(LOOKUP(R27,[1]use_fish!A:A,[1]use_fish!E:E),0),_xlfn.IFNA(LOOKUP(S27,[1]use_fish!A:A,[1]use_fish!E:E),0),_xlfn.IFNA(LOOKUP(T27,[1]use_fish!A:A,[1]use_fish!E:E),0),_xlfn.IFNA(LOOKUP(U27,[1]use_fish!A:A,[1]use_fish!E:E),0),_xlfn.IFNA(LOOKUP(V27,[1]use_fish!A:A,[1]use_fish!E:E),0),_xlfn.IFNA(LOOKUP(W27,[1]use_fish!A:A,[1]use_fish!E:E),0),)</f>
        <v>18</v>
      </c>
      <c r="I27" s="41">
        <f>SUM(_xlfn.IFNA(LOOKUP(Q27,[1]use_fish!A:A,[1]use_fish!I:I),0),_xlfn.IFNA(LOOKUP(R27,[1]use_fish!A:A,[1]use_fish!I:I),0),_xlfn.IFNA(LOOKUP(S27,[1]use_fish!A:A,[1]use_fish!I:I),0),_xlfn.IFNA(LOOKUP(T27,[1]use_fish!A:A,[1]use_fish!I:I),0),_xlfn.IFNA(LOOKUP(U27,[1]use_fish!A:A,[1]use_fish!I:I),0),_xlfn.IFNA(LOOKUP(V27,[1]use_fish!A:A,[1]use_fish!I:I),0),_xlfn.IFNA(LOOKUP(W27,[1]use_fish!A:A,[1]use_fish!I:I),0),)</f>
        <v>18</v>
      </c>
      <c r="J27" s="39">
        <f>SUM(_xlfn.IFNA(LOOKUP(Q27,[1]use_fish!A:A,[1]use_fish!K:K),0),_xlfn.IFNA(LOOKUP(R27,[1]use_fish!A:A,[1]use_fish!K:K),0),_xlfn.IFNA(LOOKUP(S27,[1]use_fish!A:A,[1]use_fish!K:K),0),_xlfn.IFNA(LOOKUP(T27,[1]use_fish!A:A,[1]use_fish!K:K),0),_xlfn.IFNA(LOOKUP(U27,[1]use_fish!A:A,[1]use_fish!K:K),0),_xlfn.IFNA(LOOKUP(V27,[1]use_fish!A:A,[1]use_fish!K:K),0),_xlfn.IFNA(LOOKUP(W27,[1]use_fish!A:A,[1]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310</v>
      </c>
      <c r="G28" s="41" t="s">
        <v>311</v>
      </c>
      <c r="H28" s="41">
        <f>SUM(_xlfn.IFNA(LOOKUP(Q28,[1]use_fish!A:A,[1]use_fish!E:E),0),_xlfn.IFNA(LOOKUP(R28,[1]use_fish!A:A,[1]use_fish!E:E),0),_xlfn.IFNA(LOOKUP(S28,[1]use_fish!A:A,[1]use_fish!E:E),0),_xlfn.IFNA(LOOKUP(T28,[1]use_fish!A:A,[1]use_fish!E:E),0),_xlfn.IFNA(LOOKUP(U28,[1]use_fish!A:A,[1]use_fish!E:E),0),_xlfn.IFNA(LOOKUP(V28,[1]use_fish!A:A,[1]use_fish!E:E),0),_xlfn.IFNA(LOOKUP(W28,[1]use_fish!A:A,[1]use_fish!E:E),0),)</f>
        <v>20</v>
      </c>
      <c r="I28" s="41">
        <f>SUM(_xlfn.IFNA(LOOKUP(Q28,[1]use_fish!A:A,[1]use_fish!I:I),0),_xlfn.IFNA(LOOKUP(R28,[1]use_fish!A:A,[1]use_fish!I:I),0),_xlfn.IFNA(LOOKUP(S28,[1]use_fish!A:A,[1]use_fish!I:I),0),_xlfn.IFNA(LOOKUP(T28,[1]use_fish!A:A,[1]use_fish!I:I),0),_xlfn.IFNA(LOOKUP(U28,[1]use_fish!A:A,[1]use_fish!I:I),0),_xlfn.IFNA(LOOKUP(V28,[1]use_fish!A:A,[1]use_fish!I:I),0),_xlfn.IFNA(LOOKUP(W28,[1]use_fish!A:A,[1]use_fish!I:I),0),)</f>
        <v>20</v>
      </c>
      <c r="J28" s="39">
        <f>SUM(_xlfn.IFNA(LOOKUP(Q28,[1]use_fish!A:A,[1]use_fish!K:K),0),_xlfn.IFNA(LOOKUP(R28,[1]use_fish!A:A,[1]use_fish!K:K),0),_xlfn.IFNA(LOOKUP(S28,[1]use_fish!A:A,[1]use_fish!K:K),0),_xlfn.IFNA(LOOKUP(T28,[1]use_fish!A:A,[1]use_fish!K:K),0),_xlfn.IFNA(LOOKUP(U28,[1]use_fish!A:A,[1]use_fish!K:K),0),_xlfn.IFNA(LOOKUP(V28,[1]use_fish!A:A,[1]use_fish!K:K),0),_xlfn.IFNA(LOOKUP(W28,[1]use_fish!A:A,[1]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312</v>
      </c>
      <c r="H29" s="41">
        <f>SUM(_xlfn.IFNA(LOOKUP(Q29,[1]use_fish!A:A,[1]use_fish!E:E),0),_xlfn.IFNA(LOOKUP(R29,[1]use_fish!A:A,[1]use_fish!E:E),0),_xlfn.IFNA(LOOKUP(S29,[1]use_fish!A:A,[1]use_fish!E:E),0),_xlfn.IFNA(LOOKUP(T29,[1]use_fish!A:A,[1]use_fish!E:E),0),_xlfn.IFNA(LOOKUP(U29,[1]use_fish!A:A,[1]use_fish!E:E),0),_xlfn.IFNA(LOOKUP(V29,[1]use_fish!A:A,[1]use_fish!E:E),0),_xlfn.IFNA(LOOKUP(W29,[1]use_fish!A:A,[1]use_fish!E:E),0),)</f>
        <v>25</v>
      </c>
      <c r="I29" s="41">
        <f>SUM(_xlfn.IFNA(LOOKUP(Q29,[1]use_fish!A:A,[1]use_fish!I:I),0),_xlfn.IFNA(LOOKUP(R29,[1]use_fish!A:A,[1]use_fish!I:I),0),_xlfn.IFNA(LOOKUP(S29,[1]use_fish!A:A,[1]use_fish!I:I),0),_xlfn.IFNA(LOOKUP(T29,[1]use_fish!A:A,[1]use_fish!I:I),0),_xlfn.IFNA(LOOKUP(U29,[1]use_fish!A:A,[1]use_fish!I:I),0),_xlfn.IFNA(LOOKUP(V29,[1]use_fish!A:A,[1]use_fish!I:I),0),_xlfn.IFNA(LOOKUP(W29,[1]use_fish!A:A,[1]use_fish!I:I),0),)</f>
        <v>25</v>
      </c>
      <c r="J29" s="39">
        <f>SUM(_xlfn.IFNA(LOOKUP(Q29,[1]use_fish!A:A,[1]use_fish!K:K),0),_xlfn.IFNA(LOOKUP(R29,[1]use_fish!A:A,[1]use_fish!K:K),0),_xlfn.IFNA(LOOKUP(S29,[1]use_fish!A:A,[1]use_fish!K:K),0),_xlfn.IFNA(LOOKUP(T29,[1]use_fish!A:A,[1]use_fish!K:K),0),_xlfn.IFNA(LOOKUP(U29,[1]use_fish!A:A,[1]use_fish!K:K),0),_xlfn.IFNA(LOOKUP(V29,[1]use_fish!A:A,[1]use_fish!K:K),0),_xlfn.IFNA(LOOKUP(W29,[1]use_fish!A:A,[1]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313</v>
      </c>
      <c r="H30" s="41">
        <f>SUM(_xlfn.IFNA(LOOKUP(Q30,[1]use_fish!A:A,[1]use_fish!E:E),0),_xlfn.IFNA(LOOKUP(R30,[1]use_fish!A:A,[1]use_fish!E:E),0),_xlfn.IFNA(LOOKUP(S30,[1]use_fish!A:A,[1]use_fish!E:E),0),_xlfn.IFNA(LOOKUP(T30,[1]use_fish!A:A,[1]use_fish!E:E),0),_xlfn.IFNA(LOOKUP(U30,[1]use_fish!A:A,[1]use_fish!E:E),0),_xlfn.IFNA(LOOKUP(V30,[1]use_fish!A:A,[1]use_fish!E:E),0),_xlfn.IFNA(LOOKUP(W30,[1]use_fish!A:A,[1]use_fish!E:E),0),)</f>
        <v>30</v>
      </c>
      <c r="I30" s="41">
        <f>SUM(_xlfn.IFNA(LOOKUP(Q30,[1]use_fish!A:A,[1]use_fish!I:I),0),_xlfn.IFNA(LOOKUP(R30,[1]use_fish!A:A,[1]use_fish!I:I),0),_xlfn.IFNA(LOOKUP(S30,[1]use_fish!A:A,[1]use_fish!I:I),0),_xlfn.IFNA(LOOKUP(T30,[1]use_fish!A:A,[1]use_fish!I:I),0),_xlfn.IFNA(LOOKUP(U30,[1]use_fish!A:A,[1]use_fish!I:I),0),_xlfn.IFNA(LOOKUP(V30,[1]use_fish!A:A,[1]use_fish!I:I),0),_xlfn.IFNA(LOOKUP(W30,[1]use_fish!A:A,[1]use_fish!I:I),0),)</f>
        <v>30</v>
      </c>
      <c r="J30" s="39">
        <f>SUM(_xlfn.IFNA(LOOKUP(Q30,[1]use_fish!A:A,[1]use_fish!K:K),0),_xlfn.IFNA(LOOKUP(R30,[1]use_fish!A:A,[1]use_fish!K:K),0),_xlfn.IFNA(LOOKUP(S30,[1]use_fish!A:A,[1]use_fish!K:K),0),_xlfn.IFNA(LOOKUP(T30,[1]use_fish!A:A,[1]use_fish!K:K),0),_xlfn.IFNA(LOOKUP(U30,[1]use_fish!A:A,[1]use_fish!K:K),0),_xlfn.IFNA(LOOKUP(V30,[1]use_fish!A:A,[1]use_fish!K:K),0),_xlfn.IFNA(LOOKUP(W30,[1]use_fish!A:A,[1]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314</v>
      </c>
      <c r="H31" s="41">
        <f>SUM(_xlfn.IFNA(LOOKUP(Q31,[1]use_fish!A:A,[1]use_fish!E:E),0),_xlfn.IFNA(LOOKUP(R31,[1]use_fish!A:A,[1]use_fish!E:E),0),_xlfn.IFNA(LOOKUP(S31,[1]use_fish!A:A,[1]use_fish!E:E),0),_xlfn.IFNA(LOOKUP(T31,[1]use_fish!A:A,[1]use_fish!E:E),0),_xlfn.IFNA(LOOKUP(U31,[1]use_fish!A:A,[1]use_fish!E:E),0),_xlfn.IFNA(LOOKUP(V31,[1]use_fish!A:A,[1]use_fish!E:E),0),_xlfn.IFNA(LOOKUP(W31,[1]use_fish!A:A,[1]use_fish!E:E),0),)</f>
        <v>35</v>
      </c>
      <c r="I31" s="41">
        <f>SUM(_xlfn.IFNA(LOOKUP(Q31,[1]use_fish!A:A,[1]use_fish!I:I),0),_xlfn.IFNA(LOOKUP(R31,[1]use_fish!A:A,[1]use_fish!I:I),0),_xlfn.IFNA(LOOKUP(S31,[1]use_fish!A:A,[1]use_fish!I:I),0),_xlfn.IFNA(LOOKUP(T31,[1]use_fish!A:A,[1]use_fish!I:I),0),_xlfn.IFNA(LOOKUP(U31,[1]use_fish!A:A,[1]use_fish!I:I),0),_xlfn.IFNA(LOOKUP(V31,[1]use_fish!A:A,[1]use_fish!I:I),0),_xlfn.IFNA(LOOKUP(W31,[1]use_fish!A:A,[1]use_fish!I:I),0),)</f>
        <v>35</v>
      </c>
      <c r="J31" s="39">
        <f>SUM(_xlfn.IFNA(LOOKUP(Q31,[1]use_fish!A:A,[1]use_fish!K:K),0),_xlfn.IFNA(LOOKUP(R31,[1]use_fish!A:A,[1]use_fish!K:K),0),_xlfn.IFNA(LOOKUP(S31,[1]use_fish!A:A,[1]use_fish!K:K),0),_xlfn.IFNA(LOOKUP(T31,[1]use_fish!A:A,[1]use_fish!K:K),0),_xlfn.IFNA(LOOKUP(U31,[1]use_fish!A:A,[1]use_fish!K:K),0),_xlfn.IFNA(LOOKUP(V31,[1]use_fish!A:A,[1]use_fish!K:K),0),_xlfn.IFNA(LOOKUP(W31,[1]use_fish!A:A,[1]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164</v>
      </c>
      <c r="H32" s="41">
        <f>SUM(_xlfn.IFNA(LOOKUP(Q32,[1]use_fish!A:A,[1]use_fish!E:E),0),_xlfn.IFNA(LOOKUP(R32,[1]use_fish!A:A,[1]use_fish!E:E),0),_xlfn.IFNA(LOOKUP(S32,[1]use_fish!A:A,[1]use_fish!E:E),0),_xlfn.IFNA(LOOKUP(T32,[1]use_fish!A:A,[1]use_fish!E:E),0),_xlfn.IFNA(LOOKUP(U32,[1]use_fish!A:A,[1]use_fish!E:E),0),_xlfn.IFNA(LOOKUP(V32,[1]use_fish!A:A,[1]use_fish!E:E),0),_xlfn.IFNA(LOOKUP(W32,[1]use_fish!A:A,[1]use_fish!E:E),0),)</f>
        <v>40</v>
      </c>
      <c r="I32" s="41">
        <f>SUM(_xlfn.IFNA(LOOKUP(Q32,[1]use_fish!A:A,[1]use_fish!I:I),0),_xlfn.IFNA(LOOKUP(R32,[1]use_fish!A:A,[1]use_fish!I:I),0),_xlfn.IFNA(LOOKUP(S32,[1]use_fish!A:A,[1]use_fish!I:I),0),_xlfn.IFNA(LOOKUP(T32,[1]use_fish!A:A,[1]use_fish!I:I),0),_xlfn.IFNA(LOOKUP(U32,[1]use_fish!A:A,[1]use_fish!I:I),0),_xlfn.IFNA(LOOKUP(V32,[1]use_fish!A:A,[1]use_fish!I:I),0),_xlfn.IFNA(LOOKUP(W32,[1]use_fish!A:A,[1]use_fish!I:I),0),)</f>
        <v>40</v>
      </c>
      <c r="J32" s="39">
        <f>SUM(_xlfn.IFNA(LOOKUP(Q32,[1]use_fish!A:A,[1]use_fish!K:K),0),_xlfn.IFNA(LOOKUP(R32,[1]use_fish!A:A,[1]use_fish!K:K),0),_xlfn.IFNA(LOOKUP(S32,[1]use_fish!A:A,[1]use_fish!K:K),0),_xlfn.IFNA(LOOKUP(T32,[1]use_fish!A:A,[1]use_fish!K:K),0),_xlfn.IFNA(LOOKUP(U32,[1]use_fish!A:A,[1]use_fish!K:K),0),_xlfn.IFNA(LOOKUP(V32,[1]use_fish!A:A,[1]use_fish!K:K),0),_xlfn.IFNA(LOOKUP(W32,[1]use_fish!A:A,[1]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165</v>
      </c>
      <c r="H33" s="41">
        <f>SUM(_xlfn.IFNA(LOOKUP(Q33,[1]use_fish!A:A,[1]use_fish!E:E),0),_xlfn.IFNA(LOOKUP(R33,[1]use_fish!A:A,[1]use_fish!E:E),0),_xlfn.IFNA(LOOKUP(S33,[1]use_fish!A:A,[1]use_fish!E:E),0),_xlfn.IFNA(LOOKUP(T33,[1]use_fish!A:A,[1]use_fish!E:E),0),_xlfn.IFNA(LOOKUP(U33,[1]use_fish!A:A,[1]use_fish!E:E),0),_xlfn.IFNA(LOOKUP(V33,[1]use_fish!A:A,[1]use_fish!E:E),0),_xlfn.IFNA(LOOKUP(W33,[1]use_fish!A:A,[1]use_fish!E:E),0),)</f>
        <v>60</v>
      </c>
      <c r="I33" s="41">
        <f>SUM(_xlfn.IFNA(LOOKUP(Q33,[1]use_fish!A:A,[1]use_fish!I:I),0),_xlfn.IFNA(LOOKUP(R33,[1]use_fish!A:A,[1]use_fish!I:I),0),_xlfn.IFNA(LOOKUP(S33,[1]use_fish!A:A,[1]use_fish!I:I),0),_xlfn.IFNA(LOOKUP(T33,[1]use_fish!A:A,[1]use_fish!I:I),0),_xlfn.IFNA(LOOKUP(U33,[1]use_fish!A:A,[1]use_fish!I:I),0),_xlfn.IFNA(LOOKUP(V33,[1]use_fish!A:A,[1]use_fish!I:I),0),_xlfn.IFNA(LOOKUP(W33,[1]use_fish!A:A,[1]use_fish!I:I),0),)</f>
        <v>60</v>
      </c>
      <c r="J33" s="39">
        <f>SUM(_xlfn.IFNA(LOOKUP(Q33,[1]use_fish!A:A,[1]use_fish!K:K),0),_xlfn.IFNA(LOOKUP(R33,[1]use_fish!A:A,[1]use_fish!K:K),0),_xlfn.IFNA(LOOKUP(S33,[1]use_fish!A:A,[1]use_fish!K:K),0),_xlfn.IFNA(LOOKUP(T33,[1]use_fish!A:A,[1]use_fish!K:K),0),_xlfn.IFNA(LOOKUP(U33,[1]use_fish!A:A,[1]use_fish!K:K),0),_xlfn.IFNA(LOOKUP(V33,[1]use_fish!A:A,[1]use_fish!K:K),0),_xlfn.IFNA(LOOKUP(W33,[1]use_fish!A:A,[1]use_fish!K:K),0),)</f>
        <v>0</v>
      </c>
      <c r="K33" s="41" t="str">
        <f t="array" ref="K33">INDEX([1]use_fish!A:A,SMALL(IF([1]group!$L$2&amp;IF(ISBLANK($L$14),$L$14,"+"&amp;$L$14)=[1]use_fish!H:H,ROW([1]use_fish!H:H),4^8),ROW(10:10)))&amp;""</f>
        <v/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315</v>
      </c>
      <c r="H34" s="41">
        <f>SUM(_xlfn.IFNA(LOOKUP(Q34,[1]use_fish!A:A,[1]use_fish!E:E),0),_xlfn.IFNA(LOOKUP(R34,[1]use_fish!A:A,[1]use_fish!E:E),0),_xlfn.IFNA(LOOKUP(S34,[1]use_fish!A:A,[1]use_fish!E:E),0),_xlfn.IFNA(LOOKUP(T34,[1]use_fish!A:A,[1]use_fish!E:E),0),_xlfn.IFNA(LOOKUP(U34,[1]use_fish!A:A,[1]use_fish!E:E),0),_xlfn.IFNA(LOOKUP(V34,[1]use_fish!A:A,[1]use_fish!E:E),0),_xlfn.IFNA(LOOKUP(W34,[1]use_fish!A:A,[1]use_fish!E:E),0),)</f>
        <v>31</v>
      </c>
      <c r="I34" s="41">
        <f>SUM(_xlfn.IFNA(LOOKUP(Q34,[1]use_fish!A:A,[1]use_fish!I:I),0),_xlfn.IFNA(LOOKUP(R34,[1]use_fish!A:A,[1]use_fish!I:I),0),_xlfn.IFNA(LOOKUP(S34,[1]use_fish!A:A,[1]use_fish!I:I),0),_xlfn.IFNA(LOOKUP(T34,[1]use_fish!A:A,[1]use_fish!I:I),0),_xlfn.IFNA(LOOKUP(U34,[1]use_fish!A:A,[1]use_fish!I:I),0),_xlfn.IFNA(LOOKUP(V34,[1]use_fish!A:A,[1]use_fish!I:I),0),_xlfn.IFNA(LOOKUP(W34,[1]use_fish!A:A,[1]use_fish!I:I),0),)</f>
        <v>31</v>
      </c>
      <c r="J34" s="39">
        <f>SUM(_xlfn.IFNA(LOOKUP(Q34,[1]use_fish!A:A,[1]use_fish!K:K),0),_xlfn.IFNA(LOOKUP(R34,[1]use_fish!A:A,[1]use_fish!K:K),0),_xlfn.IFNA(LOOKUP(S34,[1]use_fish!A:A,[1]use_fish!K:K),0),_xlfn.IFNA(LOOKUP(T34,[1]use_fish!A:A,[1]use_fish!K:K),0),_xlfn.IFNA(LOOKUP(U34,[1]use_fish!A:A,[1]use_fish!K:K),0),_xlfn.IFNA(LOOKUP(V34,[1]use_fish!A:A,[1]use_fish!K:K),0),_xlfn.IFNA(LOOKUP(W34,[1]use_fish!A:A,[1]use_fish!K:K),0),)</f>
        <v>0</v>
      </c>
      <c r="K34" s="41" t="str">
        <f t="array" ref="K34">INDEX([1]use_fish!A:A,SMALL(IF([1]group!$L$2&amp;IF(ISBLANK($L$14),$L$14,"+"&amp;$L$14)=[1]use_fish!H:H,ROW([1]use_fish!H:H),4^8),ROW(11:11)))&amp;""</f>
        <v/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166</v>
      </c>
      <c r="H35" s="21">
        <f>SUM(_xlfn.IFNA(LOOKUP(Q35,[1]use_fish!A:A,[1]use_fish!E:E),0),_xlfn.IFNA(LOOKUP(R35,[1]use_fish!A:A,[1]use_fish!E:E),0),_xlfn.IFNA(LOOKUP(S35,[1]use_fish!A:A,[1]use_fish!E:E),0),_xlfn.IFNA(LOOKUP(T35,[1]use_fish!A:A,[1]use_fish!E:E),0),_xlfn.IFNA(LOOKUP(U35,[1]use_fish!A:A,[1]use_fish!E:E),0),_xlfn.IFNA(LOOKUP(V35,[1]use_fish!A:A,[1]use_fish!E:E),0),_xlfn.IFNA(LOOKUP(W35,[1]use_fish!A:A,[1]use_fish!E:E),0),)</f>
        <v>80</v>
      </c>
      <c r="I35" s="21">
        <f>SUM(_xlfn.IFNA(LOOKUP(Q35,[1]use_fish!A:A,[1]use_fish!I:I),0),_xlfn.IFNA(LOOKUP(R35,[1]use_fish!A:A,[1]use_fish!I:I),0),_xlfn.IFNA(LOOKUP(S35,[1]use_fish!A:A,[1]use_fish!I:I),0),_xlfn.IFNA(LOOKUP(T35,[1]use_fish!A:A,[1]use_fish!I:I),0),_xlfn.IFNA(LOOKUP(U35,[1]use_fish!A:A,[1]use_fish!I:I),0),_xlfn.IFNA(LOOKUP(V35,[1]use_fish!A:A,[1]use_fish!I:I),0),_xlfn.IFNA(LOOKUP(W35,[1]use_fish!A:A,[1]use_fish!I:I),0),)</f>
        <v>80</v>
      </c>
      <c r="J35" s="19">
        <f>SUM(_xlfn.IFNA(LOOKUP(Q35,[1]use_fish!A:A,[1]use_fish!K:K),0),_xlfn.IFNA(LOOKUP(R35,[1]use_fish!A:A,[1]use_fish!K:K),0),_xlfn.IFNA(LOOKUP(S35,[1]use_fish!A:A,[1]use_fish!K:K),0),_xlfn.IFNA(LOOKUP(T35,[1]use_fish!A:A,[1]use_fish!K:K),0),_xlfn.IFNA(LOOKUP(U35,[1]use_fish!A:A,[1]use_fish!K:K),0),_xlfn.IFNA(LOOKUP(V35,[1]use_fish!A:A,[1]use_fish!K:K),0),_xlfn.IFNA(LOOKUP(W35,[1]use_fish!A:A,[1]use_fish!K:K),0),)</f>
        <v>0</v>
      </c>
      <c r="K35" s="21" t="str">
        <f t="array" ref="K35">INDEX([1]use_fish!A:A,SMALL(IF([1]group!$L$2&amp;IF(ISBLANK($L$14),$L$14,"+"&amp;$L$14)=[1]use_fish!H:H,ROW([1]use_fish!H:H),4^8),ROW(12:12)))&amp;""</f>
        <v/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167</v>
      </c>
      <c r="H36" s="21">
        <f>SUM(_xlfn.IFNA(LOOKUP(Q36,[1]use_fish!A:A,[1]use_fish!E:E),0),_xlfn.IFNA(LOOKUP(R36,[1]use_fish!A:A,[1]use_fish!E:E),0),_xlfn.IFNA(LOOKUP(S36,[1]use_fish!A:A,[1]use_fish!E:E),0),_xlfn.IFNA(LOOKUP(T36,[1]use_fish!A:A,[1]use_fish!E:E),0),_xlfn.IFNA(LOOKUP(U36,[1]use_fish!A:A,[1]use_fish!E:E),0),_xlfn.IFNA(LOOKUP(V36,[1]use_fish!A:A,[1]use_fish!E:E),0),_xlfn.IFNA(LOOKUP(W36,[1]use_fish!A:A,[1]use_fish!E:E),0),)</f>
        <v>101</v>
      </c>
      <c r="I36" s="21">
        <f>SUM(_xlfn.IFNA(LOOKUP(Q36,[1]use_fish!A:A,[1]use_fish!I:I),0),_xlfn.IFNA(LOOKUP(R36,[1]use_fish!A:A,[1]use_fish!I:I),0),_xlfn.IFNA(LOOKUP(S36,[1]use_fish!A:A,[1]use_fish!I:I),0),_xlfn.IFNA(LOOKUP(T36,[1]use_fish!A:A,[1]use_fish!I:I),0),_xlfn.IFNA(LOOKUP(U36,[1]use_fish!A:A,[1]use_fish!I:I),0),_xlfn.IFNA(LOOKUP(V36,[1]use_fish!A:A,[1]use_fish!I:I),0),_xlfn.IFNA(LOOKUP(W36,[1]use_fish!A:A,[1]use_fish!I:I),0),)</f>
        <v>101</v>
      </c>
      <c r="J36" s="19">
        <f>SUM(_xlfn.IFNA(LOOKUP(Q36,[1]use_fish!A:A,[1]use_fish!K:K),0),_xlfn.IFNA(LOOKUP(R36,[1]use_fish!A:A,[1]use_fish!K:K),0),_xlfn.IFNA(LOOKUP(S36,[1]use_fish!A:A,[1]use_fish!K:K),0),_xlfn.IFNA(LOOKUP(T36,[1]use_fish!A:A,[1]use_fish!K:K),0),_xlfn.IFNA(LOOKUP(U36,[1]use_fish!A:A,[1]use_fish!K:K),0),_xlfn.IFNA(LOOKUP(V36,[1]use_fish!A:A,[1]use_fish!K:K),0),_xlfn.IFNA(LOOKUP(W36,[1]use_fish!A:A,[1]use_fish!K:K),0),)</f>
        <v>0</v>
      </c>
      <c r="K36" s="21" t="str">
        <f t="array" ref="K36">INDEX([1]use_fish!A:A,SMALL(IF([1]group!$L$2&amp;IF(ISBLANK($L$14),$L$14,"+"&amp;$L$14)=[1]use_fish!H:H,ROW([1]use_fish!H:H),4^8),ROW(13:13)))&amp;""</f>
        <v/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316</v>
      </c>
      <c r="H37" s="21">
        <f>SUM(_xlfn.IFNA(LOOKUP(Q37,[1]use_fish!A:A,[1]use_fish!E:E),0),_xlfn.IFNA(LOOKUP(R37,[1]use_fish!A:A,[1]use_fish!E:E),0),_xlfn.IFNA(LOOKUP(S37,[1]use_fish!A:A,[1]use_fish!E:E),0),_xlfn.IFNA(LOOKUP(T37,[1]use_fish!A:A,[1]use_fish!E:E),0),_xlfn.IFNA(LOOKUP(U37,[1]use_fish!A:A,[1]use_fish!E:E),0),_xlfn.IFNA(LOOKUP(V37,[1]use_fish!A:A,[1]use_fish!E:E),0),_xlfn.IFNA(LOOKUP(W37,[1]use_fish!A:A,[1]use_fish!E:E),0),)</f>
        <v>120</v>
      </c>
      <c r="I37" s="21">
        <f>SUM(_xlfn.IFNA(LOOKUP(Q37,[1]use_fish!A:A,[1]use_fish!I:I),0),_xlfn.IFNA(LOOKUP(R37,[1]use_fish!A:A,[1]use_fish!I:I),0),_xlfn.IFNA(LOOKUP(S37,[1]use_fish!A:A,[1]use_fish!I:I),0),_xlfn.IFNA(LOOKUP(T37,[1]use_fish!A:A,[1]use_fish!I:I),0),_xlfn.IFNA(LOOKUP(U37,[1]use_fish!A:A,[1]use_fish!I:I),0),_xlfn.IFNA(LOOKUP(V37,[1]use_fish!A:A,[1]use_fish!I:I),0),_xlfn.IFNA(LOOKUP(W37,[1]use_fish!A:A,[1]use_fish!I:I),0),)</f>
        <v>120</v>
      </c>
      <c r="J37" s="19">
        <f>SUM(_xlfn.IFNA(LOOKUP(Q37,[1]use_fish!A:A,[1]use_fish!K:K),0),_xlfn.IFNA(LOOKUP(R37,[1]use_fish!A:A,[1]use_fish!K:K),0),_xlfn.IFNA(LOOKUP(S37,[1]use_fish!A:A,[1]use_fish!K:K),0),_xlfn.IFNA(LOOKUP(T37,[1]use_fish!A:A,[1]use_fish!K:K),0),_xlfn.IFNA(LOOKUP(U37,[1]use_fish!A:A,[1]use_fish!K:K),0),_xlfn.IFNA(LOOKUP(V37,[1]use_fish!A:A,[1]use_fish!K:K),0),_xlfn.IFNA(LOOKUP(W37,[1]use_fish!A:A,[1]use_fish!K:K),0),)</f>
        <v>0</v>
      </c>
      <c r="K37" s="21" t="str">
        <f t="array" ref="K37">INDEX([1]use_fish!A:A,SMALL(IF([1]group!$L$2&amp;IF(ISBLANK($L$14),$L$14,"+"&amp;$L$14)=[1]use_fish!H:H,ROW([1]use_fish!H:H),4^8),ROW(14:14)))&amp;""</f>
        <v/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168</v>
      </c>
      <c r="H38" s="21">
        <f>SUM(_xlfn.IFNA(LOOKUP(Q38,[1]use_fish!A:A,[1]use_fish!E:E),0),_xlfn.IFNA(LOOKUP(R38,[1]use_fish!A:A,[1]use_fish!E:E),0),_xlfn.IFNA(LOOKUP(S38,[1]use_fish!A:A,[1]use_fish!E:E),0),_xlfn.IFNA(LOOKUP(T38,[1]use_fish!A:A,[1]use_fish!E:E),0),_xlfn.IFNA(LOOKUP(U38,[1]use_fish!A:A,[1]use_fish!E:E),0),_xlfn.IFNA(LOOKUP(V38,[1]use_fish!A:A,[1]use_fish!E:E),0),_xlfn.IFNA(LOOKUP(W38,[1]use_fish!A:A,[1]use_fish!E:E),0),)</f>
        <v>140</v>
      </c>
      <c r="I38" s="21">
        <f>SUM(_xlfn.IFNA(LOOKUP(Q38,[1]use_fish!A:A,[1]use_fish!I:I),0),_xlfn.IFNA(LOOKUP(R38,[1]use_fish!A:A,[1]use_fish!I:I),0),_xlfn.IFNA(LOOKUP(S38,[1]use_fish!A:A,[1]use_fish!I:I),0),_xlfn.IFNA(LOOKUP(T38,[1]use_fish!A:A,[1]use_fish!I:I),0),_xlfn.IFNA(LOOKUP(U38,[1]use_fish!A:A,[1]use_fish!I:I),0),_xlfn.IFNA(LOOKUP(V38,[1]use_fish!A:A,[1]use_fish!I:I),0),_xlfn.IFNA(LOOKUP(W38,[1]use_fish!A:A,[1]use_fish!I:I),0),)</f>
        <v>140</v>
      </c>
      <c r="J38" s="19">
        <f>SUM(_xlfn.IFNA(LOOKUP(Q38,[1]use_fish!A:A,[1]use_fish!K:K),0),_xlfn.IFNA(LOOKUP(R38,[1]use_fish!A:A,[1]use_fish!K:K),0),_xlfn.IFNA(LOOKUP(S38,[1]use_fish!A:A,[1]use_fish!K:K),0),_xlfn.IFNA(LOOKUP(T38,[1]use_fish!A:A,[1]use_fish!K:K),0),_xlfn.IFNA(LOOKUP(U38,[1]use_fish!A:A,[1]use_fish!K:K),0),_xlfn.IFNA(LOOKUP(V38,[1]use_fish!A:A,[1]use_fish!K:K),0),_xlfn.IFNA(LOOKUP(W38,[1]use_fish!A:A,[1]use_fish!K:K),0),)</f>
        <v>0</v>
      </c>
      <c r="K38" s="21" t="str">
        <f t="array" ref="K38">INDEX([1]use_fish!A:A,SMALL(IF([1]group!$L$2&amp;IF(ISBLANK($L$14),$L$14,"+"&amp;$L$14)=[1]use_fish!H:H,ROW([1]use_fish!H:H),4^8),ROW(15:15)))&amp;""</f>
        <v/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317</v>
      </c>
      <c r="H39" s="19" t="s">
        <v>359</v>
      </c>
      <c r="I39" s="19" t="s">
        <v>364</v>
      </c>
      <c r="J39" s="19">
        <f>SUM(_xlfn.IFNA(LOOKUP(Q39,[1]use_fish!A:A,[1]use_fish!K:K),0),_xlfn.IFNA(LOOKUP(R39,[1]use_fish!A:A,[1]use_fish!K:K),0),_xlfn.IFNA(LOOKUP(S39,[1]use_fish!A:A,[1]use_fish!K:K),0),_xlfn.IFNA(LOOKUP(T39,[1]use_fish!A:A,[1]use_fish!K:K),0),_xlfn.IFNA(LOOKUP(U39,[1]use_fish!A:A,[1]use_fish!K:K),0),_xlfn.IFNA(LOOKUP(V39,[1]use_fish!A:A,[1]use_fish!K:K),0),_xlfn.IFNA(LOOKUP(W39,[1]use_fish!A:A,[1]use_fish!K:K),0),)</f>
        <v>0</v>
      </c>
      <c r="K39" s="21" t="str">
        <f t="array" ref="K39">INDEX([1]use_fish!A:A,SMALL(IF([1]group!$L$2&amp;IF(ISBLANK($L$14),$L$14,"+"&amp;$L$14)=[1]use_fish!H:H,ROW([1]use_fish!H:H),4^8),ROW(36:36)))&amp;""</f>
        <v/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318</v>
      </c>
      <c r="H40" s="21">
        <f>SUM(_xlfn.IFNA(LOOKUP(Q40,[1]use_fish!A:A,[1]use_fish!E:E),0),_xlfn.IFNA(LOOKUP(R40,[1]use_fish!A:A,[1]use_fish!E:E),0),_xlfn.IFNA(LOOKUP(S40,[1]use_fish!A:A,[1]use_fish!E:E),0),_xlfn.IFNA(LOOKUP(T40,[1]use_fish!A:A,[1]use_fish!E:E),0),_xlfn.IFNA(LOOKUP(U40,[1]use_fish!A:A,[1]use_fish!E:E),0),_xlfn.IFNA(LOOKUP(V40,[1]use_fish!A:A,[1]use_fish!E:E),0),_xlfn.IFNA(LOOKUP(W40,[1]use_fish!A:A,[1]use_fish!E:E),0),)</f>
        <v>150</v>
      </c>
      <c r="I40" s="21">
        <f>SUM(_xlfn.IFNA(LOOKUP(Q40,[1]use_fish!A:A,[1]use_fish!I:I),0),_xlfn.IFNA(LOOKUP(R40,[1]use_fish!A:A,[1]use_fish!I:I),0),_xlfn.IFNA(LOOKUP(S40,[1]use_fish!A:A,[1]use_fish!I:I),0),_xlfn.IFNA(LOOKUP(T40,[1]use_fish!A:A,[1]use_fish!I:I),0),_xlfn.IFNA(LOOKUP(U40,[1]use_fish!A:A,[1]use_fish!I:I),0),_xlfn.IFNA(LOOKUP(V40,[1]use_fish!A:A,[1]use_fish!I:I),0),_xlfn.IFNA(LOOKUP(W40,[1]use_fish!A:A,[1]use_fish!I:I),0),)</f>
        <v>150</v>
      </c>
      <c r="J40" s="19">
        <f>SUM(_xlfn.IFNA(LOOKUP(Q40,[1]use_fish!A:A,[1]use_fish!K:K),0),_xlfn.IFNA(LOOKUP(R40,[1]use_fish!A:A,[1]use_fish!K:K),0),_xlfn.IFNA(LOOKUP(S40,[1]use_fish!A:A,[1]use_fish!K:K),0),_xlfn.IFNA(LOOKUP(T40,[1]use_fish!A:A,[1]use_fish!K:K),0),_xlfn.IFNA(LOOKUP(U40,[1]use_fish!A:A,[1]use_fish!K:K),0),_xlfn.IFNA(LOOKUP(V40,[1]use_fish!A:A,[1]use_fish!K:K),0),_xlfn.IFNA(LOOKUP(W40,[1]use_fish!A:A,[1]use_fish!K:K),0),)</f>
        <v>0</v>
      </c>
      <c r="K40" s="21" t="str">
        <f t="array" ref="K40">INDEX([1]use_fish!A:A,SMALL(IF([1]group!$L$2&amp;IF(ISBLANK($L$14),$L$14,"+"&amp;$L$14)=[1]use_fish!H:H,ROW([1]use_fish!H:H),4^8),ROW(37:37)))&amp;""</f>
        <v/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169</v>
      </c>
      <c r="H41" s="21">
        <f>SUM(_xlfn.IFNA(LOOKUP(Q41,[1]use_fish!A:A,[1]use_fish!E:E),0),_xlfn.IFNA(LOOKUP(R41,[1]use_fish!A:A,[1]use_fish!E:E),0),_xlfn.IFNA(LOOKUP(S41,[1]use_fish!A:A,[1]use_fish!E:E),0),_xlfn.IFNA(LOOKUP(T41,[1]use_fish!A:A,[1]use_fish!E:E),0),_xlfn.IFNA(LOOKUP(U41,[1]use_fish!A:A,[1]use_fish!E:E),0),_xlfn.IFNA(LOOKUP(V41,[1]use_fish!A:A,[1]use_fish!E:E),0),_xlfn.IFNA(LOOKUP(W41,[1]use_fish!A:A,[1]use_fish!E:E),0),)</f>
        <v>180</v>
      </c>
      <c r="I41" s="21">
        <f>SUM(_xlfn.IFNA(LOOKUP(Q41,[1]use_fish!A:A,[1]use_fish!I:I),0),_xlfn.IFNA(LOOKUP(R41,[1]use_fish!A:A,[1]use_fish!I:I),0),_xlfn.IFNA(LOOKUP(S41,[1]use_fish!A:A,[1]use_fish!I:I),0),_xlfn.IFNA(LOOKUP(T41,[1]use_fish!A:A,[1]use_fish!I:I),0),_xlfn.IFNA(LOOKUP(U41,[1]use_fish!A:A,[1]use_fish!I:I),0),_xlfn.IFNA(LOOKUP(V41,[1]use_fish!A:A,[1]use_fish!I:I),0),_xlfn.IFNA(LOOKUP(W41,[1]use_fish!A:A,[1]use_fish!I:I),0),)</f>
        <v>180</v>
      </c>
      <c r="J41" s="19">
        <f>SUM(_xlfn.IFNA(LOOKUP(Q41,[1]use_fish!A:A,[1]use_fish!K:K),0),_xlfn.IFNA(LOOKUP(R41,[1]use_fish!A:A,[1]use_fish!K:K),0),_xlfn.IFNA(LOOKUP(S41,[1]use_fish!A:A,[1]use_fish!K:K),0),_xlfn.IFNA(LOOKUP(T41,[1]use_fish!A:A,[1]use_fish!K:K),0),_xlfn.IFNA(LOOKUP(U41,[1]use_fish!A:A,[1]use_fish!K:K),0),_xlfn.IFNA(LOOKUP(V41,[1]use_fish!A:A,[1]use_fish!K:K),0),_xlfn.IFNA(LOOKUP(W41,[1]use_fish!A:A,[1]use_fish!K:K),0),)</f>
        <v>0</v>
      </c>
      <c r="K41" s="21" t="str">
        <f t="array" ref="K41">INDEX([1]use_fish!A:A,SMALL(IF([1]group!$L$2&amp;IF(ISBLANK($L$14),$L$14,"+"&amp;$L$14)=[1]use_fish!H:H,ROW([1]use_fish!H:H),4^8),ROW(38:38)))&amp;""</f>
        <v/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319</v>
      </c>
      <c r="H42" s="21">
        <f>SUM(_xlfn.IFNA(LOOKUP(Q42,[1]use_fish!A:A,[1]use_fish!E:E),0),_xlfn.IFNA(LOOKUP(R42,[1]use_fish!A:A,[1]use_fish!E:E),0),_xlfn.IFNA(LOOKUP(S42,[1]use_fish!A:A,[1]use_fish!E:E),0),_xlfn.IFNA(LOOKUP(T42,[1]use_fish!A:A,[1]use_fish!E:E),0),_xlfn.IFNA(LOOKUP(U42,[1]use_fish!A:A,[1]use_fish!E:E),0),_xlfn.IFNA(LOOKUP(V42,[1]use_fish!A:A,[1]use_fish!E:E),0),_xlfn.IFNA(LOOKUP(W42,[1]use_fish!A:A,[1]use_fish!E:E),0),)</f>
        <v>200</v>
      </c>
      <c r="I42" s="21">
        <f>SUM(_xlfn.IFNA(LOOKUP(Q42,[1]use_fish!A:A,[1]use_fish!I:I),0),_xlfn.IFNA(LOOKUP(R42,[1]use_fish!A:A,[1]use_fish!I:I),0),_xlfn.IFNA(LOOKUP(S42,[1]use_fish!A:A,[1]use_fish!I:I),0),_xlfn.IFNA(LOOKUP(T42,[1]use_fish!A:A,[1]use_fish!I:I),0),_xlfn.IFNA(LOOKUP(U42,[1]use_fish!A:A,[1]use_fish!I:I),0),_xlfn.IFNA(LOOKUP(V42,[1]use_fish!A:A,[1]use_fish!I:I),0),_xlfn.IFNA(LOOKUP(W42,[1]use_fish!A:A,[1]use_fish!I:I),0),)</f>
        <v>200</v>
      </c>
      <c r="J42" s="19">
        <f>SUM(_xlfn.IFNA(LOOKUP(Q42,[1]use_fish!A:A,[1]use_fish!K:K),0),_xlfn.IFNA(LOOKUP(R42,[1]use_fish!A:A,[1]use_fish!K:K),0),_xlfn.IFNA(LOOKUP(S42,[1]use_fish!A:A,[1]use_fish!K:K),0),_xlfn.IFNA(LOOKUP(T42,[1]use_fish!A:A,[1]use_fish!K:K),0),_xlfn.IFNA(LOOKUP(U42,[1]use_fish!A:A,[1]use_fish!K:K),0),_xlfn.IFNA(LOOKUP(V42,[1]use_fish!A:A,[1]use_fish!K:K),0),_xlfn.IFNA(LOOKUP(W42,[1]use_fish!A:A,[1]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320</v>
      </c>
      <c r="H43" s="44">
        <f>SUM(_xlfn.IFNA(LOOKUP(Q43,[1]use_fish!A:A,[1]use_fish!E:E),0),_xlfn.IFNA(LOOKUP(R43,[1]use_fish!A:A,[1]use_fish!E:E),0),_xlfn.IFNA(LOOKUP(S43,[1]use_fish!A:A,[1]use_fish!E:E),0),_xlfn.IFNA(LOOKUP(T43,[1]use_fish!A:A,[1]use_fish!E:E),0),_xlfn.IFNA(LOOKUP(U43,[1]use_fish!A:A,[1]use_fish!E:E),0),_xlfn.IFNA(LOOKUP(V43,[1]use_fish!A:A,[1]use_fish!E:E),0),_xlfn.IFNA(LOOKUP(W43,[1]use_fish!A:A,[1]use_fish!E:E),0),)</f>
        <v>101</v>
      </c>
      <c r="I43" s="44">
        <f>SUM(_xlfn.IFNA(LOOKUP(Q43,[1]use_fish!A:A,[1]use_fish!I:I),0),_xlfn.IFNA(LOOKUP(R43,[1]use_fish!A:A,[1]use_fish!I:I),0),_xlfn.IFNA(LOOKUP(S43,[1]use_fish!A:A,[1]use_fish!I:I),0),_xlfn.IFNA(LOOKUP(T43,[1]use_fish!A:A,[1]use_fish!I:I),0),_xlfn.IFNA(LOOKUP(U43,[1]use_fish!A:A,[1]use_fish!I:I),0),_xlfn.IFNA(LOOKUP(V43,[1]use_fish!A:A,[1]use_fish!I:I),0),_xlfn.IFNA(LOOKUP(W43,[1]use_fish!A:A,[1]use_fish!I:I),0),)</f>
        <v>101</v>
      </c>
      <c r="J43" s="43">
        <f>SUM(_xlfn.IFNA(LOOKUP(Q43,[1]use_fish!A:A,[1]use_fish!K:K),0),_xlfn.IFNA(LOOKUP(R43,[1]use_fish!A:A,[1]use_fish!K:K),0),_xlfn.IFNA(LOOKUP(S43,[1]use_fish!A:A,[1]use_fish!K:K),0),_xlfn.IFNA(LOOKUP(T43,[1]use_fish!A:A,[1]use_fish!K:K),0),_xlfn.IFNA(LOOKUP(U43,[1]use_fish!A:A,[1]use_fish!K:K),0),_xlfn.IFNA(LOOKUP(V43,[1]use_fish!A:A,[1]use_fish!K:K),0),_xlfn.IFNA(LOOKUP(W43,[1]use_fish!A:A,[1]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321</v>
      </c>
      <c r="H44" s="44">
        <f>SUM(_xlfn.IFNA(LOOKUP(Q44,[1]use_fish!A:A,[1]use_fish!E:E),0),_xlfn.IFNA(LOOKUP(R44,[1]use_fish!A:A,[1]use_fish!E:E),0),_xlfn.IFNA(LOOKUP(S44,[1]use_fish!A:A,[1]use_fish!E:E),0),_xlfn.IFNA(LOOKUP(T44,[1]use_fish!A:A,[1]use_fish!E:E),0),_xlfn.IFNA(LOOKUP(U44,[1]use_fish!A:A,[1]use_fish!E:E),0),_xlfn.IFNA(LOOKUP(V44,[1]use_fish!A:A,[1]use_fish!E:E),0),_xlfn.IFNA(LOOKUP(W44,[1]use_fish!A:A,[1]use_fish!E:E),0),)</f>
        <v>151</v>
      </c>
      <c r="I44" s="44">
        <f>SUM(_xlfn.IFNA(LOOKUP(Q44,[1]use_fish!A:A,[1]use_fish!I:I),0),_xlfn.IFNA(LOOKUP(R44,[1]use_fish!A:A,[1]use_fish!I:I),0),_xlfn.IFNA(LOOKUP(S44,[1]use_fish!A:A,[1]use_fish!I:I),0),_xlfn.IFNA(LOOKUP(T44,[1]use_fish!A:A,[1]use_fish!I:I),0),_xlfn.IFNA(LOOKUP(U44,[1]use_fish!A:A,[1]use_fish!I:I),0),_xlfn.IFNA(LOOKUP(V44,[1]use_fish!A:A,[1]use_fish!I:I),0),_xlfn.IFNA(LOOKUP(W44,[1]use_fish!A:A,[1]use_fish!I:I),0),)</f>
        <v>151</v>
      </c>
      <c r="J44" s="43">
        <f>SUM(_xlfn.IFNA(LOOKUP(Q44,[1]use_fish!A:A,[1]use_fish!K:K),0),_xlfn.IFNA(LOOKUP(R44,[1]use_fish!A:A,[1]use_fish!K:K),0),_xlfn.IFNA(LOOKUP(S44,[1]use_fish!A:A,[1]use_fish!K:K),0),_xlfn.IFNA(LOOKUP(T44,[1]use_fish!A:A,[1]use_fish!K:K),0),_xlfn.IFNA(LOOKUP(U44,[1]use_fish!A:A,[1]use_fish!K:K),0),_xlfn.IFNA(LOOKUP(V44,[1]use_fish!A:A,[1]use_fish!K:K),0),_xlfn.IFNA(LOOKUP(W44,[1]use_fish!A:A,[1]use_fish!K:K),0),)</f>
        <v>0</v>
      </c>
      <c r="K44" s="44" t="str">
        <f t="array" ref="K44">INDEX([1]use_fish!A:A,SMALL(IF([1]group!$L$2&amp;IF(ISBLANK($L$14),$L$14,"+"&amp;$L$14)=[1]use_fish!H:H,ROW([1]use_fish!H:H),4^8),ROW(41:41)))&amp;""</f>
        <v/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322</v>
      </c>
      <c r="H45" s="44">
        <f>SUM(_xlfn.IFNA(LOOKUP(Q45,[1]use_fish!A:A,[1]use_fish!E:E),0),_xlfn.IFNA(LOOKUP(R45,[1]use_fish!A:A,[1]use_fish!E:E),0),_xlfn.IFNA(LOOKUP(S45,[1]use_fish!A:A,[1]use_fish!E:E),0),_xlfn.IFNA(LOOKUP(T45,[1]use_fish!A:A,[1]use_fish!E:E),0),_xlfn.IFNA(LOOKUP(U45,[1]use_fish!A:A,[1]use_fish!E:E),0),_xlfn.IFNA(LOOKUP(V45,[1]use_fish!A:A,[1]use_fish!E:E),0),_xlfn.IFNA(LOOKUP(W45,[1]use_fish!A:A,[1]use_fish!E:E),0),)</f>
        <v>101</v>
      </c>
      <c r="I45" s="44">
        <f>SUM(_xlfn.IFNA(LOOKUP(Q45,[1]use_fish!A:A,[1]use_fish!I:I),0),_xlfn.IFNA(LOOKUP(R45,[1]use_fish!A:A,[1]use_fish!I:I),0),_xlfn.IFNA(LOOKUP(S45,[1]use_fish!A:A,[1]use_fish!I:I),0),_xlfn.IFNA(LOOKUP(T45,[1]use_fish!A:A,[1]use_fish!I:I),0),_xlfn.IFNA(LOOKUP(U45,[1]use_fish!A:A,[1]use_fish!I:I),0),_xlfn.IFNA(LOOKUP(V45,[1]use_fish!A:A,[1]use_fish!I:I),0),_xlfn.IFNA(LOOKUP(W45,[1]use_fish!A:A,[1]use_fish!I:I),0),)</f>
        <v>101</v>
      </c>
      <c r="J45" s="43">
        <f>SUM(_xlfn.IFNA(LOOKUP(Q45,[1]use_fish!A:A,[1]use_fish!K:K),0),_xlfn.IFNA(LOOKUP(R45,[1]use_fish!A:A,[1]use_fish!K:K),0),_xlfn.IFNA(LOOKUP(S45,[1]use_fish!A:A,[1]use_fish!K:K),0),_xlfn.IFNA(LOOKUP(T45,[1]use_fish!A:A,[1]use_fish!K:K),0),_xlfn.IFNA(LOOKUP(U45,[1]use_fish!A:A,[1]use_fish!K:K),0),_xlfn.IFNA(LOOKUP(V45,[1]use_fish!A:A,[1]use_fish!K:K),0),_xlfn.IFNA(LOOKUP(W45,[1]use_fish!A:A,[1]use_fish!K:K),0),)</f>
        <v>0</v>
      </c>
      <c r="K45" s="44" t="str">
        <f t="array" ref="K45">INDEX([1]use_fish!A:A,SMALL(IF([1]group!$L$2&amp;IF(ISBLANK($L$14),$L$14,"+"&amp;$L$14)=[1]use_fish!H:H,ROW([1]use_fish!H:H),4^8),ROW(42:42)))&amp;""</f>
        <v/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176</v>
      </c>
      <c r="H46" s="44">
        <f>SUM(_xlfn.IFNA(LOOKUP(Q46,[1]use_fish!A:A,[1]use_fish!E:E),0),_xlfn.IFNA(LOOKUP(R46,[1]use_fish!A:A,[1]use_fish!E:E),0),_xlfn.IFNA(LOOKUP(S46,[1]use_fish!A:A,[1]use_fish!E:E),0),_xlfn.IFNA(LOOKUP(T46,[1]use_fish!A:A,[1]use_fish!E:E),0),_xlfn.IFNA(LOOKUP(U46,[1]use_fish!A:A,[1]use_fish!E:E),0),_xlfn.IFNA(LOOKUP(V46,[1]use_fish!A:A,[1]use_fish!E:E),0),_xlfn.IFNA(LOOKUP(W46,[1]use_fish!A:A,[1]use_fish!E:E),0),)</f>
        <v>126</v>
      </c>
      <c r="I46" s="44">
        <f>SUM(_xlfn.IFNA(LOOKUP(Q46,[1]use_fish!A:A,[1]use_fish!I:I),0),_xlfn.IFNA(LOOKUP(R46,[1]use_fish!A:A,[1]use_fish!I:I),0),_xlfn.IFNA(LOOKUP(S46,[1]use_fish!A:A,[1]use_fish!I:I),0),_xlfn.IFNA(LOOKUP(T46,[1]use_fish!A:A,[1]use_fish!I:I),0),_xlfn.IFNA(LOOKUP(U46,[1]use_fish!A:A,[1]use_fish!I:I),0),_xlfn.IFNA(LOOKUP(V46,[1]use_fish!A:A,[1]use_fish!I:I),0),_xlfn.IFNA(LOOKUP(W46,[1]use_fish!A:A,[1]use_fish!I:I),0),)</f>
        <v>126</v>
      </c>
      <c r="J46" s="43">
        <f>SUM(_xlfn.IFNA(LOOKUP(Q46,[1]use_fish!A:A,[1]use_fish!K:K),0),_xlfn.IFNA(LOOKUP(R46,[1]use_fish!A:A,[1]use_fish!K:K),0),_xlfn.IFNA(LOOKUP(S46,[1]use_fish!A:A,[1]use_fish!K:K),0),_xlfn.IFNA(LOOKUP(T46,[1]use_fish!A:A,[1]use_fish!K:K),0),_xlfn.IFNA(LOOKUP(U46,[1]use_fish!A:A,[1]use_fish!K:K),0),_xlfn.IFNA(LOOKUP(V46,[1]use_fish!A:A,[1]use_fish!K:K),0),_xlfn.IFNA(LOOKUP(W46,[1]use_fish!A:A,[1]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175</v>
      </c>
      <c r="H47" s="44">
        <f>SUM(_xlfn.IFNA(LOOKUP(Q47,[1]use_fish!A:A,[1]use_fish!E:E),0),_xlfn.IFNA(LOOKUP(R47,[1]use_fish!A:A,[1]use_fish!E:E),0),_xlfn.IFNA(LOOKUP(S47,[1]use_fish!A:A,[1]use_fish!E:E),0),_xlfn.IFNA(LOOKUP(T47,[1]use_fish!A:A,[1]use_fish!E:E),0),_xlfn.IFNA(LOOKUP(U47,[1]use_fish!A:A,[1]use_fish!E:E),0),_xlfn.IFNA(LOOKUP(V47,[1]use_fish!A:A,[1]use_fish!E:E),0),_xlfn.IFNA(LOOKUP(W47,[1]use_fish!A:A,[1]use_fish!E:E),0),)</f>
        <v>101</v>
      </c>
      <c r="I47" s="44">
        <f>SUM(_xlfn.IFNA(LOOKUP(Q47,[1]use_fish!A:A,[1]use_fish!I:I),0),_xlfn.IFNA(LOOKUP(R47,[1]use_fish!A:A,[1]use_fish!I:I),0),_xlfn.IFNA(LOOKUP(S47,[1]use_fish!A:A,[1]use_fish!I:I),0),_xlfn.IFNA(LOOKUP(T47,[1]use_fish!A:A,[1]use_fish!I:I),0),_xlfn.IFNA(LOOKUP(U47,[1]use_fish!A:A,[1]use_fish!I:I),0),_xlfn.IFNA(LOOKUP(V47,[1]use_fish!A:A,[1]use_fish!I:I),0),_xlfn.IFNA(LOOKUP(W47,[1]use_fish!A:A,[1]use_fish!I:I),0),)</f>
        <v>101</v>
      </c>
      <c r="J47" s="43">
        <f>SUM(_xlfn.IFNA(LOOKUP(Q47,[1]use_fish!A:A,[1]use_fish!K:K),0),_xlfn.IFNA(LOOKUP(R47,[1]use_fish!A:A,[1]use_fish!K:K),0),_xlfn.IFNA(LOOKUP(S47,[1]use_fish!A:A,[1]use_fish!K:K),0),_xlfn.IFNA(LOOKUP(T47,[1]use_fish!A:A,[1]use_fish!K:K),0),_xlfn.IFNA(LOOKUP(U47,[1]use_fish!A:A,[1]use_fish!K:K),0),_xlfn.IFNA(LOOKUP(V47,[1]use_fish!A:A,[1]use_fish!K:K),0),_xlfn.IFNA(LOOKUP(W47,[1]use_fish!A:A,[1]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177</v>
      </c>
      <c r="H48" s="44">
        <f>SUM(_xlfn.IFNA(LOOKUP(Q48,[1]use_fish!A:A,[1]use_fish!E:E),0),_xlfn.IFNA(LOOKUP(R48,[1]use_fish!A:A,[1]use_fish!E:E),0),_xlfn.IFNA(LOOKUP(S48,[1]use_fish!A:A,[1]use_fish!E:E),0),_xlfn.IFNA(LOOKUP(T48,[1]use_fish!A:A,[1]use_fish!E:E),0),_xlfn.IFNA(LOOKUP(U48,[1]use_fish!A:A,[1]use_fish!E:E),0),_xlfn.IFNA(LOOKUP(V48,[1]use_fish!A:A,[1]use_fish!E:E),0),_xlfn.IFNA(LOOKUP(W48,[1]use_fish!A:A,[1]use_fish!E:E),0),)</f>
        <v>101</v>
      </c>
      <c r="I48" s="44">
        <f>SUM(_xlfn.IFNA(LOOKUP(Q48,[1]use_fish!A:A,[1]use_fish!I:I),0),_xlfn.IFNA(LOOKUP(R48,[1]use_fish!A:A,[1]use_fish!I:I),0),_xlfn.IFNA(LOOKUP(S48,[1]use_fish!A:A,[1]use_fish!I:I),0),_xlfn.IFNA(LOOKUP(T48,[1]use_fish!A:A,[1]use_fish!I:I),0),_xlfn.IFNA(LOOKUP(U48,[1]use_fish!A:A,[1]use_fish!I:I),0),_xlfn.IFNA(LOOKUP(V48,[1]use_fish!A:A,[1]use_fish!I:I),0),_xlfn.IFNA(LOOKUP(W48,[1]use_fish!A:A,[1]use_fish!I:I),0),)</f>
        <v>101</v>
      </c>
      <c r="J48" s="43">
        <f>SUM(_xlfn.IFNA(LOOKUP(Q48,[1]use_fish!A:A,[1]use_fish!K:K),0),_xlfn.IFNA(LOOKUP(R48,[1]use_fish!A:A,[1]use_fish!K:K),0),_xlfn.IFNA(LOOKUP(S48,[1]use_fish!A:A,[1]use_fish!K:K),0),_xlfn.IFNA(LOOKUP(T48,[1]use_fish!A:A,[1]use_fish!K:K),0),_xlfn.IFNA(LOOKUP(U48,[1]use_fish!A:A,[1]use_fish!K:K),0),_xlfn.IFNA(LOOKUP(V48,[1]use_fish!A:A,[1]use_fish!K:K),0),_xlfn.IFNA(LOOKUP(W48,[1]use_fish!A:A,[1]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178</v>
      </c>
      <c r="H49" s="44">
        <f>SUM(_xlfn.IFNA(LOOKUP(Q49,[1]use_fish!A:A,[1]use_fish!E:E),0),_xlfn.IFNA(LOOKUP(R49,[1]use_fish!A:A,[1]use_fish!E:E),0),_xlfn.IFNA(LOOKUP(S49,[1]use_fish!A:A,[1]use_fish!E:E),0),_xlfn.IFNA(LOOKUP(T49,[1]use_fish!A:A,[1]use_fish!E:E),0),_xlfn.IFNA(LOOKUP(U49,[1]use_fish!A:A,[1]use_fish!E:E),0),_xlfn.IFNA(LOOKUP(V49,[1]use_fish!A:A,[1]use_fish!E:E),0),_xlfn.IFNA(LOOKUP(W49,[1]use_fish!A:A,[1]use_fish!E:E),0),)</f>
        <v>500</v>
      </c>
      <c r="I49" s="44">
        <f>SUM(_xlfn.IFNA(LOOKUP(Q49,[1]use_fish!A:A,[1]use_fish!I:I),0),_xlfn.IFNA(LOOKUP(R49,[1]use_fish!A:A,[1]use_fish!I:I),0),_xlfn.IFNA(LOOKUP(S49,[1]use_fish!A:A,[1]use_fish!I:I),0),_xlfn.IFNA(LOOKUP(T49,[1]use_fish!A:A,[1]use_fish!I:I),0),_xlfn.IFNA(LOOKUP(U49,[1]use_fish!A:A,[1]use_fish!I:I),0),_xlfn.IFNA(LOOKUP(V49,[1]use_fish!A:A,[1]use_fish!I:I),0),_xlfn.IFNA(LOOKUP(W49,[1]use_fish!A:A,[1]use_fish!I:I),0),)</f>
        <v>0</v>
      </c>
      <c r="J49" s="43">
        <f>SUM(_xlfn.IFNA(LOOKUP(Q49,[1]use_fish!A:A,[1]use_fish!K:K),0),_xlfn.IFNA(LOOKUP(R49,[1]use_fish!A:A,[1]use_fish!K:K),0),_xlfn.IFNA(LOOKUP(S49,[1]use_fish!A:A,[1]use_fish!K:K),0),_xlfn.IFNA(LOOKUP(T49,[1]use_fish!A:A,[1]use_fish!K:K),0),_xlfn.IFNA(LOOKUP(U49,[1]use_fish!A:A,[1]use_fish!K:K),0),_xlfn.IFNA(LOOKUP(V49,[1]use_fish!A:A,[1]use_fish!K:K),0),_xlfn.IFNA(LOOKUP(W49,[1]use_fish!A:A,[1]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179</v>
      </c>
      <c r="H50" s="44">
        <f>SUM(_xlfn.IFNA(LOOKUP(Q50,[1]use_fish!A:A,[1]use_fish!E:E),0),_xlfn.IFNA(LOOKUP(R50,[1]use_fish!A:A,[1]use_fish!E:E),0),_xlfn.IFNA(LOOKUP(S50,[1]use_fish!A:A,[1]use_fish!E:E),0),_xlfn.IFNA(LOOKUP(T50,[1]use_fish!A:A,[1]use_fish!E:E),0),_xlfn.IFNA(LOOKUP(U50,[1]use_fish!A:A,[1]use_fish!E:E),0),_xlfn.IFNA(LOOKUP(V50,[1]use_fish!A:A,[1]use_fish!E:E),0),_xlfn.IFNA(LOOKUP(W50,[1]use_fish!A:A,[1]use_fish!E:E),0),)</f>
        <v>501</v>
      </c>
      <c r="I50" s="44">
        <f>SUM(_xlfn.IFNA(LOOKUP(Q50,[1]use_fish!A:A,[1]use_fish!I:I),0),_xlfn.IFNA(LOOKUP(R50,[1]use_fish!A:A,[1]use_fish!I:I),0),_xlfn.IFNA(LOOKUP(S50,[1]use_fish!A:A,[1]use_fish!I:I),0),_xlfn.IFNA(LOOKUP(T50,[1]use_fish!A:A,[1]use_fish!I:I),0),_xlfn.IFNA(LOOKUP(U50,[1]use_fish!A:A,[1]use_fish!I:I),0),_xlfn.IFNA(LOOKUP(V50,[1]use_fish!A:A,[1]use_fish!I:I),0),_xlfn.IFNA(LOOKUP(W50,[1]use_fish!A:A,[1]use_fish!I:I),0),)</f>
        <v>501</v>
      </c>
      <c r="J50" s="43">
        <f>SUM(_xlfn.IFNA(LOOKUP(Q50,[1]use_fish!A:A,[1]use_fish!K:K),0),_xlfn.IFNA(LOOKUP(R50,[1]use_fish!A:A,[1]use_fish!K:K),0),_xlfn.IFNA(LOOKUP(S50,[1]use_fish!A:A,[1]use_fish!K:K),0),_xlfn.IFNA(LOOKUP(T50,[1]use_fish!A:A,[1]use_fish!K:K),0),_xlfn.IFNA(LOOKUP(U50,[1]use_fish!A:A,[1]use_fish!K:K),0),_xlfn.IFNA(LOOKUP(V50,[1]use_fish!A:A,[1]use_fish!K:K),0),_xlfn.IFNA(LOOKUP(W50,[1]use_fish!A:A,[1]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180</v>
      </c>
      <c r="H51" s="44">
        <f>SUM(_xlfn.IFNA(LOOKUP(Q51,[1]use_fish!A:A,[1]use_fish!E:E),0),_xlfn.IFNA(LOOKUP(R51,[1]use_fish!A:A,[1]use_fish!E:E),0),_xlfn.IFNA(LOOKUP(S51,[1]use_fish!A:A,[1]use_fish!E:E),0),_xlfn.IFNA(LOOKUP(T51,[1]use_fish!A:A,[1]use_fish!E:E),0),_xlfn.IFNA(LOOKUP(U51,[1]use_fish!A:A,[1]use_fish!E:E),0),_xlfn.IFNA(LOOKUP(V51,[1]use_fish!A:A,[1]use_fish!E:E),0),_xlfn.IFNA(LOOKUP(W51,[1]use_fish!A:A,[1]use_fish!E:E),0),)</f>
        <v>501</v>
      </c>
      <c r="I51" s="44">
        <f>SUM(_xlfn.IFNA(LOOKUP(Q51,[1]use_fish!A:A,[1]use_fish!I:I),0),_xlfn.IFNA(LOOKUP(R51,[1]use_fish!A:A,[1]use_fish!I:I),0),_xlfn.IFNA(LOOKUP(S51,[1]use_fish!A:A,[1]use_fish!I:I),0),_xlfn.IFNA(LOOKUP(T51,[1]use_fish!A:A,[1]use_fish!I:I),0),_xlfn.IFNA(LOOKUP(U51,[1]use_fish!A:A,[1]use_fish!I:I),0),_xlfn.IFNA(LOOKUP(V51,[1]use_fish!A:A,[1]use_fish!I:I),0),_xlfn.IFNA(LOOKUP(W51,[1]use_fish!A:A,[1]use_fish!I:I),0),)</f>
        <v>501</v>
      </c>
      <c r="J51" s="43">
        <f>SUM(_xlfn.IFNA(LOOKUP(Q51,[1]use_fish!A:A,[1]use_fish!K:K),0),_xlfn.IFNA(LOOKUP(R51,[1]use_fish!A:A,[1]use_fish!K:K),0),_xlfn.IFNA(LOOKUP(S51,[1]use_fish!A:A,[1]use_fish!K:K),0),_xlfn.IFNA(LOOKUP(T51,[1]use_fish!A:A,[1]use_fish!K:K),0),_xlfn.IFNA(LOOKUP(U51,[1]use_fish!A:A,[1]use_fish!K:K),0),_xlfn.IFNA(LOOKUP(V51,[1]use_fish!A:A,[1]use_fish!K:K),0),_xlfn.IFNA(LOOKUP(W51,[1]use_fish!A:A,[1]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181</v>
      </c>
      <c r="H52" s="44">
        <f>SUM(_xlfn.IFNA(LOOKUP(Q52,[1]use_fish!A:A,[1]use_fish!E:E),0),_xlfn.IFNA(LOOKUP(R52,[1]use_fish!A:A,[1]use_fish!E:E),0),_xlfn.IFNA(LOOKUP(S52,[1]use_fish!A:A,[1]use_fish!E:E),0),_xlfn.IFNA(LOOKUP(T52,[1]use_fish!A:A,[1]use_fish!E:E),0),_xlfn.IFNA(LOOKUP(U52,[1]use_fish!A:A,[1]use_fish!E:E),0),_xlfn.IFNA(LOOKUP(V52,[1]use_fish!A:A,[1]use_fish!E:E),0),_xlfn.IFNA(LOOKUP(W52,[1]use_fish!A:A,[1]use_fish!E:E),0),)</f>
        <v>50</v>
      </c>
      <c r="I52" s="44">
        <f>SUM(_xlfn.IFNA(LOOKUP(Q52,[1]use_fish!A:A,[1]use_fish!I:I),0),_xlfn.IFNA(LOOKUP(R52,[1]use_fish!A:A,[1]use_fish!I:I),0),_xlfn.IFNA(LOOKUP(S52,[1]use_fish!A:A,[1]use_fish!I:I),0),_xlfn.IFNA(LOOKUP(T52,[1]use_fish!A:A,[1]use_fish!I:I),0),_xlfn.IFNA(LOOKUP(U52,[1]use_fish!A:A,[1]use_fish!I:I),0),_xlfn.IFNA(LOOKUP(V52,[1]use_fish!A:A,[1]use_fish!I:I),0),_xlfn.IFNA(LOOKUP(W52,[1]use_fish!A:A,[1]use_fish!I:I),0),)</f>
        <v>50</v>
      </c>
      <c r="J52" s="43">
        <f>SUM(_xlfn.IFNA(LOOKUP(Q52,[1]use_fish!A:A,[1]use_fish!K:K),0),_xlfn.IFNA(LOOKUP(R52,[1]use_fish!A:A,[1]use_fish!K:K),0),_xlfn.IFNA(LOOKUP(S52,[1]use_fish!A:A,[1]use_fish!K:K),0),_xlfn.IFNA(LOOKUP(T52,[1]use_fish!A:A,[1]use_fish!K:K),0),_xlfn.IFNA(LOOKUP(U52,[1]use_fish!A:A,[1]use_fish!K:K),0),_xlfn.IFNA(LOOKUP(V52,[1]use_fish!A:A,[1]use_fish!K:K),0),_xlfn.IFNA(LOOKUP(W52,[1]use_fish!A:A,[1]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182</v>
      </c>
      <c r="H53" s="31">
        <f>SUM(_xlfn.IFNA(LOOKUP(Q53,[1]use_fish!A:A,[1]use_fish!E:E),0),_xlfn.IFNA(LOOKUP(R53,[1]use_fish!A:A,[1]use_fish!E:E),0),_xlfn.IFNA(LOOKUP(S53,[1]use_fish!A:A,[1]use_fish!E:E),0),_xlfn.IFNA(LOOKUP(T53,[1]use_fish!A:A,[1]use_fish!E:E),0),_xlfn.IFNA(LOOKUP(U53,[1]use_fish!A:A,[1]use_fish!E:E),0),_xlfn.IFNA(LOOKUP(V53,[1]use_fish!A:A,[1]use_fish!E:E),0),_xlfn.IFNA(LOOKUP(W53,[1]use_fish!A:A,[1]use_fish!E:E),0),)</f>
        <v>100</v>
      </c>
      <c r="I53" s="31">
        <f>SUM(_xlfn.IFNA(LOOKUP(Q53,[1]use_fish!A:A,[1]use_fish!I:I),0),_xlfn.IFNA(LOOKUP(R53,[1]use_fish!A:A,[1]use_fish!I:I),0),_xlfn.IFNA(LOOKUP(S53,[1]use_fish!A:A,[1]use_fish!I:I),0),_xlfn.IFNA(LOOKUP(T53,[1]use_fish!A:A,[1]use_fish!I:I),0),_xlfn.IFNA(LOOKUP(U53,[1]use_fish!A:A,[1]use_fish!I:I),0),_xlfn.IFNA(LOOKUP(V53,[1]use_fish!A:A,[1]use_fish!I:I),0),_xlfn.IFNA(LOOKUP(W53,[1]use_fish!A:A,[1]use_fish!I:I),0),)</f>
        <v>100</v>
      </c>
      <c r="J53" s="32">
        <f>SUM(_xlfn.IFNA(LOOKUP(Q53,[1]use_fish!A:A,[1]use_fish!K:K),0),_xlfn.IFNA(LOOKUP(R53,[1]use_fish!A:A,[1]use_fish!K:K),0),_xlfn.IFNA(LOOKUP(S53,[1]use_fish!A:A,[1]use_fish!K:K),0),_xlfn.IFNA(LOOKUP(T53,[1]use_fish!A:A,[1]use_fish!K:K),0),_xlfn.IFNA(LOOKUP(U53,[1]use_fish!A:A,[1]use_fish!K:K),0),_xlfn.IFNA(LOOKUP(V53,[1]use_fish!A:A,[1]use_fish!K:K),0),_xlfn.IFNA(LOOKUP(W53,[1]use_fish!A:A,[1]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183</v>
      </c>
      <c r="H54" s="31">
        <f>SUM(_xlfn.IFNA(LOOKUP(Q54,[1]use_fish!A:A,[1]use_fish!E:E),0),_xlfn.IFNA(LOOKUP(R54,[1]use_fish!A:A,[1]use_fish!E:E),0),_xlfn.IFNA(LOOKUP(S54,[1]use_fish!A:A,[1]use_fish!E:E),0),_xlfn.IFNA(LOOKUP(T54,[1]use_fish!A:A,[1]use_fish!E:E),0),_xlfn.IFNA(LOOKUP(U54,[1]use_fish!A:A,[1]use_fish!E:E),0),_xlfn.IFNA(LOOKUP(V54,[1]use_fish!A:A,[1]use_fish!E:E),0),_xlfn.IFNA(LOOKUP(W54,[1]use_fish!A:A,[1]use_fish!E:E),0),)</f>
        <v>100</v>
      </c>
      <c r="I54" s="31">
        <f>SUM(_xlfn.IFNA(LOOKUP(Q54,[1]use_fish!A:A,[1]use_fish!I:I),0),_xlfn.IFNA(LOOKUP(R54,[1]use_fish!A:A,[1]use_fish!I:I),0),_xlfn.IFNA(LOOKUP(S54,[1]use_fish!A:A,[1]use_fish!I:I),0),_xlfn.IFNA(LOOKUP(T54,[1]use_fish!A:A,[1]use_fish!I:I),0),_xlfn.IFNA(LOOKUP(U54,[1]use_fish!A:A,[1]use_fish!I:I),0),_xlfn.IFNA(LOOKUP(V54,[1]use_fish!A:A,[1]use_fish!I:I),0),_xlfn.IFNA(LOOKUP(W54,[1]use_fish!A:A,[1]use_fish!I:I),0),)</f>
        <v>100</v>
      </c>
      <c r="J54" s="32">
        <f>SUM(_xlfn.IFNA(LOOKUP(Q54,[1]use_fish!A:A,[1]use_fish!K:K),0),_xlfn.IFNA(LOOKUP(R54,[1]use_fish!A:A,[1]use_fish!K:K),0),_xlfn.IFNA(LOOKUP(S54,[1]use_fish!A:A,[1]use_fish!K:K),0),_xlfn.IFNA(LOOKUP(T54,[1]use_fish!A:A,[1]use_fish!K:K),0),_xlfn.IFNA(LOOKUP(U54,[1]use_fish!A:A,[1]use_fish!K:K),0),_xlfn.IFNA(LOOKUP(V54,[1]use_fish!A:A,[1]use_fish!K:K),0),_xlfn.IFNA(LOOKUP(W54,[1]use_fish!A:A,[1]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184</v>
      </c>
      <c r="H55" s="31">
        <f>SUM(_xlfn.IFNA(LOOKUP(Q55,[1]use_fish!A:A,[1]use_fish!E:E),0),_xlfn.IFNA(LOOKUP(R55,[1]use_fish!A:A,[1]use_fish!E:E),0),_xlfn.IFNA(LOOKUP(S55,[1]use_fish!A:A,[1]use_fish!E:E),0),_xlfn.IFNA(LOOKUP(T55,[1]use_fish!A:A,[1]use_fish!E:E),0),_xlfn.IFNA(LOOKUP(U55,[1]use_fish!A:A,[1]use_fish!E:E),0),_xlfn.IFNA(LOOKUP(V55,[1]use_fish!A:A,[1]use_fish!E:E),0),_xlfn.IFNA(LOOKUP(W55,[1]use_fish!A:A,[1]use_fish!E:E),0),)</f>
        <v>100</v>
      </c>
      <c r="I55" s="31">
        <f>SUM(_xlfn.IFNA(LOOKUP(Q55,[1]use_fish!A:A,[1]use_fish!I:I),0),_xlfn.IFNA(LOOKUP(R55,[1]use_fish!A:A,[1]use_fish!I:I),0),_xlfn.IFNA(LOOKUP(S55,[1]use_fish!A:A,[1]use_fish!I:I),0),_xlfn.IFNA(LOOKUP(T55,[1]use_fish!A:A,[1]use_fish!I:I),0),_xlfn.IFNA(LOOKUP(U55,[1]use_fish!A:A,[1]use_fish!I:I),0),_xlfn.IFNA(LOOKUP(V55,[1]use_fish!A:A,[1]use_fish!I:I),0),_xlfn.IFNA(LOOKUP(W55,[1]use_fish!A:A,[1]use_fish!I:I),0),)</f>
        <v>100</v>
      </c>
      <c r="J55" s="32">
        <f>SUM(_xlfn.IFNA(LOOKUP(Q55,[1]use_fish!A:A,[1]use_fish!K:K),0),_xlfn.IFNA(LOOKUP(R55,[1]use_fish!A:A,[1]use_fish!K:K),0),_xlfn.IFNA(LOOKUP(S55,[1]use_fish!A:A,[1]use_fish!K:K),0),_xlfn.IFNA(LOOKUP(T55,[1]use_fish!A:A,[1]use_fish!K:K),0),_xlfn.IFNA(LOOKUP(U55,[1]use_fish!A:A,[1]use_fish!K:K),0),_xlfn.IFNA(LOOKUP(V55,[1]use_fish!A:A,[1]use_fish!K:K),0),_xlfn.IFNA(LOOKUP(W55,[1]use_fish!A:A,[1]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185</v>
      </c>
      <c r="H56" s="31">
        <f>SUM(_xlfn.IFNA(LOOKUP(Q56,[1]use_fish!A:A,[1]use_fish!E:E),0),_xlfn.IFNA(LOOKUP(R56,[1]use_fish!A:A,[1]use_fish!E:E),0),_xlfn.IFNA(LOOKUP(S56,[1]use_fish!A:A,[1]use_fish!E:E),0),_xlfn.IFNA(LOOKUP(T56,[1]use_fish!A:A,[1]use_fish!E:E),0),_xlfn.IFNA(LOOKUP(U56,[1]use_fish!A:A,[1]use_fish!E:E),0),_xlfn.IFNA(LOOKUP(V56,[1]use_fish!A:A,[1]use_fish!E:E),0),_xlfn.IFNA(LOOKUP(W56,[1]use_fish!A:A,[1]use_fish!E:E),0),)</f>
        <v>100</v>
      </c>
      <c r="I56" s="31">
        <f>SUM(_xlfn.IFNA(LOOKUP(Q56,[1]use_fish!A:A,[1]use_fish!I:I),0),_xlfn.IFNA(LOOKUP(R56,[1]use_fish!A:A,[1]use_fish!I:I),0),_xlfn.IFNA(LOOKUP(S56,[1]use_fish!A:A,[1]use_fish!I:I),0),_xlfn.IFNA(LOOKUP(T56,[1]use_fish!A:A,[1]use_fish!I:I),0),_xlfn.IFNA(LOOKUP(U56,[1]use_fish!A:A,[1]use_fish!I:I),0),_xlfn.IFNA(LOOKUP(V56,[1]use_fish!A:A,[1]use_fish!I:I),0),_xlfn.IFNA(LOOKUP(W56,[1]use_fish!A:A,[1]use_fish!I:I),0),)</f>
        <v>100</v>
      </c>
      <c r="J56" s="32">
        <f>SUM(_xlfn.IFNA(LOOKUP(Q56,[1]use_fish!A:A,[1]use_fish!K:K),0),_xlfn.IFNA(LOOKUP(R56,[1]use_fish!A:A,[1]use_fish!K:K),0),_xlfn.IFNA(LOOKUP(S56,[1]use_fish!A:A,[1]use_fish!K:K),0),_xlfn.IFNA(LOOKUP(T56,[1]use_fish!A:A,[1]use_fish!K:K),0),_xlfn.IFNA(LOOKUP(U56,[1]use_fish!A:A,[1]use_fish!K:K),0),_xlfn.IFNA(LOOKUP(V56,[1]use_fish!A:A,[1]use_fish!K:K),0),_xlfn.IFNA(LOOKUP(W56,[1]use_fish!A:A,[1]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186</v>
      </c>
      <c r="H57" s="31">
        <f>SUM(_xlfn.IFNA(LOOKUP(Q57,[1]use_fish!A:A,[1]use_fish!E:E),0),_xlfn.IFNA(LOOKUP(R57,[1]use_fish!A:A,[1]use_fish!E:E),0),_xlfn.IFNA(LOOKUP(S57,[1]use_fish!A:A,[1]use_fish!E:E),0),_xlfn.IFNA(LOOKUP(T57,[1]use_fish!A:A,[1]use_fish!E:E),0),_xlfn.IFNA(LOOKUP(U57,[1]use_fish!A:A,[1]use_fish!E:E),0),_xlfn.IFNA(LOOKUP(V57,[1]use_fish!A:A,[1]use_fish!E:E),0),_xlfn.IFNA(LOOKUP(W57,[1]use_fish!A:A,[1]use_fish!E:E),0),)</f>
        <v>100</v>
      </c>
      <c r="I57" s="31">
        <f>SUM(_xlfn.IFNA(LOOKUP(Q57,[1]use_fish!A:A,[1]use_fish!I:I),0),_xlfn.IFNA(LOOKUP(R57,[1]use_fish!A:A,[1]use_fish!I:I),0),_xlfn.IFNA(LOOKUP(S57,[1]use_fish!A:A,[1]use_fish!I:I),0),_xlfn.IFNA(LOOKUP(T57,[1]use_fish!A:A,[1]use_fish!I:I),0),_xlfn.IFNA(LOOKUP(U57,[1]use_fish!A:A,[1]use_fish!I:I),0),_xlfn.IFNA(LOOKUP(V57,[1]use_fish!A:A,[1]use_fish!I:I),0),_xlfn.IFNA(LOOKUP(W57,[1]use_fish!A:A,[1]use_fish!I:I),0),)</f>
        <v>100</v>
      </c>
      <c r="J57" s="32">
        <f>SUM(_xlfn.IFNA(LOOKUP(Q57,[1]use_fish!A:A,[1]use_fish!K:K),0),_xlfn.IFNA(LOOKUP(R57,[1]use_fish!A:A,[1]use_fish!K:K),0),_xlfn.IFNA(LOOKUP(S57,[1]use_fish!A:A,[1]use_fish!K:K),0),_xlfn.IFNA(LOOKUP(T57,[1]use_fish!A:A,[1]use_fish!K:K),0),_xlfn.IFNA(LOOKUP(U57,[1]use_fish!A:A,[1]use_fish!K:K),0),_xlfn.IFNA(LOOKUP(V57,[1]use_fish!A:A,[1]use_fish!K:K),0),_xlfn.IFNA(LOOKUP(W57,[1]use_fish!A:A,[1]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187</v>
      </c>
      <c r="H58" s="31">
        <f>SUM(_xlfn.IFNA(LOOKUP(Q58,[1]use_fish!A:A,[1]use_fish!E:E),0),_xlfn.IFNA(LOOKUP(R58,[1]use_fish!A:A,[1]use_fish!E:E),0),_xlfn.IFNA(LOOKUP(S58,[1]use_fish!A:A,[1]use_fish!E:E),0),_xlfn.IFNA(LOOKUP(T58,[1]use_fish!A:A,[1]use_fish!E:E),0),_xlfn.IFNA(LOOKUP(U58,[1]use_fish!A:A,[1]use_fish!E:E),0),_xlfn.IFNA(LOOKUP(V58,[1]use_fish!A:A,[1]use_fish!E:E),0),_xlfn.IFNA(LOOKUP(W58,[1]use_fish!A:A,[1]use_fish!E:E),0),)</f>
        <v>100</v>
      </c>
      <c r="I58" s="31">
        <f>SUM(_xlfn.IFNA(LOOKUP(Q58,[1]use_fish!A:A,[1]use_fish!I:I),0),_xlfn.IFNA(LOOKUP(R58,[1]use_fish!A:A,[1]use_fish!I:I),0),_xlfn.IFNA(LOOKUP(S58,[1]use_fish!A:A,[1]use_fish!I:I),0),_xlfn.IFNA(LOOKUP(T58,[1]use_fish!A:A,[1]use_fish!I:I),0),_xlfn.IFNA(LOOKUP(U58,[1]use_fish!A:A,[1]use_fish!I:I),0),_xlfn.IFNA(LOOKUP(V58,[1]use_fish!A:A,[1]use_fish!I:I),0),_xlfn.IFNA(LOOKUP(W58,[1]use_fish!A:A,[1]use_fish!I:I),0),)</f>
        <v>100</v>
      </c>
      <c r="J58" s="32">
        <f>SUM(_xlfn.IFNA(LOOKUP(Q58,[1]use_fish!A:A,[1]use_fish!K:K),0),_xlfn.IFNA(LOOKUP(R58,[1]use_fish!A:A,[1]use_fish!K:K),0),_xlfn.IFNA(LOOKUP(S58,[1]use_fish!A:A,[1]use_fish!K:K),0),_xlfn.IFNA(LOOKUP(T58,[1]use_fish!A:A,[1]use_fish!K:K),0),_xlfn.IFNA(LOOKUP(U58,[1]use_fish!A:A,[1]use_fish!K:K),0),_xlfn.IFNA(LOOKUP(V58,[1]use_fish!A:A,[1]use_fish!K:K),0),_xlfn.IFNA(LOOKUP(W58,[1]use_fish!A:A,[1]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188</v>
      </c>
      <c r="H59" s="31">
        <f>SUM(_xlfn.IFNA(LOOKUP(Q59,[1]use_fish!A:A,[1]use_fish!E:E),0),_xlfn.IFNA(LOOKUP(R59,[1]use_fish!A:A,[1]use_fish!E:E),0),_xlfn.IFNA(LOOKUP(S59,[1]use_fish!A:A,[1]use_fish!E:E),0),_xlfn.IFNA(LOOKUP(T59,[1]use_fish!A:A,[1]use_fish!E:E),0),_xlfn.IFNA(LOOKUP(U59,[1]use_fish!A:A,[1]use_fish!E:E),0),_xlfn.IFNA(LOOKUP(V59,[1]use_fish!A:A,[1]use_fish!E:E),0),_xlfn.IFNA(LOOKUP(W59,[1]use_fish!A:A,[1]use_fish!E:E),0),)</f>
        <v>100</v>
      </c>
      <c r="I59" s="31">
        <f>SUM(_xlfn.IFNA(LOOKUP(Q59,[1]use_fish!A:A,[1]use_fish!I:I),0),_xlfn.IFNA(LOOKUP(R59,[1]use_fish!A:A,[1]use_fish!I:I),0),_xlfn.IFNA(LOOKUP(S59,[1]use_fish!A:A,[1]use_fish!I:I),0),_xlfn.IFNA(LOOKUP(T59,[1]use_fish!A:A,[1]use_fish!I:I),0),_xlfn.IFNA(LOOKUP(U59,[1]use_fish!A:A,[1]use_fish!I:I),0),_xlfn.IFNA(LOOKUP(V59,[1]use_fish!A:A,[1]use_fish!I:I),0),_xlfn.IFNA(LOOKUP(W59,[1]use_fish!A:A,[1]use_fish!I:I),0),)</f>
        <v>100</v>
      </c>
      <c r="J59" s="32">
        <f>SUM(_xlfn.IFNA(LOOKUP(Q59,[1]use_fish!A:A,[1]use_fish!K:K),0),_xlfn.IFNA(LOOKUP(R59,[1]use_fish!A:A,[1]use_fish!K:K),0),_xlfn.IFNA(LOOKUP(S59,[1]use_fish!A:A,[1]use_fish!K:K),0),_xlfn.IFNA(LOOKUP(T59,[1]use_fish!A:A,[1]use_fish!K:K),0),_xlfn.IFNA(LOOKUP(U59,[1]use_fish!A:A,[1]use_fish!K:K),0),_xlfn.IFNA(LOOKUP(V59,[1]use_fish!A:A,[1]use_fish!K:K),0),_xlfn.IFNA(LOOKUP(W59,[1]use_fish!A:A,[1]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189</v>
      </c>
      <c r="H60" s="31">
        <f>SUM(_xlfn.IFNA(LOOKUP(Q60,[1]use_fish!A:A,[1]use_fish!E:E),0),_xlfn.IFNA(LOOKUP(R60,[1]use_fish!A:A,[1]use_fish!E:E),0),_xlfn.IFNA(LOOKUP(S60,[1]use_fish!A:A,[1]use_fish!E:E),0),_xlfn.IFNA(LOOKUP(T60,[1]use_fish!A:A,[1]use_fish!E:E),0),_xlfn.IFNA(LOOKUP(U60,[1]use_fish!A:A,[1]use_fish!E:E),0),_xlfn.IFNA(LOOKUP(V60,[1]use_fish!A:A,[1]use_fish!E:E),0),_xlfn.IFNA(LOOKUP(W60,[1]use_fish!A:A,[1]use_fish!E:E),0),)</f>
        <v>100</v>
      </c>
      <c r="I60" s="31">
        <f>SUM(_xlfn.IFNA(LOOKUP(Q60,[1]use_fish!A:A,[1]use_fish!I:I),0),_xlfn.IFNA(LOOKUP(R60,[1]use_fish!A:A,[1]use_fish!I:I),0),_xlfn.IFNA(LOOKUP(S60,[1]use_fish!A:A,[1]use_fish!I:I),0),_xlfn.IFNA(LOOKUP(T60,[1]use_fish!A:A,[1]use_fish!I:I),0),_xlfn.IFNA(LOOKUP(U60,[1]use_fish!A:A,[1]use_fish!I:I),0),_xlfn.IFNA(LOOKUP(V60,[1]use_fish!A:A,[1]use_fish!I:I),0),_xlfn.IFNA(LOOKUP(W60,[1]use_fish!A:A,[1]use_fish!I:I),0),)</f>
        <v>100</v>
      </c>
      <c r="J60" s="32">
        <f>SUM(_xlfn.IFNA(LOOKUP(Q60,[1]use_fish!A:A,[1]use_fish!K:K),0),_xlfn.IFNA(LOOKUP(R60,[1]use_fish!A:A,[1]use_fish!K:K),0),_xlfn.IFNA(LOOKUP(S60,[1]use_fish!A:A,[1]use_fish!K:K),0),_xlfn.IFNA(LOOKUP(T60,[1]use_fish!A:A,[1]use_fish!K:K),0),_xlfn.IFNA(LOOKUP(U60,[1]use_fish!A:A,[1]use_fish!K:K),0),_xlfn.IFNA(LOOKUP(V60,[1]use_fish!A:A,[1]use_fish!K:K),0),_xlfn.IFNA(LOOKUP(W60,[1]use_fish!A:A,[1]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323</v>
      </c>
      <c r="H61" s="35">
        <f>SUM(_xlfn.IFNA(LOOKUP(Q61,[1]use_fish!A:A,[1]use_fish!E:E),0),_xlfn.IFNA(LOOKUP(R61,[1]use_fish!A:A,[1]use_fish!E:E),0),_xlfn.IFNA(LOOKUP(S61,[1]use_fish!A:A,[1]use_fish!E:E),0),_xlfn.IFNA(LOOKUP(T61,[1]use_fish!A:A,[1]use_fish!E:E),0),_xlfn.IFNA(LOOKUP(U61,[1]use_fish!A:A,[1]use_fish!E:E),0),_xlfn.IFNA(LOOKUP(V61,[1]use_fish!A:A,[1]use_fish!E:E),0),_xlfn.IFNA(LOOKUP(W61,[1]use_fish!A:A,[1]use_fish!E:E),0),)</f>
        <v>600</v>
      </c>
      <c r="I61" s="35">
        <f>SUM(_xlfn.IFNA(LOOKUP(Q61,[1]use_fish!A:A,[1]use_fish!I:I),0),_xlfn.IFNA(LOOKUP(R61,[1]use_fish!A:A,[1]use_fish!I:I),0),_xlfn.IFNA(LOOKUP(S61,[1]use_fish!A:A,[1]use_fish!I:I),0),_xlfn.IFNA(LOOKUP(T61,[1]use_fish!A:A,[1]use_fish!I:I),0),_xlfn.IFNA(LOOKUP(U61,[1]use_fish!A:A,[1]use_fish!I:I),0),_xlfn.IFNA(LOOKUP(V61,[1]use_fish!A:A,[1]use_fish!I:I),0),_xlfn.IFNA(LOOKUP(W61,[1]use_fish!A:A,[1]use_fish!I:I),0),)</f>
        <v>600</v>
      </c>
      <c r="J61" s="36">
        <f>SUM(_xlfn.IFNA(LOOKUP(Q61,[1]use_fish!A:A,[1]use_fish!K:K),0),_xlfn.IFNA(LOOKUP(R61,[1]use_fish!A:A,[1]use_fish!K:K),0),_xlfn.IFNA(LOOKUP(S61,[1]use_fish!A:A,[1]use_fish!K:K),0),_xlfn.IFNA(LOOKUP(T61,[1]use_fish!A:A,[1]use_fish!K:K),0),_xlfn.IFNA(LOOKUP(U61,[1]use_fish!A:A,[1]use_fish!K:K),0),_xlfn.IFNA(LOOKUP(V61,[1]use_fish!A:A,[1]use_fish!K:K),0),_xlfn.IFNA(LOOKUP(W61,[1]use_fish!A:A,[1]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190</v>
      </c>
      <c r="H62" s="35">
        <f>SUM(_xlfn.IFNA(LOOKUP(Q62,[1]use_fish!A:A,[1]use_fish!E:E),0),_xlfn.IFNA(LOOKUP(R62,[1]use_fish!A:A,[1]use_fish!E:E),0),_xlfn.IFNA(LOOKUP(S62,[1]use_fish!A:A,[1]use_fish!E:E),0),_xlfn.IFNA(LOOKUP(T62,[1]use_fish!A:A,[1]use_fish!E:E),0),_xlfn.IFNA(LOOKUP(U62,[1]use_fish!A:A,[1]use_fish!E:E),0),_xlfn.IFNA(LOOKUP(V62,[1]use_fish!A:A,[1]use_fish!E:E),0),_xlfn.IFNA(LOOKUP(W62,[1]use_fish!A:A,[1]use_fish!E:E),0),)</f>
        <v>900</v>
      </c>
      <c r="I62" s="35">
        <f>SUM(_xlfn.IFNA(LOOKUP(Q62,[1]use_fish!A:A,[1]use_fish!I:I),0),_xlfn.IFNA(LOOKUP(R62,[1]use_fish!A:A,[1]use_fish!I:I),0),_xlfn.IFNA(LOOKUP(S62,[1]use_fish!A:A,[1]use_fish!I:I),0),_xlfn.IFNA(LOOKUP(T62,[1]use_fish!A:A,[1]use_fish!I:I),0),_xlfn.IFNA(LOOKUP(U62,[1]use_fish!A:A,[1]use_fish!I:I),0),_xlfn.IFNA(LOOKUP(V62,[1]use_fish!A:A,[1]use_fish!I:I),0),_xlfn.IFNA(LOOKUP(W62,[1]use_fish!A:A,[1]use_fish!I:I),0),)</f>
        <v>900</v>
      </c>
      <c r="J62" s="36">
        <f>SUM(_xlfn.IFNA(LOOKUP(Q62,[1]use_fish!A:A,[1]use_fish!K:K),0),_xlfn.IFNA(LOOKUP(R62,[1]use_fish!A:A,[1]use_fish!K:K),0),_xlfn.IFNA(LOOKUP(S62,[1]use_fish!A:A,[1]use_fish!K:K),0),_xlfn.IFNA(LOOKUP(T62,[1]use_fish!A:A,[1]use_fish!K:K),0),_xlfn.IFNA(LOOKUP(U62,[1]use_fish!A:A,[1]use_fish!K:K),0),_xlfn.IFNA(LOOKUP(V62,[1]use_fish!A:A,[1]use_fish!K:K),0),_xlfn.IFNA(LOOKUP(W62,[1]use_fish!A:A,[1]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191</v>
      </c>
      <c r="H63" s="35">
        <f>SUM(_xlfn.IFNA(LOOKUP(Q63,[1]use_fish!A:A,[1]use_fish!E:E),0),_xlfn.IFNA(LOOKUP(R63,[1]use_fish!A:A,[1]use_fish!E:E),0),_xlfn.IFNA(LOOKUP(S63,[1]use_fish!A:A,[1]use_fish!E:E),0),_xlfn.IFNA(LOOKUP(T63,[1]use_fish!A:A,[1]use_fish!E:E),0),_xlfn.IFNA(LOOKUP(U63,[1]use_fish!A:A,[1]use_fish!E:E),0),_xlfn.IFNA(LOOKUP(V63,[1]use_fish!A:A,[1]use_fish!E:E),0),_xlfn.IFNA(LOOKUP(W63,[1]use_fish!A:A,[1]use_fish!E:E),0),)</f>
        <v>800</v>
      </c>
      <c r="I63" s="35">
        <f>SUM(_xlfn.IFNA(LOOKUP(Q63,[1]use_fish!A:A,[1]use_fish!I:I),0),_xlfn.IFNA(LOOKUP(R63,[1]use_fish!A:A,[1]use_fish!I:I),0),_xlfn.IFNA(LOOKUP(S63,[1]use_fish!A:A,[1]use_fish!I:I),0),_xlfn.IFNA(LOOKUP(T63,[1]use_fish!A:A,[1]use_fish!I:I),0),_xlfn.IFNA(LOOKUP(U63,[1]use_fish!A:A,[1]use_fish!I:I),0),_xlfn.IFNA(LOOKUP(V63,[1]use_fish!A:A,[1]use_fish!I:I),0),_xlfn.IFNA(LOOKUP(W63,[1]use_fish!A:A,[1]use_fish!I:I),0),)</f>
        <v>800</v>
      </c>
      <c r="J63" s="36">
        <f>SUM(_xlfn.IFNA(LOOKUP(Q63,[1]use_fish!A:A,[1]use_fish!K:K),0),_xlfn.IFNA(LOOKUP(R63,[1]use_fish!A:A,[1]use_fish!K:K),0),_xlfn.IFNA(LOOKUP(S63,[1]use_fish!A:A,[1]use_fish!K:K),0),_xlfn.IFNA(LOOKUP(T63,[1]use_fish!A:A,[1]use_fish!K:K),0),_xlfn.IFNA(LOOKUP(U63,[1]use_fish!A:A,[1]use_fish!K:K),0),_xlfn.IFNA(LOOKUP(V63,[1]use_fish!A:A,[1]use_fish!K:K),0),_xlfn.IFNA(LOOKUP(W63,[1]use_fish!A:A,[1]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192</v>
      </c>
      <c r="H64" s="35">
        <f>SUM(_xlfn.IFNA(LOOKUP(Q64,[1]use_fish!A:A,[1]use_fish!E:E),0),_xlfn.IFNA(LOOKUP(R64,[1]use_fish!A:A,[1]use_fish!E:E),0),_xlfn.IFNA(LOOKUP(S64,[1]use_fish!A:A,[1]use_fish!E:E),0),_xlfn.IFNA(LOOKUP(T64,[1]use_fish!A:A,[1]use_fish!E:E),0),_xlfn.IFNA(LOOKUP(U64,[1]use_fish!A:A,[1]use_fish!E:E),0),_xlfn.IFNA(LOOKUP(V64,[1]use_fish!A:A,[1]use_fish!E:E),0),_xlfn.IFNA(LOOKUP(W64,[1]use_fish!A:A,[1]use_fish!E:E),0),)</f>
        <v>0</v>
      </c>
      <c r="I64" s="35">
        <f>SUM(_xlfn.IFNA(LOOKUP(Q64,[1]use_fish!A:A,[1]use_fish!I:I),0),_xlfn.IFNA(LOOKUP(R64,[1]use_fish!A:A,[1]use_fish!I:I),0),_xlfn.IFNA(LOOKUP(S64,[1]use_fish!A:A,[1]use_fish!I:I),0),_xlfn.IFNA(LOOKUP(T64,[1]use_fish!A:A,[1]use_fish!I:I),0),_xlfn.IFNA(LOOKUP(U64,[1]use_fish!A:A,[1]use_fish!I:I),0),_xlfn.IFNA(LOOKUP(V64,[1]use_fish!A:A,[1]use_fish!I:I),0),_xlfn.IFNA(LOOKUP(W64,[1]use_fish!A:A,[1]use_fish!I:I),0),)</f>
        <v>0</v>
      </c>
      <c r="J64" s="36">
        <f>SUM(_xlfn.IFNA(LOOKUP(Q64,[1]use_fish!A:A,[1]use_fish!K:K),0),_xlfn.IFNA(LOOKUP(R64,[1]use_fish!A:A,[1]use_fish!K:K),0),_xlfn.IFNA(LOOKUP(S64,[1]use_fish!A:A,[1]use_fish!K:K),0),_xlfn.IFNA(LOOKUP(T64,[1]use_fish!A:A,[1]use_fish!K:K),0),_xlfn.IFNA(LOOKUP(U64,[1]use_fish!A:A,[1]use_fish!K:K),0),_xlfn.IFNA(LOOKUP(V64,[1]use_fish!A:A,[1]use_fish!K:K),0),_xlfn.IFNA(LOOKUP(W64,[1]use_fish!A:A,[1]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324</v>
      </c>
      <c r="G65" s="45" t="s">
        <v>325</v>
      </c>
      <c r="H65" s="29">
        <f>SUM(_xlfn.IFNA(LOOKUP(Q65,[1]use_fish!A:A,[1]use_fish!E:E),0),_xlfn.IFNA(LOOKUP(R65,[1]use_fish!A:A,[1]use_fish!E:E),0),_xlfn.IFNA(LOOKUP(S65,[1]use_fish!A:A,[1]use_fish!E:E),0),_xlfn.IFNA(LOOKUP(T65,[1]use_fish!A:A,[1]use_fish!E:E),0),_xlfn.IFNA(LOOKUP(U65,[1]use_fish!A:A,[1]use_fish!E:E),0),_xlfn.IFNA(LOOKUP(V65,[1]use_fish!A:A,[1]use_fish!E:E),0),_xlfn.IFNA(LOOKUP(W65,[1]use_fish!A:A,[1]use_fish!E:E),0),)</f>
        <v>4</v>
      </c>
      <c r="I65" s="29">
        <f>SUM(_xlfn.IFNA(LOOKUP(Q65,[1]use_fish!A:A,[1]use_fish!I:I),0),_xlfn.IFNA(LOOKUP(R65,[1]use_fish!A:A,[1]use_fish!I:I),0),_xlfn.IFNA(LOOKUP(S65,[1]use_fish!A:A,[1]use_fish!I:I),0),_xlfn.IFNA(LOOKUP(T65,[1]use_fish!A:A,[1]use_fish!I:I),0),_xlfn.IFNA(LOOKUP(U65,[1]use_fish!A:A,[1]use_fish!I:I),0),_xlfn.IFNA(LOOKUP(V65,[1]use_fish!A:A,[1]use_fish!I:I),0),_xlfn.IFNA(LOOKUP(W65,[1]use_fish!A:A,[1]use_fish!I:I),0),)</f>
        <v>4</v>
      </c>
      <c r="J65" s="27">
        <f>SUM(_xlfn.IFNA(LOOKUP(Q65,[1]use_fish!A:A,[1]use_fish!K:K),0),_xlfn.IFNA(LOOKUP(R65,[1]use_fish!A:A,[1]use_fish!K:K),0),_xlfn.IFNA(LOOKUP(S65,[1]use_fish!A:A,[1]use_fish!K:K),0),_xlfn.IFNA(LOOKUP(T65,[1]use_fish!A:A,[1]use_fish!K:K),0),_xlfn.IFNA(LOOKUP(U65,[1]use_fish!A:A,[1]use_fish!K:K),0),_xlfn.IFNA(LOOKUP(V65,[1]use_fish!A:A,[1]use_fish!K:K),0),_xlfn.IFNA(LOOKUP(W65,[1]use_fish!A:A,[1]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326</v>
      </c>
      <c r="G66" s="45" t="s">
        <v>272</v>
      </c>
      <c r="H66" s="29">
        <f>SUM(_xlfn.IFNA(LOOKUP(Q66,[1]use_fish!A:A,[1]use_fish!E:E),0),_xlfn.IFNA(LOOKUP(R66,[1]use_fish!A:A,[1]use_fish!E:E),0),_xlfn.IFNA(LOOKUP(S66,[1]use_fish!A:A,[1]use_fish!E:E),0),_xlfn.IFNA(LOOKUP(T66,[1]use_fish!A:A,[1]use_fish!E:E),0),_xlfn.IFNA(LOOKUP(U66,[1]use_fish!A:A,[1]use_fish!E:E),0),_xlfn.IFNA(LOOKUP(V66,[1]use_fish!A:A,[1]use_fish!E:E),0),_xlfn.IFNA(LOOKUP(W66,[1]use_fish!A:A,[1]use_fish!E:E),0),)</f>
        <v>5</v>
      </c>
      <c r="I66" s="29">
        <f>SUM(_xlfn.IFNA(LOOKUP(Q66,[1]use_fish!A:A,[1]use_fish!I:I),0),_xlfn.IFNA(LOOKUP(R66,[1]use_fish!A:A,[1]use_fish!I:I),0),_xlfn.IFNA(LOOKUP(S66,[1]use_fish!A:A,[1]use_fish!I:I),0),_xlfn.IFNA(LOOKUP(T66,[1]use_fish!A:A,[1]use_fish!I:I),0),_xlfn.IFNA(LOOKUP(U66,[1]use_fish!A:A,[1]use_fish!I:I),0),_xlfn.IFNA(LOOKUP(V66,[1]use_fish!A:A,[1]use_fish!I:I),0),_xlfn.IFNA(LOOKUP(W66,[1]use_fish!A:A,[1]use_fish!I:I),0),)</f>
        <v>5</v>
      </c>
      <c r="J66" s="27">
        <f>SUM(_xlfn.IFNA(LOOKUP(Q66,[1]use_fish!A:A,[1]use_fish!K:K),0),_xlfn.IFNA(LOOKUP(R66,[1]use_fish!A:A,[1]use_fish!K:K),0),_xlfn.IFNA(LOOKUP(S66,[1]use_fish!A:A,[1]use_fish!K:K),0),_xlfn.IFNA(LOOKUP(T66,[1]use_fish!A:A,[1]use_fish!K:K),0),_xlfn.IFNA(LOOKUP(U66,[1]use_fish!A:A,[1]use_fish!K:K),0),_xlfn.IFNA(LOOKUP(V66,[1]use_fish!A:A,[1]use_fish!K:K),0),_xlfn.IFNA(LOOKUP(W66,[1]use_fish!A:A,[1]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327</v>
      </c>
      <c r="G67" s="46" t="s">
        <v>273</v>
      </c>
      <c r="H67" s="29">
        <f>SUM(_xlfn.IFNA(LOOKUP(Q67,[1]use_fish!A:A,[1]use_fish!E:E),0),_xlfn.IFNA(LOOKUP(R67,[1]use_fish!A:A,[1]use_fish!E:E),0),_xlfn.IFNA(LOOKUP(S67,[1]use_fish!A:A,[1]use_fish!E:E),0),_xlfn.IFNA(LOOKUP(T67,[1]use_fish!A:A,[1]use_fish!E:E),0),_xlfn.IFNA(LOOKUP(U67,[1]use_fish!A:A,[1]use_fish!E:E),0),_xlfn.IFNA(LOOKUP(V67,[1]use_fish!A:A,[1]use_fish!E:E),0),_xlfn.IFNA(LOOKUP(W67,[1]use_fish!A:A,[1]use_fish!E:E),0),)</f>
        <v>7</v>
      </c>
      <c r="I67" s="29">
        <f>SUM(_xlfn.IFNA(LOOKUP(Q67,[1]use_fish!A:A,[1]use_fish!I:I),0),_xlfn.IFNA(LOOKUP(R67,[1]use_fish!A:A,[1]use_fish!I:I),0),_xlfn.IFNA(LOOKUP(S67,[1]use_fish!A:A,[1]use_fish!I:I),0),_xlfn.IFNA(LOOKUP(T67,[1]use_fish!A:A,[1]use_fish!I:I),0),_xlfn.IFNA(LOOKUP(U67,[1]use_fish!A:A,[1]use_fish!I:I),0),_xlfn.IFNA(LOOKUP(V67,[1]use_fish!A:A,[1]use_fish!I:I),0),_xlfn.IFNA(LOOKUP(W67,[1]use_fish!A:A,[1]use_fish!I:I),0),)</f>
        <v>7</v>
      </c>
      <c r="J67" s="27">
        <f>SUM(_xlfn.IFNA(LOOKUP(Q67,[1]use_fish!A:A,[1]use_fish!K:K),0),_xlfn.IFNA(LOOKUP(R67,[1]use_fish!A:A,[1]use_fish!K:K),0),_xlfn.IFNA(LOOKUP(S67,[1]use_fish!A:A,[1]use_fish!K:K),0),_xlfn.IFNA(LOOKUP(T67,[1]use_fish!A:A,[1]use_fish!K:K),0),_xlfn.IFNA(LOOKUP(U67,[1]use_fish!A:A,[1]use_fish!K:K),0),_xlfn.IFNA(LOOKUP(V67,[1]use_fish!A:A,[1]use_fish!K:K),0),_xlfn.IFNA(LOOKUP(W67,[1]use_fish!A:A,[1]use_fish!K:K),0),)</f>
        <v>0</v>
      </c>
      <c r="K67" s="29" t="str">
        <f t="array" ref="K67">INDEX([1]use_fish!A:A,SMALL(IF([1]group!$L$2&amp;IF(ISBLANK($L$14),$L$14,"+"&amp;$L$14)=[1]use_fish!H:H,ROW([1]use_fish!H:H),4^8),ROW(69:69)))&amp;""</f>
        <v/>
      </c>
      <c r="Q67" s="29">
        <v>7</v>
      </c>
    </row>
  </sheetData>
  <autoFilter ref="I1:I46"/>
  <dataConsolidate/>
  <phoneticPr fontId="1" type="noConversion"/>
  <conditionalFormatting sqref="J12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:I40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:H40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[fish_3d_data_config_1.xlsm]activity!#REF!</xm:f>
          </x14:formula1>
          <xm:sqref>L14</xm:sqref>
        </x14:dataValidation>
        <x14:dataValidation type="list" allowBlank="1" showInputMessage="1" showErrorMessage="1">
          <x14:formula1>
            <xm:f>[fish_3d_data_config_1.xlsm]base_fish!#REF!</xm:f>
          </x14:formula1>
          <xm:sqref>L2:L7 L13 L65:L66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11" activePane="bottomLeft" state="frozen"/>
      <selection pane="bottomLeft" activeCell="N27" sqref="N27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214</v>
      </c>
      <c r="C1" s="1" t="s">
        <v>11</v>
      </c>
      <c r="D1" s="1" t="s">
        <v>338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201</v>
      </c>
      <c r="O1" s="8" t="s">
        <v>212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31</v>
      </c>
      <c r="F20" s="39">
        <f t="shared" ref="F20:F28" si="3">1/E20</f>
        <v>3.2258064516129031E-2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31</v>
      </c>
      <c r="J20" s="41">
        <v>1</v>
      </c>
      <c r="K20" s="41">
        <f>LOOKUP(use_fish!B20,base_fish!A:A,base_fish!G:G)</f>
        <v>0</v>
      </c>
      <c r="L20" s="41">
        <f t="shared" ref="L20:L28" si="4">I20</f>
        <v>31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342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342</v>
      </c>
      <c r="E22" s="19">
        <f>LOOKUP(use_fish!B22,base_fish!A:A,base_fish!C:C)+_xlfn.IFNA(INDEX(activity!F:F,MATCH(use_fish!C22,activity!A:A,0)),0)</f>
        <v>81</v>
      </c>
      <c r="F22" s="19">
        <f t="shared" si="3"/>
        <v>1.2345679012345678E-2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81</v>
      </c>
      <c r="J22" s="21">
        <v>1</v>
      </c>
      <c r="K22" s="21">
        <f>LOOKUP(use_fish!B22,base_fish!A:A,base_fish!G:G)</f>
        <v>0</v>
      </c>
      <c r="L22" s="21">
        <f t="shared" si="4"/>
        <v>81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343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343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359</v>
      </c>
      <c r="F25" s="19" t="s">
        <v>362</v>
      </c>
      <c r="G25" s="19" t="s">
        <v>17</v>
      </c>
      <c r="H25" s="20" t="str">
        <f>INDEX([1]base_fish!E:E,MATCH([1]use_fish!B25,[1]base_fish!A:A,0))&amp;_xlfn.IFNA("+"&amp;INDEX([1]activity!G:G,MATCH([1]use_fish!C25,[1]activity!A:A,0)),"")</f>
        <v>黄金河豚</v>
      </c>
      <c r="I25" s="19" t="s">
        <v>363</v>
      </c>
      <c r="J25" s="21">
        <v>1</v>
      </c>
      <c r="K25" s="21">
        <f>LOOKUP([1]use_fish!B25,[1]base_fish!A:A,[1]base_fish!G:G)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361</v>
      </c>
      <c r="E26" s="19">
        <f>LOOKUP(use_fish!B26,base_fish!A:A,base_fish!C:C)+_xlfn.IFNA(INDEX(activity!F:F,MATCH(use_fish!C26,activity!A:A,0)),0)</f>
        <v>150</v>
      </c>
      <c r="F26" s="19">
        <f t="shared" ref="F26" si="5">1/E26</f>
        <v>6.6666666666666671E-3</v>
      </c>
      <c r="G26" s="19" t="s">
        <v>17</v>
      </c>
      <c r="H26" s="20" t="str">
        <f>INDEX([1]base_fish!E:E,MATCH([1]use_fish!B26,[1]base_fish!A:A,0))&amp;_xlfn.IFNA("+"&amp;INDEX([1]activity!G:G,MATCH([1]use_fish!C26,[1]activity!A:A,0)),"")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LOOKUP([1]use_fish!B26,[1]base_fish!A:A,[1]base_fish!G:G)</f>
        <v>0</v>
      </c>
      <c r="L26" s="21">
        <f t="shared" si="4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343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342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101</v>
      </c>
      <c r="F29" s="23">
        <f t="shared" ref="F29:F32" si="6">1/E29</f>
        <v>9.9009900990099011E-3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101</v>
      </c>
      <c r="J29" s="25">
        <v>1</v>
      </c>
      <c r="K29" s="25">
        <f>LOOKUP(use_fish!B29,base_fish!A:A,base_fish!G:G)</f>
        <v>0</v>
      </c>
      <c r="L29" s="25">
        <f t="shared" ref="L29:L32" si="7">I29</f>
        <v>101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151</v>
      </c>
      <c r="F30" s="23">
        <f t="shared" si="6"/>
        <v>6.6225165562913907E-3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151</v>
      </c>
      <c r="J30" s="25">
        <v>1</v>
      </c>
      <c r="K30" s="25">
        <f>LOOKUP(use_fish!B30,base_fish!A:A,base_fish!G:G)</f>
        <v>0</v>
      </c>
      <c r="L30" s="25">
        <f t="shared" si="7"/>
        <v>151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101</v>
      </c>
      <c r="F31" s="23">
        <f t="shared" si="6"/>
        <v>9.9009900990099011E-3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101</v>
      </c>
      <c r="J31" s="25">
        <v>1</v>
      </c>
      <c r="K31" s="25">
        <f>LOOKUP(use_fish!B31,base_fish!A:A,base_fish!G:G)</f>
        <v>0</v>
      </c>
      <c r="L31" s="25">
        <f t="shared" si="7"/>
        <v>101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29</v>
      </c>
      <c r="D32" s="22"/>
      <c r="E32" s="23">
        <f>LOOKUP(use_fish!B32,base_fish!A:A,base_fish!C:C)+_xlfn.IFNA(INDEX(activity!F:F,MATCH(use_fish!C32,activity!A:A,0)),0)</f>
        <v>126</v>
      </c>
      <c r="F32" s="23">
        <f t="shared" si="6"/>
        <v>7.9365079365079361E-3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奇遇蟹+时限免费超级活力子弹</v>
      </c>
      <c r="I32" s="23">
        <f>LOOKUP(use_fish!B32,base_fish!A:A,base_fish!F:F)+_xlfn.IFNA(INDEX(activity!F:F,MATCH(use_fish!C32,activity!A:A,0)),0)</f>
        <v>126</v>
      </c>
      <c r="J32" s="25">
        <v>1</v>
      </c>
      <c r="K32" s="25">
        <f>LOOKUP(use_fish!B32,base_fish!A:A,base_fish!G:G)</f>
        <v>0</v>
      </c>
      <c r="L32" s="25">
        <f t="shared" si="7"/>
        <v>126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101</v>
      </c>
      <c r="F33" s="23">
        <f t="shared" ref="F33:F39" si="8">1/E33</f>
        <v>9.9009900990099011E-3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101</v>
      </c>
      <c r="J33" s="25">
        <v>1</v>
      </c>
      <c r="K33" s="25">
        <f>LOOKUP(use_fish!B33,base_fish!A:A,base_fish!G:G)</f>
        <v>0</v>
      </c>
      <c r="L33" s="25">
        <f t="shared" ref="L33:L39" si="9">I33</f>
        <v>101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101</v>
      </c>
      <c r="F34" s="23">
        <f t="shared" si="8"/>
        <v>9.9009900990099011E-3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101</v>
      </c>
      <c r="J34" s="25">
        <v>1</v>
      </c>
      <c r="K34" s="25">
        <f>LOOKUP(use_fish!B34,base_fish!A:A,base_fish!G:G)</f>
        <v>0</v>
      </c>
      <c r="L34" s="25">
        <f t="shared" si="9"/>
        <v>101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8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50</v>
      </c>
      <c r="J35" s="25">
        <v>1</v>
      </c>
      <c r="K35" s="25">
        <f>LOOKUP(use_fish!B35,base_fish!A:A,base_fish!G:G)</f>
        <v>0</v>
      </c>
      <c r="L35" s="25">
        <f t="shared" si="9"/>
        <v>50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501</v>
      </c>
      <c r="F36" s="23">
        <f t="shared" si="8"/>
        <v>1.996007984031936E-3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501</v>
      </c>
      <c r="J36" s="25">
        <v>1</v>
      </c>
      <c r="K36" s="25">
        <f>LOOKUP(use_fish!B36,base_fish!A:A,base_fish!G:G)</f>
        <v>0</v>
      </c>
      <c r="L36" s="25">
        <f t="shared" si="9"/>
        <v>501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501</v>
      </c>
      <c r="F37" s="23">
        <f t="shared" si="8"/>
        <v>1.996007984031936E-3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501</v>
      </c>
      <c r="J37" s="25">
        <v>1</v>
      </c>
      <c r="K37" s="25">
        <f>LOOKUP(use_fish!B37,base_fish!A:A,base_fish!G:G)</f>
        <v>0</v>
      </c>
      <c r="L37" s="25">
        <f t="shared" si="9"/>
        <v>501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22"/>
      <c r="E38" s="23">
        <f>LOOKUP(use_fish!B38,base_fish!A:A,base_fish!C:C)+_xlfn.IFNA(INDEX(activity!F:F,MATCH(use_fish!C38,activity!A:A,0)),0)</f>
        <v>50</v>
      </c>
      <c r="F38" s="23">
        <f t="shared" si="8"/>
        <v>0.02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50</v>
      </c>
      <c r="J38" s="25">
        <v>1</v>
      </c>
      <c r="K38" s="25">
        <f>LOOKUP(use_fish!B38,base_fish!A:A,base_fish!G:G)</f>
        <v>0</v>
      </c>
      <c r="L38" s="25">
        <f t="shared" si="9"/>
        <v>50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/>
      <c r="E39" s="32">
        <f>LOOKUP(use_fish!B39,base_fish!A:A,base_fish!C:C)+_xlfn.IFNA(INDEX(activity!F:F,MATCH(use_fish!C39,activity!A:A,0)),0)</f>
        <v>100</v>
      </c>
      <c r="F39" s="32">
        <f t="shared" si="8"/>
        <v>0.01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100</v>
      </c>
      <c r="J39" s="31">
        <v>2</v>
      </c>
      <c r="K39" s="31">
        <f>LOOKUP(use_fish!B39,base_fish!A:A,base_fish!G:G)</f>
        <v>0</v>
      </c>
      <c r="L39" s="31">
        <f t="shared" si="9"/>
        <v>100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334</v>
      </c>
      <c r="E40" s="32">
        <f>LOOKUP(use_fish!B40,base_fish!A:A,base_fish!C:C)+_xlfn.IFNA(INDEX(activity!F:F,MATCH(use_fish!C40,activity!A:A,0)),0)</f>
        <v>100</v>
      </c>
      <c r="F40" s="32">
        <f t="shared" ref="F40:F45" si="10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1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335</v>
      </c>
      <c r="E41" s="32">
        <f>LOOKUP(use_fish!B41,base_fish!A:A,base_fish!C:C)+_xlfn.IFNA(INDEX(activity!F:F,MATCH(use_fish!C41,activity!A:A,0)),0)</f>
        <v>100</v>
      </c>
      <c r="F41" s="32">
        <f t="shared" si="10"/>
        <v>0.01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100</v>
      </c>
      <c r="J41" s="31">
        <v>1</v>
      </c>
      <c r="K41" s="31">
        <f>LOOKUP(use_fish!B41,base_fish!A:A,base_fish!G:G)</f>
        <v>0</v>
      </c>
      <c r="L41" s="31">
        <f t="shared" si="11"/>
        <v>100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335</v>
      </c>
      <c r="E42" s="32">
        <f>LOOKUP(use_fish!B42,base_fish!A:A,base_fish!C:C)+_xlfn.IFNA(INDEX(activity!F:F,MATCH(use_fish!C42,activity!A:A,0)),0)</f>
        <v>100</v>
      </c>
      <c r="F42" s="32">
        <f t="shared" si="10"/>
        <v>0.01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100</v>
      </c>
      <c r="J42" s="31">
        <v>1</v>
      </c>
      <c r="K42" s="31">
        <f>LOOKUP(use_fish!B42,base_fish!A:A,base_fish!G:G)</f>
        <v>0</v>
      </c>
      <c r="L42" s="31">
        <f t="shared" si="11"/>
        <v>100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 t="s">
        <v>335</v>
      </c>
      <c r="E43" s="32">
        <f>LOOKUP(use_fish!B43,base_fish!A:A,base_fish!C:C)+_xlfn.IFNA(INDEX(activity!F:F,MATCH(use_fish!C43,activity!A:A,0)),0)</f>
        <v>100</v>
      </c>
      <c r="F43" s="32">
        <f t="shared" si="10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1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334</v>
      </c>
      <c r="E44" s="32">
        <f>LOOKUP(use_fish!B44,base_fish!A:A,base_fish!C:C)+_xlfn.IFNA(INDEX(activity!F:F,MATCH(use_fish!C44,activity!A:A,0)),0)</f>
        <v>100</v>
      </c>
      <c r="F44" s="32">
        <f t="shared" si="10"/>
        <v>0.01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100</v>
      </c>
      <c r="J44" s="31">
        <v>1</v>
      </c>
      <c r="K44" s="31">
        <f>LOOKUP(use_fish!B44,base_fish!A:A,base_fish!G:G)</f>
        <v>0</v>
      </c>
      <c r="L44" s="31">
        <f t="shared" si="11"/>
        <v>100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 t="s">
        <v>335</v>
      </c>
      <c r="E45" s="32">
        <f>LOOKUP(use_fish!B45,base_fish!A:A,base_fish!C:C)+_xlfn.IFNA(INDEX(activity!F:F,MATCH(use_fish!C45,activity!A:A,0)),0)</f>
        <v>100</v>
      </c>
      <c r="F45" s="32">
        <f t="shared" si="10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1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 t="s">
        <v>335</v>
      </c>
      <c r="E46" s="32">
        <f>LOOKUP(use_fish!B46,base_fish!A:A,base_fish!C:C)+_xlfn.IFNA(INDEX(activity!F:F,MATCH(use_fish!C46,activity!A:A,0)),0)</f>
        <v>100</v>
      </c>
      <c r="F46" s="32">
        <f t="shared" ref="F46:F50" si="12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3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336</v>
      </c>
      <c r="E47" s="36">
        <f>LOOKUP(use_fish!B47,base_fish!A:A,base_fish!C:C)+_xlfn.IFNA(INDEX(activity!F:F,MATCH(use_fish!C47,activity!A:A,0)),0)</f>
        <v>300</v>
      </c>
      <c r="F47" s="36">
        <f t="shared" si="12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3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337</v>
      </c>
      <c r="E48" s="36">
        <v>250</v>
      </c>
      <c r="F48" s="36">
        <f t="shared" si="12"/>
        <v>4.0000000000000001E-3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250</v>
      </c>
      <c r="J48" s="35">
        <v>1</v>
      </c>
      <c r="K48" s="35">
        <f>LOOKUP(use_fish!B48,base_fish!A:A,base_fish!G:G)</f>
        <v>0</v>
      </c>
      <c r="L48" s="35">
        <f t="shared" si="13"/>
        <v>250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344</v>
      </c>
      <c r="E49" s="36">
        <f>LOOKUP(use_fish!B49,base_fish!A:A,base_fish!C:C)+_xlfn.IFNA(INDEX(activity!F:F,MATCH(use_fish!C49,activity!A:A,0)),0)</f>
        <v>301</v>
      </c>
      <c r="F49" s="36">
        <f t="shared" si="12"/>
        <v>3.3222591362126247E-3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301</v>
      </c>
      <c r="J49" s="35">
        <v>1</v>
      </c>
      <c r="K49" s="35">
        <f>LOOKUP(use_fish!B49,base_fish!A:A,base_fish!G:G)</f>
        <v>0</v>
      </c>
      <c r="L49" s="35">
        <f t="shared" si="13"/>
        <v>301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345</v>
      </c>
      <c r="E50" s="36">
        <f>LOOKUP(use_fish!B50,base_fish!A:A,base_fish!C:C)+_xlfn.IFNA(INDEX(activity!F:F,MATCH(use_fish!C50,activity!A:A,0)),0)</f>
        <v>201</v>
      </c>
      <c r="F50" s="36">
        <f t="shared" si="12"/>
        <v>4.9751243781094526E-3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201</v>
      </c>
      <c r="J50" s="35">
        <v>1</v>
      </c>
      <c r="K50" s="35">
        <f>LOOKUP(use_fish!B50,base_fish!A:A,base_fish!G:G)</f>
        <v>0</v>
      </c>
      <c r="L50" s="35">
        <f t="shared" si="13"/>
        <v>201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346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8"/>
  <sheetViews>
    <sheetView topLeftCell="A25" workbookViewId="0">
      <selection activeCell="C63" sqref="C63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170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266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267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341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193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194</v>
      </c>
    </row>
    <row r="18" spans="1:9" x14ac:dyDescent="0.2">
      <c r="A18">
        <v>17</v>
      </c>
      <c r="B18">
        <v>10</v>
      </c>
      <c r="C18" s="7" t="s">
        <v>355</v>
      </c>
      <c r="D18" s="4">
        <v>0</v>
      </c>
      <c r="E18" s="4">
        <v>0</v>
      </c>
      <c r="F18">
        <v>300</v>
      </c>
      <c r="G18" t="s">
        <v>340</v>
      </c>
      <c r="H18">
        <v>22</v>
      </c>
      <c r="I18" t="s">
        <v>202</v>
      </c>
    </row>
    <row r="19" spans="1:9" x14ac:dyDescent="0.2">
      <c r="A19">
        <v>18</v>
      </c>
      <c r="B19">
        <v>18</v>
      </c>
      <c r="C19" t="s">
        <v>146</v>
      </c>
      <c r="D19" s="4">
        <v>0</v>
      </c>
      <c r="E19" s="4">
        <v>0</v>
      </c>
      <c r="F19">
        <v>63</v>
      </c>
      <c r="G19" t="str">
        <f t="shared" si="0"/>
        <v>穿透钢弹</v>
      </c>
      <c r="H19">
        <v>23</v>
      </c>
      <c r="I19" t="s">
        <v>206</v>
      </c>
    </row>
    <row r="20" spans="1:9" x14ac:dyDescent="0.2">
      <c r="A20">
        <v>19</v>
      </c>
      <c r="B20">
        <v>17</v>
      </c>
      <c r="C20" t="s">
        <v>147</v>
      </c>
      <c r="D20" s="4">
        <v>0</v>
      </c>
      <c r="E20" s="4">
        <v>0</v>
      </c>
      <c r="F20">
        <v>150</v>
      </c>
      <c r="G20" t="str">
        <f t="shared" si="0"/>
        <v>钻头弹</v>
      </c>
      <c r="H20">
        <v>24</v>
      </c>
      <c r="I20" t="s">
        <v>207</v>
      </c>
    </row>
    <row r="21" spans="1:9" x14ac:dyDescent="0.2">
      <c r="A21">
        <v>20</v>
      </c>
      <c r="B21">
        <v>19</v>
      </c>
      <c r="C21" t="s">
        <v>49</v>
      </c>
      <c r="D21" s="4">
        <v>0</v>
      </c>
      <c r="E21" s="4">
        <v>1</v>
      </c>
      <c r="F21">
        <v>0</v>
      </c>
      <c r="G21" t="str">
        <f t="shared" si="0"/>
        <v>神灯</v>
      </c>
      <c r="H21">
        <v>25</v>
      </c>
      <c r="I21" t="s">
        <v>208</v>
      </c>
    </row>
    <row r="22" spans="1:9" x14ac:dyDescent="0.2">
      <c r="A22">
        <v>21</v>
      </c>
      <c r="B22">
        <v>20</v>
      </c>
      <c r="C22" s="11" t="s">
        <v>203</v>
      </c>
      <c r="D22" s="4">
        <v>0</v>
      </c>
      <c r="E22" s="4">
        <v>0</v>
      </c>
      <c r="F22">
        <v>50</v>
      </c>
      <c r="G22" t="s">
        <v>228</v>
      </c>
      <c r="H22">
        <v>26</v>
      </c>
      <c r="I22" t="s">
        <v>222</v>
      </c>
    </row>
    <row r="23" spans="1:9" x14ac:dyDescent="0.2">
      <c r="A23">
        <v>22</v>
      </c>
      <c r="B23">
        <v>20</v>
      </c>
      <c r="C23" s="11" t="s">
        <v>148</v>
      </c>
      <c r="D23" s="4">
        <v>0</v>
      </c>
      <c r="E23" s="4">
        <v>0</v>
      </c>
      <c r="F23">
        <v>150</v>
      </c>
      <c r="G23" t="s">
        <v>229</v>
      </c>
      <c r="H23">
        <v>27</v>
      </c>
      <c r="I23" t="s">
        <v>223</v>
      </c>
    </row>
    <row r="24" spans="1:9" x14ac:dyDescent="0.2">
      <c r="A24">
        <v>23</v>
      </c>
      <c r="B24">
        <v>20</v>
      </c>
      <c r="C24" s="11" t="s">
        <v>149</v>
      </c>
      <c r="D24" s="4">
        <v>0</v>
      </c>
      <c r="E24" s="4">
        <v>0</v>
      </c>
      <c r="F24">
        <v>250</v>
      </c>
      <c r="G24" t="s">
        <v>230</v>
      </c>
      <c r="H24">
        <v>28</v>
      </c>
      <c r="I24" t="s">
        <v>219</v>
      </c>
    </row>
    <row r="25" spans="1:9" x14ac:dyDescent="0.2">
      <c r="A25">
        <v>24</v>
      </c>
      <c r="B25">
        <v>20</v>
      </c>
      <c r="C25" s="11" t="s">
        <v>150</v>
      </c>
      <c r="D25" s="4">
        <v>0</v>
      </c>
      <c r="E25" s="4">
        <v>0</v>
      </c>
      <c r="F25">
        <v>450</v>
      </c>
      <c r="G25" t="s">
        <v>231</v>
      </c>
      <c r="H25">
        <v>29</v>
      </c>
      <c r="I25" t="s">
        <v>218</v>
      </c>
    </row>
    <row r="26" spans="1:9" x14ac:dyDescent="0.2">
      <c r="A26">
        <v>25</v>
      </c>
      <c r="B26">
        <v>21</v>
      </c>
      <c r="C26" s="11" t="s">
        <v>195</v>
      </c>
      <c r="D26" s="4">
        <v>0</v>
      </c>
      <c r="E26" s="4">
        <v>0</v>
      </c>
      <c r="F26">
        <v>10</v>
      </c>
      <c r="G26" t="s">
        <v>198</v>
      </c>
      <c r="H26">
        <v>30</v>
      </c>
      <c r="I26" t="s">
        <v>332</v>
      </c>
    </row>
    <row r="27" spans="1:9" x14ac:dyDescent="0.2">
      <c r="A27">
        <v>26</v>
      </c>
      <c r="B27">
        <v>21</v>
      </c>
      <c r="C27" s="11" t="s">
        <v>196</v>
      </c>
      <c r="D27" s="4">
        <v>0</v>
      </c>
      <c r="E27" s="4">
        <v>0</v>
      </c>
      <c r="F27">
        <v>50</v>
      </c>
      <c r="G27" t="s">
        <v>199</v>
      </c>
      <c r="H27">
        <v>31</v>
      </c>
      <c r="I27" t="s">
        <v>348</v>
      </c>
    </row>
    <row r="28" spans="1:9" x14ac:dyDescent="0.2">
      <c r="A28">
        <v>27</v>
      </c>
      <c r="B28">
        <v>21</v>
      </c>
      <c r="C28" s="11" t="s">
        <v>197</v>
      </c>
      <c r="D28" s="4">
        <v>0</v>
      </c>
      <c r="E28" s="4">
        <v>0</v>
      </c>
      <c r="F28">
        <v>100</v>
      </c>
      <c r="G28" t="s">
        <v>200</v>
      </c>
      <c r="H28">
        <v>32</v>
      </c>
      <c r="I28" t="s">
        <v>350</v>
      </c>
    </row>
    <row r="29" spans="1:9" x14ac:dyDescent="0.2">
      <c r="A29">
        <v>28</v>
      </c>
      <c r="B29">
        <v>22</v>
      </c>
      <c r="C29" s="11" t="s">
        <v>205</v>
      </c>
      <c r="D29" s="4">
        <v>0</v>
      </c>
      <c r="E29" s="4">
        <v>0</v>
      </c>
      <c r="F29">
        <v>100</v>
      </c>
      <c r="G29" t="s">
        <v>204</v>
      </c>
      <c r="H29">
        <v>33</v>
      </c>
      <c r="I29" t="s">
        <v>352</v>
      </c>
    </row>
    <row r="30" spans="1:9" x14ac:dyDescent="0.2">
      <c r="A30">
        <v>29</v>
      </c>
      <c r="B30">
        <v>23</v>
      </c>
      <c r="C30" t="s">
        <v>226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</row>
    <row r="31" spans="1:9" x14ac:dyDescent="0.2">
      <c r="A31">
        <v>30</v>
      </c>
      <c r="B31">
        <v>24</v>
      </c>
      <c r="C31" s="11" t="s">
        <v>270</v>
      </c>
      <c r="D31" s="4">
        <v>0</v>
      </c>
      <c r="E31" s="4">
        <v>0</v>
      </c>
      <c r="F31">
        <v>500</v>
      </c>
      <c r="G31" t="s">
        <v>269</v>
      </c>
    </row>
    <row r="32" spans="1:9" x14ac:dyDescent="0.2">
      <c r="A32">
        <v>31</v>
      </c>
      <c r="B32">
        <v>25</v>
      </c>
      <c r="C32" t="s">
        <v>215</v>
      </c>
      <c r="D32" s="4">
        <v>1</v>
      </c>
      <c r="E32" s="4">
        <v>0</v>
      </c>
      <c r="F32">
        <v>100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220</v>
      </c>
      <c r="D33" s="4">
        <v>0</v>
      </c>
      <c r="E33" s="4">
        <v>0</v>
      </c>
      <c r="F33">
        <v>100</v>
      </c>
      <c r="G33" t="s">
        <v>217</v>
      </c>
    </row>
    <row r="34" spans="1:7" x14ac:dyDescent="0.2">
      <c r="A34">
        <v>33</v>
      </c>
      <c r="B34">
        <v>29</v>
      </c>
      <c r="C34" t="s">
        <v>221</v>
      </c>
      <c r="D34" s="4">
        <v>0</v>
      </c>
      <c r="E34" s="4">
        <v>0</v>
      </c>
      <c r="F34">
        <v>100</v>
      </c>
      <c r="G34" t="s">
        <v>218</v>
      </c>
    </row>
    <row r="35" spans="1:7" x14ac:dyDescent="0.2">
      <c r="A35">
        <v>34</v>
      </c>
      <c r="B35">
        <v>30</v>
      </c>
      <c r="C35" s="11" t="s">
        <v>331</v>
      </c>
      <c r="D35" s="4">
        <v>0</v>
      </c>
      <c r="E35" s="4">
        <v>0</v>
      </c>
      <c r="F35">
        <v>200</v>
      </c>
      <c r="G35" t="s">
        <v>333</v>
      </c>
    </row>
    <row r="36" spans="1:7" x14ac:dyDescent="0.2">
      <c r="A36">
        <v>35</v>
      </c>
      <c r="B36">
        <v>31</v>
      </c>
      <c r="C36" t="s">
        <v>349</v>
      </c>
      <c r="D36" s="4">
        <v>0</v>
      </c>
      <c r="E36" s="4">
        <v>0</v>
      </c>
      <c r="F36">
        <v>200</v>
      </c>
      <c r="G36" t="str">
        <f t="shared" ref="G36" si="1">LOOKUP(B36,H:H,I:I)</f>
        <v>连环炸弹</v>
      </c>
    </row>
    <row r="37" spans="1:7" x14ac:dyDescent="0.2">
      <c r="A37">
        <v>36</v>
      </c>
      <c r="B37">
        <v>32</v>
      </c>
      <c r="C37" s="11" t="s">
        <v>357</v>
      </c>
      <c r="D37" s="4">
        <v>0</v>
      </c>
      <c r="E37" s="4">
        <v>0</v>
      </c>
      <c r="F37">
        <v>500</v>
      </c>
      <c r="G37" t="s">
        <v>351</v>
      </c>
    </row>
    <row r="38" spans="1:7" x14ac:dyDescent="0.2">
      <c r="A38">
        <v>37</v>
      </c>
      <c r="B38">
        <v>33</v>
      </c>
      <c r="C38" t="s">
        <v>353</v>
      </c>
      <c r="D38" s="4">
        <v>0</v>
      </c>
      <c r="E38" s="4">
        <v>0</v>
      </c>
      <c r="F38">
        <v>0</v>
      </c>
      <c r="G38" t="s">
        <v>354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3" zoomScaleNormal="100" workbookViewId="0">
      <selection activeCell="F26" sqref="F26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234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235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236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237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152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238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239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240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241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242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243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151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244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245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246</v>
      </c>
      <c r="F17" s="15">
        <f t="shared" si="1"/>
        <v>35</v>
      </c>
      <c r="G17" s="15">
        <v>0</v>
      </c>
      <c r="H17" s="15" t="s">
        <v>209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1</v>
      </c>
      <c r="D20" s="15">
        <f t="shared" si="0"/>
        <v>1</v>
      </c>
      <c r="E20" s="14" t="s">
        <v>153</v>
      </c>
      <c r="F20" s="15">
        <f t="shared" si="1"/>
        <v>1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263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1</v>
      </c>
      <c r="D22" s="15">
        <f t="shared" si="0"/>
        <v>1</v>
      </c>
      <c r="E22" s="16" t="s">
        <v>247</v>
      </c>
      <c r="F22" s="15">
        <f t="shared" si="1"/>
        <v>1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248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249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359</v>
      </c>
      <c r="D25" s="15" t="s">
        <v>360</v>
      </c>
      <c r="E25" s="17" t="s">
        <v>250</v>
      </c>
      <c r="F25" s="15" t="s">
        <v>359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155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154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251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1</v>
      </c>
      <c r="D29" s="15">
        <f t="shared" si="0"/>
        <v>1</v>
      </c>
      <c r="E29" s="15" t="s">
        <v>158</v>
      </c>
      <c r="F29" s="15">
        <f t="shared" si="1"/>
        <v>1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1</v>
      </c>
      <c r="D30" s="15">
        <f t="shared" si="0"/>
        <v>1</v>
      </c>
      <c r="E30" s="14" t="s">
        <v>157</v>
      </c>
      <c r="F30" s="15">
        <f t="shared" si="1"/>
        <v>1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1</v>
      </c>
      <c r="D31" s="15">
        <f t="shared" si="0"/>
        <v>1</v>
      </c>
      <c r="E31" s="14" t="s">
        <v>159</v>
      </c>
      <c r="F31" s="15">
        <f t="shared" si="1"/>
        <v>1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1</v>
      </c>
      <c r="D32" s="15">
        <f t="shared" si="0"/>
        <v>1</v>
      </c>
      <c r="E32" s="14" t="s">
        <v>161</v>
      </c>
      <c r="F32" s="15">
        <f t="shared" si="1"/>
        <v>1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1</v>
      </c>
      <c r="D33" s="15">
        <f t="shared" si="0"/>
        <v>1</v>
      </c>
      <c r="E33" s="15" t="s">
        <v>268</v>
      </c>
      <c r="F33" s="15">
        <f t="shared" si="1"/>
        <v>1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1</v>
      </c>
      <c r="D34" s="15">
        <f t="shared" si="0"/>
        <v>1</v>
      </c>
      <c r="E34" s="15" t="s">
        <v>156</v>
      </c>
      <c r="F34" s="15">
        <f t="shared" si="1"/>
        <v>1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500</v>
      </c>
      <c r="D35" s="15">
        <f t="shared" si="0"/>
        <v>2E-3</v>
      </c>
      <c r="E35" s="15" t="s">
        <v>252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1</v>
      </c>
      <c r="D36" s="15">
        <f t="shared" ref="D36" si="4">IF(C36,1/C36,0)</f>
        <v>1</v>
      </c>
      <c r="E36" s="17" t="s">
        <v>253</v>
      </c>
      <c r="F36" s="15">
        <f t="shared" si="1"/>
        <v>1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1</v>
      </c>
      <c r="D37" s="15">
        <f t="shared" ref="D37:D51" si="5">IF(C37,1/C37,0)</f>
        <v>1</v>
      </c>
      <c r="E37" s="17" t="s">
        <v>254</v>
      </c>
      <c r="F37" s="15">
        <f t="shared" si="1"/>
        <v>1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50</v>
      </c>
      <c r="D38" s="15">
        <f t="shared" si="5"/>
        <v>0.02</v>
      </c>
      <c r="E38" s="15" t="s">
        <v>233</v>
      </c>
      <c r="F38" s="15">
        <f t="shared" ref="F38:F51" si="6">C38</f>
        <v>50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160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255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100</v>
      </c>
      <c r="D41" s="15">
        <f t="shared" si="5"/>
        <v>0.01</v>
      </c>
      <c r="E41" s="15" t="s">
        <v>329</v>
      </c>
      <c r="F41" s="15">
        <f t="shared" si="6"/>
        <v>100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100</v>
      </c>
      <c r="D42" s="15">
        <f t="shared" si="5"/>
        <v>0.01</v>
      </c>
      <c r="E42" s="15" t="s">
        <v>256</v>
      </c>
      <c r="F42" s="15">
        <f t="shared" si="6"/>
        <v>100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257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100</v>
      </c>
      <c r="D44" s="15">
        <f t="shared" si="5"/>
        <v>0.01</v>
      </c>
      <c r="E44" s="15" t="s">
        <v>258</v>
      </c>
      <c r="F44" s="15">
        <f t="shared" si="6"/>
        <v>100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259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260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155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400</v>
      </c>
      <c r="D48" s="15">
        <f t="shared" si="5"/>
        <v>2.5000000000000001E-3</v>
      </c>
      <c r="E48" s="15" t="s">
        <v>330</v>
      </c>
      <c r="F48" s="15">
        <f t="shared" si="6"/>
        <v>400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1</v>
      </c>
      <c r="D49" s="15">
        <f t="shared" si="5"/>
        <v>1</v>
      </c>
      <c r="E49" s="15" t="s">
        <v>261</v>
      </c>
      <c r="F49" s="15">
        <f t="shared" si="6"/>
        <v>1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1</v>
      </c>
      <c r="D50" s="15">
        <f t="shared" si="5"/>
        <v>1</v>
      </c>
      <c r="E50" s="15" t="s">
        <v>262</v>
      </c>
      <c r="F50" s="15">
        <f t="shared" si="6"/>
        <v>1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347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abSelected="1"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1" sqref="B2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356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2020-05-21T07:05:23Z</dcterms:modified>
</cp:coreProperties>
</file>