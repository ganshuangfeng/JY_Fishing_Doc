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2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3" i="5" l="1"/>
  <c r="G32" i="5"/>
  <c r="G31" i="5"/>
  <c r="F28" i="14" l="1"/>
  <c r="F27" i="14"/>
  <c r="F26" i="14"/>
  <c r="F24" i="14"/>
  <c r="F23" i="14"/>
  <c r="F22" i="14"/>
  <c r="F21" i="14"/>
  <c r="G36" i="5" l="1"/>
  <c r="E48" i="14" l="1"/>
  <c r="E49" i="14"/>
  <c r="E50" i="14"/>
  <c r="I49" i="7"/>
  <c r="G20" i="5" l="1"/>
  <c r="H25" i="14" l="1"/>
  <c r="H26" i="14"/>
  <c r="H27" i="14"/>
  <c r="K24" i="14"/>
  <c r="K25" i="14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H64" i="7"/>
  <c r="J64" i="7"/>
  <c r="J65" i="7"/>
  <c r="J66" i="7"/>
  <c r="J67" i="7"/>
  <c r="J2" i="7"/>
  <c r="G30" i="5" l="1"/>
  <c r="G21" i="5"/>
  <c r="G19" i="5"/>
  <c r="J40" i="7" l="1"/>
  <c r="L25" i="14"/>
  <c r="J39" i="7"/>
  <c r="F26" i="1"/>
  <c r="I26" i="14" s="1"/>
  <c r="D26" i="1"/>
  <c r="H40" i="7" l="1"/>
  <c r="L26" i="14"/>
  <c r="I40" i="7"/>
  <c r="E39" i="14"/>
  <c r="H53" i="7" s="1"/>
  <c r="F38" i="1"/>
  <c r="F51" i="1" l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H35" i="7"/>
  <c r="H36" i="7"/>
  <c r="H37" i="7"/>
  <c r="H38" i="7"/>
  <c r="H41" i="7"/>
  <c r="H42" i="7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I48" i="14" s="1"/>
  <c r="F49" i="1"/>
  <c r="I49" i="14" s="1"/>
  <c r="F50" i="1"/>
  <c r="I50" i="14" s="1"/>
  <c r="I64" i="7" s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9" i="7" l="1"/>
  <c r="H11" i="7"/>
  <c r="H12" i="7"/>
  <c r="H24" i="7"/>
  <c r="H28" i="7"/>
  <c r="H25" i="7"/>
  <c r="H10" i="7"/>
  <c r="H17" i="7"/>
  <c r="H26" i="7"/>
  <c r="H30" i="7"/>
  <c r="L10" i="14"/>
  <c r="I10" i="7"/>
  <c r="H23" i="7"/>
  <c r="H27" i="7"/>
  <c r="H22" i="7"/>
  <c r="H9" i="7"/>
  <c r="L24" i="14"/>
  <c r="L9" i="14"/>
  <c r="F10" i="14"/>
  <c r="F9" i="14"/>
  <c r="D38" i="1"/>
  <c r="E8" i="14" l="1"/>
  <c r="H8" i="7" l="1"/>
  <c r="H16" i="7"/>
  <c r="H67" i="7"/>
  <c r="H15" i="7"/>
  <c r="F32" i="1"/>
  <c r="F33" i="1"/>
  <c r="F34" i="1"/>
  <c r="F36" i="1"/>
  <c r="F37" i="1"/>
  <c r="D37" i="1"/>
  <c r="D36" i="1" l="1"/>
  <c r="H31" i="14" l="1"/>
  <c r="H32" i="14"/>
  <c r="D35" i="1"/>
  <c r="D34" i="1"/>
  <c r="D28" i="1"/>
  <c r="D29" i="1"/>
  <c r="D30" i="1"/>
  <c r="D31" i="1"/>
  <c r="D32" i="1"/>
  <c r="D33" i="1"/>
  <c r="K50" i="14"/>
  <c r="H63" i="7"/>
  <c r="K49" i="14"/>
  <c r="K48" i="14"/>
  <c r="K47" i="14"/>
  <c r="E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F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K31" i="14"/>
  <c r="F32" i="14"/>
  <c r="K32" i="14"/>
  <c r="F20" i="14"/>
  <c r="K20" i="14"/>
  <c r="H21" i="14"/>
  <c r="K21" i="14"/>
  <c r="K22" i="14"/>
  <c r="H23" i="14"/>
  <c r="K23" i="14"/>
  <c r="H24" i="14"/>
  <c r="H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62" i="7" s="1"/>
  <c r="F15" i="1"/>
  <c r="I15" i="14" s="1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I61" i="7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F47" i="14" l="1"/>
  <c r="H61" i="7"/>
  <c r="I16" i="14"/>
  <c r="I30" i="7" s="1"/>
  <c r="I12" i="7"/>
  <c r="I11" i="7"/>
  <c r="L17" i="14"/>
  <c r="I31" i="7"/>
  <c r="F34" i="14"/>
  <c r="H48" i="7"/>
  <c r="F36" i="14"/>
  <c r="H50" i="7"/>
  <c r="H52" i="7"/>
  <c r="F40" i="14"/>
  <c r="H54" i="7"/>
  <c r="F42" i="14"/>
  <c r="H56" i="7"/>
  <c r="F44" i="14"/>
  <c r="H58" i="7"/>
  <c r="H60" i="7"/>
  <c r="L30" i="14"/>
  <c r="I44" i="7"/>
  <c r="H14" i="7"/>
  <c r="H66" i="7"/>
  <c r="H21" i="7"/>
  <c r="L29" i="14"/>
  <c r="I43" i="7"/>
  <c r="F49" i="14"/>
  <c r="H62" i="7"/>
  <c r="I27" i="7"/>
  <c r="I17" i="7"/>
  <c r="H18" i="7"/>
  <c r="H65" i="7"/>
  <c r="H20" i="7"/>
  <c r="H13" i="7"/>
  <c r="L15" i="14"/>
  <c r="I29" i="7"/>
  <c r="H3" i="7"/>
  <c r="H7" i="7"/>
  <c r="H6" i="7"/>
  <c r="H2" i="7"/>
  <c r="H4" i="7"/>
  <c r="H5" i="7"/>
  <c r="F33" i="14"/>
  <c r="H47" i="7"/>
  <c r="F35" i="14"/>
  <c r="H49" i="7"/>
  <c r="F37" i="14"/>
  <c r="H51" i="7"/>
  <c r="F41" i="14"/>
  <c r="H55" i="7"/>
  <c r="H57" i="7"/>
  <c r="H59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 s="1"/>
  <c r="I37" i="14"/>
  <c r="I51" i="7" s="1"/>
  <c r="I42" i="14"/>
  <c r="I56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I19" i="7"/>
  <c r="I26" i="7"/>
  <c r="L18" i="14"/>
  <c r="I32" i="7"/>
  <c r="I8" i="7"/>
  <c r="I16" i="7"/>
  <c r="I67" i="7"/>
  <c r="I15" i="7"/>
  <c r="L43" i="14"/>
  <c r="I57" i="7"/>
  <c r="L38" i="14"/>
  <c r="I52" i="7"/>
  <c r="L41" i="14"/>
  <c r="I55" i="7"/>
  <c r="I23" i="7"/>
  <c r="I4" i="7"/>
  <c r="I3" i="7"/>
  <c r="I7" i="7"/>
  <c r="I5" i="7"/>
  <c r="I6" i="7"/>
  <c r="I2" i="7"/>
  <c r="L14" i="14"/>
  <c r="I24" i="7"/>
  <c r="I28" i="7"/>
  <c r="I25" i="7"/>
  <c r="I66" i="7"/>
  <c r="I14" i="7"/>
  <c r="I21" i="7"/>
  <c r="I20" i="7"/>
  <c r="I18" i="7"/>
  <c r="I13" i="7"/>
  <c r="I65" i="7"/>
  <c r="L36" i="14"/>
  <c r="I50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<sst xmlns="http://schemas.openxmlformats.org/spreadsheetml/2006/main" count="482" uniqueCount="377">
  <si>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</si>
  <si>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</si>
  <si>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</si>
  <si>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</si>
  <si>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</si>
  <si>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</si>
  <si>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</si>
  <si>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</si>
  <si>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</si>
  <si>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</si>
  <si>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</si>
  <si>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</si>
  <si>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</si>
  <si>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</si>
  <si>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</si>
  <si>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</si>
  <si>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</si>
  <si>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</si>
  <si>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</si>
  <si>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</si>
  <si>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</si>
  <si>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</si>
  <si>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</si>
  <si>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</si>
  <si>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</si>
  <si>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</si>
  <si>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</si>
  <si>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</si>
  <si>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</si>
  <si>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</si>
  <si>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</si>
  <si>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</si>
  <si>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</si>
  <si>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</si>
  <si>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</si>
  <si>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</si>
  <si>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</si>
  <si>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</si>
  <si>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</si>
  <si>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</si>
  <si>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</si>
  <si>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</si>
  <si>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</si>
  <si>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</si>
  <si>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</si>
  <si>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</si>
  <si>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</si>
  <si>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</si>
  <si>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</si>
  <si>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</si>
  <si>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</si>
  <si>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</si>
  <si>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</si>
  <si>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</si>
  <si>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</si>
  <si>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</si>
  <si>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</si>
  <si>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</si>
  <si>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</si>
  <si>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</si>
  <si>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</si>
  <si>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</si>
  <si>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</si>
  <si>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</si>
  <si>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</si>
  <si>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</si>
  <si>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</si>
  <si>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</si>
  <si>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</si>
  <si>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</si>
  <si>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</si>
  <si>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</si>
  <si>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</si>
  <si>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</si>
  <si>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</si>
  <si>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</si>
  <si>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</si>
  <si>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</si>
  <si>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</si>
  <si>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</si>
  <si>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</si>
  <si>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</si>
  <si>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</si>
  <si>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</si>
  <si>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</si>
  <si>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</si>
  <si>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</si>
  <si>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</si>
  <si>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</si>
  <si>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</si>
  <si>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</si>
  <si>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</si>
  <si>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</si>
  <si>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</si>
  <si>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</si>
  <si>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</si>
  <si>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</si>
  <si>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</si>
  <si>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</si>
  <si>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</si>
  <si>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</si>
  <si>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</si>
  <si>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</si>
  <si>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</si>
  <si>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</si>
  <si>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</si>
  <si>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</si>
  <si>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</si>
  <si>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</si>
  <si>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</si>
  <si>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</si>
  <si>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</si>
  <si>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</si>
  <si>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</si>
  <si>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</si>
  <si>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</si>
  <si>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</si>
  <si>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</si>
  <si>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</si>
  <si>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</si>
  <si>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</si>
  <si>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</si>
  <si>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</si>
  <si>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</si>
  <si>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</si>
  <si>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</si>
  <si>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</si>
  <si>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</si>
  <si>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</si>
  <si>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</si>
  <si>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</si>
  <si>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</si>
  <si>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</si>
  <si>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</si>
  <si>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</si>
  <si>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</si>
  <si>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</si>
  <si>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</si>
  <si>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</si>
  <si>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</si>
  <si>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</si>
  <si>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</si>
  <si>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</si>
  <si>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</si>
  <si>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</si>
  <si>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</si>
  <si>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</si>
  <si>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</si>
  <si>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</si>
  <si>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</si>
  <si>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</si>
  <si>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</si>
  <si>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</si>
  <si>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</si>
  <si>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</si>
  <si>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</si>
  <si>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</si>
  <si>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</si>
  <si>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</si>
  <si>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</si>
  <si>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</si>
  <si>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</si>
  <si>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</si>
  <si>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</si>
  <si>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</si>
  <si>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</si>
  <si>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</si>
  <si>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</si>
  <si>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</si>
  <si>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</si>
  <si>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</si>
  <si>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</si>
  <si>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</si>
  <si>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</si>
  <si>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</si>
  <si>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</si>
  <si>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</si>
  <si>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</si>
  <si>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</si>
  <si>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</si>
  <si>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</si>
  <si>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</si>
  <si>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</si>
  <si>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</si>
  <si>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</si>
  <si>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</si>
  <si>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</si>
  <si>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</si>
  <si>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</si>
  <si>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</si>
  <si>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</si>
  <si>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</si>
  <si>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</si>
  <si>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</si>
  <si>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</si>
  <si>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</si>
  <si>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</si>
  <si>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</si>
  <si>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</si>
  <si>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</si>
  <si>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</si>
  <si>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</si>
  <si>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</si>
  <si>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</si>
  <si>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</si>
  <si>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</si>
  <si>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</si>
  <si>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</si>
  <si>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</si>
  <si>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</si>
  <si>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</si>
  <si>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</si>
  <si>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</si>
  <si>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</si>
  <si>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</si>
  <si>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</si>
  <si>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</si>
  <si>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</si>
  <si>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</si>
  <si>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</si>
  <si>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</si>
  <si>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</si>
  <si>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</si>
  <si>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</si>
  <si>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</si>
  <si>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</si>
  <si>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</si>
  <si>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</si>
  <si>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</si>
  <si>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</si>
  <si>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</si>
  <si>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</si>
  <si>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</si>
  <si>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</si>
  <si>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</si>
  <si>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</si>
  <si>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</si>
  <si>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</si>
  <si>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</si>
  <si>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</si>
  <si>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</si>
  <si>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</si>
  <si>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</si>
  <si>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</si>
  <si>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</si>
  <si>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</si>
  <si>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</si>
  <si>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</si>
  <si>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</si>
  <si>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</si>
  <si>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</si>
  <si>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</si>
  <si>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</si>
  <si>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</si>
  <si>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</si>
  <si>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</si>
  <si>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</si>
  <si>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</si>
  <si>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</si>
  <si>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</si>
  <si>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</si>
  <si>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</si>
  <si>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</si>
  <si>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</si>
  <si>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</si>
  <si>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</si>
  <si>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</si>
  <si>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</si>
  <si>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</si>
  <si>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</si>
  <si>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</si>
  <si>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</si>
  <si>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</si>
  <si>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</si>
  <si>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</si>
  <si>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</si>
  <si>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</si>
  <si>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</si>
  <si>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</si>
  <si>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</si>
  <si>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</si>
  <si>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</si>
  <si>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</si>
  <si>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</si>
  <si>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</si>
  <si>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</si>
  <si>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</si>
  <si>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</si>
  <si>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</si>
  <si>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</si>
  <si>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</si>
  <si>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</si>
  <si>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</si>
  <si>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</si>
  <si>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</si>
  <si>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</si>
  <si>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</si>
  <si>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</si>
  <si>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</si>
  <si>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</si>
  <si>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</si>
  <si>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</si>
  <si>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</si>
  <si>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</si>
  <si>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</si>
  <si>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</si>
  <si>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</si>
  <si>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</si>
  <si>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fish_3d_yutu_gd_smallboss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</si>
  <si>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</si>
  <si>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</si>
  <si>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0,50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</si>
  <si>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</si>
  <si>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</si>
  <si>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</si>
  <si>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</si>
  <si>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</si>
  <si>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</si>
  <si>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fish_3d_yutu_random_5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</si>
  <si>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</si>
  <si>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</si>
  <si>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</si>
  <si>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60,50,50</t>
    <phoneticPr fontId="1" type="noConversion"/>
  </si>
  <si>
    <t>63,2</t>
    <phoneticPr fontId="1" type="noConversion"/>
  </si>
  <si>
    <t>1,</t>
    <phoneticPr fontId="1" type="noConversion"/>
  </si>
  <si>
    <t>财神-50</t>
    <phoneticPr fontId="1" type="noConversion"/>
  </si>
  <si>
    <t>财神-150</t>
    <phoneticPr fontId="1" type="noConversion"/>
  </si>
  <si>
    <t>200,250</t>
    <phoneticPr fontId="1" type="noConversion"/>
  </si>
  <si>
    <t>财神-250</t>
    <phoneticPr fontId="1" type="noConversion"/>
  </si>
  <si>
    <t>财神-450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</si>
  <si>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</si>
  <si>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</si>
  <si>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</si>
  <si>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50,50,50,50,100,</t>
    <phoneticPr fontId="1" type="noConversion"/>
  </si>
  <si>
    <t>0.02,0.02,0.02,0.02,0.01</t>
    <phoneticPr fontId="1" type="noConversion"/>
  </si>
  <si>
    <t>250,2,</t>
    <phoneticPr fontId="1" type="noConversion"/>
  </si>
  <si>
    <t>120,180</t>
    <phoneticPr fontId="1" type="noConversion"/>
  </si>
  <si>
    <t>强击弹</t>
    <phoneticPr fontId="1" type="noConversion"/>
  </si>
  <si>
    <t>强击弹（超级火力）</t>
    <phoneticPr fontId="1" type="noConversion"/>
  </si>
  <si>
    <t>强击弹（双倍）</t>
    <phoneticPr fontId="1" type="noConversion"/>
  </si>
  <si>
    <t>50,50,50,50,100,</t>
    <phoneticPr fontId="1" type="noConversion"/>
  </si>
  <si>
    <t>300,</t>
    <phoneticPr fontId="1" type="noConversion"/>
  </si>
  <si>
    <t>疯狂6选一</t>
    <phoneticPr fontId="1" type="noConversion"/>
  </si>
  <si>
    <t>4,20,30,50,100,</t>
    <phoneticPr fontId="1" type="noConversion"/>
  </si>
  <si>
    <t>骰子龟</t>
    <phoneticPr fontId="1" type="noConversion"/>
  </si>
  <si>
    <t>250,2,</t>
    <phoneticPr fontId="1" type="noConversion"/>
  </si>
  <si>
    <t>强击弹（双倍）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</si>
  <si>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</si>
  <si>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</si>
  <si>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</si>
  <si>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</si>
  <si>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0,200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</si>
  <si>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</si>
  <si>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</si>
  <si>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</si>
  <si>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</si>
  <si>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0,400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</si>
  <si>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</si>
  <si>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</si>
  <si>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</si>
  <si>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</si>
  <si>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20,</t>
    <phoneticPr fontId="1" type="noConversion"/>
  </si>
  <si>
    <t>连环转盘</t>
    <phoneticPr fontId="1" type="noConversion"/>
  </si>
  <si>
    <t>电磁弹</t>
    <phoneticPr fontId="1" type="noConversion"/>
  </si>
  <si>
    <t>金币转盘</t>
    <phoneticPr fontId="1" type="noConversion"/>
  </si>
  <si>
    <t>200,400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</si>
  <si>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</si>
  <si>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</si>
  <si>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</si>
  <si>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1,0,85,1,10,2,5</t>
    <phoneticPr fontId="1" type="noConversion"/>
  </si>
  <si>
    <t>彩贝-场次1</t>
    <phoneticPr fontId="1" type="noConversion"/>
  </si>
  <si>
    <t>1,0,70,1,10,2,15,3,5</t>
    <phoneticPr fontId="1" type="noConversion"/>
  </si>
  <si>
    <t>彩贝-场次2</t>
    <phoneticPr fontId="1" type="noConversion"/>
  </si>
  <si>
    <t>1,0,70,1,0,2,15,3,7,4,3</t>
    <phoneticPr fontId="1" type="noConversion"/>
  </si>
  <si>
    <t>彩贝-场次3</t>
    <phoneticPr fontId="1" type="noConversion"/>
  </si>
  <si>
    <t>彩贝-场次4</t>
    <phoneticPr fontId="1" type="noConversion"/>
  </si>
  <si>
    <t>1,0,84,1,0,2,0,3,10,4,5,5,1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</si>
</sst>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2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C6" sqref="C6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J6" sqref="J6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K6" sqref="K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J4" sqref="J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208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196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198</v>
      </c>
      <c r="M1" s="8" t="s">
        <v>207</v>
      </c>
    </row>
    <row r="2" spans="1:13" x14ac:dyDescent="0.2">
      <c r="A2" s="2">
        <v>1</v>
      </c>
      <c r="B2" s="2" t="s">
        <v>318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199</v>
      </c>
      <c r="C3" s="2">
        <v>1</v>
      </c>
      <c r="D3" t="s">
        <v>197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199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199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199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199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199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199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248</v>
      </c>
      <c r="C10" s="2">
        <v>4</v>
      </c>
      <c r="D10" t="s">
        <v>208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302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308</v>
      </c>
      <c r="C12" s="2">
        <v>4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topLeftCell="C1" workbookViewId="0">
      <pane ySplit="1" topLeftCell="A2" activePane="bottomLeft" state="frozen"/>
      <selection pane="bottomLeft" activeCell="Q65" sqref="Q6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249</v>
      </c>
      <c r="B1" s="1" t="s">
        <v>250</v>
      </c>
      <c r="C1" s="1" t="s">
        <v>251</v>
      </c>
      <c r="D1" s="1" t="s">
        <v>252</v>
      </c>
      <c r="E1" s="1" t="s">
        <v>253</v>
      </c>
      <c r="F1" s="1" t="s">
        <v>254</v>
      </c>
      <c r="G1" s="1" t="s">
        <v>255</v>
      </c>
      <c r="H1" s="1" t="s">
        <v>97</v>
      </c>
      <c r="I1" s="1" t="s">
        <v>256</v>
      </c>
      <c r="J1" s="9" t="s">
        <v>105</v>
      </c>
      <c r="K1" s="1" t="s">
        <v>257</v>
      </c>
      <c r="L1" s="1" t="s">
        <v>50</v>
      </c>
      <c r="Q1" s="1" t="s">
        <v>258</v>
      </c>
      <c r="R1" s="1" t="s">
        <v>258</v>
      </c>
      <c r="S1" s="1" t="s">
        <v>258</v>
      </c>
      <c r="T1" s="1" t="s">
        <v>258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259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240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205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206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260</v>
      </c>
      <c r="G7" s="45" t="s">
        <v>261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262</v>
      </c>
      <c r="G8" s="45" t="s">
        <v>263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264</v>
      </c>
      <c r="D10" s="29" t="s">
        <v>265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266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241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267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268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269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270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271</v>
      </c>
      <c r="G19" s="41" t="s">
        <v>272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273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274</v>
      </c>
      <c r="G21" s="41" t="s">
        <v>275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276</v>
      </c>
      <c r="G22" s="41" t="s">
        <v>201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277</v>
      </c>
      <c r="G23" s="21" t="s">
        <v>245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278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279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280</v>
      </c>
      <c r="G26" s="21" t="s">
        <v>281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282</v>
      </c>
      <c r="G27" s="41" t="s">
        <v>283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284</v>
      </c>
      <c r="G28" s="41" t="s">
        <v>285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286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287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288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289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84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290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291</v>
      </c>
      <c r="H39" s="19" t="s">
        <v>333</v>
      </c>
      <c r="I39" s="19" t="s">
        <v>334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292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293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294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295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296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297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298</v>
      </c>
      <c r="G65" s="45" t="s">
        <v>299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300</v>
      </c>
      <c r="G66" s="45" t="s">
        <v>246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301</v>
      </c>
      <c r="G67" s="46" t="s">
        <v>247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17" activePane="bottomLeft" state="frozen"/>
      <selection pane="bottomLeft" activeCell="C39" sqref="C39:C44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200</v>
      </c>
      <c r="C1" s="1" t="s">
        <v>11</v>
      </c>
      <c r="D1" s="1" t="s">
        <v>307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192</v>
      </c>
      <c r="O1" s="8" t="s">
        <v>198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347</v>
      </c>
      <c r="E21" s="19">
        <v>63</v>
      </c>
      <c r="F21" s="19">
        <f t="shared" si="3"/>
        <v>1.5873015873015872E-2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84</v>
      </c>
      <c r="F22" s="19">
        <f t="shared" si="3"/>
        <v>1.1904761904761904E-2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348</v>
      </c>
      <c r="E23" s="19">
        <v>63</v>
      </c>
      <c r="F23" s="19">
        <f t="shared" si="3"/>
        <v>1.5873015873015872E-2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349</v>
      </c>
      <c r="E24" s="19">
        <v>105</v>
      </c>
      <c r="F24" s="19">
        <f t="shared" si="3"/>
        <v>9.5238095238095247E-3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359</v>
      </c>
      <c r="F25" s="19" t="s">
        <v>360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321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347</v>
      </c>
      <c r="E26" s="19">
        <v>84</v>
      </c>
      <c r="F26" s="19">
        <f t="shared" si="3"/>
        <v>1.1904761904761904E-2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347</v>
      </c>
      <c r="E27" s="19">
        <v>105</v>
      </c>
      <c r="F27" s="19">
        <f t="shared" si="3"/>
        <v>9.5238095238095247E-3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350</v>
      </c>
      <c r="E28" s="19">
        <v>105</v>
      </c>
      <c r="F28" s="19">
        <f t="shared" si="3"/>
        <v>9.5238095238095247E-3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200</v>
      </c>
      <c r="F33" s="23">
        <f t="shared" ref="F33:F39" si="7">1/E33</f>
        <v>5.0000000000000001E-3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宝藏章鱼+金币转盘</v>
      </c>
      <c r="I33" s="23">
        <f>LOOKUP(use_fish!B33,base_fish!A:A,base_fish!F:F)+_xlfn.IFNA(INDEX(activity!F:F,MATCH(use_fish!C33,activity!A:A,0)),0)</f>
        <v>200</v>
      </c>
      <c r="J33" s="25">
        <v>1</v>
      </c>
      <c r="K33" s="25">
        <f>LOOKUP(use_fish!B33,base_fish!A:A,base_fish!G:G)</f>
        <v>0</v>
      </c>
      <c r="L33" s="25">
        <f t="shared" ref="L33:L39" si="8">I33</f>
        <v>200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7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8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7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金龙转盘+连环转盘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8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7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8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8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>
        <v>26</v>
      </c>
      <c r="D39" s="30" t="s">
        <v>351</v>
      </c>
      <c r="E39" s="32">
        <f>LOOKUP(use_fish!B39,base_fish!A:A,base_fish!C:C)+_xlfn.IFNA(INDEX(activity!F:F,MATCH(use_fish!C39,activity!A:A,0)),0)</f>
        <v>102</v>
      </c>
      <c r="F39" s="32">
        <f t="shared" si="7"/>
        <v>9.8039215686274508E-3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黄金巨龙+彩贝-场次1</v>
      </c>
      <c r="I39" s="32">
        <f>LOOKUP(use_fish!B39,base_fish!A:A,base_fish!F:F)+_xlfn.IFNA(INDEX(activity!F:F,MATCH(use_fish!C39,activity!A:A,0)),0)</f>
        <v>102</v>
      </c>
      <c r="J39" s="31">
        <v>2</v>
      </c>
      <c r="K39" s="31">
        <f>LOOKUP(use_fish!B39,base_fish!A:A,base_fish!G:G)</f>
        <v>0</v>
      </c>
      <c r="L39" s="31">
        <f t="shared" si="8"/>
        <v>102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>
        <v>25</v>
      </c>
      <c r="D40" s="30" t="s">
        <v>352</v>
      </c>
      <c r="E40" s="32">
        <f>LOOKUP(use_fish!B40,base_fish!A:A,base_fish!C:C)+_xlfn.IFNA(INDEX(activity!F:F,MATCH(use_fish!C40,activity!A:A,0)),0)</f>
        <v>105</v>
      </c>
      <c r="F40" s="32">
        <f t="shared" ref="F40:F44" si="9">1/E40</f>
        <v>9.5238095238095247E-3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霸王蟹+彩贝-试炼场</v>
      </c>
      <c r="I40" s="32">
        <f>LOOKUP(use_fish!B40,base_fish!A:A,base_fish!F:F)+_xlfn.IFNA(INDEX(activity!F:F,MATCH(use_fish!C40,activity!A:A,0)),0)</f>
        <v>105</v>
      </c>
      <c r="J40" s="31">
        <v>1</v>
      </c>
      <c r="K40" s="31">
        <f>LOOKUP(use_fish!B40,base_fish!A:A,base_fish!G:G)</f>
        <v>0</v>
      </c>
      <c r="L40" s="31">
        <f t="shared" ref="L40:L45" si="10">I40</f>
        <v>105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>
        <v>41</v>
      </c>
      <c r="D41" s="30" t="s">
        <v>353</v>
      </c>
      <c r="E41" s="32">
        <f>LOOKUP(use_fish!B41,base_fish!A:A,base_fish!C:C)+_xlfn.IFNA(INDEX(activity!F:F,MATCH(use_fish!C41,activity!A:A,0)),0)</f>
        <v>302</v>
      </c>
      <c r="F41" s="32">
        <f t="shared" si="9"/>
        <v>3.3112582781456954E-3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深海鲸+彩贝-场次4</v>
      </c>
      <c r="I41" s="32">
        <f>LOOKUP(use_fish!B41,base_fish!A:A,base_fish!F:F)+_xlfn.IFNA(INDEX(activity!F:F,MATCH(use_fish!C41,activity!A:A,0)),0)</f>
        <v>302</v>
      </c>
      <c r="J41" s="31">
        <v>1</v>
      </c>
      <c r="K41" s="31">
        <f>LOOKUP(use_fish!B41,base_fish!A:A,base_fish!G:G)</f>
        <v>0</v>
      </c>
      <c r="L41" s="31">
        <f t="shared" si="10"/>
        <v>302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>
        <v>27</v>
      </c>
      <c r="D42" s="30" t="s">
        <v>352</v>
      </c>
      <c r="E42" s="32">
        <f>LOOKUP(use_fish!B42,base_fish!A:A,base_fish!C:C)+_xlfn.IFNA(INDEX(activity!F:F,MATCH(use_fish!C42,activity!A:A,0)),0)</f>
        <v>206</v>
      </c>
      <c r="F42" s="32">
        <f t="shared" si="9"/>
        <v>4.8543689320388345E-3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鲨鱼武士+彩贝-场次2</v>
      </c>
      <c r="I42" s="32">
        <f>LOOKUP(use_fish!B42,base_fish!A:A,base_fish!F:F)+_xlfn.IFNA(INDEX(activity!F:F,MATCH(use_fish!C42,activity!A:A,0)),0)</f>
        <v>206</v>
      </c>
      <c r="J42" s="31">
        <v>1</v>
      </c>
      <c r="K42" s="31">
        <f>LOOKUP(use_fish!B42,base_fish!A:A,base_fish!G:G)</f>
        <v>0</v>
      </c>
      <c r="L42" s="31">
        <f t="shared" si="10"/>
        <v>206</v>
      </c>
      <c r="M42" s="31">
        <v>1</v>
      </c>
      <c r="N42" s="31">
        <v>2</v>
      </c>
      <c r="O42" s="31">
        <v>1</v>
      </c>
    </row>
    <row r="43" spans="1:15" s="51" customFormat="1" x14ac:dyDescent="0.2">
      <c r="A43" s="48">
        <v>42</v>
      </c>
      <c r="B43" s="48">
        <v>42</v>
      </c>
      <c r="C43" s="48"/>
      <c r="D43" s="48"/>
      <c r="E43" s="49">
        <f>LOOKUP(use_fish!B43,base_fish!A:A,base_fish!C:C)+_xlfn.IFNA(INDEX(activity!F:F,MATCH(use_fish!C43,activity!A:A,0)),0)</f>
        <v>0</v>
      </c>
      <c r="F43" s="49">
        <v>0</v>
      </c>
      <c r="G43" s="49" t="s">
        <v>17</v>
      </c>
      <c r="H43" s="50" t="str">
        <f>INDEX(base_fish!E:E,MATCH(use_fish!B43,base_fish!A:A,0))&amp;_xlfn.IFNA("+"&amp;INDEX(activity!G:G,MATCH(use_fish!C43,activity!A:A,0)),"")</f>
        <v>荧光女皇</v>
      </c>
      <c r="I43" s="49">
        <f>LOOKUP(use_fish!B43,base_fish!A:A,base_fish!F:F)+_xlfn.IFNA(INDEX(activity!F:F,MATCH(use_fish!C43,activity!A:A,0)),0)</f>
        <v>0</v>
      </c>
      <c r="J43" s="51">
        <v>1</v>
      </c>
      <c r="K43" s="51">
        <f>LOOKUP(use_fish!B43,base_fish!A:A,base_fish!G:G)</f>
        <v>0</v>
      </c>
      <c r="L43" s="51">
        <f t="shared" si="10"/>
        <v>0</v>
      </c>
      <c r="M43" s="51">
        <v>1</v>
      </c>
      <c r="N43" s="51">
        <v>2</v>
      </c>
      <c r="O43" s="51">
        <v>1</v>
      </c>
    </row>
    <row r="44" spans="1:15" s="31" customFormat="1" x14ac:dyDescent="0.2">
      <c r="A44" s="30">
        <v>43</v>
      </c>
      <c r="B44" s="30">
        <v>43</v>
      </c>
      <c r="C44" s="30">
        <v>40</v>
      </c>
      <c r="D44" s="30" t="s">
        <v>354</v>
      </c>
      <c r="E44" s="32">
        <f>LOOKUP(use_fish!B44,base_fish!A:A,base_fish!C:C)+_xlfn.IFNA(INDEX(activity!F:F,MATCH(use_fish!C44,activity!A:A,0)),0)</f>
        <v>202</v>
      </c>
      <c r="F44" s="32">
        <f t="shared" si="9"/>
        <v>4.9504950495049506E-3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龙龟+彩贝-场次3</v>
      </c>
      <c r="I44" s="32">
        <f>LOOKUP(use_fish!B44,base_fish!A:A,base_fish!F:F)+_xlfn.IFNA(INDEX(activity!F:F,MATCH(use_fish!C44,activity!A:A,0)),0)</f>
        <v>202</v>
      </c>
      <c r="J44" s="31">
        <v>1</v>
      </c>
      <c r="K44" s="31">
        <f>LOOKUP(use_fish!B44,base_fish!A:A,base_fish!G:G)</f>
        <v>0</v>
      </c>
      <c r="L44" s="31">
        <f t="shared" si="10"/>
        <v>202</v>
      </c>
      <c r="M44" s="31">
        <v>1</v>
      </c>
      <c r="N44" s="31">
        <v>2</v>
      </c>
      <c r="O44" s="31">
        <v>1</v>
      </c>
    </row>
    <row r="45" spans="1:15" s="51" customFormat="1" x14ac:dyDescent="0.2">
      <c r="A45" s="48">
        <v>44</v>
      </c>
      <c r="B45" s="48">
        <v>44</v>
      </c>
      <c r="C45" s="48"/>
      <c r="D45" s="48"/>
      <c r="E45" s="49">
        <f>LOOKUP(use_fish!B45,base_fish!A:A,base_fish!C:C)+_xlfn.IFNA(INDEX(activity!F:F,MATCH(use_fish!C45,activity!A:A,0)),0)</f>
        <v>0</v>
      </c>
      <c r="F45" s="49">
        <v>0</v>
      </c>
      <c r="G45" s="49" t="s">
        <v>17</v>
      </c>
      <c r="H45" s="50" t="str">
        <f>INDEX(base_fish!E:E,MATCH(use_fish!B45,base_fish!A:A,0))&amp;_xlfn.IFNA("+"&amp;INDEX(activity!G:G,MATCH(use_fish!C45,activity!A:A,0)),"")</f>
        <v>麒麟兽</v>
      </c>
      <c r="I45" s="49">
        <f>LOOKUP(use_fish!B45,base_fish!A:A,base_fish!F:F)+_xlfn.IFNA(INDEX(activity!F:F,MATCH(use_fish!C45,activity!A:A,0)),0)</f>
        <v>0</v>
      </c>
      <c r="J45" s="51">
        <v>2</v>
      </c>
      <c r="K45" s="51">
        <f>LOOKUP(use_fish!B45,base_fish!A:A,base_fish!G:G)</f>
        <v>0</v>
      </c>
      <c r="L45" s="51">
        <f t="shared" si="10"/>
        <v>0</v>
      </c>
      <c r="M45" s="51">
        <v>2</v>
      </c>
      <c r="N45" s="51">
        <v>2</v>
      </c>
      <c r="O45" s="51">
        <v>1</v>
      </c>
    </row>
    <row r="46" spans="1:15" s="51" customFormat="1" x14ac:dyDescent="0.2">
      <c r="A46" s="48">
        <v>45</v>
      </c>
      <c r="B46" s="48">
        <v>45</v>
      </c>
      <c r="C46" s="48"/>
      <c r="D46" s="48"/>
      <c r="E46" s="49">
        <f>LOOKUP(use_fish!B46,base_fish!A:A,base_fish!C:C)+_xlfn.IFNA(INDEX(activity!F:F,MATCH(use_fish!C46,activity!A:A,0)),0)</f>
        <v>0</v>
      </c>
      <c r="F46" s="49">
        <v>0</v>
      </c>
      <c r="G46" s="49" t="s">
        <v>17</v>
      </c>
      <c r="H46" s="50" t="str">
        <f>INDEX(base_fish!E:E,MATCH(use_fish!B46,base_fish!A:A,0))&amp;_xlfn.IFNA("+"&amp;INDEX(activity!G:G,MATCH(use_fish!C46,activity!A:A,0)),"")</f>
        <v>海盗船</v>
      </c>
      <c r="I46" s="49">
        <f>LOOKUP(use_fish!B46,base_fish!A:A,base_fish!F:F)+_xlfn.IFNA(INDEX(activity!F:F,MATCH(use_fish!C46,activity!A:A,0)),0)</f>
        <v>0</v>
      </c>
      <c r="J46" s="51">
        <v>1</v>
      </c>
      <c r="K46" s="51">
        <f>LOOKUP(use_fish!B46,base_fish!A:A,base_fish!G:G)</f>
        <v>0</v>
      </c>
      <c r="L46" s="51">
        <f t="shared" ref="L46:L50" si="11">I46</f>
        <v>0</v>
      </c>
      <c r="M46" s="51">
        <v>1</v>
      </c>
      <c r="N46" s="51">
        <v>2</v>
      </c>
      <c r="O46" s="5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351</v>
      </c>
      <c r="E47" s="36">
        <f>LOOKUP(use_fish!B47,base_fish!A:A,base_fish!C:C)+_xlfn.IFNA(INDEX(activity!F:F,MATCH(use_fish!C47,activity!A:A,0)),0)</f>
        <v>200</v>
      </c>
      <c r="F47" s="36">
        <f t="shared" ref="F47:F50" si="12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355</v>
      </c>
      <c r="E48" s="36">
        <f>LOOKUP(use_fish!B48,base_fish!A:A,base_fish!C:C)+_xlfn.IFNA(INDEX(activity!F:F,MATCH(use_fish!C48,activity!A:A,0)),0)</f>
        <v>300</v>
      </c>
      <c r="F48" s="36">
        <f t="shared" si="12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351</v>
      </c>
      <c r="E49" s="36">
        <f>LOOKUP(use_fish!B49,base_fish!A:A,base_fish!C:C)+_xlfn.IFNA(INDEX(activity!F:F,MATCH(use_fish!C49,activity!A:A,0)),0)</f>
        <v>400</v>
      </c>
      <c r="F49" s="36">
        <f t="shared" si="12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356</v>
      </c>
      <c r="E50" s="36">
        <f>LOOKUP(use_fish!B50,base_fish!A:A,base_fish!C:C)+_xlfn.IFNA(INDEX(activity!F:F,MATCH(use_fish!C50,activity!A:A,0)),0)</f>
        <v>400</v>
      </c>
      <c r="F50" s="36">
        <f t="shared" si="12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312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2"/>
  <sheetViews>
    <sheetView tabSelected="1" topLeftCell="A22" workbookViewId="0">
      <selection activeCell="C42" sqref="C42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242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243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310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322</v>
      </c>
      <c r="D18" s="4">
        <v>0</v>
      </c>
      <c r="E18" s="4">
        <v>0</v>
      </c>
      <c r="F18">
        <v>150</v>
      </c>
      <c r="G18" t="s">
        <v>309</v>
      </c>
      <c r="H18">
        <v>22</v>
      </c>
      <c r="I18" t="s">
        <v>193</v>
      </c>
    </row>
    <row r="19" spans="1:9" x14ac:dyDescent="0.2">
      <c r="A19">
        <v>18</v>
      </c>
      <c r="B19">
        <v>18</v>
      </c>
      <c r="C19" t="s">
        <v>323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194</v>
      </c>
    </row>
    <row r="20" spans="1:9" x14ac:dyDescent="0.2">
      <c r="A20">
        <v>19</v>
      </c>
      <c r="B20">
        <v>17</v>
      </c>
      <c r="C20" s="11" t="s">
        <v>336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362</v>
      </c>
    </row>
    <row r="21" spans="1:9" x14ac:dyDescent="0.2">
      <c r="A21">
        <v>20</v>
      </c>
      <c r="B21">
        <v>19</v>
      </c>
      <c r="C21" t="s">
        <v>324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363</v>
      </c>
    </row>
    <row r="22" spans="1:9" x14ac:dyDescent="0.2">
      <c r="A22">
        <v>21</v>
      </c>
      <c r="B22">
        <v>20</v>
      </c>
      <c r="C22" s="11" t="s">
        <v>311</v>
      </c>
      <c r="D22" s="4">
        <v>0</v>
      </c>
      <c r="E22" s="4">
        <v>0</v>
      </c>
      <c r="F22">
        <v>50</v>
      </c>
      <c r="G22" t="s">
        <v>325</v>
      </c>
      <c r="H22">
        <v>26</v>
      </c>
      <c r="I22" t="s">
        <v>203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326</v>
      </c>
      <c r="H23">
        <v>27</v>
      </c>
      <c r="I23" t="s">
        <v>204</v>
      </c>
    </row>
    <row r="24" spans="1:9" x14ac:dyDescent="0.2">
      <c r="A24">
        <v>23</v>
      </c>
      <c r="B24">
        <v>20</v>
      </c>
      <c r="C24" s="11" t="s">
        <v>327</v>
      </c>
      <c r="D24" s="4">
        <v>0</v>
      </c>
      <c r="E24" s="4">
        <v>0</v>
      </c>
      <c r="F24">
        <v>250</v>
      </c>
      <c r="G24" t="s">
        <v>328</v>
      </c>
      <c r="H24">
        <v>28</v>
      </c>
      <c r="I24" t="s">
        <v>364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329</v>
      </c>
      <c r="H25">
        <v>29</v>
      </c>
      <c r="I25" t="s">
        <v>202</v>
      </c>
    </row>
    <row r="26" spans="1:9" x14ac:dyDescent="0.2">
      <c r="A26">
        <v>25</v>
      </c>
      <c r="B26">
        <v>21</v>
      </c>
      <c r="C26" s="11" t="s">
        <v>367</v>
      </c>
      <c r="D26" s="4">
        <v>0</v>
      </c>
      <c r="E26" s="4">
        <v>0</v>
      </c>
      <c r="F26">
        <v>5</v>
      </c>
      <c r="G26" t="s">
        <v>368</v>
      </c>
      <c r="H26">
        <v>30</v>
      </c>
      <c r="I26" t="s">
        <v>306</v>
      </c>
    </row>
    <row r="27" spans="1:9" x14ac:dyDescent="0.2">
      <c r="A27">
        <v>26</v>
      </c>
      <c r="B27">
        <v>21</v>
      </c>
      <c r="C27" s="11" t="s">
        <v>369</v>
      </c>
      <c r="D27" s="4">
        <v>0</v>
      </c>
      <c r="E27" s="4">
        <v>0</v>
      </c>
      <c r="F27">
        <v>2</v>
      </c>
      <c r="G27" t="s">
        <v>370</v>
      </c>
      <c r="H27">
        <v>31</v>
      </c>
      <c r="I27" t="s">
        <v>314</v>
      </c>
    </row>
    <row r="28" spans="1:9" x14ac:dyDescent="0.2">
      <c r="A28">
        <v>27</v>
      </c>
      <c r="B28">
        <v>21</v>
      </c>
      <c r="C28" s="11" t="s">
        <v>371</v>
      </c>
      <c r="D28" s="4">
        <v>0</v>
      </c>
      <c r="E28" s="4">
        <v>0</v>
      </c>
      <c r="F28">
        <v>6</v>
      </c>
      <c r="G28" t="s">
        <v>372</v>
      </c>
      <c r="H28">
        <v>32</v>
      </c>
      <c r="I28" t="s">
        <v>315</v>
      </c>
    </row>
    <row r="29" spans="1:9" x14ac:dyDescent="0.2">
      <c r="A29">
        <v>28</v>
      </c>
      <c r="B29">
        <v>22</v>
      </c>
      <c r="C29" s="11" t="s">
        <v>330</v>
      </c>
      <c r="D29" s="4">
        <v>0</v>
      </c>
      <c r="E29" s="4">
        <v>0</v>
      </c>
      <c r="F29">
        <v>100</v>
      </c>
      <c r="G29" t="s">
        <v>331</v>
      </c>
      <c r="H29">
        <v>33</v>
      </c>
      <c r="I29" t="s">
        <v>316</v>
      </c>
    </row>
    <row r="30" spans="1:9" x14ac:dyDescent="0.2">
      <c r="A30">
        <v>29</v>
      </c>
      <c r="B30">
        <v>23</v>
      </c>
      <c r="C30" t="s">
        <v>332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338</v>
      </c>
    </row>
    <row r="31" spans="1:9" x14ac:dyDescent="0.2">
      <c r="A31">
        <v>30</v>
      </c>
      <c r="B31">
        <v>24</v>
      </c>
      <c r="C31" s="11" t="s">
        <v>365</v>
      </c>
      <c r="D31" s="4">
        <v>0</v>
      </c>
      <c r="E31" s="4">
        <v>0</v>
      </c>
      <c r="F31">
        <v>300</v>
      </c>
      <c r="G31" t="str">
        <f t="shared" ref="G31:G33" si="2">LOOKUP(B31,H:H,I:I)</f>
        <v>连环转盘</v>
      </c>
      <c r="H31">
        <v>39</v>
      </c>
      <c r="I31" t="s">
        <v>339</v>
      </c>
    </row>
    <row r="32" spans="1:9" x14ac:dyDescent="0.2">
      <c r="A32">
        <v>31</v>
      </c>
      <c r="B32">
        <v>25</v>
      </c>
      <c r="C32" t="s">
        <v>305</v>
      </c>
      <c r="D32" s="4">
        <v>1</v>
      </c>
      <c r="E32" s="4">
        <v>0</v>
      </c>
      <c r="F32">
        <v>200</v>
      </c>
      <c r="G32" t="str">
        <f t="shared" si="2"/>
        <v>电磁弹</v>
      </c>
    </row>
    <row r="33" spans="1:7" x14ac:dyDescent="0.2">
      <c r="A33">
        <v>32</v>
      </c>
      <c r="B33">
        <v>28</v>
      </c>
      <c r="C33" s="11" t="s">
        <v>366</v>
      </c>
      <c r="D33" s="4">
        <v>0</v>
      </c>
      <c r="E33" s="4">
        <v>0</v>
      </c>
      <c r="F33">
        <v>200</v>
      </c>
      <c r="G33" t="str">
        <f t="shared" si="2"/>
        <v>金币转盘</v>
      </c>
    </row>
    <row r="34" spans="1:7" x14ac:dyDescent="0.2">
      <c r="A34">
        <v>33</v>
      </c>
      <c r="B34">
        <v>29</v>
      </c>
      <c r="C34" t="s">
        <v>341</v>
      </c>
      <c r="D34" s="4">
        <v>0</v>
      </c>
      <c r="E34" s="4">
        <v>0</v>
      </c>
      <c r="F34">
        <v>300</v>
      </c>
      <c r="G34" t="s">
        <v>342</v>
      </c>
    </row>
    <row r="35" spans="1:7" x14ac:dyDescent="0.2">
      <c r="A35">
        <v>34</v>
      </c>
      <c r="B35">
        <v>30</v>
      </c>
      <c r="C35" s="11" t="s">
        <v>358</v>
      </c>
      <c r="D35" s="4">
        <v>0</v>
      </c>
      <c r="E35" s="4">
        <v>0</v>
      </c>
      <c r="F35">
        <v>150</v>
      </c>
      <c r="G35" t="s">
        <v>306</v>
      </c>
    </row>
    <row r="36" spans="1:7" x14ac:dyDescent="0.2">
      <c r="A36">
        <v>35</v>
      </c>
      <c r="B36">
        <v>31</v>
      </c>
      <c r="C36" t="s">
        <v>343</v>
      </c>
      <c r="D36" s="4">
        <v>0</v>
      </c>
      <c r="E36" s="4">
        <v>0</v>
      </c>
      <c r="F36">
        <v>200</v>
      </c>
      <c r="G36" t="str">
        <f t="shared" ref="G36" si="3">LOOKUP(B36,H:H,I:I)</f>
        <v>连环炸弹</v>
      </c>
    </row>
    <row r="37" spans="1:7" x14ac:dyDescent="0.2">
      <c r="A37">
        <v>36</v>
      </c>
      <c r="B37">
        <v>32</v>
      </c>
      <c r="C37" s="11" t="s">
        <v>357</v>
      </c>
      <c r="D37" s="4">
        <v>0</v>
      </c>
      <c r="E37" s="4">
        <v>0</v>
      </c>
      <c r="F37">
        <v>300</v>
      </c>
      <c r="G37" t="s">
        <v>315</v>
      </c>
    </row>
    <row r="38" spans="1:7" x14ac:dyDescent="0.2">
      <c r="A38">
        <v>37</v>
      </c>
      <c r="B38">
        <v>33</v>
      </c>
      <c r="C38" t="s">
        <v>361</v>
      </c>
      <c r="D38" s="4">
        <v>0</v>
      </c>
      <c r="E38" s="4">
        <v>0</v>
      </c>
      <c r="F38">
        <v>200</v>
      </c>
      <c r="G38" t="s">
        <v>344</v>
      </c>
    </row>
    <row r="39" spans="1:7" x14ac:dyDescent="0.2">
      <c r="A39">
        <v>38</v>
      </c>
      <c r="B39">
        <v>38</v>
      </c>
      <c r="C39" t="s">
        <v>345</v>
      </c>
      <c r="D39" s="4">
        <v>0</v>
      </c>
      <c r="E39" s="4">
        <v>0</v>
      </c>
      <c r="F39">
        <v>250</v>
      </c>
      <c r="G39" t="s">
        <v>337</v>
      </c>
    </row>
    <row r="40" spans="1:7" x14ac:dyDescent="0.2">
      <c r="A40">
        <v>39</v>
      </c>
      <c r="B40">
        <v>39</v>
      </c>
      <c r="C40" t="s">
        <v>335</v>
      </c>
      <c r="D40" s="4">
        <v>0</v>
      </c>
      <c r="E40" s="4">
        <v>0</v>
      </c>
      <c r="F40">
        <v>250</v>
      </c>
      <c r="G40" t="s">
        <v>346</v>
      </c>
    </row>
    <row r="41" spans="1:7" x14ac:dyDescent="0.2">
      <c r="A41">
        <v>40</v>
      </c>
      <c r="B41">
        <v>21</v>
      </c>
      <c r="C41" s="11" t="s">
        <v>373</v>
      </c>
      <c r="D41" s="4">
        <v>0</v>
      </c>
      <c r="E41" s="4">
        <v>0</v>
      </c>
      <c r="F41">
        <v>2</v>
      </c>
      <c r="G41" t="s">
        <v>374</v>
      </c>
    </row>
    <row r="42" spans="1:7" x14ac:dyDescent="0.2">
      <c r="A42">
        <v>41</v>
      </c>
      <c r="B42">
        <v>21</v>
      </c>
      <c r="C42" s="11" t="s">
        <v>376</v>
      </c>
      <c r="D42" s="4">
        <v>0</v>
      </c>
      <c r="E42" s="4">
        <v>0</v>
      </c>
      <c r="F42">
        <v>2</v>
      </c>
      <c r="G42" t="s">
        <v>375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6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210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211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212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213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214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215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216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217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218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219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220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221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222</v>
      </c>
      <c r="F17" s="15">
        <f t="shared" si="1"/>
        <v>35</v>
      </c>
      <c r="G17" s="15">
        <v>0</v>
      </c>
      <c r="H17" s="15" t="s">
        <v>195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239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223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224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225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340</v>
      </c>
      <c r="D25" s="15" t="s">
        <v>320</v>
      </c>
      <c r="E25" s="17" t="s">
        <v>226</v>
      </c>
      <c r="F25" s="15" t="s">
        <v>319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152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151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227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244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228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229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230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209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157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231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303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232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233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234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235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236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152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304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237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238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313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1" sqref="B2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317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2020-06-28T09:11:17Z</dcterms:modified>
</cp:coreProperties>
</file>