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  <externalReference r:id="rId21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" i="7" l="1"/>
  <c r="I3" i="7"/>
  <c r="J3" i="7"/>
  <c r="H4" i="7"/>
  <c r="I4" i="7"/>
  <c r="J4" i="7"/>
  <c r="H5" i="7"/>
  <c r="I5" i="7"/>
  <c r="J5" i="7"/>
  <c r="H6" i="7"/>
  <c r="I6" i="7"/>
  <c r="J6" i="7"/>
  <c r="H7" i="7"/>
  <c r="I7" i="7"/>
  <c r="J7" i="7"/>
  <c r="H8" i="7"/>
  <c r="I8" i="7"/>
  <c r="J8" i="7"/>
  <c r="H9" i="7"/>
  <c r="I9" i="7"/>
  <c r="J9" i="7"/>
  <c r="H10" i="7"/>
  <c r="I10" i="7"/>
  <c r="J10" i="7"/>
  <c r="H11" i="7"/>
  <c r="I11" i="7"/>
  <c r="J11" i="7"/>
  <c r="H12" i="7"/>
  <c r="I12" i="7"/>
  <c r="J12" i="7"/>
  <c r="H13" i="7"/>
  <c r="I13" i="7"/>
  <c r="J13" i="7"/>
  <c r="H14" i="7"/>
  <c r="I14" i="7"/>
  <c r="J14" i="7"/>
  <c r="H15" i="7"/>
  <c r="I15" i="7"/>
  <c r="J15" i="7"/>
  <c r="H16" i="7"/>
  <c r="I16" i="7"/>
  <c r="J16" i="7"/>
  <c r="H17" i="7"/>
  <c r="I17" i="7"/>
  <c r="J17" i="7"/>
  <c r="H18" i="7"/>
  <c r="I18" i="7"/>
  <c r="J18" i="7"/>
  <c r="H19" i="7"/>
  <c r="I19" i="7"/>
  <c r="J19" i="7"/>
  <c r="H20" i="7"/>
  <c r="I20" i="7"/>
  <c r="J20" i="7"/>
  <c r="H21" i="7"/>
  <c r="I21" i="7"/>
  <c r="J21" i="7"/>
  <c r="H22" i="7"/>
  <c r="I22" i="7"/>
  <c r="J22" i="7"/>
  <c r="H23" i="7"/>
  <c r="I23" i="7"/>
  <c r="J23" i="7"/>
  <c r="H24" i="7"/>
  <c r="I24" i="7"/>
  <c r="J24" i="7"/>
  <c r="H25" i="7"/>
  <c r="I25" i="7"/>
  <c r="J25" i="7"/>
  <c r="H26" i="7"/>
  <c r="I26" i="7"/>
  <c r="J26" i="7"/>
  <c r="H27" i="7"/>
  <c r="I27" i="7"/>
  <c r="J27" i="7"/>
  <c r="H28" i="7"/>
  <c r="I28" i="7"/>
  <c r="J28" i="7"/>
  <c r="H29" i="7"/>
  <c r="I29" i="7"/>
  <c r="J29" i="7"/>
  <c r="H30" i="7"/>
  <c r="I30" i="7"/>
  <c r="J30" i="7"/>
  <c r="H31" i="7"/>
  <c r="I31" i="7"/>
  <c r="J31" i="7"/>
  <c r="H32" i="7"/>
  <c r="I32" i="7"/>
  <c r="J32" i="7"/>
  <c r="H33" i="7"/>
  <c r="I33" i="7"/>
  <c r="J33" i="7"/>
  <c r="H34" i="7"/>
  <c r="I34" i="7"/>
  <c r="J34" i="7"/>
  <c r="H35" i="7"/>
  <c r="I35" i="7"/>
  <c r="J35" i="7"/>
  <c r="H36" i="7"/>
  <c r="I36" i="7"/>
  <c r="J36" i="7"/>
  <c r="H37" i="7"/>
  <c r="I37" i="7"/>
  <c r="J37" i="7"/>
  <c r="H38" i="7"/>
  <c r="I38" i="7"/>
  <c r="J38" i="7"/>
  <c r="J39" i="7"/>
  <c r="H40" i="7"/>
  <c r="I40" i="7"/>
  <c r="J40" i="7"/>
  <c r="H41" i="7"/>
  <c r="I41" i="7"/>
  <c r="J41" i="7"/>
  <c r="H42" i="7"/>
  <c r="I42" i="7"/>
  <c r="J42" i="7"/>
  <c r="H43" i="7"/>
  <c r="I43" i="7"/>
  <c r="J43" i="7"/>
  <c r="H44" i="7"/>
  <c r="I44" i="7"/>
  <c r="J44" i="7"/>
  <c r="H45" i="7"/>
  <c r="I45" i="7"/>
  <c r="J45" i="7"/>
  <c r="H46" i="7"/>
  <c r="I46" i="7"/>
  <c r="J46" i="7"/>
  <c r="H47" i="7"/>
  <c r="I47" i="7"/>
  <c r="J47" i="7"/>
  <c r="H48" i="7"/>
  <c r="I48" i="7"/>
  <c r="J48" i="7"/>
  <c r="H49" i="7"/>
  <c r="I49" i="7"/>
  <c r="J49" i="7"/>
  <c r="H50" i="7"/>
  <c r="I50" i="7"/>
  <c r="J50" i="7"/>
  <c r="H51" i="7"/>
  <c r="I51" i="7"/>
  <c r="J51" i="7"/>
  <c r="H52" i="7"/>
  <c r="I52" i="7"/>
  <c r="J52" i="7"/>
  <c r="H53" i="7"/>
  <c r="I53" i="7"/>
  <c r="J53" i="7"/>
  <c r="H54" i="7"/>
  <c r="I54" i="7"/>
  <c r="J54" i="7"/>
  <c r="H55" i="7"/>
  <c r="I55" i="7"/>
  <c r="J55" i="7"/>
  <c r="H56" i="7"/>
  <c r="I56" i="7"/>
  <c r="J56" i="7"/>
  <c r="H57" i="7"/>
  <c r="I57" i="7"/>
  <c r="J57" i="7"/>
  <c r="H58" i="7"/>
  <c r="I58" i="7"/>
  <c r="J58" i="7"/>
  <c r="H59" i="7"/>
  <c r="I59" i="7"/>
  <c r="J59" i="7"/>
  <c r="H60" i="7"/>
  <c r="I60" i="7"/>
  <c r="J60" i="7"/>
  <c r="H61" i="7"/>
  <c r="I61" i="7"/>
  <c r="J61" i="7"/>
  <c r="H62" i="7"/>
  <c r="I62" i="7"/>
  <c r="J62" i="7"/>
  <c r="H63" i="7"/>
  <c r="I63" i="7"/>
  <c r="J63" i="7"/>
  <c r="H64" i="7"/>
  <c r="I64" i="7"/>
  <c r="J64" i="7"/>
  <c r="H65" i="7"/>
  <c r="I65" i="7"/>
  <c r="J65" i="7"/>
  <c r="H66" i="7"/>
  <c r="I66" i="7"/>
  <c r="J66" i="7"/>
  <c r="H67" i="7"/>
  <c r="I67" i="7"/>
  <c r="J67" i="7"/>
  <c r="J2" i="7"/>
  <c r="I2" i="7"/>
  <c r="H2" i="7"/>
  <c r="G36" i="5" l="1"/>
  <c r="G32" i="5"/>
  <c r="G30" i="5"/>
  <c r="G21" i="5"/>
  <c r="G20" i="5"/>
  <c r="G19" i="5"/>
  <c r="I26" i="14" l="1"/>
  <c r="L26" i="14" s="1"/>
  <c r="E26" i="14"/>
  <c r="F26" i="14" s="1"/>
  <c r="K26" i="14"/>
  <c r="H26" i="14"/>
  <c r="L25" i="14"/>
  <c r="K25" i="14"/>
  <c r="H25" i="14"/>
  <c r="F26" i="1"/>
  <c r="D26" i="1"/>
  <c r="E39" i="14" l="1"/>
  <c r="F38" i="1"/>
  <c r="F51" i="1" l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7" i="14"/>
  <c r="E28" i="14"/>
  <c r="E29" i="14"/>
  <c r="E30" i="14"/>
  <c r="E31" i="14"/>
  <c r="E32" i="14"/>
  <c r="F39" i="1"/>
  <c r="F40" i="1"/>
  <c r="F41" i="1"/>
  <c r="F42" i="1"/>
  <c r="F43" i="1"/>
  <c r="F44" i="1"/>
  <c r="F45" i="1"/>
  <c r="F46" i="1"/>
  <c r="F47" i="1"/>
  <c r="F48" i="1"/>
  <c r="F49" i="1"/>
  <c r="F50" i="1"/>
  <c r="F28" i="1"/>
  <c r="F29" i="1"/>
  <c r="F30" i="1"/>
  <c r="F24" i="1"/>
  <c r="I24" i="14" s="1"/>
  <c r="D24" i="1"/>
  <c r="F9" i="1"/>
  <c r="I9" i="14" s="1"/>
  <c r="F10" i="1"/>
  <c r="I10" i="14" s="1"/>
  <c r="L10" i="14" s="1"/>
  <c r="D9" i="1"/>
  <c r="D10" i="1"/>
  <c r="F24" i="14" l="1"/>
  <c r="L24" i="14"/>
  <c r="L9" i="14"/>
  <c r="F10" i="14"/>
  <c r="F9" i="14"/>
  <c r="D38" i="1"/>
  <c r="E8" i="14" l="1"/>
  <c r="F32" i="1" l="1"/>
  <c r="F33" i="1"/>
  <c r="F34" i="1"/>
  <c r="F36" i="1"/>
  <c r="F37" i="1"/>
  <c r="D37" i="1"/>
  <c r="D36" i="1" l="1"/>
  <c r="H31" i="14" l="1"/>
  <c r="H32" i="14"/>
  <c r="D35" i="1"/>
  <c r="D34" i="1"/>
  <c r="D28" i="1"/>
  <c r="D29" i="1"/>
  <c r="D30" i="1"/>
  <c r="D31" i="1"/>
  <c r="D32" i="1"/>
  <c r="D33" i="1"/>
  <c r="K50" i="14"/>
  <c r="E50" i="14"/>
  <c r="K49" i="14"/>
  <c r="E49" i="14"/>
  <c r="F49" i="14" s="1"/>
  <c r="K48" i="14"/>
  <c r="K47" i="14"/>
  <c r="E47" i="14"/>
  <c r="F47" i="14" s="1"/>
  <c r="K46" i="14"/>
  <c r="E46" i="14"/>
  <c r="F46" i="14" s="1"/>
  <c r="K45" i="14"/>
  <c r="E45" i="14"/>
  <c r="F45" i="14" s="1"/>
  <c r="K44" i="14"/>
  <c r="E44" i="14"/>
  <c r="F44" i="14" s="1"/>
  <c r="K43" i="14"/>
  <c r="E43" i="14"/>
  <c r="F43" i="14" s="1"/>
  <c r="K42" i="14"/>
  <c r="E42" i="14"/>
  <c r="F42" i="14" s="1"/>
  <c r="K41" i="14"/>
  <c r="E41" i="14"/>
  <c r="F41" i="14" s="1"/>
  <c r="K40" i="14"/>
  <c r="E40" i="14"/>
  <c r="F40" i="14" s="1"/>
  <c r="K39" i="14"/>
  <c r="F39" i="14"/>
  <c r="K38" i="14"/>
  <c r="E38" i="14"/>
  <c r="F38" i="14" s="1"/>
  <c r="K37" i="14"/>
  <c r="E37" i="14"/>
  <c r="F37" i="14" s="1"/>
  <c r="K36" i="14"/>
  <c r="E36" i="14"/>
  <c r="F36" i="14" s="1"/>
  <c r="K35" i="14"/>
  <c r="E35" i="14"/>
  <c r="F35" i="14" s="1"/>
  <c r="K34" i="14"/>
  <c r="E34" i="14"/>
  <c r="F34" i="14" s="1"/>
  <c r="K33" i="14"/>
  <c r="E33" i="14"/>
  <c r="F33" i="14" s="1"/>
  <c r="F8" i="1"/>
  <c r="D8" i="1"/>
  <c r="F8" i="14"/>
  <c r="F29" i="14"/>
  <c r="K29" i="14"/>
  <c r="F30" i="14"/>
  <c r="I30" i="14"/>
  <c r="L30" i="14" s="1"/>
  <c r="K30" i="14"/>
  <c r="F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K27" i="14"/>
  <c r="F28" i="14"/>
  <c r="H28" i="14"/>
  <c r="K28" i="14"/>
  <c r="I29" i="14"/>
  <c r="L29" i="14" s="1"/>
  <c r="F31" i="1"/>
  <c r="I31" i="14" s="1"/>
  <c r="I32" i="14"/>
  <c r="H27" i="14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49" i="14" s="1"/>
  <c r="F15" i="1"/>
  <c r="I15" i="14" s="1"/>
  <c r="L15" i="14" s="1"/>
  <c r="I16" i="14"/>
  <c r="F17" i="1"/>
  <c r="I17" i="14" s="1"/>
  <c r="L17" i="14" s="1"/>
  <c r="F18" i="1"/>
  <c r="F19" i="1"/>
  <c r="I19" i="14" s="1"/>
  <c r="F20" i="1"/>
  <c r="E3" i="14"/>
  <c r="E4" i="14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13" i="14"/>
  <c r="H20" i="14" l="1"/>
  <c r="H30" i="14"/>
  <c r="L19" i="14"/>
  <c r="F50" i="14"/>
  <c r="I43" i="14"/>
  <c r="L43" i="14" s="1"/>
  <c r="I39" i="14"/>
  <c r="I20" i="14"/>
  <c r="I41" i="14"/>
  <c r="L41" i="14" s="1"/>
  <c r="I8" i="14"/>
  <c r="I2" i="14"/>
  <c r="I28" i="14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18" i="14"/>
  <c r="L18" i="14" s="1"/>
  <c r="I38" i="14"/>
  <c r="L38" i="14" s="1"/>
  <c r="I36" i="14"/>
  <c r="L36" i="14" s="1"/>
  <c r="I14" i="14"/>
  <c r="L14" i="14" s="1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50" i="14"/>
  <c r="I44" i="14"/>
  <c r="I37" i="14"/>
  <c r="I42" i="14"/>
  <c r="I34" i="14"/>
  <c r="L13" i="14"/>
  <c r="I46" i="14"/>
  <c r="I40" i="14"/>
  <c r="I33" i="14"/>
  <c r="I6" i="14"/>
  <c r="I3" i="14"/>
  <c r="I22" i="14"/>
  <c r="I21" i="14"/>
  <c r="L23" i="14" l="1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  <c r="K33" i="7" l="1" a="1"/>
  <c r="K33" i="7" s="1"/>
  <c r="K10" i="7" a="1"/>
  <c r="K10" i="7" s="1"/>
  <c r="K36" i="7" a="1"/>
  <c r="K36" i="7" s="1"/>
  <c r="K17" i="7" a="1"/>
  <c r="K17" i="7" s="1"/>
  <c r="K18" i="7" a="1"/>
  <c r="K18" i="7" s="1"/>
  <c r="K9" i="7" a="1"/>
  <c r="K9" i="7" s="1"/>
  <c r="K41" i="7" a="1"/>
  <c r="K41" i="7" s="1"/>
  <c r="K40" i="7" a="1"/>
  <c r="K40" i="7" s="1"/>
  <c r="K38" i="7" a="1"/>
  <c r="K38" i="7" s="1"/>
  <c r="K35" i="7" a="1"/>
  <c r="K35" i="7" s="1"/>
  <c r="L16" i="7" a="1"/>
  <c r="L16" i="7" s="1"/>
  <c r="K67" i="7" a="1"/>
  <c r="K67" i="7" s="1"/>
  <c r="L15" i="7" a="1"/>
  <c r="L15" i="7" s="1"/>
  <c r="K8" i="7" a="1"/>
  <c r="K8" i="7" s="1"/>
  <c r="K45" i="7" a="1"/>
  <c r="K45" i="7" s="1"/>
  <c r="K39" i="7" a="1"/>
  <c r="K39" i="7" s="1"/>
  <c r="K34" i="7" a="1"/>
  <c r="K34" i="7" s="1"/>
  <c r="K12" i="7" a="1"/>
  <c r="K12" i="7" s="1"/>
  <c r="K11" i="7" a="1"/>
  <c r="K11" i="7" s="1"/>
  <c r="K44" i="7" a="1"/>
  <c r="K44" i="7" s="1"/>
  <c r="K37" i="7" a="1"/>
  <c r="K37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<sst xmlns="http://schemas.openxmlformats.org/spreadsheetml/2006/main" count="477" uniqueCount="360">
  <si>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</si>
  <si>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</si>
  <si>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</si>
  <si>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</si>
  <si>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</si>
  <si>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</si>
  <si>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</si>
  <si>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</si>
  <si>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</si>
  <si>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</si>
  <si>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</si>
  <si>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</si>
  <si>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</si>
  <si>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</si>
  <si>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</si>
  <si>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</si>
  <si>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</si>
  <si>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</si>
  <si>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</si>
  <si>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</si>
  <si>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</si>
  <si>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</si>
  <si>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</si>
  <si>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</si>
  <si>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</si>
  <si>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</si>
  <si>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</si>
  <si>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</si>
  <si>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</si>
  <si>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</si>
  <si>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</si>
  <si>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</si>
  <si>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</si>
  <si>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</si>
  <si>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</si>
  <si>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</si>
  <si>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</si>
  <si>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</si>
  <si>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</si>
  <si>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</si>
  <si>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</si>
  <si>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</si>
  <si>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</si>
  <si>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</si>
  <si>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</si>
  <si>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</si>
  <si>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</si>
  <si>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</si>
  <si>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</si>
  <si>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</si>
  <si>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</si>
  <si>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</si>
  <si>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</si>
  <si>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</si>
  <si>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</si>
  <si>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</si>
  <si>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</si>
  <si>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</si>
  <si>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</si>
  <si>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</si>
  <si>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</si>
  <si>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</si>
  <si>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</si>
  <si>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</si>
  <si>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</si>
  <si>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</si>
  <si>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</si>
  <si>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</si>
  <si>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</si>
  <si>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</si>
  <si>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</si>
  <si>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</si>
  <si>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</si>
  <si>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</si>
  <si>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</si>
  <si>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</si>
  <si>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</si>
  <si>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</si>
  <si>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</si>
  <si>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</si>
  <si>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</si>
  <si>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</si>
  <si>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</si>
  <si>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</si>
  <si>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</si>
  <si>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</si>
  <si>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</si>
  <si>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</si>
  <si>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</si>
  <si>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</si>
  <si>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</si>
  <si>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</si>
  <si>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</si>
  <si>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</si>
  <si>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</si>
  <si>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</si>
  <si>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</si>
  <si>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</si>
  <si>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</si>
  <si>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</si>
  <si>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</si>
  <si>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</si>
  <si>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</si>
  <si>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</si>
  <si>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</si>
  <si>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</si>
  <si>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</si>
  <si>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</si>
  <si>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</si>
  <si>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</si>
  <si>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</si>
  <si>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</si>
  <si>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</si>
  <si>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</si>
  <si>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</si>
  <si>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</si>
  <si>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</si>
  <si>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</si>
  <si>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</si>
  <si>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</si>
  <si>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</si>
  <si>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</si>
  <si>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</si>
  <si>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</si>
  <si>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</si>
  <si>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</si>
  <si>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</si>
  <si>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</si>
  <si>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</si>
  <si>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</si>
  <si>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</si>
  <si>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</si>
  <si>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</si>
  <si>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</si>
  <si>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</si>
  <si>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</si>
  <si>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</si>
  <si>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</si>
  <si>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</si>
  <si>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</si>
  <si>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</si>
  <si>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</si>
  <si>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</si>
  <si>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</si>
  <si>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</si>
  <si>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</si>
  <si>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</si>
  <si>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</si>
  <si>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</si>
  <si>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</si>
  <si>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</si>
  <si>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</si>
  <si>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</si>
  <si>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</si>
  <si>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</si>
  <si>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</si>
  <si>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</si>
  <si>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</si>
  <si>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</si>
  <si>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</si>
  <si>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</si>
  <si>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</si>
  <si>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</si>
  <si>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</si>
  <si>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</si>
  <si>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</si>
  <si>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</si>
  <si>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</si>
  <si>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</si>
  <si>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</si>
  <si>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</si>
  <si>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</si>
  <si>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</si>
  <si>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</si>
  <si>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</si>
  <si>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</si>
  <si>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</si>
  <si>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</si>
  <si>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</si>
  <si>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</si>
  <si>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</si>
  <si>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</si>
  <si>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</si>
  <si>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</si>
  <si>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</si>
  <si>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</si>
  <si>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</si>
  <si>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</si>
  <si>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</si>
  <si>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</si>
  <si>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</si>
  <si>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</si>
  <si>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</si>
  <si>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</si>
  <si>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</si>
  <si>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</si>
  <si>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</si>
  <si>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</si>
  <si>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</si>
  <si>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</si>
  <si>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</si>
  <si>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</si>
  <si>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</si>
  <si>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</si>
  <si>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</si>
  <si>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</si>
  <si>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</si>
  <si>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</si>
  <si>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</si>
  <si>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</si>
  <si>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</si>
  <si>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</si>
  <si>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</si>
  <si>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</si>
  <si>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</si>
  <si>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</si>
  <si>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</si>
  <si>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</si>
  <si>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</si>
  <si>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</si>
  <si>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</si>
  <si>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</si>
  <si>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</si>
  <si>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</si>
  <si>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</si>
  <si>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</si>
  <si>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</si>
  <si>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</si>
  <si>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</si>
  <si>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</si>
  <si>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</si>
  <si>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</si>
  <si>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</si>
  <si>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</si>
  <si>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</si>
  <si>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</si>
  <si>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</si>
  <si>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</si>
  <si>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</si>
  <si>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</si>
  <si>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</si>
  <si>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</si>
  <si>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</si>
  <si>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</si>
  <si>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</si>
  <si>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</si>
  <si>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</si>
  <si>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</si>
  <si>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</si>
  <si>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</si>
  <si>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</si>
  <si>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</si>
  <si>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</si>
  <si>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</si>
  <si>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</si>
  <si>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</si>
  <si>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</si>
  <si>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</si>
  <si>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</si>
  <si>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</si>
  <si>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</si>
  <si>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</si>
  <si>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</si>
  <si>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</si>
  <si>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</si>
  <si>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</si>
  <si>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</si>
  <si>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</si>
  <si>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</si>
  <si>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</si>
  <si>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</si>
  <si>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</si>
  <si>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</si>
  <si>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</si>
  <si>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</si>
  <si>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</si>
  <si>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</si>
  <si>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</si>
  <si>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</si>
  <si>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</si>
  <si>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</si>
  <si>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</si>
  <si>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</si>
  <si>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</si>
  <si>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</si>
  <si>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</si>
  <si>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</si>
  <si>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</si>
  <si>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</si>
  <si>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</si>
  <si>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</si>
  <si>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</si>
  <si>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</si>
  <si>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</si>
  <si>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</si>
  <si>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</si>
  <si>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</si>
  <si>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</si>
  <si>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</si>
  <si>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</si>
  <si>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</si>
  <si>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</si>
  <si>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</si>
  <si>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</si>
  <si>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</si>
  <si>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</si>
  <si>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</si>
  <si>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</si>
  <si>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200,</t>
    <phoneticPr fontId="1" type="noConversion"/>
  </si>
  <si>
    <t>吞噬天下</t>
    <phoneticPr fontId="1" type="noConversion"/>
  </si>
  <si>
    <t>0,300</t>
  </si>
  <si>
    <t>append_life_rate|随机的倍率和奖励</t>
    <phoneticPr fontId="1" type="noConversion"/>
  </si>
  <si>
    <t>fish_3d_yutu_gd_smallboss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</si>
  <si>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</si>
  <si>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</si>
  <si>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</si>
  <si>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0,20</t>
    <phoneticPr fontId="1" type="noConversion"/>
  </si>
  <si>
    <t>0,50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</si>
  <si>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</si>
  <si>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</si>
  <si>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</si>
  <si>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</si>
  <si>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</si>
  <si>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50,</t>
    <phoneticPr fontId="1" type="noConversion"/>
  </si>
  <si>
    <t>34,35,36,37,38,39,40,41,</t>
    <phoneticPr fontId="1" type="noConversion"/>
  </si>
  <si>
    <t>fish_3d_yutu_random_5</t>
    <phoneticPr fontId="1" type="noConversion"/>
  </si>
  <si>
    <t>50,50,50,50,100,</t>
    <phoneticPr fontId="1" type="noConversion"/>
  </si>
  <si>
    <t>0.02,0.02,0.02,0.02,0.01</t>
    <phoneticPr fontId="1" type="noConversion"/>
  </si>
  <si>
    <t>0,20</t>
    <phoneticPr fontId="1" type="noConversion"/>
  </si>
  <si>
    <t>0.02,0.02,0.02,0.02,0.01</t>
    <phoneticPr fontId="1" type="noConversion"/>
  </si>
  <si>
    <t>50,50,50,50,100,</t>
    <phoneticPr fontId="1" type="noConversion"/>
  </si>
  <si>
    <t>60,50,50</t>
    <phoneticPr fontId="1" type="noConversion"/>
  </si>
  <si>
    <t>63,2</t>
    <phoneticPr fontId="1" type="noConversion"/>
  </si>
  <si>
    <t>60,90</t>
    <phoneticPr fontId="1" type="noConversion"/>
  </si>
  <si>
    <t>1,</t>
    <phoneticPr fontId="1" type="noConversion"/>
  </si>
  <si>
    <t>财神-50</t>
    <phoneticPr fontId="1" type="noConversion"/>
  </si>
  <si>
    <t>财神-150</t>
    <phoneticPr fontId="1" type="noConversion"/>
  </si>
  <si>
    <t>200,250</t>
    <phoneticPr fontId="1" type="noConversion"/>
  </si>
  <si>
    <t>财神-250</t>
    <phoneticPr fontId="1" type="noConversion"/>
  </si>
  <si>
    <t>财神-450</t>
    <phoneticPr fontId="1" type="noConversion"/>
  </si>
  <si>
    <t>1,0,10,1,20,2,20,</t>
    <phoneticPr fontId="1" type="noConversion"/>
  </si>
  <si>
    <t>初级彩贝</t>
    <phoneticPr fontId="1" type="noConversion"/>
  </si>
  <si>
    <t>1,1,20,2,20,3,10,4,10</t>
    <phoneticPr fontId="1" type="noConversion"/>
  </si>
  <si>
    <t>中级彩贝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</si>
  <si>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</si>
  <si>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</si>
  <si>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</si>
  <si>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</si>
  <si>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</si>
  <si>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400,500</t>
    <phoneticPr fontId="1" type="noConversion"/>
  </si>
  <si>
    <t>幸运转盘</t>
    <phoneticPr fontId="1" type="noConversion"/>
  </si>
  <si>
    <t>100,</t>
    <phoneticPr fontId="1" type="noConversion"/>
  </si>
  <si>
    <t>疯狂6选一</t>
    <phoneticPr fontId="1" type="noConversion"/>
  </si>
  <si>
    <t>4,40,60,80,120,</t>
    <phoneticPr fontId="1" type="noConversion"/>
  </si>
  <si>
    <t>1,500,</t>
    <phoneticPr fontId="1" type="noConversion"/>
  </si>
  <si>
    <t>0,200</t>
    <phoneticPr fontId="1" type="noConversion"/>
  </si>
  <si>
    <t>0,300</t>
    <phoneticPr fontId="1" type="noConversion"/>
  </si>
  <si>
    <t>0,400</t>
    <phoneticPr fontId="1" type="noConversion"/>
  </si>
  <si>
    <t>50,50,50,50,100,</t>
    <phoneticPr fontId="1" type="noConversion"/>
  </si>
  <si>
    <t>0.02,0.02,0.02,0.02,0.01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</si>
</sst>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7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>
        <row r="2">
          <cell r="L2" t="str">
            <v>海龟</v>
          </cell>
        </row>
      </sheetData>
      <sheetData sheetId="6">
        <row r="1">
          <cell r="A1" t="str">
            <v>id|在group使用的鱼ID</v>
          </cell>
          <cell r="H1" t="str">
            <v>|组合名</v>
          </cell>
        </row>
        <row r="2">
          <cell r="A2">
            <v>1</v>
          </cell>
          <cell r="H2" t="str">
            <v>小牛角</v>
          </cell>
        </row>
        <row r="3">
          <cell r="A3">
            <v>2</v>
          </cell>
          <cell r="H3" t="str">
            <v>小气泡</v>
          </cell>
        </row>
        <row r="4">
          <cell r="A4">
            <v>3</v>
          </cell>
          <cell r="H4" t="str">
            <v>小丑鱼</v>
          </cell>
        </row>
        <row r="5">
          <cell r="A5">
            <v>4</v>
          </cell>
          <cell r="H5" t="str">
            <v>小燕鱼</v>
          </cell>
        </row>
        <row r="6">
          <cell r="A6">
            <v>5</v>
          </cell>
          <cell r="H6" t="str">
            <v>小黄鳍</v>
          </cell>
        </row>
        <row r="7">
          <cell r="A7">
            <v>6</v>
          </cell>
          <cell r="H7" t="str">
            <v>河豚</v>
          </cell>
        </row>
        <row r="8">
          <cell r="A8">
            <v>7</v>
          </cell>
          <cell r="H8" t="str">
            <v>小灯笼</v>
          </cell>
        </row>
        <row r="9">
          <cell r="A9">
            <v>8</v>
          </cell>
          <cell r="H9" t="str">
            <v>小旗鱼</v>
          </cell>
        </row>
        <row r="10">
          <cell r="A10">
            <v>9</v>
          </cell>
          <cell r="H10" t="str">
            <v>小水母</v>
          </cell>
        </row>
        <row r="11">
          <cell r="A11">
            <v>10</v>
          </cell>
          <cell r="H11" t="str">
            <v>小章鱼</v>
          </cell>
        </row>
        <row r="12">
          <cell r="A12">
            <v>11</v>
          </cell>
          <cell r="H12" t="str">
            <v>小海龟</v>
          </cell>
        </row>
        <row r="13">
          <cell r="A13">
            <v>12</v>
          </cell>
          <cell r="H13" t="str">
            <v>狮子鱼</v>
          </cell>
        </row>
        <row r="14">
          <cell r="A14">
            <v>13</v>
          </cell>
          <cell r="H14" t="str">
            <v>蝴蝶鱼</v>
          </cell>
        </row>
        <row r="15">
          <cell r="A15">
            <v>14</v>
          </cell>
          <cell r="H15" t="str">
            <v>巨大小丑鱼</v>
          </cell>
        </row>
        <row r="16">
          <cell r="A16">
            <v>15</v>
          </cell>
          <cell r="H16" t="str">
            <v>巨大灯笼鱼</v>
          </cell>
        </row>
        <row r="17">
          <cell r="A17">
            <v>16</v>
          </cell>
          <cell r="H17" t="str">
            <v>巨大燕鱼</v>
          </cell>
        </row>
        <row r="18">
          <cell r="A18">
            <v>17</v>
          </cell>
          <cell r="H18" t="str">
            <v>魔鬼鱼</v>
          </cell>
        </row>
        <row r="19">
          <cell r="A19">
            <v>18</v>
          </cell>
          <cell r="H19" t="str">
            <v>虎鲸</v>
          </cell>
        </row>
        <row r="20">
          <cell r="A20">
            <v>19</v>
          </cell>
          <cell r="H20" t="str">
            <v>炸弹鱼+炸弹</v>
          </cell>
        </row>
        <row r="21">
          <cell r="A21">
            <v>20</v>
          </cell>
          <cell r="H21" t="str">
            <v>黄金灯笼鱼</v>
          </cell>
        </row>
        <row r="22">
          <cell r="A22">
            <v>21</v>
          </cell>
          <cell r="H22" t="str">
            <v>黄金炸弹鱼+炸弹</v>
          </cell>
        </row>
        <row r="23">
          <cell r="A23">
            <v>22</v>
          </cell>
          <cell r="H23" t="str">
            <v>黄金狮子鱼</v>
          </cell>
        </row>
        <row r="24">
          <cell r="A24">
            <v>23</v>
          </cell>
          <cell r="H24" t="str">
            <v>黄金海龟</v>
          </cell>
        </row>
        <row r="25">
          <cell r="A25">
            <v>24</v>
          </cell>
          <cell r="B25">
            <v>24</v>
          </cell>
          <cell r="C25"/>
          <cell r="H25" t="str">
            <v>黄金河豚</v>
          </cell>
        </row>
        <row r="26">
          <cell r="A26">
            <v>25</v>
          </cell>
          <cell r="B26">
            <v>25</v>
          </cell>
          <cell r="C26"/>
          <cell r="H26" t="str">
            <v>金蟾</v>
          </cell>
        </row>
        <row r="27">
          <cell r="A27">
            <v>26</v>
          </cell>
          <cell r="H27" t="str">
            <v>大金鲨</v>
          </cell>
        </row>
        <row r="28">
          <cell r="A28">
            <v>27</v>
          </cell>
          <cell r="H28" t="str">
            <v>黄金锤头鲨</v>
          </cell>
        </row>
        <row r="29">
          <cell r="A29">
            <v>28</v>
          </cell>
          <cell r="H29" t="str">
            <v>闪电海鳗+闪电</v>
          </cell>
        </row>
        <row r="30">
          <cell r="A30">
            <v>29</v>
          </cell>
          <cell r="H30" t="str">
            <v>穿云蟹+钻头弹</v>
          </cell>
        </row>
        <row r="31">
          <cell r="A31">
            <v>30</v>
          </cell>
          <cell r="H31" t="str">
            <v>电磁蟹+电磁弹</v>
          </cell>
        </row>
        <row r="32">
          <cell r="A32">
            <v>31</v>
          </cell>
          <cell r="H32" t="str">
            <v>奇遇蟹+时限免费超级活力子弹</v>
          </cell>
        </row>
        <row r="33">
          <cell r="A33">
            <v>32</v>
          </cell>
          <cell r="H33" t="str">
            <v>宝藏章鱼+幸运转盘</v>
          </cell>
        </row>
        <row r="34">
          <cell r="A34">
            <v>33</v>
          </cell>
          <cell r="H34" t="str">
            <v>美人鱼+疯狂6选一</v>
          </cell>
        </row>
        <row r="35">
          <cell r="A35">
            <v>34</v>
          </cell>
          <cell r="H35" t="str">
            <v>骰子龟+骰子龟</v>
          </cell>
        </row>
        <row r="36">
          <cell r="A36">
            <v>35</v>
          </cell>
          <cell r="H36" t="str">
            <v>金龙转盘+幸运转盘</v>
          </cell>
        </row>
        <row r="37">
          <cell r="A37">
            <v>36</v>
          </cell>
          <cell r="H37" t="str">
            <v>炽火龙王+炽火龙王</v>
          </cell>
        </row>
        <row r="38">
          <cell r="A38">
            <v>37</v>
          </cell>
          <cell r="H38" t="str">
            <v>财神</v>
          </cell>
        </row>
        <row r="39">
          <cell r="A39">
            <v>38</v>
          </cell>
          <cell r="H39" t="str">
            <v>黄金巨龙</v>
          </cell>
        </row>
        <row r="40">
          <cell r="A40">
            <v>39</v>
          </cell>
          <cell r="H40" t="str">
            <v>霸王蟹</v>
          </cell>
        </row>
        <row r="41">
          <cell r="A41">
            <v>40</v>
          </cell>
          <cell r="H41" t="str">
            <v>深海鲸</v>
          </cell>
        </row>
        <row r="42">
          <cell r="A42">
            <v>41</v>
          </cell>
          <cell r="H42" t="str">
            <v>鲨鱼武士</v>
          </cell>
        </row>
        <row r="43">
          <cell r="A43">
            <v>42</v>
          </cell>
          <cell r="H43" t="str">
            <v>荧光女皇</v>
          </cell>
        </row>
        <row r="44">
          <cell r="A44">
            <v>43</v>
          </cell>
          <cell r="H44" t="str">
            <v>龙龟</v>
          </cell>
        </row>
        <row r="45">
          <cell r="A45">
            <v>44</v>
          </cell>
          <cell r="H45" t="str">
            <v>麒麟兽</v>
          </cell>
        </row>
        <row r="46">
          <cell r="A46">
            <v>45</v>
          </cell>
          <cell r="H46" t="str">
            <v>海盗船</v>
          </cell>
        </row>
        <row r="47">
          <cell r="A47">
            <v>46</v>
          </cell>
          <cell r="H47" t="str">
            <v>金蟾</v>
          </cell>
        </row>
        <row r="48">
          <cell r="A48">
            <v>47</v>
          </cell>
          <cell r="H48" t="str">
            <v>深海狂鲨+吞噬天下</v>
          </cell>
        </row>
        <row r="49">
          <cell r="A49">
            <v>48</v>
          </cell>
          <cell r="H49" t="str">
            <v>鳄鱼+宝箱</v>
          </cell>
        </row>
        <row r="50">
          <cell r="A50">
            <v>49</v>
          </cell>
          <cell r="H50" t="str">
            <v>大王乌贼+连环炸弹</v>
          </cell>
        </row>
        <row r="51">
          <cell r="A51">
            <v>50</v>
          </cell>
          <cell r="H51" t="str">
            <v>贝壳鱼</v>
          </cell>
        </row>
      </sheetData>
      <sheetData sheetId="7">
        <row r="1">
          <cell r="A1" t="str">
            <v>id|编号</v>
          </cell>
          <cell r="G1" t="str">
            <v>|活动名</v>
          </cell>
        </row>
        <row r="2">
          <cell r="A2">
            <v>1</v>
          </cell>
          <cell r="G2" t="str">
            <v>免费子弹</v>
          </cell>
        </row>
        <row r="3">
          <cell r="A3">
            <v>2</v>
          </cell>
          <cell r="G3" t="str">
            <v>威力提升</v>
          </cell>
        </row>
        <row r="4">
          <cell r="A4">
            <v>3</v>
          </cell>
          <cell r="G4" t="str">
            <v>暴击时刻</v>
          </cell>
        </row>
        <row r="5">
          <cell r="A5">
            <v>4</v>
          </cell>
          <cell r="G5" t="str">
            <v>炸弹</v>
          </cell>
        </row>
        <row r="6">
          <cell r="A6">
            <v>5</v>
          </cell>
          <cell r="G6" t="str">
            <v>闪电</v>
          </cell>
        </row>
        <row r="7">
          <cell r="A7">
            <v>6</v>
          </cell>
          <cell r="G7" t="str">
            <v>炸弹</v>
          </cell>
        </row>
        <row r="8">
          <cell r="A8">
            <v>7</v>
          </cell>
          <cell r="G8" t="str">
            <v>免费子弹</v>
          </cell>
        </row>
        <row r="9">
          <cell r="A9">
            <v>8</v>
          </cell>
          <cell r="G9" t="str">
            <v>炸弹</v>
          </cell>
        </row>
        <row r="10">
          <cell r="A10">
            <v>9</v>
          </cell>
          <cell r="G10" t="str">
            <v>闪电</v>
          </cell>
        </row>
        <row r="11">
          <cell r="A11">
            <v>10</v>
          </cell>
          <cell r="G11" t="str">
            <v>闪电</v>
          </cell>
        </row>
        <row r="12">
          <cell r="A12">
            <v>11</v>
          </cell>
          <cell r="G12" t="str">
            <v>锁定卡</v>
          </cell>
        </row>
        <row r="13">
          <cell r="A13">
            <v>12</v>
          </cell>
          <cell r="G13" t="str">
            <v>锁定卡</v>
          </cell>
        </row>
        <row r="14">
          <cell r="A14">
            <v>13</v>
          </cell>
          <cell r="G14" t="str">
            <v>冰冻卡</v>
          </cell>
        </row>
        <row r="15">
          <cell r="A15">
            <v>14</v>
          </cell>
          <cell r="G15" t="str">
            <v>冰冻卡</v>
          </cell>
        </row>
        <row r="16">
          <cell r="A16">
            <v>15</v>
          </cell>
          <cell r="G16" t="str">
            <v>临时活动</v>
          </cell>
        </row>
        <row r="17">
          <cell r="A17">
            <v>16</v>
          </cell>
          <cell r="G17" t="str">
            <v>临时活动</v>
          </cell>
        </row>
        <row r="18">
          <cell r="A18">
            <v>17</v>
          </cell>
          <cell r="G18" t="str">
            <v>宝箱</v>
          </cell>
        </row>
        <row r="19">
          <cell r="A19">
            <v>18</v>
          </cell>
          <cell r="G19" t="str">
            <v>穿透钢弹</v>
          </cell>
        </row>
        <row r="20">
          <cell r="A20">
            <v>19</v>
          </cell>
          <cell r="G20" t="str">
            <v>钻头弹</v>
          </cell>
        </row>
        <row r="21">
          <cell r="A21">
            <v>20</v>
          </cell>
          <cell r="G21" t="str">
            <v>神灯</v>
          </cell>
        </row>
        <row r="22">
          <cell r="A22">
            <v>21</v>
          </cell>
          <cell r="G22" t="str">
            <v>财神-50</v>
          </cell>
        </row>
        <row r="23">
          <cell r="A23">
            <v>22</v>
          </cell>
          <cell r="G23" t="str">
            <v>财神-150</v>
          </cell>
        </row>
        <row r="24">
          <cell r="A24">
            <v>23</v>
          </cell>
          <cell r="G24" t="str">
            <v>财神-250</v>
          </cell>
        </row>
        <row r="25">
          <cell r="A25">
            <v>24</v>
          </cell>
          <cell r="G25" t="str">
            <v>财神-450</v>
          </cell>
        </row>
        <row r="26">
          <cell r="A26">
            <v>25</v>
          </cell>
          <cell r="G26" t="str">
            <v>初级彩贝</v>
          </cell>
        </row>
        <row r="27">
          <cell r="A27">
            <v>26</v>
          </cell>
          <cell r="G27" t="str">
            <v>中级彩贝</v>
          </cell>
        </row>
        <row r="28">
          <cell r="A28">
            <v>27</v>
          </cell>
          <cell r="G28" t="str">
            <v>高级彩贝</v>
          </cell>
        </row>
        <row r="29">
          <cell r="A29">
            <v>28</v>
          </cell>
          <cell r="G29" t="str">
            <v>100倍金币爆发</v>
          </cell>
        </row>
        <row r="30">
          <cell r="A30">
            <v>29</v>
          </cell>
          <cell r="G30" t="str">
            <v>时限免费超级活力子弹</v>
          </cell>
        </row>
        <row r="31">
          <cell r="A31">
            <v>30</v>
          </cell>
          <cell r="G31" t="str">
            <v>幸运转盘</v>
          </cell>
        </row>
        <row r="32">
          <cell r="A32">
            <v>31</v>
          </cell>
          <cell r="G32" t="str">
            <v>电磁弹</v>
          </cell>
        </row>
        <row r="33">
          <cell r="A33">
            <v>32</v>
          </cell>
          <cell r="G33" t="str">
            <v>幸运转盘</v>
          </cell>
        </row>
        <row r="34">
          <cell r="A34">
            <v>33</v>
          </cell>
          <cell r="G34" t="str">
            <v>疯狂6选一</v>
          </cell>
        </row>
        <row r="35">
          <cell r="A35">
            <v>34</v>
          </cell>
          <cell r="G35" t="str">
            <v>吞噬天下</v>
          </cell>
        </row>
        <row r="36">
          <cell r="A36">
            <v>35</v>
          </cell>
          <cell r="G36" t="str">
            <v>连环炸弹</v>
          </cell>
        </row>
        <row r="37">
          <cell r="A37">
            <v>36</v>
          </cell>
          <cell r="G37" t="str">
            <v>炽火龙王</v>
          </cell>
        </row>
        <row r="38">
          <cell r="A38">
            <v>37</v>
          </cell>
          <cell r="G38" t="str">
            <v>骰子龟</v>
          </cell>
        </row>
      </sheetData>
      <sheetData sheetId="8"/>
      <sheetData sheetId="9">
        <row r="1">
          <cell r="A1" t="str">
            <v>id|基础鱼的ID</v>
          </cell>
          <cell r="E1" t="str">
            <v>|鱼名</v>
          </cell>
          <cell r="G1" t="str">
            <v>gd_award|固定奖励</v>
          </cell>
        </row>
        <row r="2">
          <cell r="A2">
            <v>1</v>
          </cell>
          <cell r="E2" t="str">
            <v>小牛角</v>
          </cell>
          <cell r="G2">
            <v>0</v>
          </cell>
        </row>
        <row r="3">
          <cell r="A3">
            <v>2</v>
          </cell>
          <cell r="E3" t="str">
            <v>小气泡</v>
          </cell>
          <cell r="G3">
            <v>0</v>
          </cell>
        </row>
        <row r="4">
          <cell r="A4">
            <v>3</v>
          </cell>
          <cell r="E4" t="str">
            <v>小丑鱼</v>
          </cell>
          <cell r="G4">
            <v>0</v>
          </cell>
        </row>
        <row r="5">
          <cell r="A5">
            <v>4</v>
          </cell>
          <cell r="E5" t="str">
            <v>小燕鱼</v>
          </cell>
          <cell r="G5">
            <v>0</v>
          </cell>
        </row>
        <row r="6">
          <cell r="A6">
            <v>5</v>
          </cell>
          <cell r="E6" t="str">
            <v>小黄鳍</v>
          </cell>
          <cell r="G6">
            <v>0</v>
          </cell>
        </row>
        <row r="7">
          <cell r="A7">
            <v>6</v>
          </cell>
          <cell r="E7" t="str">
            <v>河豚</v>
          </cell>
          <cell r="G7">
            <v>0</v>
          </cell>
        </row>
        <row r="8">
          <cell r="A8">
            <v>7</v>
          </cell>
          <cell r="E8" t="str">
            <v>小灯笼</v>
          </cell>
          <cell r="G8">
            <v>0</v>
          </cell>
        </row>
        <row r="9">
          <cell r="A9">
            <v>8</v>
          </cell>
          <cell r="E9" t="str">
            <v>小旗鱼</v>
          </cell>
          <cell r="G9">
            <v>0</v>
          </cell>
        </row>
        <row r="10">
          <cell r="A10">
            <v>9</v>
          </cell>
          <cell r="E10" t="str">
            <v>小水母</v>
          </cell>
          <cell r="G10">
            <v>0</v>
          </cell>
        </row>
        <row r="11">
          <cell r="A11">
            <v>10</v>
          </cell>
          <cell r="E11" t="str">
            <v>小章鱼</v>
          </cell>
          <cell r="G11">
            <v>0</v>
          </cell>
        </row>
        <row r="12">
          <cell r="A12">
            <v>11</v>
          </cell>
          <cell r="E12" t="str">
            <v>小海龟</v>
          </cell>
          <cell r="G12">
            <v>0</v>
          </cell>
        </row>
        <row r="13">
          <cell r="A13">
            <v>12</v>
          </cell>
          <cell r="E13" t="str">
            <v>狮子鱼</v>
          </cell>
          <cell r="G13">
            <v>0</v>
          </cell>
        </row>
        <row r="14">
          <cell r="A14">
            <v>13</v>
          </cell>
          <cell r="E14" t="str">
            <v>蝴蝶鱼</v>
          </cell>
          <cell r="G14">
            <v>0</v>
          </cell>
        </row>
        <row r="15">
          <cell r="A15">
            <v>14</v>
          </cell>
          <cell r="E15" t="str">
            <v>巨大小丑鱼</v>
          </cell>
          <cell r="G15">
            <v>0</v>
          </cell>
        </row>
        <row r="16">
          <cell r="A16">
            <v>15</v>
          </cell>
          <cell r="E16" t="str">
            <v>巨大灯笼鱼</v>
          </cell>
          <cell r="G16">
            <v>0</v>
          </cell>
        </row>
        <row r="17">
          <cell r="A17">
            <v>16</v>
          </cell>
          <cell r="E17" t="str">
            <v>巨大燕鱼</v>
          </cell>
          <cell r="G17">
            <v>0</v>
          </cell>
        </row>
        <row r="18">
          <cell r="A18">
            <v>17</v>
          </cell>
          <cell r="E18" t="str">
            <v>魔鬼鱼</v>
          </cell>
          <cell r="G18">
            <v>0</v>
          </cell>
        </row>
        <row r="19">
          <cell r="A19">
            <v>18</v>
          </cell>
          <cell r="E19" t="str">
            <v>虎鲸</v>
          </cell>
          <cell r="G19">
            <v>0</v>
          </cell>
        </row>
        <row r="20">
          <cell r="A20">
            <v>19</v>
          </cell>
          <cell r="E20" t="str">
            <v>炸弹鱼</v>
          </cell>
          <cell r="G20">
            <v>0</v>
          </cell>
        </row>
        <row r="21">
          <cell r="A21">
            <v>20</v>
          </cell>
          <cell r="E21" t="str">
            <v>黄金灯笼鱼</v>
          </cell>
          <cell r="G21">
            <v>0</v>
          </cell>
        </row>
        <row r="22">
          <cell r="A22">
            <v>21</v>
          </cell>
          <cell r="E22" t="str">
            <v>黄金炸弹鱼</v>
          </cell>
          <cell r="G22">
            <v>0</v>
          </cell>
        </row>
        <row r="23">
          <cell r="A23">
            <v>22</v>
          </cell>
          <cell r="E23" t="str">
            <v>黄金狮子鱼</v>
          </cell>
          <cell r="G23">
            <v>0</v>
          </cell>
        </row>
        <row r="24">
          <cell r="A24">
            <v>23</v>
          </cell>
          <cell r="E24" t="str">
            <v>黄金海龟</v>
          </cell>
          <cell r="G24">
            <v>0</v>
          </cell>
        </row>
        <row r="25">
          <cell r="A25">
            <v>24</v>
          </cell>
          <cell r="E25" t="str">
            <v>黄金河豚</v>
          </cell>
          <cell r="G25">
            <v>0</v>
          </cell>
        </row>
        <row r="26">
          <cell r="A26">
            <v>25</v>
          </cell>
          <cell r="E26" t="str">
            <v>金蟾</v>
          </cell>
          <cell r="G26">
            <v>0</v>
          </cell>
        </row>
        <row r="27">
          <cell r="A27">
            <v>26</v>
          </cell>
          <cell r="E27" t="str">
            <v>大金鲨</v>
          </cell>
          <cell r="G27">
            <v>0</v>
          </cell>
        </row>
        <row r="28">
          <cell r="A28">
            <v>27</v>
          </cell>
          <cell r="E28" t="str">
            <v>黄金锤头鲨</v>
          </cell>
          <cell r="G28">
            <v>0</v>
          </cell>
        </row>
        <row r="29">
          <cell r="A29">
            <v>28</v>
          </cell>
          <cell r="E29" t="str">
            <v>闪电海鳗</v>
          </cell>
          <cell r="G29">
            <v>0</v>
          </cell>
        </row>
        <row r="30">
          <cell r="A30">
            <v>29</v>
          </cell>
          <cell r="E30" t="str">
            <v>穿云蟹</v>
          </cell>
          <cell r="G30">
            <v>0</v>
          </cell>
        </row>
        <row r="31">
          <cell r="A31">
            <v>30</v>
          </cell>
          <cell r="E31" t="str">
            <v>电磁蟹</v>
          </cell>
          <cell r="G31">
            <v>0</v>
          </cell>
        </row>
        <row r="32">
          <cell r="A32">
            <v>31</v>
          </cell>
          <cell r="E32" t="str">
            <v>奇遇蟹</v>
          </cell>
          <cell r="G32">
            <v>0</v>
          </cell>
        </row>
        <row r="33">
          <cell r="A33">
            <v>32</v>
          </cell>
          <cell r="E33" t="str">
            <v>宝藏章鱼</v>
          </cell>
          <cell r="G33">
            <v>0</v>
          </cell>
        </row>
        <row r="34">
          <cell r="A34">
            <v>33</v>
          </cell>
          <cell r="E34" t="str">
            <v>美人鱼</v>
          </cell>
          <cell r="G34">
            <v>0</v>
          </cell>
        </row>
        <row r="35">
          <cell r="A35">
            <v>34</v>
          </cell>
          <cell r="E35" t="str">
            <v>骰子龟</v>
          </cell>
          <cell r="G35">
            <v>0</v>
          </cell>
        </row>
        <row r="36">
          <cell r="A36">
            <v>35</v>
          </cell>
          <cell r="E36" t="str">
            <v>金龙转盘</v>
          </cell>
          <cell r="G36">
            <v>0</v>
          </cell>
        </row>
        <row r="37">
          <cell r="A37">
            <v>36</v>
          </cell>
          <cell r="E37" t="str">
            <v>炽火龙王</v>
          </cell>
          <cell r="G37">
            <v>0</v>
          </cell>
        </row>
        <row r="38">
          <cell r="A38">
            <v>37</v>
          </cell>
          <cell r="E38" t="str">
            <v>财神</v>
          </cell>
          <cell r="G38">
            <v>0</v>
          </cell>
        </row>
        <row r="39">
          <cell r="A39">
            <v>38</v>
          </cell>
          <cell r="E39" t="str">
            <v>黄金巨龙</v>
          </cell>
          <cell r="G39">
            <v>0</v>
          </cell>
        </row>
        <row r="40">
          <cell r="A40">
            <v>39</v>
          </cell>
          <cell r="E40" t="str">
            <v>霸王蟹</v>
          </cell>
          <cell r="G40">
            <v>0</v>
          </cell>
        </row>
        <row r="41">
          <cell r="A41">
            <v>40</v>
          </cell>
          <cell r="E41" t="str">
            <v>深海鲸</v>
          </cell>
          <cell r="G41">
            <v>0</v>
          </cell>
        </row>
        <row r="42">
          <cell r="A42">
            <v>41</v>
          </cell>
          <cell r="E42" t="str">
            <v>鲨鱼武士</v>
          </cell>
          <cell r="G42">
            <v>0</v>
          </cell>
        </row>
        <row r="43">
          <cell r="A43">
            <v>42</v>
          </cell>
          <cell r="E43" t="str">
            <v>荧光女皇</v>
          </cell>
          <cell r="G43">
            <v>0</v>
          </cell>
        </row>
        <row r="44">
          <cell r="A44">
            <v>43</v>
          </cell>
          <cell r="E44" t="str">
            <v>龙龟</v>
          </cell>
          <cell r="G44">
            <v>0</v>
          </cell>
        </row>
        <row r="45">
          <cell r="A45">
            <v>44</v>
          </cell>
          <cell r="E45" t="str">
            <v>麒麟兽</v>
          </cell>
          <cell r="G45">
            <v>0</v>
          </cell>
        </row>
        <row r="46">
          <cell r="A46">
            <v>45</v>
          </cell>
          <cell r="E46" t="str">
            <v>海盗船</v>
          </cell>
          <cell r="G46">
            <v>0</v>
          </cell>
        </row>
        <row r="47">
          <cell r="A47">
            <v>46</v>
          </cell>
          <cell r="E47" t="str">
            <v>金蟾</v>
          </cell>
          <cell r="G47">
            <v>0</v>
          </cell>
        </row>
        <row r="48">
          <cell r="A48">
            <v>47</v>
          </cell>
          <cell r="E48" t="str">
            <v>深海狂鲨</v>
          </cell>
          <cell r="G48">
            <v>0</v>
          </cell>
        </row>
        <row r="49">
          <cell r="A49">
            <v>48</v>
          </cell>
          <cell r="E49" t="str">
            <v>鳄鱼</v>
          </cell>
          <cell r="G49">
            <v>0</v>
          </cell>
        </row>
        <row r="50">
          <cell r="A50">
            <v>49</v>
          </cell>
          <cell r="E50" t="str">
            <v>大王乌贼</v>
          </cell>
          <cell r="G50">
            <v>0</v>
          </cell>
        </row>
        <row r="51">
          <cell r="A51">
            <v>50</v>
          </cell>
          <cell r="E51" t="str">
            <v>贝壳鱼</v>
          </cell>
          <cell r="G5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workbookViewId="0">
      <selection activeCell="B8" sqref="B8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5.0000000000000001E-3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5.0000000000000001E-3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5.0000000000000001E-3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5.0000000000000001E-3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5.0000000000000001E-3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5.0000000000000001E-3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5.0000000000000001E-3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5.0000000000000001E-3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5.0000000000000001E-3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5.0000000000000001E-3</v>
      </c>
      <c r="C11">
        <v>0.16</v>
      </c>
      <c r="D11" s="6">
        <v>0.03</v>
      </c>
      <c r="E11">
        <v>-1</v>
      </c>
    </row>
    <row r="12" spans="1:5" x14ac:dyDescent="0.2">
      <c r="A12">
        <v>11</v>
      </c>
      <c r="B12" s="5">
        <v>1.4999999999999999E-2</v>
      </c>
      <c r="C12">
        <v>0.16</v>
      </c>
      <c r="D12" s="6">
        <v>0.03</v>
      </c>
      <c r="E12">
        <v>-1</v>
      </c>
    </row>
    <row r="13" spans="1:5" x14ac:dyDescent="0.2">
      <c r="A13">
        <v>12</v>
      </c>
      <c r="B13" s="5">
        <v>1.4999999999999999E-2</v>
      </c>
      <c r="C13">
        <v>0.16</v>
      </c>
      <c r="D13" s="6">
        <v>0.03</v>
      </c>
      <c r="E13">
        <v>-1</v>
      </c>
    </row>
    <row r="14" spans="1:5" x14ac:dyDescent="0.2">
      <c r="A14">
        <v>13</v>
      </c>
      <c r="B14" s="5">
        <v>1.4999999999999999E-2</v>
      </c>
      <c r="C14">
        <v>0.16</v>
      </c>
      <c r="D14" s="6">
        <v>0.03</v>
      </c>
      <c r="E14">
        <v>-1</v>
      </c>
    </row>
    <row r="15" spans="1:5" x14ac:dyDescent="0.2">
      <c r="A15">
        <v>14</v>
      </c>
      <c r="B15" s="5">
        <v>1.4999999999999999E-2</v>
      </c>
      <c r="C15">
        <v>0.16</v>
      </c>
      <c r="D15" s="6">
        <v>0.03</v>
      </c>
      <c r="E15">
        <v>-1</v>
      </c>
    </row>
    <row r="16" spans="1:5" x14ac:dyDescent="0.2">
      <c r="A16">
        <v>15</v>
      </c>
      <c r="B16" s="5">
        <v>1.4999999999999999E-2</v>
      </c>
      <c r="C16">
        <v>0.16</v>
      </c>
      <c r="D16" s="6">
        <v>0.03</v>
      </c>
      <c r="E16">
        <v>-1</v>
      </c>
    </row>
    <row r="17" spans="1:5" x14ac:dyDescent="0.2">
      <c r="A17">
        <v>16</v>
      </c>
      <c r="B17" s="5">
        <v>1.4999999999999999E-2</v>
      </c>
      <c r="C17">
        <v>0.16</v>
      </c>
      <c r="D17" s="6">
        <v>0.03</v>
      </c>
      <c r="E17">
        <v>-1</v>
      </c>
    </row>
    <row r="18" spans="1:5" x14ac:dyDescent="0.2">
      <c r="A18">
        <v>17</v>
      </c>
      <c r="B18" s="5">
        <v>1.4999999999999999E-2</v>
      </c>
      <c r="C18">
        <v>0.16</v>
      </c>
      <c r="D18" s="6">
        <v>0.03</v>
      </c>
      <c r="E18">
        <v>-1</v>
      </c>
    </row>
    <row r="19" spans="1:5" x14ac:dyDescent="0.2">
      <c r="A19">
        <v>18</v>
      </c>
      <c r="B19" s="5">
        <v>1.4999999999999999E-2</v>
      </c>
      <c r="C19">
        <v>0.16</v>
      </c>
      <c r="D19" s="6">
        <v>0.03</v>
      </c>
      <c r="E19">
        <v>-1</v>
      </c>
    </row>
    <row r="20" spans="1:5" x14ac:dyDescent="0.2">
      <c r="A20">
        <v>19</v>
      </c>
      <c r="B20" s="5">
        <v>1.4999999999999999E-2</v>
      </c>
      <c r="C20">
        <v>0.16</v>
      </c>
      <c r="D20" s="6">
        <v>0.03</v>
      </c>
      <c r="E20">
        <v>-1</v>
      </c>
    </row>
    <row r="21" spans="1:5" x14ac:dyDescent="0.2">
      <c r="A21">
        <v>20</v>
      </c>
      <c r="B21" s="5">
        <v>1.4999999999999999E-2</v>
      </c>
      <c r="C21">
        <v>0.16</v>
      </c>
      <c r="D21" s="6">
        <v>0.03</v>
      </c>
      <c r="E21">
        <v>-1</v>
      </c>
    </row>
    <row r="22" spans="1:5" x14ac:dyDescent="0.2">
      <c r="A22">
        <v>21</v>
      </c>
      <c r="B22" s="5">
        <v>0.02</v>
      </c>
      <c r="C22">
        <v>0.16</v>
      </c>
      <c r="D22" s="6">
        <v>0.03</v>
      </c>
      <c r="E22">
        <v>-1</v>
      </c>
    </row>
    <row r="23" spans="1:5" x14ac:dyDescent="0.2">
      <c r="A23">
        <v>22</v>
      </c>
      <c r="B23" s="5">
        <v>0.02</v>
      </c>
      <c r="C23">
        <v>0.16</v>
      </c>
      <c r="D23" s="6">
        <v>0.03</v>
      </c>
      <c r="E23">
        <v>-1</v>
      </c>
    </row>
    <row r="24" spans="1:5" x14ac:dyDescent="0.2">
      <c r="A24">
        <v>23</v>
      </c>
      <c r="B24" s="5">
        <v>0.02</v>
      </c>
      <c r="C24">
        <v>0.16</v>
      </c>
      <c r="D24" s="6">
        <v>0.03</v>
      </c>
      <c r="E24">
        <v>-1</v>
      </c>
    </row>
    <row r="25" spans="1:5" x14ac:dyDescent="0.2">
      <c r="A25">
        <v>24</v>
      </c>
      <c r="B25" s="5">
        <v>0.02</v>
      </c>
      <c r="C25">
        <v>0.16</v>
      </c>
      <c r="D25" s="6">
        <v>0.03</v>
      </c>
      <c r="E25">
        <v>-1</v>
      </c>
    </row>
    <row r="26" spans="1:5" x14ac:dyDescent="0.2">
      <c r="A26">
        <v>25</v>
      </c>
      <c r="B26" s="5">
        <v>0.02</v>
      </c>
      <c r="C26">
        <v>0.16</v>
      </c>
      <c r="D26" s="6">
        <v>0.03</v>
      </c>
      <c r="E26">
        <v>-1</v>
      </c>
    </row>
    <row r="27" spans="1:5" x14ac:dyDescent="0.2">
      <c r="A27">
        <v>26</v>
      </c>
      <c r="B27" s="5">
        <v>0.02</v>
      </c>
      <c r="C27">
        <v>0.16</v>
      </c>
      <c r="D27" s="6">
        <v>0.03</v>
      </c>
      <c r="E27">
        <v>-1</v>
      </c>
    </row>
    <row r="28" spans="1:5" x14ac:dyDescent="0.2">
      <c r="A28">
        <v>27</v>
      </c>
      <c r="B28" s="5">
        <v>0.02</v>
      </c>
      <c r="C28">
        <v>0.16</v>
      </c>
      <c r="D28" s="6">
        <v>0.03</v>
      </c>
      <c r="E28">
        <v>-1</v>
      </c>
    </row>
    <row r="29" spans="1:5" x14ac:dyDescent="0.2">
      <c r="A29">
        <v>28</v>
      </c>
      <c r="B29" s="5">
        <v>0.02</v>
      </c>
      <c r="C29">
        <v>0.16</v>
      </c>
      <c r="D29" s="6">
        <v>0.03</v>
      </c>
      <c r="E29">
        <v>-1</v>
      </c>
    </row>
    <row r="30" spans="1:5" x14ac:dyDescent="0.2">
      <c r="A30">
        <v>29</v>
      </c>
      <c r="B30" s="5">
        <v>0.02</v>
      </c>
      <c r="C30">
        <v>0.16</v>
      </c>
      <c r="D30" s="6">
        <v>0.03</v>
      </c>
      <c r="E30">
        <v>-1</v>
      </c>
    </row>
    <row r="31" spans="1:5" x14ac:dyDescent="0.2">
      <c r="A31">
        <v>30</v>
      </c>
      <c r="B31" s="5">
        <v>0.02</v>
      </c>
      <c r="C31">
        <v>0.16</v>
      </c>
      <c r="D31" s="6">
        <v>0.03</v>
      </c>
      <c r="E31">
        <v>-1</v>
      </c>
    </row>
    <row r="32" spans="1:5" x14ac:dyDescent="0.2">
      <c r="A32">
        <v>31</v>
      </c>
      <c r="B32" s="5">
        <v>0.03</v>
      </c>
      <c r="C32">
        <v>0.16</v>
      </c>
      <c r="D32" s="6">
        <v>0.03</v>
      </c>
      <c r="E32">
        <v>-1</v>
      </c>
    </row>
    <row r="33" spans="1:5" x14ac:dyDescent="0.2">
      <c r="A33">
        <v>32</v>
      </c>
      <c r="B33" s="5">
        <v>0.03</v>
      </c>
      <c r="C33">
        <v>0.16</v>
      </c>
      <c r="D33" s="6">
        <v>0.03</v>
      </c>
      <c r="E33">
        <v>-1</v>
      </c>
    </row>
    <row r="34" spans="1:5" x14ac:dyDescent="0.2">
      <c r="A34">
        <v>33</v>
      </c>
      <c r="B34" s="5">
        <v>0.03</v>
      </c>
      <c r="C34">
        <v>0.16</v>
      </c>
      <c r="D34" s="6">
        <v>0.03</v>
      </c>
      <c r="E34">
        <v>-1</v>
      </c>
    </row>
    <row r="35" spans="1:5" x14ac:dyDescent="0.2">
      <c r="A35">
        <v>34</v>
      </c>
      <c r="B35" s="5">
        <v>0.03</v>
      </c>
      <c r="C35">
        <v>0.16</v>
      </c>
      <c r="D35" s="6">
        <v>0.03</v>
      </c>
      <c r="E35">
        <v>-1</v>
      </c>
    </row>
    <row r="36" spans="1:5" x14ac:dyDescent="0.2">
      <c r="A36">
        <v>35</v>
      </c>
      <c r="B36" s="5">
        <v>0.03</v>
      </c>
      <c r="C36">
        <v>0.16</v>
      </c>
      <c r="D36" s="6">
        <v>0.03</v>
      </c>
      <c r="E36">
        <v>-1</v>
      </c>
    </row>
    <row r="37" spans="1:5" x14ac:dyDescent="0.2">
      <c r="A37">
        <v>36</v>
      </c>
      <c r="B37" s="5">
        <v>0.03</v>
      </c>
      <c r="C37">
        <v>0.16</v>
      </c>
      <c r="D37" s="6">
        <v>0.03</v>
      </c>
      <c r="E37">
        <v>-1</v>
      </c>
    </row>
    <row r="38" spans="1:5" x14ac:dyDescent="0.2">
      <c r="A38">
        <v>37</v>
      </c>
      <c r="B38" s="5">
        <v>0.03</v>
      </c>
      <c r="C38">
        <v>0.16</v>
      </c>
      <c r="D38" s="6">
        <v>0.03</v>
      </c>
      <c r="E38">
        <v>-1</v>
      </c>
    </row>
    <row r="39" spans="1:5" x14ac:dyDescent="0.2">
      <c r="A39">
        <v>38</v>
      </c>
      <c r="B39" s="5">
        <v>0.03</v>
      </c>
      <c r="C39">
        <v>0.16</v>
      </c>
      <c r="D39" s="6">
        <v>0.03</v>
      </c>
      <c r="E39">
        <v>-1</v>
      </c>
    </row>
    <row r="40" spans="1:5" x14ac:dyDescent="0.2">
      <c r="A40">
        <v>39</v>
      </c>
      <c r="B40" s="5">
        <v>0.03</v>
      </c>
      <c r="C40">
        <v>0.16</v>
      </c>
      <c r="D40" s="6">
        <v>0.03</v>
      </c>
      <c r="E40">
        <v>-1</v>
      </c>
    </row>
    <row r="41" spans="1:5" x14ac:dyDescent="0.2">
      <c r="A41">
        <v>40</v>
      </c>
      <c r="B41" s="5">
        <v>0.03</v>
      </c>
      <c r="C41">
        <v>0.16</v>
      </c>
      <c r="D41" s="6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211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210</v>
      </c>
    </row>
    <row r="2" spans="1:13" x14ac:dyDescent="0.2">
      <c r="A2" s="2">
        <v>1</v>
      </c>
      <c r="B2" s="2" t="s">
        <v>325</v>
      </c>
      <c r="C2" s="2">
        <v>1</v>
      </c>
      <c r="D2" t="s">
        <v>120</v>
      </c>
      <c r="E2" s="2">
        <v>3000</v>
      </c>
      <c r="F2" s="2">
        <v>3000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251</v>
      </c>
      <c r="C10" s="2">
        <v>4</v>
      </c>
      <c r="D10" t="s">
        <v>211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305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312</v>
      </c>
      <c r="C12" s="2">
        <v>4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abSelected="1" workbookViewId="0">
      <pane ySplit="1" topLeftCell="A32" activePane="bottomLeft" state="frozen"/>
      <selection pane="bottomLeft" activeCell="H40" sqref="H40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252</v>
      </c>
      <c r="B1" s="1" t="s">
        <v>253</v>
      </c>
      <c r="C1" s="1" t="s">
        <v>254</v>
      </c>
      <c r="D1" s="1" t="s">
        <v>255</v>
      </c>
      <c r="E1" s="1" t="s">
        <v>256</v>
      </c>
      <c r="F1" s="1" t="s">
        <v>257</v>
      </c>
      <c r="G1" s="1" t="s">
        <v>258</v>
      </c>
      <c r="H1" s="1" t="s">
        <v>97</v>
      </c>
      <c r="I1" s="1" t="s">
        <v>259</v>
      </c>
      <c r="J1" s="9" t="s">
        <v>105</v>
      </c>
      <c r="K1" s="1" t="s">
        <v>260</v>
      </c>
      <c r="L1" s="1" t="s">
        <v>50</v>
      </c>
      <c r="Q1" s="1" t="s">
        <v>261</v>
      </c>
      <c r="R1" s="1" t="s">
        <v>261</v>
      </c>
      <c r="S1" s="1" t="s">
        <v>261</v>
      </c>
      <c r="T1" s="1" t="s">
        <v>261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262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243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208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209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263</v>
      </c>
      <c r="G7" s="45" t="s">
        <v>264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265</v>
      </c>
      <c r="D8" s="29" t="s">
        <v>159</v>
      </c>
      <c r="G8" s="45" t="s">
        <v>266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9" t="str">
        <f t="array" ref="K8">INDEX([1]use_fish!A:A,SMALL(IF([1]group!$L$2&amp;IF(ISBLANK($L$14),$L$14,"+"&amp;$L$14)=[1]use_fish!H:H,ROW([1]use_fish!H:H),4^8),ROW(16:16)))&amp;""</f>
        <v/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9" t="str">
        <f t="array" ref="K9">INDEX([1]use_fish!A:A,SMALL(IF([1]group!$L$2&amp;IF(ISBLANK($L$14),$L$14,"+"&amp;$L$14)=[1]use_fish!H:H,ROW([1]use_fish!H:H),4^8),ROW(17:17)))&amp;""</f>
        <v/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267</v>
      </c>
      <c r="D10" s="29" t="s">
        <v>268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9" t="str">
        <f t="array" ref="K10">INDEX([1]use_fish!A:A,SMALL(IF([1]group!$L$2&amp;IF(ISBLANK($L$14),$L$14,"+"&amp;$L$14)=[1]use_fish!H:H,ROW([1]use_fish!H:H),4^8),ROW(18:18)))&amp;""</f>
        <v/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269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9" t="str">
        <f t="array" ref="K11">INDEX([1]use_fish!A:A,SMALL(IF([1]group!$L$2&amp;IF(ISBLANK($L$14),$L$14,"+"&amp;$L$14)=[1]use_fish!H:H,ROW([1]use_fish!H:H),4^8),ROW(8:8)))&amp;""</f>
        <v/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244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9" t="str">
        <f t="array" ref="K12">INDEX([1]use_fish!A:A,SMALL(IF([1]group!$L$2&amp;IF(ISBLANK($L$14),$L$14,"+"&amp;$L$14)=[1]use_fish!H:H,ROW([1]use_fish!H:H),4^8),ROW(9:9)))&amp;""</f>
        <v/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270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271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2" t="str">
        <f t="array" ref="L15">INDEX([1]use_fish!A:A,SMALL(IF([1]group!$L$2&amp;IF(ISBLANK($L$14),$L$14,"+"&amp;$L$14)=[1]use_fish!H:H,ROW([1]use_fish!H:H),4^8),ROW(1:1)))&amp;""</f>
        <v/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272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2" t="str">
        <f t="array" ref="L16">INDEX([1]use_fish!A:A,SMALL(IF([1]group!$L$2&amp;IF(ISBLANK($L$14),$L$14,"+"&amp;$L$14)=[1]use_fish!H:H,ROW([1]use_fish!H:H),4^8),ROW(2:2)))&amp;""</f>
        <v/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273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2" t="str">
        <f t="array" ref="K17">INDEX([1]use_fish!A:A,SMALL(IF([1]group!$L$2&amp;IF(ISBLANK($L$14),$L$14,"+"&amp;$L$14)=[1]use_fish!H:H,ROW([1]use_fish!H:H),4^8),ROW(14:14)))&amp;""</f>
        <v/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2" t="str">
        <f t="array" ref="K18">INDEX([1]use_fish!A:A,SMALL(IF([1]group!$L$2&amp;IF(ISBLANK($L$14),$L$14,"+"&amp;$L$14)=[1]use_fish!H:H,ROW([1]use_fish!H:H),4^8),ROW(15:15)))&amp;""</f>
        <v/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274</v>
      </c>
      <c r="G19" s="41" t="s">
        <v>275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276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277</v>
      </c>
      <c r="G21" s="41" t="s">
        <v>278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279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280</v>
      </c>
      <c r="G23" s="21" t="s">
        <v>248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158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158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281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198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198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282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265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265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283</v>
      </c>
      <c r="G26" s="21" t="s">
        <v>284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325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325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285</v>
      </c>
      <c r="G27" s="41" t="s">
        <v>286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287</v>
      </c>
      <c r="G28" s="41" t="s">
        <v>288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289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290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291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41" t="str">
        <f t="array" ref="K33">INDEX([1]use_fish!A:A,SMALL(IF([1]group!$L$2&amp;IF(ISBLANK($L$14),$L$14,"+"&amp;$L$14)=[1]use_fish!H:H,ROW([1]use_fish!H:H),4^8),ROW(10:10)))&amp;""</f>
        <v/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292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31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31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41" t="str">
        <f t="array" ref="K34">INDEX([1]use_fish!A:A,SMALL(IF([1]group!$L$2&amp;IF(ISBLANK($L$14),$L$14,"+"&amp;$L$14)=[1]use_fish!H:H,ROW([1]use_fish!H:H),4^8),ROW(11:11)))&amp;""</f>
        <v/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80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80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21" t="str">
        <f t="array" ref="K35">INDEX([1]use_fish!A:A,SMALL(IF([1]group!$L$2&amp;IF(ISBLANK($L$14),$L$14,"+"&amp;$L$14)=[1]use_fish!H:H,ROW([1]use_fish!H:H),4^8),ROW(12:12)))&amp;""</f>
        <v/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81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81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21" t="str">
        <f t="array" ref="K36">INDEX([1]use_fish!A:A,SMALL(IF([1]group!$L$2&amp;IF(ISBLANK($L$14),$L$14,"+"&amp;$L$14)=[1]use_fish!H:H,ROW([1]use_fish!H:H),4^8),ROW(13:13)))&amp;""</f>
        <v/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293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120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120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21" t="str">
        <f t="array" ref="K37">INDEX([1]use_fish!A:A,SMALL(IF([1]group!$L$2&amp;IF(ISBLANK($L$14),$L$14,"+"&amp;$L$14)=[1]use_fish!H:H,ROW([1]use_fish!H:H),4^8),ROW(14:14)))&amp;""</f>
        <v/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140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140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21" t="str">
        <f t="array" ref="K38">INDEX([1]use_fish!A:A,SMALL(IF([1]group!$L$2&amp;IF(ISBLANK($L$14),$L$14,"+"&amp;$L$14)=[1]use_fish!H:H,ROW([1]use_fish!H:H),4^8),ROW(15:15)))&amp;""</f>
        <v/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294</v>
      </c>
      <c r="H39" s="19" t="s">
        <v>358</v>
      </c>
      <c r="I39" s="19" t="s">
        <v>359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21" t="str">
        <f t="array" ref="K39">INDEX([1]use_fish!A:A,SMALL(IF([1]group!$L$2&amp;IF(ISBLANK($L$14),$L$14,"+"&amp;$L$14)=[1]use_fish!H:H,ROW([1]use_fish!H:H),4^8),ROW(36:36)))&amp;""</f>
        <v/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295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150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150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21" t="str">
        <f t="array" ref="K40">INDEX([1]use_fish!A:A,SMALL(IF([1]group!$L$2&amp;IF(ISBLANK($L$14),$L$14,"+"&amp;$L$14)=[1]use_fish!H:H,ROW([1]use_fish!H:H),4^8),ROW(37:37)))&amp;""</f>
        <v/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180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180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21" t="str">
        <f t="array" ref="K41">INDEX([1]use_fish!A:A,SMALL(IF([1]group!$L$2&amp;IF(ISBLANK($L$14),$L$14,"+"&amp;$L$14)=[1]use_fish!H:H,ROW([1]use_fish!H:H),4^8),ROW(38:38)))&amp;""</f>
        <v/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296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200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200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297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298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150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150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4" t="str">
        <f t="array" ref="K44">INDEX([1]use_fish!A:A,SMALL(IF([1]group!$L$2&amp;IF(ISBLANK($L$14),$L$14,"+"&amp;$L$14)=[1]use_fish!H:H,ROW([1]use_fish!H:H),4^8),ROW(41:41)))&amp;""</f>
        <v/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299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100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100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4" t="str">
        <f t="array" ref="K45">INDEX([1]use_fish!A:A,SMALL(IF([1]group!$L$2&amp;IF(ISBLANK($L$14),$L$14,"+"&amp;$L$14)=[1]use_fish!H:H,ROW([1]use_fish!H:H),4^8),ROW(42:42)))&amp;""</f>
        <v/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125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125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100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100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100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100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500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500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500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500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500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200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200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200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200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500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500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300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300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100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100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400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400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100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100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100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100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300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250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250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47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500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500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48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600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600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49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50</v>
      </c>
    </row>
    <row r="65" spans="1:17" s="29" customFormat="1" x14ac:dyDescent="0.2">
      <c r="A65" s="29">
        <v>64</v>
      </c>
      <c r="B65" s="29">
        <v>2</v>
      </c>
      <c r="C65" s="29" t="s">
        <v>301</v>
      </c>
      <c r="G65" s="45" t="s">
        <v>302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4</v>
      </c>
    </row>
    <row r="66" spans="1:17" s="29" customFormat="1" x14ac:dyDescent="0.2">
      <c r="A66" s="29">
        <v>65</v>
      </c>
      <c r="B66" s="29">
        <v>2</v>
      </c>
      <c r="C66" s="29" t="s">
        <v>303</v>
      </c>
      <c r="G66" s="45" t="s">
        <v>249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5</v>
      </c>
    </row>
    <row r="67" spans="1:17" s="29" customFormat="1" x14ac:dyDescent="0.2">
      <c r="A67" s="29">
        <v>66</v>
      </c>
      <c r="B67" s="29">
        <v>2</v>
      </c>
      <c r="C67" s="29" t="s">
        <v>304</v>
      </c>
      <c r="G67" s="46" t="s">
        <v>250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9" t="str">
        <f t="array" ref="K67">INDEX([1]use_fish!A:A,SMALL(IF([1]group!$L$2&amp;IF(ISBLANK($L$14),$L$14,"+"&amp;$L$14)=[1]use_fish!H:H,ROW([1]use_fish!H:H),4^8),ROW(69:69)))&amp;""</f>
        <v/>
      </c>
      <c r="Q67" s="29">
        <v>7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[fish_3d_data_config_1.xlsm]activity!#REF!</xm:f>
          </x14:formula1>
          <xm:sqref>L14</xm:sqref>
        </x14:dataValidation>
        <x14:dataValidation type="list" allowBlank="1" showInputMessage="1" showErrorMessage="1">
          <x14:formula1>
            <xm:f>[fish_3d_data_config_1.xlsm]base_fish!#REF!</xm:f>
          </x14:formula1>
          <xm:sqref>L2:L7 L13 L65:L66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6" activePane="bottomLeft" state="frozen"/>
      <selection pane="bottomLeft" activeCell="D38" sqref="D38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31</v>
      </c>
      <c r="F20" s="39">
        <f t="shared" ref="F20:F28" si="3">1/E20</f>
        <v>3.2258064516129031E-2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31</v>
      </c>
      <c r="J20" s="41">
        <v>1</v>
      </c>
      <c r="K20" s="41">
        <f>LOOKUP(use_fish!B20,base_fish!A:A,base_fish!G:G)</f>
        <v>0</v>
      </c>
      <c r="L20" s="41">
        <f t="shared" ref="L20:L28" si="4">I20</f>
        <v>31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315</v>
      </c>
      <c r="E21" s="19">
        <f>LOOKUP(use_fish!B21,base_fish!A:A,base_fish!C:C)+_xlfn.IFNA(INDEX(activity!F:F,MATCH(use_fish!C21,activity!A:A,0)),0)</f>
        <v>80</v>
      </c>
      <c r="F21" s="19">
        <f t="shared" si="3"/>
        <v>1.2500000000000001E-2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80</v>
      </c>
      <c r="J21" s="21">
        <v>1</v>
      </c>
      <c r="K21" s="21">
        <f>LOOKUP(use_fish!B21,base_fish!A:A,base_fish!G:G)</f>
        <v>0</v>
      </c>
      <c r="L21" s="21">
        <f t="shared" si="4"/>
        <v>80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 t="s">
        <v>315</v>
      </c>
      <c r="E22" s="19">
        <f>LOOKUP(use_fish!B22,base_fish!A:A,base_fish!C:C)+_xlfn.IFNA(INDEX(activity!F:F,MATCH(use_fish!C22,activity!A:A,0)),0)</f>
        <v>81</v>
      </c>
      <c r="F22" s="19">
        <f t="shared" si="3"/>
        <v>1.2345679012345678E-2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81</v>
      </c>
      <c r="J22" s="21">
        <v>1</v>
      </c>
      <c r="K22" s="21">
        <f>LOOKUP(use_fish!B22,base_fish!A:A,base_fish!G:G)</f>
        <v>0</v>
      </c>
      <c r="L22" s="21">
        <f t="shared" si="4"/>
        <v>81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316</v>
      </c>
      <c r="E23" s="19">
        <f>LOOKUP(use_fish!B23,base_fish!A:A,base_fish!C:C)+_xlfn.IFNA(INDEX(activity!F:F,MATCH(use_fish!C23,activity!A:A,0)),0)</f>
        <v>120</v>
      </c>
      <c r="F23" s="19">
        <f t="shared" si="3"/>
        <v>8.3333333333333332E-3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120</v>
      </c>
      <c r="J23" s="21">
        <v>1</v>
      </c>
      <c r="K23" s="21">
        <f>LOOKUP(use_fish!B23,base_fish!A:A,base_fish!G:G)</f>
        <v>0</v>
      </c>
      <c r="L23" s="21">
        <f t="shared" si="4"/>
        <v>120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316</v>
      </c>
      <c r="E24" s="19">
        <f>LOOKUP(use_fish!B24,base_fish!A:A,base_fish!C:C)+_xlfn.IFNA(INDEX(activity!F:F,MATCH(use_fish!C24,activity!A:A,0)),0)</f>
        <v>140</v>
      </c>
      <c r="F24" s="19">
        <f t="shared" si="3"/>
        <v>7.1428571428571426E-3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140</v>
      </c>
      <c r="J24" s="21">
        <v>1</v>
      </c>
      <c r="K24" s="21">
        <f>LOOKUP(use_fish!B24,base_fish!A:A,base_fish!G:G)</f>
        <v>0</v>
      </c>
      <c r="L24" s="21">
        <f t="shared" si="4"/>
        <v>140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326</v>
      </c>
      <c r="F25" s="19" t="s">
        <v>329</v>
      </c>
      <c r="G25" s="19" t="s">
        <v>17</v>
      </c>
      <c r="H25" s="20" t="str">
        <f>INDEX([1]base_fish!E:E,MATCH([1]use_fish!B25,[1]base_fish!A:A,0))&amp;_xlfn.IFNA("+"&amp;INDEX([1]activity!G:G,MATCH([1]use_fish!C25,[1]activity!A:A,0)),"")</f>
        <v>黄金河豚</v>
      </c>
      <c r="I25" s="19" t="s">
        <v>330</v>
      </c>
      <c r="J25" s="21">
        <v>1</v>
      </c>
      <c r="K25" s="21">
        <f>LOOKUP([1]use_fish!B25,[1]base_fish!A:A,[1]base_fish!G:G)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328</v>
      </c>
      <c r="E26" s="19">
        <f>LOOKUP(use_fish!B26,base_fish!A:A,base_fish!C:C)+_xlfn.IFNA(INDEX(activity!F:F,MATCH(use_fish!C26,activity!A:A,0)),0)</f>
        <v>150</v>
      </c>
      <c r="F26" s="19">
        <f t="shared" ref="F26" si="5">1/E26</f>
        <v>6.6666666666666671E-3</v>
      </c>
      <c r="G26" s="19" t="s">
        <v>17</v>
      </c>
      <c r="H26" s="20" t="str">
        <f>INDEX([1]base_fish!E:E,MATCH([1]use_fish!B26,[1]base_fish!A:A,0))&amp;_xlfn.IFNA("+"&amp;INDEX([1]activity!G:G,MATCH([1]use_fish!C26,[1]activity!A:A,0)),"")</f>
        <v>金蟾</v>
      </c>
      <c r="I26" s="19">
        <f>LOOKUP(use_fish!B26,base_fish!A:A,base_fish!F:F)+_xlfn.IFNA(INDEX(activity!F:F,MATCH(use_fish!C26,activity!A:A,0)),0)</f>
        <v>150</v>
      </c>
      <c r="J26" s="21">
        <v>1</v>
      </c>
      <c r="K26" s="21">
        <f>LOOKUP([1]use_fish!B26,[1]base_fish!A:A,[1]base_fish!G:G)</f>
        <v>0</v>
      </c>
      <c r="L26" s="21">
        <f t="shared" si="4"/>
        <v>150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316</v>
      </c>
      <c r="E27" s="19">
        <f>LOOKUP(use_fish!B27,base_fish!A:A,base_fish!C:C)+_xlfn.IFNA(INDEX(activity!F:F,MATCH(use_fish!C27,activity!A:A,0)),0)</f>
        <v>180</v>
      </c>
      <c r="F27" s="19">
        <f t="shared" si="3"/>
        <v>5.5555555555555558E-3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180</v>
      </c>
      <c r="J27" s="21">
        <v>1</v>
      </c>
      <c r="K27" s="21">
        <f>LOOKUP(use_fish!B27,base_fish!A:A,base_fish!G:G)</f>
        <v>0</v>
      </c>
      <c r="L27" s="21">
        <f t="shared" si="4"/>
        <v>180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315</v>
      </c>
      <c r="E28" s="19">
        <f>LOOKUP(use_fish!B28,base_fish!A:A,base_fish!C:C)+_xlfn.IFNA(INDEX(activity!F:F,MATCH(use_fish!C28,activity!A:A,0)),0)</f>
        <v>200</v>
      </c>
      <c r="F28" s="19">
        <f t="shared" si="3"/>
        <v>5.0000000000000001E-3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200</v>
      </c>
      <c r="J28" s="21">
        <v>1</v>
      </c>
      <c r="K28" s="21">
        <f>LOOKUP(use_fish!B28,base_fish!A:A,base_fish!G:G)</f>
        <v>0</v>
      </c>
      <c r="L28" s="21">
        <f t="shared" si="4"/>
        <v>200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150</v>
      </c>
      <c r="F30" s="23">
        <f t="shared" si="6"/>
        <v>6.6666666666666671E-3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150</v>
      </c>
      <c r="J30" s="25">
        <v>1</v>
      </c>
      <c r="K30" s="25">
        <f>LOOKUP(use_fish!B30,base_fish!A:A,base_fish!G:G)</f>
        <v>0</v>
      </c>
      <c r="L30" s="25">
        <f t="shared" si="7"/>
        <v>150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100</v>
      </c>
      <c r="F31" s="23">
        <f t="shared" si="6"/>
        <v>0.01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100</v>
      </c>
      <c r="J31" s="25">
        <v>1</v>
      </c>
      <c r="K31" s="25">
        <f>LOOKUP(use_fish!B31,base_fish!A:A,base_fish!G:G)</f>
        <v>0</v>
      </c>
      <c r="L31" s="25">
        <f t="shared" si="7"/>
        <v>100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29</v>
      </c>
      <c r="D32" s="22"/>
      <c r="E32" s="23">
        <f>LOOKUP(use_fish!B32,base_fish!A:A,base_fish!C:C)+_xlfn.IFNA(INDEX(activity!F:F,MATCH(use_fish!C32,activity!A:A,0)),0)</f>
        <v>125</v>
      </c>
      <c r="F32" s="23">
        <f t="shared" si="6"/>
        <v>8.0000000000000002E-3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奇遇蟹+时限免费超级活力子弹</v>
      </c>
      <c r="I32" s="23">
        <f>LOOKUP(use_fish!B32,base_fish!A:A,base_fish!F:F)+_xlfn.IFNA(INDEX(activity!F:F,MATCH(use_fish!C32,activity!A:A,0)),0)</f>
        <v>125</v>
      </c>
      <c r="J32" s="25">
        <v>1</v>
      </c>
      <c r="K32" s="25">
        <f>LOOKUP(use_fish!B32,base_fish!A:A,base_fish!G:G)</f>
        <v>0</v>
      </c>
      <c r="L32" s="25">
        <f t="shared" si="7"/>
        <v>125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100</v>
      </c>
      <c r="F33" s="23">
        <f t="shared" ref="F33:F39" si="8">1/E33</f>
        <v>0.01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100</v>
      </c>
      <c r="J33" s="25">
        <v>1</v>
      </c>
      <c r="K33" s="25">
        <f>LOOKUP(use_fish!B33,base_fish!A:A,base_fish!G:G)</f>
        <v>0</v>
      </c>
      <c r="L33" s="25">
        <f t="shared" ref="L33:L39" si="9">I33</f>
        <v>100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100</v>
      </c>
      <c r="F34" s="23">
        <f t="shared" si="8"/>
        <v>0.01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100</v>
      </c>
      <c r="J34" s="25">
        <v>1</v>
      </c>
      <c r="K34" s="25">
        <f>LOOKUP(use_fish!B34,base_fish!A:A,base_fish!G:G)</f>
        <v>0</v>
      </c>
      <c r="L34" s="25">
        <f t="shared" si="9"/>
        <v>100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500</v>
      </c>
      <c r="F35" s="23">
        <f t="shared" si="8"/>
        <v>2E-3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9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500</v>
      </c>
      <c r="F36" s="23">
        <f t="shared" si="8"/>
        <v>2E-3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500</v>
      </c>
      <c r="J36" s="25">
        <v>1</v>
      </c>
      <c r="K36" s="25">
        <f>LOOKUP(use_fish!B36,base_fish!A:A,base_fish!G:G)</f>
        <v>0</v>
      </c>
      <c r="L36" s="25">
        <f t="shared" si="9"/>
        <v>500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500</v>
      </c>
      <c r="F37" s="23">
        <f t="shared" si="8"/>
        <v>2E-3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500</v>
      </c>
      <c r="J37" s="25">
        <v>1</v>
      </c>
      <c r="K37" s="25">
        <f>LOOKUP(use_fish!B37,base_fish!A:A,base_fish!G:G)</f>
        <v>0</v>
      </c>
      <c r="L37" s="25">
        <f t="shared" si="9"/>
        <v>500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22" t="s">
        <v>310</v>
      </c>
      <c r="E38" s="23">
        <f>LOOKUP(use_fish!B38,base_fish!A:A,base_fish!C:C)+_xlfn.IFNA(INDEX(activity!F:F,MATCH(use_fish!C38,activity!A:A,0)),0)</f>
        <v>200</v>
      </c>
      <c r="F38" s="23">
        <f t="shared" si="8"/>
        <v>5.0000000000000001E-3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200</v>
      </c>
      <c r="J38" s="25">
        <v>1</v>
      </c>
      <c r="K38" s="25">
        <f>LOOKUP(use_fish!B38,base_fish!A:A,base_fish!G:G)</f>
        <v>0</v>
      </c>
      <c r="L38" s="25">
        <f t="shared" si="9"/>
        <v>200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355</v>
      </c>
      <c r="E39" s="32">
        <f>LOOKUP(use_fish!B39,base_fish!A:A,base_fish!C:C)+_xlfn.IFNA(INDEX(activity!F:F,MATCH(use_fish!C39,activity!A:A,0)),0)</f>
        <v>200</v>
      </c>
      <c r="F39" s="32">
        <f t="shared" si="8"/>
        <v>5.0000000000000001E-3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200</v>
      </c>
      <c r="J39" s="31">
        <v>2</v>
      </c>
      <c r="K39" s="31">
        <f>LOOKUP(use_fish!B39,base_fish!A:A,base_fish!G:G)</f>
        <v>0</v>
      </c>
      <c r="L39" s="31">
        <f t="shared" si="9"/>
        <v>200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355</v>
      </c>
      <c r="E40" s="32">
        <f>LOOKUP(use_fish!B40,base_fish!A:A,base_fish!C:C)+_xlfn.IFNA(INDEX(activity!F:F,MATCH(use_fish!C40,activity!A:A,0)),0)</f>
        <v>100</v>
      </c>
      <c r="F40" s="32">
        <f t="shared" ref="F40:F45" si="10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1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355</v>
      </c>
      <c r="E41" s="32">
        <f>LOOKUP(use_fish!B41,base_fish!A:A,base_fish!C:C)+_xlfn.IFNA(INDEX(activity!F:F,MATCH(use_fish!C41,activity!A:A,0)),0)</f>
        <v>500</v>
      </c>
      <c r="F41" s="32">
        <f t="shared" si="10"/>
        <v>2E-3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500</v>
      </c>
      <c r="J41" s="31">
        <v>1</v>
      </c>
      <c r="K41" s="31">
        <f>LOOKUP(use_fish!B41,base_fish!A:A,base_fish!G:G)</f>
        <v>0</v>
      </c>
      <c r="L41" s="31">
        <f t="shared" si="11"/>
        <v>500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355</v>
      </c>
      <c r="E42" s="32">
        <f>LOOKUP(use_fish!B42,base_fish!A:A,base_fish!C:C)+_xlfn.IFNA(INDEX(activity!F:F,MATCH(use_fish!C42,activity!A:A,0)),0)</f>
        <v>300</v>
      </c>
      <c r="F42" s="32">
        <f t="shared" si="10"/>
        <v>3.3333333333333335E-3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300</v>
      </c>
      <c r="J42" s="31">
        <v>1</v>
      </c>
      <c r="K42" s="31">
        <f>LOOKUP(use_fish!B42,base_fish!A:A,base_fish!G:G)</f>
        <v>0</v>
      </c>
      <c r="L42" s="31">
        <f t="shared" si="11"/>
        <v>300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100</v>
      </c>
      <c r="F43" s="32">
        <f t="shared" si="10"/>
        <v>0.01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100</v>
      </c>
      <c r="J43" s="31">
        <v>1</v>
      </c>
      <c r="K43" s="31">
        <f>LOOKUP(use_fish!B43,base_fish!A:A,base_fish!G:G)</f>
        <v>0</v>
      </c>
      <c r="L43" s="31">
        <f t="shared" si="11"/>
        <v>100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355</v>
      </c>
      <c r="E44" s="32">
        <f>LOOKUP(use_fish!B44,base_fish!A:A,base_fish!C:C)+_xlfn.IFNA(INDEX(activity!F:F,MATCH(use_fish!C44,activity!A:A,0)),0)</f>
        <v>400</v>
      </c>
      <c r="F44" s="32">
        <f t="shared" si="10"/>
        <v>2.5000000000000001E-3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400</v>
      </c>
      <c r="J44" s="31">
        <v>1</v>
      </c>
      <c r="K44" s="31">
        <f>LOOKUP(use_fish!B44,base_fish!A:A,base_fish!G:G)</f>
        <v>0</v>
      </c>
      <c r="L44" s="31">
        <f t="shared" si="11"/>
        <v>400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100</v>
      </c>
      <c r="F45" s="32">
        <f t="shared" si="10"/>
        <v>0.01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100</v>
      </c>
      <c r="J45" s="31">
        <v>2</v>
      </c>
      <c r="K45" s="31">
        <f>LOOKUP(use_fish!B45,base_fish!A:A,base_fish!G:G)</f>
        <v>0</v>
      </c>
      <c r="L45" s="31">
        <f t="shared" si="11"/>
        <v>100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100</v>
      </c>
      <c r="F46" s="32">
        <f t="shared" ref="F46:F50" si="12">1/E46</f>
        <v>0.01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100</v>
      </c>
      <c r="J46" s="31">
        <v>1</v>
      </c>
      <c r="K46" s="31">
        <f>LOOKUP(use_fish!B46,base_fish!A:A,base_fish!G:G)</f>
        <v>0</v>
      </c>
      <c r="L46" s="31">
        <f t="shared" ref="L46:L50" si="13">I46</f>
        <v>100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356</v>
      </c>
      <c r="E47" s="36">
        <f>LOOKUP(use_fish!B47,base_fish!A:A,base_fish!C:C)+_xlfn.IFNA(INDEX(activity!F:F,MATCH(use_fish!C47,activity!A:A,0)),0)</f>
        <v>300</v>
      </c>
      <c r="F47" s="36">
        <f t="shared" si="12"/>
        <v>3.3333333333333335E-3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300</v>
      </c>
      <c r="J47" s="35">
        <v>1</v>
      </c>
      <c r="K47" s="35">
        <f>LOOKUP(use_fish!B47,base_fish!A:A,base_fish!G:G)</f>
        <v>0</v>
      </c>
      <c r="L47" s="35">
        <f t="shared" si="13"/>
        <v>300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310</v>
      </c>
      <c r="E48" s="36">
        <v>250</v>
      </c>
      <c r="F48" s="36">
        <f t="shared" si="12"/>
        <v>4.0000000000000001E-3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v>250</v>
      </c>
      <c r="J48" s="35">
        <v>1</v>
      </c>
      <c r="K48" s="35">
        <f>LOOKUP(use_fish!B48,base_fish!A:A,base_fish!G:G)</f>
        <v>0</v>
      </c>
      <c r="L48" s="35">
        <f t="shared" si="13"/>
        <v>250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356</v>
      </c>
      <c r="E49" s="36">
        <f>LOOKUP(use_fish!B49,base_fish!A:A,base_fish!C:C)+_xlfn.IFNA(INDEX(activity!F:F,MATCH(use_fish!C49,activity!A:A,0)),0)</f>
        <v>500</v>
      </c>
      <c r="F49" s="36">
        <f t="shared" si="12"/>
        <v>2E-3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500</v>
      </c>
      <c r="J49" s="35">
        <v>1</v>
      </c>
      <c r="K49" s="35">
        <f>LOOKUP(use_fish!B49,base_fish!A:A,base_fish!G:G)</f>
        <v>0</v>
      </c>
      <c r="L49" s="35">
        <f t="shared" si="13"/>
        <v>500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357</v>
      </c>
      <c r="E50" s="36">
        <f>LOOKUP(use_fish!B50,base_fish!A:A,base_fish!C:C)+_xlfn.IFNA(INDEX(activity!F:F,MATCH(use_fish!C50,activity!A:A,0)),0)</f>
        <v>600</v>
      </c>
      <c r="F50" s="36">
        <f t="shared" si="12"/>
        <v>1.6666666666666668E-3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600</v>
      </c>
      <c r="J50" s="35">
        <v>1</v>
      </c>
      <c r="K50" s="35">
        <f>LOOKUP(use_fish!B50,base_fish!A:A,base_fish!G:G)</f>
        <v>0</v>
      </c>
      <c r="L50" s="35">
        <f t="shared" si="13"/>
        <v>600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318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8"/>
  <sheetViews>
    <sheetView topLeftCell="A13" workbookViewId="0">
      <selection activeCell="F38" sqref="F3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245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246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314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331</v>
      </c>
      <c r="D18" s="4">
        <v>0</v>
      </c>
      <c r="E18" s="4">
        <v>0</v>
      </c>
      <c r="F18">
        <v>150</v>
      </c>
      <c r="G18" t="s">
        <v>313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332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194</v>
      </c>
    </row>
    <row r="20" spans="1:9" x14ac:dyDescent="0.2">
      <c r="A20">
        <v>19</v>
      </c>
      <c r="B20">
        <v>17</v>
      </c>
      <c r="C20" t="s">
        <v>333</v>
      </c>
      <c r="D20" s="4">
        <v>0</v>
      </c>
      <c r="E20" s="4">
        <v>0</v>
      </c>
      <c r="F20">
        <v>150</v>
      </c>
      <c r="G20" t="str">
        <f t="shared" si="1"/>
        <v>钻头弹</v>
      </c>
      <c r="H20">
        <v>24</v>
      </c>
      <c r="I20" t="s">
        <v>195</v>
      </c>
    </row>
    <row r="21" spans="1:9" x14ac:dyDescent="0.2">
      <c r="A21">
        <v>20</v>
      </c>
      <c r="B21">
        <v>19</v>
      </c>
      <c r="C21" t="s">
        <v>334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317</v>
      </c>
      <c r="D22" s="4">
        <v>0</v>
      </c>
      <c r="E22" s="4">
        <v>0</v>
      </c>
      <c r="F22">
        <v>50</v>
      </c>
      <c r="G22" t="s">
        <v>335</v>
      </c>
      <c r="H22">
        <v>26</v>
      </c>
      <c r="I22" t="s">
        <v>206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336</v>
      </c>
      <c r="H23">
        <v>27</v>
      </c>
      <c r="I23" t="s">
        <v>207</v>
      </c>
    </row>
    <row r="24" spans="1:9" x14ac:dyDescent="0.2">
      <c r="A24">
        <v>23</v>
      </c>
      <c r="B24">
        <v>20</v>
      </c>
      <c r="C24" s="11" t="s">
        <v>337</v>
      </c>
      <c r="D24" s="4">
        <v>0</v>
      </c>
      <c r="E24" s="4">
        <v>0</v>
      </c>
      <c r="F24">
        <v>250</v>
      </c>
      <c r="G24" t="s">
        <v>338</v>
      </c>
      <c r="H24">
        <v>28</v>
      </c>
      <c r="I24" t="s">
        <v>205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339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340</v>
      </c>
      <c r="D26" s="4">
        <v>0</v>
      </c>
      <c r="E26" s="4">
        <v>0</v>
      </c>
      <c r="F26">
        <v>10</v>
      </c>
      <c r="G26" t="s">
        <v>341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342</v>
      </c>
      <c r="D27" s="4">
        <v>0</v>
      </c>
      <c r="E27" s="4">
        <v>0</v>
      </c>
      <c r="F27">
        <v>50</v>
      </c>
      <c r="G27" t="s">
        <v>343</v>
      </c>
      <c r="H27">
        <v>31</v>
      </c>
      <c r="I27" t="s">
        <v>320</v>
      </c>
    </row>
    <row r="28" spans="1:9" x14ac:dyDescent="0.2">
      <c r="A28">
        <v>27</v>
      </c>
      <c r="B28">
        <v>21</v>
      </c>
      <c r="C28" s="11" t="s">
        <v>344</v>
      </c>
      <c r="D28" s="4">
        <v>0</v>
      </c>
      <c r="E28" s="4">
        <v>0</v>
      </c>
      <c r="F28">
        <v>100</v>
      </c>
      <c r="G28" t="s">
        <v>345</v>
      </c>
      <c r="H28">
        <v>32</v>
      </c>
      <c r="I28" t="s">
        <v>321</v>
      </c>
    </row>
    <row r="29" spans="1:9" x14ac:dyDescent="0.2">
      <c r="A29">
        <v>28</v>
      </c>
      <c r="B29">
        <v>22</v>
      </c>
      <c r="C29" s="11" t="s">
        <v>346</v>
      </c>
      <c r="D29" s="4">
        <v>0</v>
      </c>
      <c r="E29" s="4">
        <v>0</v>
      </c>
      <c r="F29">
        <v>100</v>
      </c>
      <c r="G29" t="s">
        <v>347</v>
      </c>
      <c r="H29">
        <v>33</v>
      </c>
      <c r="I29" t="s">
        <v>322</v>
      </c>
    </row>
    <row r="30" spans="1:9" x14ac:dyDescent="0.2">
      <c r="A30">
        <v>29</v>
      </c>
      <c r="B30">
        <v>23</v>
      </c>
      <c r="C30" t="s">
        <v>348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</row>
    <row r="31" spans="1:9" x14ac:dyDescent="0.2">
      <c r="A31">
        <v>30</v>
      </c>
      <c r="B31">
        <v>24</v>
      </c>
      <c r="C31" s="11" t="s">
        <v>349</v>
      </c>
      <c r="D31" s="4">
        <v>0</v>
      </c>
      <c r="E31" s="4">
        <v>0</v>
      </c>
      <c r="F31">
        <v>500</v>
      </c>
      <c r="G31" t="s">
        <v>350</v>
      </c>
    </row>
    <row r="32" spans="1:9" x14ac:dyDescent="0.2">
      <c r="A32">
        <v>31</v>
      </c>
      <c r="B32">
        <v>25</v>
      </c>
      <c r="C32" t="s">
        <v>351</v>
      </c>
      <c r="D32" s="4">
        <v>1</v>
      </c>
      <c r="E32" s="4">
        <v>0</v>
      </c>
      <c r="F32">
        <v>100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351</v>
      </c>
      <c r="D33" s="4">
        <v>0</v>
      </c>
      <c r="E33" s="4">
        <v>0</v>
      </c>
      <c r="F33">
        <v>100</v>
      </c>
      <c r="G33" t="s">
        <v>350</v>
      </c>
    </row>
    <row r="34" spans="1:7" x14ac:dyDescent="0.2">
      <c r="A34">
        <v>33</v>
      </c>
      <c r="B34">
        <v>29</v>
      </c>
      <c r="C34" t="s">
        <v>351</v>
      </c>
      <c r="D34" s="4">
        <v>0</v>
      </c>
      <c r="E34" s="4">
        <v>0</v>
      </c>
      <c r="F34">
        <v>100</v>
      </c>
      <c r="G34" t="s">
        <v>352</v>
      </c>
    </row>
    <row r="35" spans="1:7" x14ac:dyDescent="0.2">
      <c r="A35">
        <v>34</v>
      </c>
      <c r="B35">
        <v>30</v>
      </c>
      <c r="C35" s="11" t="s">
        <v>308</v>
      </c>
      <c r="D35" s="4">
        <v>0</v>
      </c>
      <c r="E35" s="4">
        <v>0</v>
      </c>
      <c r="F35">
        <v>200</v>
      </c>
      <c r="G35" t="s">
        <v>309</v>
      </c>
    </row>
    <row r="36" spans="1:7" x14ac:dyDescent="0.2">
      <c r="A36">
        <v>35</v>
      </c>
      <c r="B36">
        <v>31</v>
      </c>
      <c r="C36" t="s">
        <v>353</v>
      </c>
      <c r="D36" s="4">
        <v>0</v>
      </c>
      <c r="E36" s="4">
        <v>0</v>
      </c>
      <c r="F36">
        <v>300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354</v>
      </c>
      <c r="D37" s="4">
        <v>0</v>
      </c>
      <c r="E37" s="4">
        <v>0</v>
      </c>
      <c r="F37">
        <v>500</v>
      </c>
      <c r="G37" t="s">
        <v>321</v>
      </c>
    </row>
    <row r="38" spans="1:7" x14ac:dyDescent="0.2">
      <c r="A38">
        <v>37</v>
      </c>
      <c r="B38">
        <v>33</v>
      </c>
      <c r="C38" t="s">
        <v>323</v>
      </c>
      <c r="D38" s="4">
        <v>0</v>
      </c>
      <c r="E38" s="4">
        <v>0</v>
      </c>
      <c r="F38">
        <v>500</v>
      </c>
      <c r="G38" t="s">
        <v>322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9" zoomScaleNormal="100" workbookViewId="0">
      <selection activeCell="C33" sqref="C33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213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214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215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216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217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218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219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220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221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222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223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224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225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1</v>
      </c>
      <c r="D20" s="15">
        <f t="shared" si="0"/>
        <v>1</v>
      </c>
      <c r="E20" s="14" t="s">
        <v>150</v>
      </c>
      <c r="F20" s="15">
        <f t="shared" si="1"/>
        <v>1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80</v>
      </c>
      <c r="D21" s="15">
        <f t="shared" si="0"/>
        <v>1.2500000000000001E-2</v>
      </c>
      <c r="E21" s="17" t="s">
        <v>242</v>
      </c>
      <c r="F21" s="15">
        <f t="shared" si="1"/>
        <v>80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1</v>
      </c>
      <c r="D22" s="15">
        <f t="shared" si="0"/>
        <v>1</v>
      </c>
      <c r="E22" s="16" t="s">
        <v>226</v>
      </c>
      <c r="F22" s="15">
        <f t="shared" si="1"/>
        <v>1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120</v>
      </c>
      <c r="D23" s="15">
        <f t="shared" si="0"/>
        <v>8.3333333333333332E-3</v>
      </c>
      <c r="E23" s="16" t="s">
        <v>227</v>
      </c>
      <c r="F23" s="15">
        <f t="shared" si="1"/>
        <v>120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140</v>
      </c>
      <c r="D24" s="15">
        <f t="shared" si="0"/>
        <v>7.1428571428571426E-3</v>
      </c>
      <c r="E24" s="16" t="s">
        <v>228</v>
      </c>
      <c r="F24" s="15">
        <f t="shared" si="1"/>
        <v>140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326</v>
      </c>
      <c r="D25" s="15" t="s">
        <v>327</v>
      </c>
      <c r="E25" s="17" t="s">
        <v>229</v>
      </c>
      <c r="F25" s="15" t="s">
        <v>326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150</v>
      </c>
      <c r="D26" s="15">
        <f t="shared" ref="D26" si="2">IF(C26,1/C26,0)</f>
        <v>6.6666666666666671E-3</v>
      </c>
      <c r="E26" s="17" t="s">
        <v>152</v>
      </c>
      <c r="F26" s="15">
        <f t="shared" ref="F26" si="3">C26</f>
        <v>150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180</v>
      </c>
      <c r="D27" s="15">
        <f t="shared" si="0"/>
        <v>5.5555555555555558E-3</v>
      </c>
      <c r="E27" s="16" t="s">
        <v>151</v>
      </c>
      <c r="F27" s="15">
        <f t="shared" si="1"/>
        <v>180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200</v>
      </c>
      <c r="D28" s="15">
        <f t="shared" si="0"/>
        <v>5.0000000000000001E-3</v>
      </c>
      <c r="E28" s="16" t="s">
        <v>230</v>
      </c>
      <c r="F28" s="15">
        <f t="shared" si="1"/>
        <v>200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247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231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232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233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200</v>
      </c>
      <c r="D38" s="15">
        <f t="shared" si="5"/>
        <v>5.0000000000000001E-3</v>
      </c>
      <c r="E38" s="15" t="s">
        <v>212</v>
      </c>
      <c r="F38" s="15">
        <f t="shared" ref="F38:F51" si="6">C38</f>
        <v>200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200</v>
      </c>
      <c r="D39" s="15">
        <f t="shared" si="5"/>
        <v>5.0000000000000001E-3</v>
      </c>
      <c r="E39" s="15" t="s">
        <v>157</v>
      </c>
      <c r="F39" s="15">
        <f t="shared" si="6"/>
        <v>200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234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500</v>
      </c>
      <c r="D41" s="15">
        <f t="shared" si="5"/>
        <v>2E-3</v>
      </c>
      <c r="E41" s="15" t="s">
        <v>306</v>
      </c>
      <c r="F41" s="15">
        <f t="shared" si="6"/>
        <v>500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300</v>
      </c>
      <c r="D42" s="15">
        <f t="shared" si="5"/>
        <v>3.3333333333333335E-3</v>
      </c>
      <c r="E42" s="15" t="s">
        <v>235</v>
      </c>
      <c r="F42" s="15">
        <f t="shared" si="6"/>
        <v>300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100</v>
      </c>
      <c r="D43" s="15">
        <f t="shared" si="5"/>
        <v>0.01</v>
      </c>
      <c r="E43" s="15" t="s">
        <v>236</v>
      </c>
      <c r="F43" s="15">
        <f t="shared" si="6"/>
        <v>100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400</v>
      </c>
      <c r="D44" s="15">
        <f t="shared" si="5"/>
        <v>2.5000000000000001E-3</v>
      </c>
      <c r="E44" s="15" t="s">
        <v>237</v>
      </c>
      <c r="F44" s="15">
        <f t="shared" si="6"/>
        <v>400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100</v>
      </c>
      <c r="D45" s="15">
        <f t="shared" si="5"/>
        <v>0.01</v>
      </c>
      <c r="E45" s="15" t="s">
        <v>238</v>
      </c>
      <c r="F45" s="15">
        <f t="shared" si="6"/>
        <v>100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100</v>
      </c>
      <c r="D46" s="15">
        <f t="shared" si="5"/>
        <v>0.01</v>
      </c>
      <c r="E46" s="15" t="s">
        <v>239</v>
      </c>
      <c r="F46" s="15">
        <f t="shared" si="6"/>
        <v>100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300</v>
      </c>
      <c r="D47" s="15">
        <f t="shared" si="5"/>
        <v>3.3333333333333335E-3</v>
      </c>
      <c r="E47" s="15" t="s">
        <v>152</v>
      </c>
      <c r="F47" s="15">
        <f t="shared" si="6"/>
        <v>300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200</v>
      </c>
      <c r="D48" s="15">
        <f t="shared" si="5"/>
        <v>5.0000000000000001E-3</v>
      </c>
      <c r="E48" s="15" t="s">
        <v>307</v>
      </c>
      <c r="F48" s="15">
        <f t="shared" si="6"/>
        <v>200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350</v>
      </c>
      <c r="D49" s="15">
        <f t="shared" si="5"/>
        <v>2.8571428571428571E-3</v>
      </c>
      <c r="E49" s="15" t="s">
        <v>240</v>
      </c>
      <c r="F49" s="15">
        <f t="shared" si="6"/>
        <v>350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300</v>
      </c>
      <c r="D50" s="15">
        <f t="shared" si="5"/>
        <v>3.3333333333333335E-3</v>
      </c>
      <c r="E50" s="15" t="s">
        <v>241</v>
      </c>
      <c r="F50" s="15">
        <f t="shared" si="6"/>
        <v>300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319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5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5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5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5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5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5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5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5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5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5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5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5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5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5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5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5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5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5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5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5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5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5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5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5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5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5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5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5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5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21" sqref="B2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324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2020-05-26T02:37:10Z</dcterms:modified>
</cp:coreProperties>
</file>