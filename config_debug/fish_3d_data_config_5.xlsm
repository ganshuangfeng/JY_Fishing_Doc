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I49" i="7"/>
  <c r="J49" i="7"/>
  <c r="J50" i="7"/>
  <c r="J51" i="7"/>
  <c r="J52" i="7"/>
  <c r="J53" i="7"/>
  <c r="J54" i="7"/>
  <c r="J55" i="7"/>
  <c r="J56" i="7"/>
  <c r="J57" i="7"/>
  <c r="J58" i="7"/>
  <c r="J59" i="7"/>
  <c r="J60" i="7"/>
  <c r="H61" i="7"/>
  <c r="I61" i="7"/>
  <c r="J61" i="7"/>
  <c r="J62" i="7"/>
  <c r="J63" i="7"/>
  <c r="H64" i="7"/>
  <c r="I64" i="7"/>
  <c r="J64" i="7"/>
  <c r="J65" i="7"/>
  <c r="J66" i="7"/>
  <c r="J67" i="7"/>
  <c r="J2" i="7"/>
  <c r="G36" i="5" l="1"/>
  <c r="G32" i="5"/>
  <c r="G30" i="5"/>
  <c r="G21" i="5"/>
  <c r="G20" i="5"/>
  <c r="G19" i="5"/>
  <c r="I26" i="14" l="1"/>
  <c r="E26" i="14"/>
  <c r="K26" i="14"/>
  <c r="J40" i="7" s="1"/>
  <c r="H26" i="14"/>
  <c r="L25" i="14"/>
  <c r="K25" i="14"/>
  <c r="J39" i="7" s="1"/>
  <c r="H25" i="14"/>
  <c r="F26" i="1"/>
  <c r="D26" i="1"/>
  <c r="F26" i="14" l="1"/>
  <c r="H40" i="7"/>
  <c r="L26" i="14"/>
  <c r="I40" i="7"/>
  <c r="E39" i="14"/>
  <c r="H53" i="7" s="1"/>
  <c r="F38" i="1"/>
  <c r="F51" i="1" l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4" i="7"/>
  <c r="H28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1" i="14" l="1"/>
  <c r="H32" i="14"/>
  <c r="D35" i="1"/>
  <c r="D34" i="1"/>
  <c r="D28" i="1"/>
  <c r="D29" i="1"/>
  <c r="D30" i="1"/>
  <c r="D31" i="1"/>
  <c r="D32" i="1"/>
  <c r="D33" i="1"/>
  <c r="K50" i="14"/>
  <c r="E50" i="14"/>
  <c r="H63" i="7" s="1"/>
  <c r="K49" i="14"/>
  <c r="E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F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K27" i="14"/>
  <c r="F28" i="14"/>
  <c r="H28" i="14"/>
  <c r="K28" i="14"/>
  <c r="I29" i="14"/>
  <c r="F31" i="1"/>
  <c r="I31" i="14" s="1"/>
  <c r="I45" i="7" s="1"/>
  <c r="I32" i="14"/>
  <c r="I46" i="7" s="1"/>
  <c r="H27" i="14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I12" i="7" l="1"/>
  <c r="I11" i="7"/>
  <c r="L17" i="14"/>
  <c r="I31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L30" i="14"/>
  <c r="I44" i="7"/>
  <c r="H14" i="7"/>
  <c r="H66" i="7"/>
  <c r="H21" i="7"/>
  <c r="I30" i="7"/>
  <c r="L29" i="14"/>
  <c r="I43" i="7"/>
  <c r="F49" i="14"/>
  <c r="H62" i="7"/>
  <c r="I27" i="7"/>
  <c r="I17" i="7"/>
  <c r="H18" i="7"/>
  <c r="H65" i="7"/>
  <c r="H20" i="7"/>
  <c r="H13" i="7"/>
  <c r="L15" i="14"/>
  <c r="I29" i="7"/>
  <c r="H3" i="7"/>
  <c r="H7" i="7"/>
  <c r="H6" i="7"/>
  <c r="H2" i="7"/>
  <c r="H4" i="7"/>
  <c r="H5" i="7"/>
  <c r="F33" i="14"/>
  <c r="H47" i="7"/>
  <c r="F35" i="14"/>
  <c r="H49" i="7"/>
  <c r="F37" i="14"/>
  <c r="H51" i="7"/>
  <c r="F41" i="14"/>
  <c r="H55" i="7"/>
  <c r="F43" i="14"/>
  <c r="H57" i="7"/>
  <c r="F45" i="14"/>
  <c r="H59" i="7"/>
  <c r="H20" i="14"/>
  <c r="H30" i="14"/>
  <c r="L19" i="14"/>
  <c r="F50" i="14"/>
  <c r="I43" i="14"/>
  <c r="I39" i="14"/>
  <c r="I53" i="7" s="1"/>
  <c r="I20" i="14"/>
  <c r="I34" i="7" s="1"/>
  <c r="I41" i="14"/>
  <c r="I8" i="14"/>
  <c r="I19" i="7" s="1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I22" i="7" s="1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6" i="7" l="1"/>
  <c r="L18" i="14"/>
  <c r="I32" i="7"/>
  <c r="I8" i="7"/>
  <c r="I16" i="7"/>
  <c r="I67" i="7"/>
  <c r="I15" i="7"/>
  <c r="L43" i="14"/>
  <c r="I57" i="7"/>
  <c r="L38" i="14"/>
  <c r="I52" i="7"/>
  <c r="L41" i="14"/>
  <c r="I55" i="7"/>
  <c r="I23" i="7"/>
  <c r="I4" i="7"/>
  <c r="I3" i="7"/>
  <c r="I7" i="7"/>
  <c r="I5" i="7"/>
  <c r="I6" i="7"/>
  <c r="I2" i="7"/>
  <c r="L14" i="14"/>
  <c r="I24" i="7"/>
  <c r="I28" i="7"/>
  <c r="I25" i="7"/>
  <c r="I66" i="7"/>
  <c r="I14" i="7"/>
  <c r="I21" i="7"/>
  <c r="I20" i="7"/>
  <c r="I18" i="7"/>
  <c r="I13" i="7"/>
  <c r="I65" i="7"/>
  <c r="L36" i="14"/>
  <c r="I50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  <c r="L16" i="7" l="1" a="1"/>
  <c r="L16" i="7" s="1"/>
  <c r="L15" i="7" a="1"/>
  <c r="L15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<sst xmlns="http://schemas.openxmlformats.org/spreadsheetml/2006/main" count="477" uniqueCount="360">
  <si>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</si>
  <si>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</si>
  <si>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</si>
  <si>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</si>
  <si>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</si>
  <si>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</si>
  <si>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</si>
  <si>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</si>
  <si>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</si>
  <si>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</si>
  <si>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</si>
  <si>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</si>
  <si>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</si>
  <si>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</si>
  <si>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</si>
  <si>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</si>
  <si>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</si>
  <si>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</si>
  <si>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</si>
  <si>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</si>
  <si>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</si>
  <si>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</si>
  <si>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</si>
  <si>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</si>
  <si>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</si>
  <si>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</si>
  <si>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</si>
  <si>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</si>
  <si>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</si>
  <si>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</si>
  <si>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</si>
  <si>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</si>
  <si>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</si>
  <si>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</si>
  <si>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</si>
  <si>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</si>
  <si>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</si>
  <si>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</si>
  <si>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</si>
  <si>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</si>
  <si>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</si>
  <si>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</si>
  <si>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</si>
  <si>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</si>
  <si>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</si>
  <si>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</si>
  <si>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</si>
  <si>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</si>
  <si>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</si>
  <si>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</si>
  <si>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</si>
  <si>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</si>
  <si>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</si>
  <si>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</si>
  <si>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</si>
  <si>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</si>
  <si>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</si>
  <si>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</si>
  <si>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</si>
  <si>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</si>
  <si>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</si>
  <si>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</si>
  <si>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</si>
  <si>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</si>
  <si>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</si>
  <si>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</si>
  <si>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</si>
  <si>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</si>
  <si>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</si>
  <si>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</si>
  <si>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</si>
  <si>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</si>
  <si>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</si>
  <si>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</si>
  <si>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</si>
  <si>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</si>
  <si>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</si>
  <si>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</si>
  <si>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</si>
  <si>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</si>
  <si>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</si>
  <si>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</si>
  <si>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</si>
  <si>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</si>
  <si>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</si>
  <si>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</si>
  <si>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</si>
  <si>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</si>
  <si>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</si>
  <si>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</si>
  <si>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</si>
  <si>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</si>
  <si>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</si>
  <si>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</si>
  <si>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</si>
  <si>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</si>
  <si>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</si>
  <si>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</si>
  <si>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</si>
  <si>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</si>
  <si>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</si>
  <si>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</si>
  <si>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</si>
  <si>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</si>
  <si>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</si>
  <si>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</si>
  <si>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</si>
  <si>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</si>
  <si>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</si>
  <si>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</si>
  <si>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</si>
  <si>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</si>
  <si>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</si>
  <si>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</si>
  <si>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</si>
  <si>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</si>
  <si>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</si>
  <si>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</si>
  <si>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</si>
  <si>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</si>
  <si>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</si>
  <si>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</si>
  <si>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</si>
  <si>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</si>
  <si>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</si>
  <si>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</si>
  <si>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</si>
  <si>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</si>
  <si>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</si>
  <si>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</si>
  <si>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</si>
  <si>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</si>
  <si>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</si>
  <si>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</si>
  <si>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</si>
  <si>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</si>
  <si>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</si>
  <si>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</si>
  <si>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</si>
  <si>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</si>
  <si>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</si>
  <si>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</si>
  <si>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</si>
  <si>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</si>
  <si>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</si>
  <si>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</si>
  <si>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</si>
  <si>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</si>
  <si>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</si>
  <si>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</si>
  <si>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</si>
  <si>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</si>
  <si>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</si>
  <si>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</si>
  <si>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</si>
  <si>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</si>
  <si>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</si>
  <si>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</si>
  <si>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</si>
  <si>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</si>
  <si>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</si>
  <si>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</si>
  <si>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</si>
  <si>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</si>
  <si>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</si>
  <si>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</si>
  <si>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</si>
  <si>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</si>
  <si>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</si>
  <si>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</si>
  <si>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</si>
  <si>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</si>
  <si>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</si>
  <si>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</si>
  <si>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</si>
  <si>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</si>
  <si>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</si>
  <si>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</si>
  <si>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</si>
  <si>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</si>
  <si>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</si>
  <si>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</si>
  <si>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</si>
  <si>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</si>
  <si>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</si>
  <si>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</si>
  <si>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</si>
  <si>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</si>
  <si>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</si>
  <si>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</si>
  <si>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</si>
  <si>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</si>
  <si>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</si>
  <si>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</si>
  <si>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</si>
  <si>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</si>
  <si>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</si>
  <si>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</si>
  <si>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</si>
  <si>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</si>
  <si>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</si>
  <si>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</si>
  <si>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</si>
  <si>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</si>
  <si>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</si>
  <si>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</si>
  <si>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</si>
  <si>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</si>
  <si>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</si>
  <si>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</si>
  <si>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</si>
  <si>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</si>
  <si>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</si>
  <si>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</si>
  <si>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</si>
  <si>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</si>
  <si>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</si>
  <si>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</si>
  <si>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</si>
  <si>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</si>
  <si>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</si>
  <si>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</si>
  <si>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</si>
  <si>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</si>
  <si>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</si>
  <si>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</si>
  <si>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</si>
  <si>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</si>
  <si>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</si>
  <si>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</si>
  <si>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</si>
  <si>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</si>
  <si>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</si>
  <si>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</si>
  <si>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</si>
  <si>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</si>
  <si>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</si>
  <si>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</si>
  <si>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</si>
  <si>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</si>
  <si>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</si>
  <si>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</si>
  <si>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</si>
  <si>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</si>
  <si>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</si>
  <si>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</si>
  <si>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</si>
  <si>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</si>
  <si>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</si>
  <si>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</si>
  <si>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</si>
  <si>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</si>
  <si>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</si>
  <si>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</si>
  <si>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</si>
  <si>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</si>
  <si>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</si>
  <si>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</si>
  <si>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</si>
  <si>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</si>
  <si>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</si>
  <si>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</si>
  <si>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</si>
  <si>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</si>
  <si>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</si>
  <si>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</si>
  <si>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</si>
  <si>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</si>
  <si>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</si>
  <si>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</si>
  <si>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</si>
  <si>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</si>
  <si>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</si>
  <si>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</si>
  <si>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</si>
  <si>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</si>
  <si>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</si>
  <si>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</si>
  <si>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</si>
  <si>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</si>
  <si>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</si>
  <si>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</si>
  <si>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</si>
  <si>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</si>
  <si>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</si>
  <si>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</si>
  <si>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</si>
  <si>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</si>
  <si>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</si>
  <si>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</si>
  <si>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</si>
  <si>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</si>
  <si>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</si>
  <si>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</si>
  <si>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</si>
  <si>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</si>
  <si>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</si>
  <si>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</si>
  <si>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</si>
  <si>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</si>
  <si>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</si>
  <si>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</si>
  <si>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</si>
  <si>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</si>
  <si>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</si>
  <si>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</si>
  <si>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</si>
  <si>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</si>
  <si>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</si>
  <si>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</si>
  <si>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</si>
  <si>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</si>
  <si>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</si>
  <si>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</si>
  <si>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</si>
  <si>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</si>
  <si>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</si>
  <si>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</si>
  <si>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</si>
  <si>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</si>
  <si>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</si>
  <si>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</si>
  <si>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</si>
  <si>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</si>
  <si>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</si>
  <si>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</si>
  <si>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</si>
  <si>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</si>
  <si>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</si>
  <si>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</si>
  <si>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</si>
  <si>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</si>
  <si>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</si>
  <si>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60,90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</si>
  <si>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</si>
  <si>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</si>
  <si>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</si>
  <si>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</si>
  <si>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</si>
  <si>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</si>
  <si>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1,0,10,1,20,2,20,</t>
    <phoneticPr fontId="1" type="noConversion"/>
  </si>
  <si>
    <t>初级彩贝</t>
    <phoneticPr fontId="1" type="noConversion"/>
  </si>
  <si>
    <t>1,1,20,2,20,3,10,4,10</t>
    <phoneticPr fontId="1" type="noConversion"/>
  </si>
  <si>
    <t>中级彩贝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</si>
  <si>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</si>
  <si>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</si>
  <si>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</si>
  <si>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</si>
  <si>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</si>
  <si>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400,500</t>
    <phoneticPr fontId="1" type="noConversion"/>
  </si>
  <si>
    <t>幸运转盘</t>
    <phoneticPr fontId="1" type="noConversion"/>
  </si>
  <si>
    <t>100,</t>
    <phoneticPr fontId="1" type="noConversion"/>
  </si>
  <si>
    <t>疯狂6选一</t>
    <phoneticPr fontId="1" type="noConversion"/>
  </si>
  <si>
    <t>4,40,60,80,120,</t>
    <phoneticPr fontId="1" type="noConversion"/>
  </si>
  <si>
    <t>1,500,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</si>
  <si>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</si>
  <si>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</si>
  <si>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</si>
  <si>
    <t>50,50,50,50,100,</t>
    <phoneticPr fontId="1" type="noConversion"/>
  </si>
  <si>
    <t>0.02,0.02,0.02,0.02,0.01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</si>
</sst>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>
        <row r="2">
          <cell r="L2" t="str">
            <v>海龟</v>
          </cell>
        </row>
      </sheetData>
      <sheetData sheetId="6">
        <row r="1">
          <cell r="A1" t="str">
            <v>id|在group使用的鱼ID</v>
          </cell>
          <cell r="H1" t="str">
            <v>|组合名</v>
          </cell>
        </row>
        <row r="2">
          <cell r="A2">
            <v>1</v>
          </cell>
          <cell r="H2" t="str">
            <v>小牛角</v>
          </cell>
        </row>
        <row r="3">
          <cell r="A3">
            <v>2</v>
          </cell>
          <cell r="H3" t="str">
            <v>小气泡</v>
          </cell>
        </row>
        <row r="4">
          <cell r="A4">
            <v>3</v>
          </cell>
          <cell r="H4" t="str">
            <v>小丑鱼</v>
          </cell>
        </row>
        <row r="5">
          <cell r="A5">
            <v>4</v>
          </cell>
          <cell r="H5" t="str">
            <v>小燕鱼</v>
          </cell>
        </row>
        <row r="6">
          <cell r="A6">
            <v>5</v>
          </cell>
          <cell r="H6" t="str">
            <v>小黄鳍</v>
          </cell>
        </row>
        <row r="7">
          <cell r="A7">
            <v>6</v>
          </cell>
          <cell r="H7" t="str">
            <v>河豚</v>
          </cell>
        </row>
        <row r="8">
          <cell r="A8">
            <v>7</v>
          </cell>
          <cell r="H8" t="str">
            <v>小灯笼</v>
          </cell>
        </row>
        <row r="9">
          <cell r="A9">
            <v>8</v>
          </cell>
          <cell r="H9" t="str">
            <v>小旗鱼</v>
          </cell>
        </row>
        <row r="10">
          <cell r="A10">
            <v>9</v>
          </cell>
          <cell r="H10" t="str">
            <v>小水母</v>
          </cell>
        </row>
        <row r="11">
          <cell r="A11">
            <v>10</v>
          </cell>
          <cell r="H11" t="str">
            <v>小章鱼</v>
          </cell>
        </row>
        <row r="12">
          <cell r="A12">
            <v>11</v>
          </cell>
          <cell r="H12" t="str">
            <v>小海龟</v>
          </cell>
        </row>
        <row r="13">
          <cell r="A13">
            <v>12</v>
          </cell>
          <cell r="H13" t="str">
            <v>狮子鱼</v>
          </cell>
        </row>
        <row r="14">
          <cell r="A14">
            <v>13</v>
          </cell>
          <cell r="H14" t="str">
            <v>蝴蝶鱼</v>
          </cell>
        </row>
        <row r="15">
          <cell r="A15">
            <v>14</v>
          </cell>
          <cell r="H15" t="str">
            <v>巨大小丑鱼</v>
          </cell>
        </row>
        <row r="16">
          <cell r="A16">
            <v>15</v>
          </cell>
          <cell r="H16" t="str">
            <v>巨大灯笼鱼</v>
          </cell>
        </row>
        <row r="17">
          <cell r="A17">
            <v>16</v>
          </cell>
          <cell r="H17" t="str">
            <v>巨大燕鱼</v>
          </cell>
        </row>
        <row r="18">
          <cell r="A18">
            <v>17</v>
          </cell>
          <cell r="H18" t="str">
            <v>魔鬼鱼</v>
          </cell>
        </row>
        <row r="19">
          <cell r="A19">
            <v>18</v>
          </cell>
          <cell r="H19" t="str">
            <v>虎鲸</v>
          </cell>
        </row>
        <row r="20">
          <cell r="A20">
            <v>19</v>
          </cell>
          <cell r="H20" t="str">
            <v>炸弹鱼+炸弹</v>
          </cell>
        </row>
        <row r="21">
          <cell r="A21">
            <v>20</v>
          </cell>
          <cell r="H21" t="str">
            <v>黄金灯笼鱼</v>
          </cell>
        </row>
        <row r="22">
          <cell r="A22">
            <v>21</v>
          </cell>
          <cell r="H22" t="str">
            <v>黄金炸弹鱼+炸弹</v>
          </cell>
        </row>
        <row r="23">
          <cell r="A23">
            <v>22</v>
          </cell>
          <cell r="H23" t="str">
            <v>黄金狮子鱼</v>
          </cell>
        </row>
        <row r="24">
          <cell r="A24">
            <v>23</v>
          </cell>
          <cell r="H24" t="str">
            <v>黄金海龟</v>
          </cell>
        </row>
        <row r="25">
          <cell r="A25">
            <v>24</v>
          </cell>
          <cell r="B25">
            <v>24</v>
          </cell>
          <cell r="C25"/>
          <cell r="H25" t="str">
            <v>黄金河豚</v>
          </cell>
        </row>
        <row r="26">
          <cell r="A26">
            <v>25</v>
          </cell>
          <cell r="B26">
            <v>25</v>
          </cell>
          <cell r="C26"/>
          <cell r="H26" t="str">
            <v>金蟾</v>
          </cell>
        </row>
        <row r="27">
          <cell r="A27">
            <v>26</v>
          </cell>
          <cell r="H27" t="str">
            <v>大金鲨</v>
          </cell>
        </row>
        <row r="28">
          <cell r="A28">
            <v>27</v>
          </cell>
          <cell r="H28" t="str">
            <v>黄金锤头鲨</v>
          </cell>
        </row>
        <row r="29">
          <cell r="A29">
            <v>28</v>
          </cell>
          <cell r="H29" t="str">
            <v>闪电海鳗+闪电</v>
          </cell>
        </row>
        <row r="30">
          <cell r="A30">
            <v>29</v>
          </cell>
          <cell r="H30" t="str">
            <v>穿云蟹+钻头弹</v>
          </cell>
        </row>
        <row r="31">
          <cell r="A31">
            <v>30</v>
          </cell>
          <cell r="H31" t="str">
            <v>电磁蟹+电磁弹</v>
          </cell>
        </row>
        <row r="32">
          <cell r="A32">
            <v>31</v>
          </cell>
          <cell r="H32" t="str">
            <v>奇遇蟹+时限免费超级活力子弹</v>
          </cell>
        </row>
        <row r="33">
          <cell r="A33">
            <v>32</v>
          </cell>
          <cell r="H33" t="str">
            <v>宝藏章鱼+幸运转盘</v>
          </cell>
        </row>
        <row r="34">
          <cell r="A34">
            <v>33</v>
          </cell>
          <cell r="H34" t="str">
            <v>美人鱼+疯狂6选一</v>
          </cell>
        </row>
        <row r="35">
          <cell r="A35">
            <v>34</v>
          </cell>
          <cell r="H35" t="str">
            <v>骰子龟+骰子龟</v>
          </cell>
        </row>
        <row r="36">
          <cell r="A36">
            <v>35</v>
          </cell>
          <cell r="H36" t="str">
            <v>金龙转盘+幸运转盘</v>
          </cell>
        </row>
        <row r="37">
          <cell r="A37">
            <v>36</v>
          </cell>
          <cell r="H37" t="str">
            <v>炽火龙王+炽火龙王</v>
          </cell>
        </row>
        <row r="38">
          <cell r="A38">
            <v>37</v>
          </cell>
          <cell r="H38" t="str">
            <v>财神</v>
          </cell>
        </row>
        <row r="39">
          <cell r="A39">
            <v>38</v>
          </cell>
          <cell r="H39" t="str">
            <v>黄金巨龙</v>
          </cell>
        </row>
        <row r="40">
          <cell r="A40">
            <v>39</v>
          </cell>
          <cell r="H40" t="str">
            <v>霸王蟹</v>
          </cell>
        </row>
        <row r="41">
          <cell r="A41">
            <v>40</v>
          </cell>
          <cell r="H41" t="str">
            <v>深海鲸</v>
          </cell>
        </row>
        <row r="42">
          <cell r="A42">
            <v>41</v>
          </cell>
          <cell r="H42" t="str">
            <v>鲨鱼武士</v>
          </cell>
        </row>
        <row r="43">
          <cell r="A43">
            <v>42</v>
          </cell>
          <cell r="H43" t="str">
            <v>荧光女皇</v>
          </cell>
        </row>
        <row r="44">
          <cell r="A44">
            <v>43</v>
          </cell>
          <cell r="H44" t="str">
            <v>龙龟</v>
          </cell>
        </row>
        <row r="45">
          <cell r="A45">
            <v>44</v>
          </cell>
          <cell r="H45" t="str">
            <v>麒麟兽</v>
          </cell>
        </row>
        <row r="46">
          <cell r="A46">
            <v>45</v>
          </cell>
          <cell r="H46" t="str">
            <v>海盗船</v>
          </cell>
        </row>
        <row r="47">
          <cell r="A47">
            <v>46</v>
          </cell>
          <cell r="H47" t="str">
            <v>金蟾</v>
          </cell>
        </row>
        <row r="48">
          <cell r="A48">
            <v>47</v>
          </cell>
          <cell r="H48" t="str">
            <v>深海狂鲨+吞噬天下</v>
          </cell>
        </row>
        <row r="49">
          <cell r="A49">
            <v>48</v>
          </cell>
          <cell r="H49" t="str">
            <v>鳄鱼+宝箱</v>
          </cell>
        </row>
        <row r="50">
          <cell r="A50">
            <v>49</v>
          </cell>
          <cell r="H50" t="str">
            <v>大王乌贼+连环炸弹</v>
          </cell>
        </row>
        <row r="51">
          <cell r="A51">
            <v>50</v>
          </cell>
          <cell r="H51" t="str">
            <v>贝壳鱼</v>
          </cell>
        </row>
      </sheetData>
      <sheetData sheetId="7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宝箱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财神-50</v>
          </cell>
        </row>
        <row r="23">
          <cell r="A23">
            <v>22</v>
          </cell>
          <cell r="G23" t="str">
            <v>财神-150</v>
          </cell>
        </row>
        <row r="24">
          <cell r="A24">
            <v>23</v>
          </cell>
          <cell r="G24" t="str">
            <v>财神-250</v>
          </cell>
        </row>
        <row r="25">
          <cell r="A25">
            <v>24</v>
          </cell>
          <cell r="G25" t="str">
            <v>财神-450</v>
          </cell>
        </row>
        <row r="26">
          <cell r="A26">
            <v>25</v>
          </cell>
          <cell r="G26" t="str">
            <v>初级彩贝</v>
          </cell>
        </row>
        <row r="27">
          <cell r="A27">
            <v>26</v>
          </cell>
          <cell r="G27" t="str">
            <v>中级彩贝</v>
          </cell>
        </row>
        <row r="28">
          <cell r="A28">
            <v>27</v>
          </cell>
          <cell r="G28" t="str">
            <v>高级彩贝</v>
          </cell>
        </row>
        <row r="29">
          <cell r="A29">
            <v>28</v>
          </cell>
          <cell r="G29" t="str">
            <v>100倍金币爆发</v>
          </cell>
        </row>
        <row r="30">
          <cell r="A30">
            <v>29</v>
          </cell>
          <cell r="G30" t="str">
            <v>时限免费超级活力子弹</v>
          </cell>
        </row>
        <row r="31">
          <cell r="A31">
            <v>30</v>
          </cell>
          <cell r="G31" t="str">
            <v>幸运转盘</v>
          </cell>
        </row>
        <row r="32">
          <cell r="A32">
            <v>31</v>
          </cell>
          <cell r="G32" t="str">
            <v>电磁弹</v>
          </cell>
        </row>
        <row r="33">
          <cell r="A33">
            <v>32</v>
          </cell>
          <cell r="G33" t="str">
            <v>幸运转盘</v>
          </cell>
        </row>
        <row r="34">
          <cell r="A34">
            <v>33</v>
          </cell>
          <cell r="G34" t="str">
            <v>疯狂6选一</v>
          </cell>
        </row>
        <row r="35">
          <cell r="A35">
            <v>34</v>
          </cell>
          <cell r="G35" t="str">
            <v>吞噬天下</v>
          </cell>
        </row>
        <row r="36">
          <cell r="A36">
            <v>35</v>
          </cell>
          <cell r="G36" t="str">
            <v>连环炸弹</v>
          </cell>
        </row>
        <row r="37">
          <cell r="A37">
            <v>36</v>
          </cell>
          <cell r="G37" t="str">
            <v>炽火龙王</v>
          </cell>
        </row>
        <row r="38">
          <cell r="A38">
            <v>37</v>
          </cell>
          <cell r="G38" t="str">
            <v>骰子龟</v>
          </cell>
        </row>
      </sheetData>
      <sheetData sheetId="8"/>
      <sheetData sheetId="9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小牛角</v>
          </cell>
          <cell r="G2">
            <v>0</v>
          </cell>
        </row>
        <row r="3">
          <cell r="A3">
            <v>2</v>
          </cell>
          <cell r="E3" t="str">
            <v>小气泡</v>
          </cell>
          <cell r="G3">
            <v>0</v>
          </cell>
        </row>
        <row r="4">
          <cell r="A4">
            <v>3</v>
          </cell>
          <cell r="E4" t="str">
            <v>小丑鱼</v>
          </cell>
          <cell r="G4">
            <v>0</v>
          </cell>
        </row>
        <row r="5">
          <cell r="A5">
            <v>4</v>
          </cell>
          <cell r="E5" t="str">
            <v>小燕鱼</v>
          </cell>
          <cell r="G5">
            <v>0</v>
          </cell>
        </row>
        <row r="6">
          <cell r="A6">
            <v>5</v>
          </cell>
          <cell r="E6" t="str">
            <v>小黄鳍</v>
          </cell>
          <cell r="G6">
            <v>0</v>
          </cell>
        </row>
        <row r="7">
          <cell r="A7">
            <v>6</v>
          </cell>
          <cell r="E7" t="str">
            <v>河豚</v>
          </cell>
          <cell r="G7">
            <v>0</v>
          </cell>
        </row>
        <row r="8">
          <cell r="A8">
            <v>7</v>
          </cell>
          <cell r="E8" t="str">
            <v>小灯笼</v>
          </cell>
          <cell r="G8">
            <v>0</v>
          </cell>
        </row>
        <row r="9">
          <cell r="A9">
            <v>8</v>
          </cell>
          <cell r="E9" t="str">
            <v>小旗鱼</v>
          </cell>
          <cell r="G9">
            <v>0</v>
          </cell>
        </row>
        <row r="10">
          <cell r="A10">
            <v>9</v>
          </cell>
          <cell r="E10" t="str">
            <v>小水母</v>
          </cell>
          <cell r="G10">
            <v>0</v>
          </cell>
        </row>
        <row r="11">
          <cell r="A11">
            <v>10</v>
          </cell>
          <cell r="E11" t="str">
            <v>小章鱼</v>
          </cell>
          <cell r="G11">
            <v>0</v>
          </cell>
        </row>
        <row r="12">
          <cell r="A12">
            <v>11</v>
          </cell>
          <cell r="E12" t="str">
            <v>小海龟</v>
          </cell>
          <cell r="G12">
            <v>0</v>
          </cell>
        </row>
        <row r="13">
          <cell r="A13">
            <v>12</v>
          </cell>
          <cell r="E13" t="str">
            <v>狮子鱼</v>
          </cell>
          <cell r="G13">
            <v>0</v>
          </cell>
        </row>
        <row r="14">
          <cell r="A14">
            <v>13</v>
          </cell>
          <cell r="E14" t="str">
            <v>蝴蝶鱼</v>
          </cell>
          <cell r="G14">
            <v>0</v>
          </cell>
        </row>
        <row r="15">
          <cell r="A15">
            <v>14</v>
          </cell>
          <cell r="E15" t="str">
            <v>巨大小丑鱼</v>
          </cell>
          <cell r="G15">
            <v>0</v>
          </cell>
        </row>
        <row r="16">
          <cell r="A16">
            <v>15</v>
          </cell>
          <cell r="E16" t="str">
            <v>巨大灯笼鱼</v>
          </cell>
          <cell r="G16">
            <v>0</v>
          </cell>
        </row>
        <row r="17">
          <cell r="A17">
            <v>16</v>
          </cell>
          <cell r="E17" t="str">
            <v>巨大燕鱼</v>
          </cell>
          <cell r="G17">
            <v>0</v>
          </cell>
        </row>
        <row r="18">
          <cell r="A18">
            <v>17</v>
          </cell>
          <cell r="E18" t="str">
            <v>魔鬼鱼</v>
          </cell>
          <cell r="G18">
            <v>0</v>
          </cell>
        </row>
        <row r="19">
          <cell r="A19">
            <v>18</v>
          </cell>
          <cell r="E19" t="str">
            <v>虎鲸</v>
          </cell>
          <cell r="G19">
            <v>0</v>
          </cell>
        </row>
        <row r="20">
          <cell r="A20">
            <v>19</v>
          </cell>
          <cell r="E20" t="str">
            <v>炸弹鱼</v>
          </cell>
          <cell r="G20">
            <v>0</v>
          </cell>
        </row>
        <row r="21">
          <cell r="A21">
            <v>20</v>
          </cell>
          <cell r="E21" t="str">
            <v>黄金灯笼鱼</v>
          </cell>
          <cell r="G21">
            <v>0</v>
          </cell>
        </row>
        <row r="22">
          <cell r="A22">
            <v>21</v>
          </cell>
          <cell r="E22" t="str">
            <v>黄金炸弹鱼</v>
          </cell>
          <cell r="G22">
            <v>0</v>
          </cell>
        </row>
        <row r="23">
          <cell r="A23">
            <v>22</v>
          </cell>
          <cell r="E23" t="str">
            <v>黄金狮子鱼</v>
          </cell>
          <cell r="G23">
            <v>0</v>
          </cell>
        </row>
        <row r="24">
          <cell r="A24">
            <v>23</v>
          </cell>
          <cell r="E24" t="str">
            <v>黄金海龟</v>
          </cell>
          <cell r="G24">
            <v>0</v>
          </cell>
        </row>
        <row r="25">
          <cell r="A25">
            <v>24</v>
          </cell>
          <cell r="E25" t="str">
            <v>黄金河豚</v>
          </cell>
          <cell r="G25">
            <v>0</v>
          </cell>
        </row>
        <row r="26">
          <cell r="A26">
            <v>25</v>
          </cell>
          <cell r="E26" t="str">
            <v>金蟾</v>
          </cell>
          <cell r="G26">
            <v>0</v>
          </cell>
        </row>
        <row r="27">
          <cell r="A27">
            <v>26</v>
          </cell>
          <cell r="E27" t="str">
            <v>大金鲨</v>
          </cell>
          <cell r="G27">
            <v>0</v>
          </cell>
        </row>
        <row r="28">
          <cell r="A28">
            <v>27</v>
          </cell>
          <cell r="E28" t="str">
            <v>黄金锤头鲨</v>
          </cell>
          <cell r="G28">
            <v>0</v>
          </cell>
        </row>
        <row r="29">
          <cell r="A29">
            <v>28</v>
          </cell>
          <cell r="E29" t="str">
            <v>闪电海鳗</v>
          </cell>
          <cell r="G29">
            <v>0</v>
          </cell>
        </row>
        <row r="30">
          <cell r="A30">
            <v>29</v>
          </cell>
          <cell r="E30" t="str">
            <v>穿云蟹</v>
          </cell>
          <cell r="G30">
            <v>0</v>
          </cell>
        </row>
        <row r="31">
          <cell r="A31">
            <v>30</v>
          </cell>
          <cell r="E31" t="str">
            <v>电磁蟹</v>
          </cell>
          <cell r="G31">
            <v>0</v>
          </cell>
        </row>
        <row r="32">
          <cell r="A32">
            <v>31</v>
          </cell>
          <cell r="E32" t="str">
            <v>奇遇蟹</v>
          </cell>
          <cell r="G32">
            <v>0</v>
          </cell>
        </row>
        <row r="33">
          <cell r="A33">
            <v>32</v>
          </cell>
          <cell r="E33" t="str">
            <v>宝藏章鱼</v>
          </cell>
          <cell r="G33">
            <v>0</v>
          </cell>
        </row>
        <row r="34">
          <cell r="A34">
            <v>33</v>
          </cell>
          <cell r="E34" t="str">
            <v>美人鱼</v>
          </cell>
          <cell r="G34">
            <v>0</v>
          </cell>
        </row>
        <row r="35">
          <cell r="A35">
            <v>34</v>
          </cell>
          <cell r="E35" t="str">
            <v>骰子龟</v>
          </cell>
          <cell r="G35">
            <v>0</v>
          </cell>
        </row>
        <row r="36">
          <cell r="A36">
            <v>35</v>
          </cell>
          <cell r="E36" t="str">
            <v>金龙转盘</v>
          </cell>
          <cell r="G36">
            <v>0</v>
          </cell>
        </row>
        <row r="37">
          <cell r="A37">
            <v>36</v>
          </cell>
          <cell r="E37" t="str">
            <v>炽火龙王</v>
          </cell>
          <cell r="G37">
            <v>0</v>
          </cell>
        </row>
        <row r="38">
          <cell r="A38">
            <v>37</v>
          </cell>
          <cell r="E38" t="str">
            <v>财神</v>
          </cell>
          <cell r="G38">
            <v>0</v>
          </cell>
        </row>
        <row r="39">
          <cell r="A39">
            <v>38</v>
          </cell>
          <cell r="E39" t="str">
            <v>黄金巨龙</v>
          </cell>
          <cell r="G39">
            <v>0</v>
          </cell>
        </row>
        <row r="40">
          <cell r="A40">
            <v>39</v>
          </cell>
          <cell r="E40" t="str">
            <v>霸王蟹</v>
          </cell>
          <cell r="G40">
            <v>0</v>
          </cell>
        </row>
        <row r="41">
          <cell r="A41">
            <v>40</v>
          </cell>
          <cell r="E41" t="str">
            <v>深海鲸</v>
          </cell>
          <cell r="G41">
            <v>0</v>
          </cell>
        </row>
        <row r="42">
          <cell r="A42">
            <v>41</v>
          </cell>
          <cell r="E42" t="str">
            <v>鲨鱼武士</v>
          </cell>
          <cell r="G42">
            <v>0</v>
          </cell>
        </row>
        <row r="43">
          <cell r="A43">
            <v>42</v>
          </cell>
          <cell r="E43" t="str">
            <v>荧光女皇</v>
          </cell>
          <cell r="G43">
            <v>0</v>
          </cell>
        </row>
        <row r="44">
          <cell r="A44">
            <v>43</v>
          </cell>
          <cell r="E44" t="str">
            <v>龙龟</v>
          </cell>
          <cell r="G44">
            <v>0</v>
          </cell>
        </row>
        <row r="45">
          <cell r="A45">
            <v>44</v>
          </cell>
          <cell r="E45" t="str">
            <v>麒麟兽</v>
          </cell>
          <cell r="G45">
            <v>0</v>
          </cell>
        </row>
        <row r="46">
          <cell r="A46">
            <v>45</v>
          </cell>
          <cell r="E46" t="str">
            <v>海盗船</v>
          </cell>
          <cell r="G46">
            <v>0</v>
          </cell>
        </row>
        <row r="47">
          <cell r="A47">
            <v>46</v>
          </cell>
          <cell r="E47" t="str">
            <v>金蟾</v>
          </cell>
          <cell r="G47">
            <v>0</v>
          </cell>
        </row>
        <row r="48">
          <cell r="A48">
            <v>47</v>
          </cell>
          <cell r="E48" t="str">
            <v>深海狂鲨</v>
          </cell>
          <cell r="G48">
            <v>0</v>
          </cell>
        </row>
        <row r="49">
          <cell r="A49">
            <v>48</v>
          </cell>
          <cell r="E49" t="str">
            <v>鳄鱼</v>
          </cell>
          <cell r="G49">
            <v>0</v>
          </cell>
        </row>
        <row r="50">
          <cell r="A50">
            <v>49</v>
          </cell>
          <cell r="E50" t="str">
            <v>大王乌贼</v>
          </cell>
          <cell r="G50">
            <v>0</v>
          </cell>
        </row>
        <row r="51">
          <cell r="A51">
            <v>50</v>
          </cell>
          <cell r="E51" t="str">
            <v>贝壳鱼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A8" sqref="A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J5" sqref="J5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210</v>
      </c>
    </row>
    <row r="2" spans="1:13" x14ac:dyDescent="0.2">
      <c r="A2" s="2">
        <v>1</v>
      </c>
      <c r="B2" s="2" t="s">
        <v>325</v>
      </c>
      <c r="C2" s="2">
        <v>1</v>
      </c>
      <c r="D2" t="s">
        <v>120</v>
      </c>
      <c r="E2" s="2">
        <v>3000</v>
      </c>
      <c r="F2" s="2">
        <v>3000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251</v>
      </c>
      <c r="C10" s="2">
        <v>4</v>
      </c>
      <c r="D10" t="s">
        <v>211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305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312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K2" sqref="K2:K67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252</v>
      </c>
      <c r="B1" s="1" t="s">
        <v>253</v>
      </c>
      <c r="C1" s="1" t="s">
        <v>254</v>
      </c>
      <c r="D1" s="1" t="s">
        <v>255</v>
      </c>
      <c r="E1" s="1" t="s">
        <v>256</v>
      </c>
      <c r="F1" s="1" t="s">
        <v>257</v>
      </c>
      <c r="G1" s="1" t="s">
        <v>258</v>
      </c>
      <c r="H1" s="1" t="s">
        <v>97</v>
      </c>
      <c r="I1" s="1" t="s">
        <v>259</v>
      </c>
      <c r="J1" s="9" t="s">
        <v>105</v>
      </c>
      <c r="K1" s="1" t="s">
        <v>260</v>
      </c>
      <c r="L1" s="1" t="s">
        <v>50</v>
      </c>
      <c r="Q1" s="1" t="s">
        <v>261</v>
      </c>
      <c r="R1" s="1" t="s">
        <v>261</v>
      </c>
      <c r="S1" s="1" t="s">
        <v>261</v>
      </c>
      <c r="T1" s="1" t="s">
        <v>261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262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243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263</v>
      </c>
      <c r="G7" s="45" t="s">
        <v>264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265</v>
      </c>
      <c r="D8" s="29" t="s">
        <v>159</v>
      </c>
      <c r="G8" s="45" t="s">
        <v>266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267</v>
      </c>
      <c r="D10" s="29" t="s">
        <v>268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269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244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270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271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INDEX([1]use_fish!A:A,SMALL(IF([1]group!$L$2&amp;IF(ISBLANK($L$14),$L$14,"+"&amp;$L$14)=[1]use_fish!H:H,ROW([1]use_fish!H:H),4^8),ROW(1:1)))&amp;""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272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INDEX([1]use_fish!A:A,SMALL(IF([1]group!$L$2&amp;IF(ISBLANK($L$14),$L$14,"+"&amp;$L$14)=[1]use_fish!H:H,ROW([1]use_fish!H:H),4^8),ROW(2:2)))&amp;""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273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274</v>
      </c>
      <c r="G19" s="41" t="s">
        <v>275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276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277</v>
      </c>
      <c r="G21" s="41" t="s">
        <v>278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279</v>
      </c>
      <c r="G22" s="41" t="s">
        <v>203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280</v>
      </c>
      <c r="G23" s="21" t="s">
        <v>248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281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282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283</v>
      </c>
      <c r="G26" s="21" t="s">
        <v>284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285</v>
      </c>
      <c r="G27" s="41" t="s">
        <v>286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287</v>
      </c>
      <c r="G28" s="41" t="s">
        <v>288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289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290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291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292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293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294</v>
      </c>
      <c r="H39" s="19" t="s">
        <v>358</v>
      </c>
      <c r="I39" s="19" t="s">
        <v>359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295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296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297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298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150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150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299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100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100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125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125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250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301</v>
      </c>
      <c r="G65" s="45" t="s">
        <v>302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303</v>
      </c>
      <c r="G66" s="45" t="s">
        <v>249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304</v>
      </c>
      <c r="G67" s="46" t="s">
        <v>250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1" activePane="bottomLeft" state="frozen"/>
      <selection pane="bottomLeft" activeCell="D38" sqref="D38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311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315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315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316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316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326</v>
      </c>
      <c r="F25" s="19" t="s">
        <v>329</v>
      </c>
      <c r="G25" s="19" t="s">
        <v>17</v>
      </c>
      <c r="H25" s="20" t="str">
        <f>INDEX([1]base_fish!E:E,MATCH([1]use_fish!B25,[1]base_fish!A:A,0))&amp;_xlfn.IFNA("+"&amp;INDEX([1]activity!G:G,MATCH([1]use_fish!C25,[1]activity!A:A,0)),"")</f>
        <v>黄金河豚</v>
      </c>
      <c r="I25" s="19" t="s">
        <v>330</v>
      </c>
      <c r="J25" s="21">
        <v>1</v>
      </c>
      <c r="K25" s="21">
        <f>LOOKUP([1]use_fish!B25,[1]base_fish!A:A,[1]base_fish!G:G)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328</v>
      </c>
      <c r="E26" s="19">
        <f>LOOKUP(use_fish!B26,base_fish!A:A,base_fish!C:C)+_xlfn.IFNA(INDEX(activity!F:F,MATCH(use_fish!C26,activity!A:A,0)),0)</f>
        <v>150</v>
      </c>
      <c r="F26" s="19">
        <f t="shared" ref="F26" si="5">1/E26</f>
        <v>6.6666666666666671E-3</v>
      </c>
      <c r="G26" s="19" t="s">
        <v>17</v>
      </c>
      <c r="H26" s="20" t="str">
        <f>INDEX([1]base_fish!E:E,MATCH([1]use_fish!B26,[1]base_fish!A:A,0))&amp;_xlfn.IFNA("+"&amp;INDEX([1]activity!G:G,MATCH([1]use_fish!C26,[1]activity!A:A,0)),"")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LOOKUP([1]use_fish!B26,[1]base_fish!A:A,[1]base_fish!G:G)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316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315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150</v>
      </c>
      <c r="F30" s="23">
        <f t="shared" si="6"/>
        <v>6.6666666666666671E-3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150</v>
      </c>
      <c r="J30" s="25">
        <v>1</v>
      </c>
      <c r="K30" s="25">
        <f>LOOKUP(use_fish!B30,base_fish!A:A,base_fish!G:G)</f>
        <v>0</v>
      </c>
      <c r="L30" s="25">
        <f t="shared" si="7"/>
        <v>150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100</v>
      </c>
      <c r="F31" s="23">
        <f t="shared" si="6"/>
        <v>0.01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100</v>
      </c>
      <c r="J31" s="25">
        <v>1</v>
      </c>
      <c r="K31" s="25">
        <f>LOOKUP(use_fish!B31,base_fish!A:A,base_fish!G:G)</f>
        <v>0</v>
      </c>
      <c r="L31" s="25">
        <f t="shared" si="7"/>
        <v>100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125</v>
      </c>
      <c r="F32" s="23">
        <f t="shared" si="6"/>
        <v>8.0000000000000002E-3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125</v>
      </c>
      <c r="J32" s="25">
        <v>1</v>
      </c>
      <c r="K32" s="25">
        <f>LOOKUP(use_fish!B32,base_fish!A:A,base_fish!G:G)</f>
        <v>0</v>
      </c>
      <c r="L32" s="25">
        <f t="shared" si="7"/>
        <v>125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8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9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8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9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9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8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9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8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9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 t="s">
        <v>310</v>
      </c>
      <c r="E38" s="23">
        <f>LOOKUP(use_fish!B38,base_fish!A:A,base_fish!C:C)+_xlfn.IFNA(INDEX(activity!F:F,MATCH(use_fish!C38,activity!A:A,0)),0)</f>
        <v>200</v>
      </c>
      <c r="F38" s="23">
        <f t="shared" si="8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9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355</v>
      </c>
      <c r="E39" s="32">
        <f>LOOKUP(use_fish!B39,base_fish!A:A,base_fish!C:C)+_xlfn.IFNA(INDEX(activity!F:F,MATCH(use_fish!C39,activity!A:A,0)),0)</f>
        <v>200</v>
      </c>
      <c r="F39" s="32">
        <f t="shared" si="8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9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355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355</v>
      </c>
      <c r="E41" s="32">
        <f>LOOKUP(use_fish!B41,base_fish!A:A,base_fish!C:C)+_xlfn.IFNA(INDEX(activity!F:F,MATCH(use_fish!C41,activity!A:A,0)),0)</f>
        <v>500</v>
      </c>
      <c r="F41" s="32">
        <f t="shared" si="10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1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355</v>
      </c>
      <c r="E42" s="32">
        <f>LOOKUP(use_fish!B42,base_fish!A:A,base_fish!C:C)+_xlfn.IFNA(INDEX(activity!F:F,MATCH(use_fish!C42,activity!A:A,0)),0)</f>
        <v>300</v>
      </c>
      <c r="F42" s="32">
        <f t="shared" si="10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1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355</v>
      </c>
      <c r="E44" s="32">
        <f>LOOKUP(use_fish!B44,base_fish!A:A,base_fish!C:C)+_xlfn.IFNA(INDEX(activity!F:F,MATCH(use_fish!C44,activity!A:A,0)),0)</f>
        <v>400</v>
      </c>
      <c r="F44" s="32">
        <f t="shared" si="10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1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356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310</v>
      </c>
      <c r="E48" s="36">
        <v>250</v>
      </c>
      <c r="F48" s="36">
        <f t="shared" si="12"/>
        <v>4.0000000000000001E-3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3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356</v>
      </c>
      <c r="E49" s="36">
        <f>LOOKUP(use_fish!B49,base_fish!A:A,base_fish!C:C)+_xlfn.IFNA(INDEX(activity!F:F,MATCH(use_fish!C49,activity!A:A,0)),0)</f>
        <v>500</v>
      </c>
      <c r="F49" s="36">
        <f t="shared" si="12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3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357</v>
      </c>
      <c r="E50" s="36">
        <f>LOOKUP(use_fish!B50,base_fish!A:A,base_fish!C:C)+_xlfn.IFNA(INDEX(activity!F:F,MATCH(use_fish!C50,activity!A:A,0)),0)</f>
        <v>600</v>
      </c>
      <c r="F50" s="36">
        <f t="shared" si="12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3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13" workbookViewId="0">
      <selection activeCell="F38" sqref="F3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245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314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331</v>
      </c>
      <c r="D18" s="4">
        <v>0</v>
      </c>
      <c r="E18" s="4">
        <v>0</v>
      </c>
      <c r="F18">
        <v>150</v>
      </c>
      <c r="G18" t="s">
        <v>313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332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t="s">
        <v>333</v>
      </c>
      <c r="D20" s="4">
        <v>0</v>
      </c>
      <c r="E20" s="4">
        <v>0</v>
      </c>
      <c r="F20">
        <v>150</v>
      </c>
      <c r="G20" t="str">
        <f t="shared" si="1"/>
        <v>钻头弹</v>
      </c>
      <c r="H20">
        <v>24</v>
      </c>
      <c r="I20" t="s">
        <v>195</v>
      </c>
    </row>
    <row r="21" spans="1:9" x14ac:dyDescent="0.2">
      <c r="A21">
        <v>20</v>
      </c>
      <c r="B21">
        <v>19</v>
      </c>
      <c r="C21" t="s">
        <v>334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317</v>
      </c>
      <c r="D22" s="4">
        <v>0</v>
      </c>
      <c r="E22" s="4">
        <v>0</v>
      </c>
      <c r="F22">
        <v>50</v>
      </c>
      <c r="G22" t="s">
        <v>335</v>
      </c>
      <c r="H22">
        <v>26</v>
      </c>
      <c r="I22" t="s">
        <v>206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336</v>
      </c>
      <c r="H23">
        <v>27</v>
      </c>
      <c r="I23" t="s">
        <v>207</v>
      </c>
    </row>
    <row r="24" spans="1:9" x14ac:dyDescent="0.2">
      <c r="A24">
        <v>23</v>
      </c>
      <c r="B24">
        <v>20</v>
      </c>
      <c r="C24" s="11" t="s">
        <v>337</v>
      </c>
      <c r="D24" s="4">
        <v>0</v>
      </c>
      <c r="E24" s="4">
        <v>0</v>
      </c>
      <c r="F24">
        <v>250</v>
      </c>
      <c r="G24" t="s">
        <v>338</v>
      </c>
      <c r="H24">
        <v>28</v>
      </c>
      <c r="I24" t="s">
        <v>205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339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340</v>
      </c>
      <c r="D26" s="4">
        <v>0</v>
      </c>
      <c r="E26" s="4">
        <v>0</v>
      </c>
      <c r="F26">
        <v>10</v>
      </c>
      <c r="G26" t="s">
        <v>341</v>
      </c>
      <c r="H26">
        <v>30</v>
      </c>
      <c r="I26" t="s">
        <v>309</v>
      </c>
    </row>
    <row r="27" spans="1:9" x14ac:dyDescent="0.2">
      <c r="A27">
        <v>26</v>
      </c>
      <c r="B27">
        <v>21</v>
      </c>
      <c r="C27" s="11" t="s">
        <v>342</v>
      </c>
      <c r="D27" s="4">
        <v>0</v>
      </c>
      <c r="E27" s="4">
        <v>0</v>
      </c>
      <c r="F27">
        <v>50</v>
      </c>
      <c r="G27" t="s">
        <v>343</v>
      </c>
      <c r="H27">
        <v>31</v>
      </c>
      <c r="I27" t="s">
        <v>320</v>
      </c>
    </row>
    <row r="28" spans="1:9" x14ac:dyDescent="0.2">
      <c r="A28">
        <v>27</v>
      </c>
      <c r="B28">
        <v>21</v>
      </c>
      <c r="C28" s="11" t="s">
        <v>344</v>
      </c>
      <c r="D28" s="4">
        <v>0</v>
      </c>
      <c r="E28" s="4">
        <v>0</v>
      </c>
      <c r="F28">
        <v>100</v>
      </c>
      <c r="G28" t="s">
        <v>345</v>
      </c>
      <c r="H28">
        <v>32</v>
      </c>
      <c r="I28" t="s">
        <v>321</v>
      </c>
    </row>
    <row r="29" spans="1:9" x14ac:dyDescent="0.2">
      <c r="A29">
        <v>28</v>
      </c>
      <c r="B29">
        <v>22</v>
      </c>
      <c r="C29" s="11" t="s">
        <v>346</v>
      </c>
      <c r="D29" s="4">
        <v>0</v>
      </c>
      <c r="E29" s="4">
        <v>0</v>
      </c>
      <c r="F29">
        <v>100</v>
      </c>
      <c r="G29" t="s">
        <v>347</v>
      </c>
      <c r="H29">
        <v>33</v>
      </c>
      <c r="I29" t="s">
        <v>322</v>
      </c>
    </row>
    <row r="30" spans="1:9" x14ac:dyDescent="0.2">
      <c r="A30">
        <v>29</v>
      </c>
      <c r="B30">
        <v>23</v>
      </c>
      <c r="C30" t="s">
        <v>348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349</v>
      </c>
      <c r="D31" s="4">
        <v>0</v>
      </c>
      <c r="E31" s="4">
        <v>0</v>
      </c>
      <c r="F31">
        <v>500</v>
      </c>
      <c r="G31" t="s">
        <v>350</v>
      </c>
    </row>
    <row r="32" spans="1:9" x14ac:dyDescent="0.2">
      <c r="A32">
        <v>31</v>
      </c>
      <c r="B32">
        <v>25</v>
      </c>
      <c r="C32" t="s">
        <v>351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351</v>
      </c>
      <c r="D33" s="4">
        <v>0</v>
      </c>
      <c r="E33" s="4">
        <v>0</v>
      </c>
      <c r="F33">
        <v>100</v>
      </c>
      <c r="G33" t="s">
        <v>350</v>
      </c>
    </row>
    <row r="34" spans="1:7" x14ac:dyDescent="0.2">
      <c r="A34">
        <v>33</v>
      </c>
      <c r="B34">
        <v>29</v>
      </c>
      <c r="C34" t="s">
        <v>351</v>
      </c>
      <c r="D34" s="4">
        <v>0</v>
      </c>
      <c r="E34" s="4">
        <v>0</v>
      </c>
      <c r="F34">
        <v>100</v>
      </c>
      <c r="G34" t="s">
        <v>352</v>
      </c>
    </row>
    <row r="35" spans="1:7" x14ac:dyDescent="0.2">
      <c r="A35">
        <v>34</v>
      </c>
      <c r="B35">
        <v>30</v>
      </c>
      <c r="C35" s="11" t="s">
        <v>308</v>
      </c>
      <c r="D35" s="4">
        <v>0</v>
      </c>
      <c r="E35" s="4">
        <v>0</v>
      </c>
      <c r="F35">
        <v>200</v>
      </c>
      <c r="G35" t="s">
        <v>309</v>
      </c>
    </row>
    <row r="36" spans="1:7" x14ac:dyDescent="0.2">
      <c r="A36">
        <v>35</v>
      </c>
      <c r="B36">
        <v>31</v>
      </c>
      <c r="C36" t="s">
        <v>353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354</v>
      </c>
      <c r="D37" s="4">
        <v>0</v>
      </c>
      <c r="E37" s="4">
        <v>0</v>
      </c>
      <c r="F37">
        <v>500</v>
      </c>
      <c r="G37" t="s">
        <v>321</v>
      </c>
    </row>
    <row r="38" spans="1:7" x14ac:dyDescent="0.2">
      <c r="A38">
        <v>37</v>
      </c>
      <c r="B38">
        <v>33</v>
      </c>
      <c r="C38" t="s">
        <v>323</v>
      </c>
      <c r="D38" s="4">
        <v>0</v>
      </c>
      <c r="E38" s="4">
        <v>0</v>
      </c>
      <c r="F38">
        <v>500</v>
      </c>
      <c r="G38" t="s">
        <v>322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31" sqref="C3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225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242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227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228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326</v>
      </c>
      <c r="D25" s="15" t="s">
        <v>327</v>
      </c>
      <c r="E25" s="17" t="s">
        <v>229</v>
      </c>
      <c r="F25" s="15" t="s">
        <v>326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152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230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247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212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157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306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235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236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237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238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239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152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307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240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241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324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2020-05-26T06:12:25Z</dcterms:modified>
</cp:coreProperties>
</file>