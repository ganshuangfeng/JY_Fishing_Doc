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firstSheet="1" activeTab="7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externalReferences>
    <externalReference r:id="rId20"/>
  </externalReferences>
  <definedNames>
    <definedName name="_xlnm._FilterDatabase" localSheetId="5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33" i="5" l="1"/>
  <c r="G32" i="5"/>
  <c r="G31" i="5"/>
  <c r="F28" i="14" l="1"/>
  <c r="F27" i="14"/>
  <c r="F26" i="14"/>
  <c r="F24" i="14"/>
  <c r="F23" i="14"/>
  <c r="F22" i="14"/>
  <c r="F21" i="14"/>
  <c r="G36" i="5" l="1"/>
  <c r="E48" i="14" l="1"/>
  <c r="E49" i="14"/>
  <c r="E50" i="14"/>
  <c r="I49" i="7"/>
  <c r="G20" i="5" l="1"/>
  <c r="H25" i="14" l="1"/>
  <c r="H26" i="14"/>
  <c r="H27" i="14"/>
  <c r="K24" i="14"/>
  <c r="K25" i="14"/>
  <c r="K26" i="14"/>
  <c r="K27" i="14"/>
  <c r="J3" i="7" l="1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H64" i="7"/>
  <c r="J64" i="7"/>
  <c r="J65" i="7"/>
  <c r="J66" i="7"/>
  <c r="J67" i="7"/>
  <c r="J2" i="7"/>
  <c r="G30" i="5" l="1"/>
  <c r="G21" i="5"/>
  <c r="G19" i="5"/>
  <c r="J40" i="7" l="1"/>
  <c r="L25" i="14"/>
  <c r="J39" i="7"/>
  <c r="F26" i="1"/>
  <c r="I26" i="14" s="1"/>
  <c r="D26" i="1"/>
  <c r="H40" i="7" l="1"/>
  <c r="L26" i="14"/>
  <c r="I40" i="7"/>
  <c r="E39" i="14"/>
  <c r="H53" i="7" s="1"/>
  <c r="F38" i="1"/>
  <c r="F51" i="1" l="1"/>
  <c r="D51" i="1"/>
  <c r="I7" i="14" l="1"/>
  <c r="F7" i="14"/>
  <c r="F7" i="1"/>
  <c r="D7" i="1"/>
  <c r="D39" i="1" l="1"/>
  <c r="D40" i="1"/>
  <c r="D41" i="1"/>
  <c r="D42" i="1"/>
  <c r="D43" i="1"/>
  <c r="D44" i="1"/>
  <c r="D45" i="1"/>
  <c r="D46" i="1"/>
  <c r="D47" i="1"/>
  <c r="D48" i="1"/>
  <c r="D49" i="1"/>
  <c r="D50" i="1"/>
  <c r="E9" i="14" l="1"/>
  <c r="E10" i="14"/>
  <c r="E11" i="14"/>
  <c r="E12" i="14"/>
  <c r="E13" i="14"/>
  <c r="E14" i="14"/>
  <c r="E15" i="14"/>
  <c r="H29" i="7" s="1"/>
  <c r="E16" i="14"/>
  <c r="E17" i="14"/>
  <c r="H31" i="7" s="1"/>
  <c r="E18" i="14"/>
  <c r="H32" i="7" s="1"/>
  <c r="E19" i="14"/>
  <c r="H33" i="7" s="1"/>
  <c r="E20" i="14"/>
  <c r="H34" i="7" s="1"/>
  <c r="H35" i="7"/>
  <c r="H36" i="7"/>
  <c r="H37" i="7"/>
  <c r="H38" i="7"/>
  <c r="H41" i="7"/>
  <c r="H42" i="7"/>
  <c r="E29" i="14"/>
  <c r="H43" i="7" s="1"/>
  <c r="E30" i="14"/>
  <c r="H44" i="7" s="1"/>
  <c r="E31" i="14"/>
  <c r="H45" i="7" s="1"/>
  <c r="E32" i="14"/>
  <c r="H46" i="7" s="1"/>
  <c r="F39" i="1"/>
  <c r="F40" i="1"/>
  <c r="F41" i="1"/>
  <c r="F42" i="1"/>
  <c r="F43" i="1"/>
  <c r="F44" i="1"/>
  <c r="F45" i="1"/>
  <c r="F46" i="1"/>
  <c r="F47" i="1"/>
  <c r="F48" i="1"/>
  <c r="I48" i="14" s="1"/>
  <c r="F49" i="1"/>
  <c r="I49" i="14" s="1"/>
  <c r="F50" i="1"/>
  <c r="I50" i="14" s="1"/>
  <c r="I64" i="7" s="1"/>
  <c r="F28" i="1"/>
  <c r="F29" i="1"/>
  <c r="F30" i="1"/>
  <c r="F24" i="1"/>
  <c r="I24" i="14" s="1"/>
  <c r="I38" i="7" s="1"/>
  <c r="D24" i="1"/>
  <c r="F9" i="1"/>
  <c r="I9" i="14" s="1"/>
  <c r="F10" i="1"/>
  <c r="I10" i="14" s="1"/>
  <c r="D9" i="1"/>
  <c r="D10" i="1"/>
  <c r="I9" i="7" l="1"/>
  <c r="H11" i="7"/>
  <c r="H12" i="7"/>
  <c r="H24" i="7"/>
  <c r="H28" i="7"/>
  <c r="H25" i="7"/>
  <c r="H10" i="7"/>
  <c r="H17" i="7"/>
  <c r="H26" i="7"/>
  <c r="H30" i="7"/>
  <c r="L10" i="14"/>
  <c r="I10" i="7"/>
  <c r="H23" i="7"/>
  <c r="H27" i="7"/>
  <c r="H22" i="7"/>
  <c r="H9" i="7"/>
  <c r="L24" i="14"/>
  <c r="L9" i="14"/>
  <c r="F10" i="14"/>
  <c r="F9" i="14"/>
  <c r="D38" i="1"/>
  <c r="E8" i="14" l="1"/>
  <c r="H8" i="7" l="1"/>
  <c r="H16" i="7"/>
  <c r="H67" i="7"/>
  <c r="H15" i="7"/>
  <c r="F32" i="1"/>
  <c r="F33" i="1"/>
  <c r="F34" i="1"/>
  <c r="F36" i="1"/>
  <c r="F37" i="1"/>
  <c r="D37" i="1"/>
  <c r="D36" i="1" l="1"/>
  <c r="H31" i="14" l="1"/>
  <c r="H32" i="14"/>
  <c r="D35" i="1"/>
  <c r="D34" i="1"/>
  <c r="D28" i="1"/>
  <c r="D29" i="1"/>
  <c r="D30" i="1"/>
  <c r="D31" i="1"/>
  <c r="D32" i="1"/>
  <c r="D33" i="1"/>
  <c r="K50" i="14"/>
  <c r="H63" i="7"/>
  <c r="K49" i="14"/>
  <c r="K48" i="14"/>
  <c r="K47" i="14"/>
  <c r="E47" i="14"/>
  <c r="K46" i="14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F39" i="14"/>
  <c r="K38" i="14"/>
  <c r="E38" i="14"/>
  <c r="K37" i="14"/>
  <c r="E37" i="14"/>
  <c r="K36" i="14"/>
  <c r="E36" i="14"/>
  <c r="K35" i="14"/>
  <c r="E35" i="14"/>
  <c r="K34" i="14"/>
  <c r="E34" i="14"/>
  <c r="K33" i="14"/>
  <c r="E33" i="14"/>
  <c r="F8" i="1"/>
  <c r="D8" i="1"/>
  <c r="F8" i="14"/>
  <c r="F29" i="14"/>
  <c r="K29" i="14"/>
  <c r="F30" i="14"/>
  <c r="I30" i="14"/>
  <c r="K30" i="14"/>
  <c r="F31" i="14"/>
  <c r="K31" i="14"/>
  <c r="F32" i="14"/>
  <c r="K32" i="14"/>
  <c r="F20" i="14"/>
  <c r="K20" i="14"/>
  <c r="H21" i="14"/>
  <c r="K21" i="14"/>
  <c r="K22" i="14"/>
  <c r="H23" i="14"/>
  <c r="K23" i="14"/>
  <c r="H24" i="14"/>
  <c r="H28" i="14"/>
  <c r="K28" i="14"/>
  <c r="I29" i="14"/>
  <c r="F31" i="1"/>
  <c r="I31" i="14" s="1"/>
  <c r="I45" i="7" s="1"/>
  <c r="I32" i="14"/>
  <c r="I46" i="7" s="1"/>
  <c r="H48" i="14"/>
  <c r="N3" i="14"/>
  <c r="N4" i="14"/>
  <c r="N5" i="14"/>
  <c r="N6" i="14"/>
  <c r="N7" i="14"/>
  <c r="N8" i="14"/>
  <c r="N9" i="14"/>
  <c r="N10" i="14"/>
  <c r="N11" i="14"/>
  <c r="N2" i="14"/>
  <c r="E2" i="14"/>
  <c r="D27" i="1"/>
  <c r="F27" i="1"/>
  <c r="I27" i="14" s="1"/>
  <c r="I41" i="7" s="1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" i="14"/>
  <c r="D2" i="1"/>
  <c r="F2" i="1"/>
  <c r="F3" i="1"/>
  <c r="F4" i="1"/>
  <c r="I4" i="14" s="1"/>
  <c r="F5" i="1"/>
  <c r="F6" i="1"/>
  <c r="F11" i="1"/>
  <c r="I11" i="14" s="1"/>
  <c r="F12" i="1"/>
  <c r="I12" i="14"/>
  <c r="L12" i="14" s="1"/>
  <c r="F13" i="1"/>
  <c r="F16" i="1"/>
  <c r="I62" i="7" s="1"/>
  <c r="F15" i="1"/>
  <c r="I15" i="14" s="1"/>
  <c r="F17" i="1"/>
  <c r="I17" i="14" s="1"/>
  <c r="F18" i="1"/>
  <c r="F19" i="1"/>
  <c r="I19" i="14" s="1"/>
  <c r="I33" i="7" s="1"/>
  <c r="F20" i="1"/>
  <c r="E3" i="14"/>
  <c r="E4" i="14"/>
  <c r="H19" i="7" s="1"/>
  <c r="E5" i="14"/>
  <c r="E6" i="14"/>
  <c r="F12" i="14"/>
  <c r="F13" i="14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 s="1"/>
  <c r="I61" i="7" s="1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 s="1"/>
  <c r="G15" i="5"/>
  <c r="H41" i="14" s="1"/>
  <c r="G5" i="5"/>
  <c r="G7" i="5"/>
  <c r="H19" i="14" s="1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 s="1"/>
  <c r="G10" i="5"/>
  <c r="I45" i="14"/>
  <c r="I59" i="7" s="1"/>
  <c r="I13" i="14"/>
  <c r="F47" i="14" l="1"/>
  <c r="H61" i="7"/>
  <c r="I16" i="14"/>
  <c r="I30" i="7" s="1"/>
  <c r="I12" i="7"/>
  <c r="I11" i="7"/>
  <c r="L17" i="14"/>
  <c r="I31" i="7"/>
  <c r="F34" i="14"/>
  <c r="H48" i="7"/>
  <c r="F36" i="14"/>
  <c r="H50" i="7"/>
  <c r="H52" i="7"/>
  <c r="F40" i="14"/>
  <c r="H54" i="7"/>
  <c r="F42" i="14"/>
  <c r="H56" i="7"/>
  <c r="F44" i="14"/>
  <c r="H58" i="7"/>
  <c r="H60" i="7"/>
  <c r="L30" i="14"/>
  <c r="I44" i="7"/>
  <c r="H14" i="7"/>
  <c r="H66" i="7"/>
  <c r="H21" i="7"/>
  <c r="L29" i="14"/>
  <c r="I43" i="7"/>
  <c r="F49" i="14"/>
  <c r="H62" i="7"/>
  <c r="I27" i="7"/>
  <c r="I17" i="7"/>
  <c r="H18" i="7"/>
  <c r="H65" i="7"/>
  <c r="H20" i="7"/>
  <c r="H13" i="7"/>
  <c r="L15" i="14"/>
  <c r="I29" i="7"/>
  <c r="H3" i="7"/>
  <c r="H7" i="7"/>
  <c r="H6" i="7"/>
  <c r="H2" i="7"/>
  <c r="H4" i="7"/>
  <c r="H5" i="7"/>
  <c r="F33" i="14"/>
  <c r="H47" i="7"/>
  <c r="F35" i="14"/>
  <c r="H49" i="7"/>
  <c r="F37" i="14"/>
  <c r="H51" i="7"/>
  <c r="F41" i="14"/>
  <c r="H55" i="7"/>
  <c r="H57" i="7"/>
  <c r="H59" i="7"/>
  <c r="H20" i="14"/>
  <c r="H30" i="14"/>
  <c r="L19" i="14"/>
  <c r="F50" i="14"/>
  <c r="I43" i="14"/>
  <c r="I39" i="14"/>
  <c r="I53" i="7" s="1"/>
  <c r="I20" i="14"/>
  <c r="I34" i="7" s="1"/>
  <c r="I41" i="14"/>
  <c r="I8" i="14"/>
  <c r="I2" i="14"/>
  <c r="I28" i="14"/>
  <c r="I42" i="7" s="1"/>
  <c r="H46" i="14"/>
  <c r="H50" i="14"/>
  <c r="H42" i="14"/>
  <c r="H49" i="14"/>
  <c r="H45" i="14"/>
  <c r="H47" i="14"/>
  <c r="H43" i="14"/>
  <c r="H34" i="14"/>
  <c r="H39" i="14"/>
  <c r="H33" i="14"/>
  <c r="H36" i="14"/>
  <c r="H37" i="14"/>
  <c r="H38" i="14"/>
  <c r="H29" i="14"/>
  <c r="H40" i="14"/>
  <c r="H44" i="14"/>
  <c r="I23" i="14"/>
  <c r="I37" i="7" s="1"/>
  <c r="I18" i="14"/>
  <c r="I38" i="14"/>
  <c r="I36" i="14"/>
  <c r="I14" i="14"/>
  <c r="F3" i="14"/>
  <c r="L16" i="14"/>
  <c r="I5" i="14"/>
  <c r="F17" i="14"/>
  <c r="L45" i="14"/>
  <c r="F16" i="14"/>
  <c r="F4" i="14"/>
  <c r="F15" i="14"/>
  <c r="F48" i="14"/>
  <c r="F5" i="14"/>
  <c r="L11" i="14"/>
  <c r="F2" i="14"/>
  <c r="F6" i="14"/>
  <c r="L4" i="14"/>
  <c r="L47" i="14"/>
  <c r="L49" i="14"/>
  <c r="L27" i="14"/>
  <c r="L32" i="14"/>
  <c r="L31" i="14"/>
  <c r="F11" i="14"/>
  <c r="I63" i="7"/>
  <c r="I44" i="14"/>
  <c r="I58" i="7" s="1"/>
  <c r="I37" i="14"/>
  <c r="I51" i="7" s="1"/>
  <c r="I42" i="14"/>
  <c r="I56" i="7" s="1"/>
  <c r="I34" i="14"/>
  <c r="I48" i="7" s="1"/>
  <c r="L13" i="14"/>
  <c r="I46" i="14"/>
  <c r="I60" i="7" s="1"/>
  <c r="I40" i="14"/>
  <c r="I54" i="7" s="1"/>
  <c r="I33" i="14"/>
  <c r="I47" i="7" s="1"/>
  <c r="I6" i="14"/>
  <c r="I3" i="14"/>
  <c r="I22" i="14"/>
  <c r="I36" i="7" s="1"/>
  <c r="I21" i="14"/>
  <c r="I35" i="7" s="1"/>
  <c r="I22" i="7" l="1"/>
  <c r="I19" i="7"/>
  <c r="I26" i="7"/>
  <c r="L18" i="14"/>
  <c r="I32" i="7"/>
  <c r="I8" i="7"/>
  <c r="I16" i="7"/>
  <c r="I67" i="7"/>
  <c r="I15" i="7"/>
  <c r="L43" i="14"/>
  <c r="I57" i="7"/>
  <c r="L38" i="14"/>
  <c r="I52" i="7"/>
  <c r="L41" i="14"/>
  <c r="I55" i="7"/>
  <c r="I23" i="7"/>
  <c r="I4" i="7"/>
  <c r="I3" i="7"/>
  <c r="I7" i="7"/>
  <c r="I5" i="7"/>
  <c r="I6" i="7"/>
  <c r="I2" i="7"/>
  <c r="L14" i="14"/>
  <c r="I24" i="7"/>
  <c r="I28" i="7"/>
  <c r="I25" i="7"/>
  <c r="I66" i="7"/>
  <c r="I14" i="7"/>
  <c r="I21" i="7"/>
  <c r="I20" i="7"/>
  <c r="I18" i="7"/>
  <c r="I13" i="7"/>
  <c r="I65" i="7"/>
  <c r="L36" i="14"/>
  <c r="I50" i="7"/>
  <c r="L23" i="14"/>
  <c r="L28" i="14"/>
  <c r="L20" i="14"/>
  <c r="L39" i="14"/>
  <c r="L8" i="14"/>
  <c r="L2" i="14"/>
  <c r="L7" i="14"/>
  <c r="L5" i="14"/>
  <c r="L21" i="14"/>
  <c r="L22" i="14"/>
  <c r="L3" i="14"/>
  <c r="L6" i="14"/>
  <c r="L33" i="14"/>
  <c r="L40" i="14"/>
  <c r="L46" i="14"/>
  <c r="L34" i="14"/>
  <c r="L35" i="14"/>
  <c r="L42" i="14"/>
  <c r="L48" i="14"/>
  <c r="L37" i="14"/>
  <c r="L44" i="14"/>
  <c r="L50" i="14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<sst xmlns="http://schemas.openxmlformats.org/spreadsheetml/2006/main" count="478" uniqueCount="373">
  <si>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</si>
  <si>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</si>
  <si>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</si>
  <si>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</si>
  <si>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</si>
  <si>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</si>
  <si>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</si>
  <si>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</si>
  <si>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</si>
  <si>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</si>
  <si>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</si>
  <si>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</si>
  <si>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</si>
  <si>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</si>
  <si>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</si>
  <si>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</si>
  <si>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</si>
  <si>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</si>
  <si>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</si>
  <si>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</si>
  <si>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</si>
  <si>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</si>
  <si>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</si>
  <si>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</si>
  <si>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</si>
  <si>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</si>
  <si>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</si>
  <si>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</si>
  <si>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</si>
  <si>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</si>
  <si>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</si>
  <si>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</si>
  <si>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</si>
  <si>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</si>
  <si>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</si>
  <si>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</si>
  <si>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</si>
  <si>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</si>
  <si>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</si>
  <si>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</si>
  <si>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</si>
  <si>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</si>
  <si>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</si>
  <si>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</si>
  <si>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</si>
  <si>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</si>
  <si>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</si>
  <si>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</si>
  <si>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</si>
  <si>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</si>
  <si>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</si>
  <si>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</si>
  <si>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</si>
  <si>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</si>
  <si>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</si>
  <si>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</si>
  <si>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</si>
  <si>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</si>
  <si>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</si>
  <si>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</si>
  <si>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</si>
  <si>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</si>
  <si>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</si>
  <si>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</si>
  <si>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</si>
  <si>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</si>
  <si>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</si>
  <si>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</si>
  <si>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</si>
  <si>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</si>
  <si>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</si>
  <si>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</si>
  <si>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</si>
  <si>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</si>
  <si>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</si>
  <si>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</si>
  <si>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</si>
  <si>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</si>
  <si>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</si>
  <si>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</si>
  <si>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</si>
  <si>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</si>
  <si>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</si>
  <si>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</si>
  <si>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</si>
  <si>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</si>
  <si>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</si>
  <si>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</si>
  <si>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</si>
  <si>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</si>
  <si>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</si>
  <si>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</si>
  <si>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</si>
  <si>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</si>
  <si>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</si>
  <si>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</si>
  <si>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</si>
  <si>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</si>
  <si>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</si>
  <si>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</si>
  <si>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</si>
  <si>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</si>
  <si>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</si>
  <si>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</si>
  <si>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</si>
  <si>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</si>
  <si>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</si>
  <si>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</si>
  <si>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</si>
  <si>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</si>
  <si>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</si>
  <si>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</si>
  <si>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</si>
  <si>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</si>
  <si>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</si>
  <si>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</si>
  <si>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</si>
  <si>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</si>
  <si>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</si>
  <si>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</si>
  <si>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</si>
  <si>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</si>
  <si>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</si>
  <si>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</si>
  <si>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</si>
  <si>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</si>
  <si>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</si>
  <si>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</si>
  <si>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</si>
  <si>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</si>
  <si>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</si>
  <si>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</si>
  <si>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</si>
  <si>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</si>
  <si>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</si>
  <si>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</si>
  <si>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</si>
  <si>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</si>
  <si>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</si>
  <si>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</si>
  <si>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</si>
  <si>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</si>
  <si>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</si>
  <si>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</si>
  <si>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</si>
  <si>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</si>
  <si>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100,150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</si>
  <si>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</si>
  <si>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</si>
  <si>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</si>
  <si>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</si>
  <si>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</si>
  <si>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</si>
  <si>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</si>
  <si>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</si>
  <si>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</si>
  <si>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</si>
  <si>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</si>
  <si>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</si>
  <si>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</si>
  <si>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</si>
  <si>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17,</t>
    <phoneticPr fontId="1" type="noConversion"/>
  </si>
  <si>
    <t>18,</t>
    <phoneticPr fontId="1" type="noConversion"/>
  </si>
  <si>
    <t>20,</t>
    <phoneticPr fontId="1" type="noConversion"/>
  </si>
  <si>
    <t>21,</t>
    <phoneticPr fontId="1" type="noConversion"/>
  </si>
  <si>
    <t>23,</t>
    <phoneticPr fontId="1" type="noConversion"/>
  </si>
  <si>
    <t>26,</t>
    <phoneticPr fontId="1" type="noConversion"/>
  </si>
  <si>
    <t>30,</t>
    <phoneticPr fontId="1" type="noConversion"/>
  </si>
  <si>
    <t>4,9,4,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</si>
  <si>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</si>
  <si>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</si>
  <si>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</si>
  <si>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</si>
  <si>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</si>
  <si>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</si>
  <si>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</si>
  <si>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</si>
  <si>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</si>
  <si>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</si>
  <si>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</si>
  <si>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</si>
  <si>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</si>
  <si>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</si>
  <si>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</si>
  <si>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</si>
  <si>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</si>
  <si>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</si>
  <si>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</si>
  <si>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</si>
  <si>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</si>
  <si>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</si>
  <si>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</si>
  <si>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</si>
  <si>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</si>
  <si>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时限免费超级活力子弹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</si>
  <si>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</si>
  <si>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</si>
  <si>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</si>
  <si>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</si>
  <si>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</si>
  <si>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</si>
  <si>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</si>
  <si>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</si>
  <si>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原子弹</t>
    <phoneticPr fontId="1" type="noConversion"/>
  </si>
  <si>
    <t>疯狂原子弹</t>
    <phoneticPr fontId="1" type="noConversion"/>
  </si>
  <si>
    <t>4,</t>
  </si>
  <si>
    <t>5,</t>
  </si>
  <si>
    <t>append_image_id|附加的鱼途id</t>
    <phoneticPr fontId="1" type="noConversion"/>
  </si>
  <si>
    <t>boss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</si>
  <si>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</si>
  <si>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</si>
  <si>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</si>
  <si>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</si>
  <si>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</si>
  <si>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</si>
  <si>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</si>
  <si>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</si>
  <si>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</si>
  <si>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</si>
  <si>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</si>
  <si>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</si>
  <si>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</si>
  <si>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</si>
  <si>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</si>
  <si>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</si>
  <si>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</si>
  <si>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</si>
  <si>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</si>
  <si>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</si>
  <si>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</si>
  <si>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</si>
  <si>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</si>
  <si>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</si>
  <si>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</si>
  <si>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</si>
  <si>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</si>
  <si>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</si>
  <si>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</si>
  <si>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</si>
  <si>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黄金灯笼鱼</t>
    <phoneticPr fontId="1" type="noConversion"/>
  </si>
  <si>
    <t>3,</t>
  </si>
  <si>
    <t>11,</t>
    <phoneticPr fontId="1" type="noConversion"/>
  </si>
  <si>
    <t>80,</t>
    <phoneticPr fontId="1" type="noConversion"/>
  </si>
  <si>
    <t>100,</t>
    <phoneticPr fontId="1" type="noConversion"/>
  </si>
  <si>
    <t>宝藏章鱼</t>
    <phoneticPr fontId="1" type="noConversion"/>
  </si>
  <si>
    <t>3,9,16,22</t>
    <phoneticPr fontId="1" type="noConversion"/>
  </si>
  <si>
    <t>77,39,12,35,16,15,29,5,</t>
  </si>
  <si>
    <t>77,4,11,19,5,34,26,76,</t>
  </si>
  <si>
    <t>fish_3d_yutu_gd_boss</t>
    <phoneticPr fontId="1" type="noConversion"/>
  </si>
  <si>
    <t>ID|鱼组编号</t>
    <phoneticPr fontId="1" type="noConversion"/>
  </si>
  <si>
    <t>fish_type|鱼类型,1A群鱼   2B群鱼  3敢死队  4一网打尽</t>
    <phoneticPr fontId="1" type="noConversion"/>
  </si>
  <si>
    <t>fish_form|鱼组成</t>
    <phoneticPr fontId="1" type="noConversion"/>
  </si>
  <si>
    <t>count|鱼数量，群鱼生效</t>
    <phoneticPr fontId="1" type="noConversion"/>
  </si>
  <si>
    <t>speed|速度</t>
    <phoneticPr fontId="1" type="noConversion"/>
  </si>
  <si>
    <t>int|间隔时间</t>
    <phoneticPr fontId="1" type="noConversion"/>
  </si>
  <si>
    <t>path|一网打尽时路径</t>
    <phoneticPr fontId="1" type="noConversion"/>
  </si>
  <si>
    <t>rate|倍率</t>
    <phoneticPr fontId="1" type="noConversion"/>
  </si>
  <si>
    <t>award_id|奖励组合</t>
    <phoneticPr fontId="1" type="noConversion"/>
  </si>
  <si>
    <t>|辅助</t>
    <phoneticPr fontId="1" type="noConversion"/>
  </si>
  <si>
    <t>4,</t>
    <phoneticPr fontId="1" type="noConversion"/>
  </si>
  <si>
    <t>6,6,6,6,6,6,</t>
    <phoneticPr fontId="1" type="noConversion"/>
  </si>
  <si>
    <t>77,39,12,35,16,15,</t>
    <phoneticPr fontId="1" type="noConversion"/>
  </si>
  <si>
    <t>7,7,7,7,7,7,</t>
    <phoneticPr fontId="1" type="noConversion"/>
  </si>
  <si>
    <t>26,24,7,6,28,4,</t>
    <phoneticPr fontId="1" type="noConversion"/>
  </si>
  <si>
    <t>2,</t>
    <phoneticPr fontId="1" type="noConversion"/>
  </si>
  <si>
    <t>5,</t>
    <phoneticPr fontId="1" type="noConversion"/>
  </si>
  <si>
    <t>8,</t>
    <phoneticPr fontId="1" type="noConversion"/>
  </si>
  <si>
    <t>5,7,5,</t>
    <phoneticPr fontId="1" type="noConversion"/>
  </si>
  <si>
    <t>8,7,8,</t>
    <phoneticPr fontId="1" type="noConversion"/>
  </si>
  <si>
    <t>7,9,7,</t>
    <phoneticPr fontId="1" type="noConversion"/>
  </si>
  <si>
    <t>9,12,9,</t>
    <phoneticPr fontId="1" type="noConversion"/>
  </si>
  <si>
    <t>3,7,17,</t>
    <phoneticPr fontId="1" type="noConversion"/>
  </si>
  <si>
    <t>1,7,14</t>
    <phoneticPr fontId="1" type="noConversion"/>
  </si>
  <si>
    <t>4,5,18,</t>
    <phoneticPr fontId="1" type="noConversion"/>
  </si>
  <si>
    <t>5,8,18,</t>
    <phoneticPr fontId="1" type="noConversion"/>
  </si>
  <si>
    <t>3,9,16</t>
    <phoneticPr fontId="1" type="noConversion"/>
  </si>
  <si>
    <t>12,13,17,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</si>
  <si>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</si>
  <si>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</si>
  <si>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</si>
  <si>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</si>
  <si>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4,10,17,24</t>
    <phoneticPr fontId="1" type="noConversion"/>
  </si>
  <si>
    <t>12,12,12,12,12,</t>
    <phoneticPr fontId="1" type="noConversion"/>
  </si>
  <si>
    <t>79,7,5,32,23,</t>
    <phoneticPr fontId="1" type="noConversion"/>
  </si>
  <si>
    <t>13,13,13,13,13,</t>
    <phoneticPr fontId="1" type="noConversion"/>
  </si>
  <si>
    <t>5,36,31,20,23,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</si>
  <si>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</si>
  <si>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</si>
  <si>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</si>
  <si>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19,</t>
    <phoneticPr fontId="1" type="noConversion"/>
  </si>
  <si>
    <t>22,</t>
    <phoneticPr fontId="1" type="noConversion"/>
  </si>
  <si>
    <t>24,</t>
    <phoneticPr fontId="1" type="noConversion"/>
  </si>
  <si>
    <t>25,</t>
    <phoneticPr fontId="1" type="noConversion"/>
  </si>
  <si>
    <t>27,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</si>
  <si>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</si>
  <si>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</si>
  <si>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</si>
  <si>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46,</t>
    <phoneticPr fontId="1" type="noConversion"/>
  </si>
  <si>
    <t>9,9,9,9,9,9,</t>
    <phoneticPr fontId="1" type="noConversion"/>
  </si>
  <si>
    <t>26,24,7,6,28,4,75,17,</t>
    <phoneticPr fontId="1" type="noConversion"/>
  </si>
  <si>
    <t>10,10,10,10,10,10,</t>
    <phoneticPr fontId="1" type="noConversion"/>
  </si>
  <si>
    <t>11,11,11,11,11,11,</t>
    <phoneticPr fontId="1" type="noConversion"/>
  </si>
  <si>
    <t>fish_3d_yutu_random_boss</t>
    <phoneticPr fontId="1" type="noConversion"/>
  </si>
  <si>
    <t>深海鲸</t>
    <phoneticPr fontId="1" type="noConversion"/>
  </si>
  <si>
    <t>深海狂鲨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</si>
  <si>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</si>
  <si>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</si>
  <si>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</si>
  <si>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fish_3d_yutu_gd_smallboss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</si>
  <si>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</si>
  <si>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</si>
  <si>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0,50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</si>
  <si>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</si>
  <si>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</si>
  <si>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</si>
  <si>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</si>
  <si>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</si>
  <si>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</si>
  <si>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fish_3d_yutu_random_5</t>
    <phoneticPr fontId="1" type="noConversion"/>
  </si>
  <si>
    <t>50,50,50,50,100,</t>
    <phoneticPr fontId="1" type="noConversion"/>
  </si>
  <si>
    <t>0.02,0.02,0.02,0.02,0.01</t>
    <phoneticPr fontId="1" type="noConversion"/>
  </si>
  <si>
    <t>50,50,50,50,100,</t>
    <phoneticPr fontId="1" type="noConversion"/>
  </si>
  <si>
    <t>60,50,50</t>
    <phoneticPr fontId="1" type="noConversion"/>
  </si>
  <si>
    <t>63,2</t>
    <phoneticPr fontId="1" type="noConversion"/>
  </si>
  <si>
    <t>1,</t>
    <phoneticPr fontId="1" type="noConversion"/>
  </si>
  <si>
    <t>财神-50</t>
    <phoneticPr fontId="1" type="noConversion"/>
  </si>
  <si>
    <t>财神-150</t>
    <phoneticPr fontId="1" type="noConversion"/>
  </si>
  <si>
    <t>200,250</t>
    <phoneticPr fontId="1" type="noConversion"/>
  </si>
  <si>
    <t>财神-250</t>
    <phoneticPr fontId="1" type="noConversion"/>
  </si>
  <si>
    <t>财神-450</t>
    <phoneticPr fontId="1" type="noConversion"/>
  </si>
  <si>
    <t>1,0,10,1,20,2,20,</t>
    <phoneticPr fontId="1" type="noConversion"/>
  </si>
  <si>
    <t>初级彩贝</t>
    <phoneticPr fontId="1" type="noConversion"/>
  </si>
  <si>
    <t>1,1,20,2,20,3,10,4,10</t>
    <phoneticPr fontId="1" type="noConversion"/>
  </si>
  <si>
    <t>中级彩贝</t>
    <phoneticPr fontId="1" type="noConversion"/>
  </si>
  <si>
    <t>1,1,20,2,20,3,10,4,10,5,5</t>
    <phoneticPr fontId="1" type="noConversion"/>
  </si>
  <si>
    <t>高级彩贝</t>
    <phoneticPr fontId="1" type="noConversion"/>
  </si>
  <si>
    <t>0,50,3</t>
    <phoneticPr fontId="1" type="noConversion"/>
  </si>
  <si>
    <t>100倍金币爆发</t>
    <phoneticPr fontId="1" type="noConversion"/>
  </si>
  <si>
    <t>10,2,</t>
    <phoneticPr fontId="1" type="noConversion"/>
  </si>
  <si>
    <t>50,50,50,50,100,</t>
    <phoneticPr fontId="1" type="noConversion"/>
  </si>
  <si>
    <t>0.02,0.02,0.02,0.02,0.01</t>
    <phoneticPr fontId="1" type="noConversion"/>
  </si>
  <si>
    <t>250,2,</t>
    <phoneticPr fontId="1" type="noConversion"/>
  </si>
  <si>
    <t>120,180</t>
    <phoneticPr fontId="1" type="noConversion"/>
  </si>
  <si>
    <t>强击弹</t>
    <phoneticPr fontId="1" type="noConversion"/>
  </si>
  <si>
    <t>强击弹（超级火力）</t>
    <phoneticPr fontId="1" type="noConversion"/>
  </si>
  <si>
    <t>强击弹（双倍）</t>
    <phoneticPr fontId="1" type="noConversion"/>
  </si>
  <si>
    <t>50,50,50,50,100,</t>
    <phoneticPr fontId="1" type="noConversion"/>
  </si>
  <si>
    <t>300,</t>
    <phoneticPr fontId="1" type="noConversion"/>
  </si>
  <si>
    <t>疯狂6选一</t>
    <phoneticPr fontId="1" type="noConversion"/>
  </si>
  <si>
    <t>4,20,30,50,100,</t>
    <phoneticPr fontId="1" type="noConversion"/>
  </si>
  <si>
    <t>骰子龟</t>
    <phoneticPr fontId="1" type="noConversion"/>
  </si>
  <si>
    <t>250,2,</t>
    <phoneticPr fontId="1" type="noConversion"/>
  </si>
  <si>
    <t>强击弹（双倍）</t>
    <phoneticPr fontId="1" type="noConversion"/>
  </si>
  <si>
    <t>0,20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</si>
  <si>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</si>
  <si>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</si>
  <si>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</si>
  <si>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0,200</t>
    <phoneticPr fontId="1" type="noConversion"/>
  </si>
  <si>
    <t>0,100</t>
    <phoneticPr fontId="1" type="noConversion"/>
  </si>
  <si>
    <t>0,300</t>
    <phoneticPr fontId="1" type="noConversion"/>
  </si>
  <si>
    <t>0,300</t>
    <phoneticPr fontId="1" type="noConversion"/>
  </si>
  <si>
    <t>0,200</t>
    <phoneticPr fontId="1" type="noConversion"/>
  </si>
  <si>
    <t>0,400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</si>
  <si>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</si>
  <si>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</si>
  <si>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</si>
  <si>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</si>
  <si>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20,</t>
    <phoneticPr fontId="1" type="noConversion"/>
  </si>
  <si>
    <t>连环转盘</t>
    <phoneticPr fontId="1" type="noConversion"/>
  </si>
  <si>
    <t>电磁弹</t>
    <phoneticPr fontId="1" type="noConversion"/>
  </si>
  <si>
    <t>金币转盘</t>
    <phoneticPr fontId="1" type="noConversion"/>
  </si>
  <si>
    <t>200,400</t>
    <phoneticPr fontId="1" type="noConversion"/>
  </si>
  <si>
    <t>200,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</si>
</sst>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48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LBY\HuanLe_doc\config_debug\fish_3d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1"/>
  <sheetViews>
    <sheetView workbookViewId="0">
      <selection activeCell="C6" sqref="C6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19</v>
      </c>
      <c r="B1" s="1" t="s">
        <v>20</v>
      </c>
      <c r="C1" s="1" t="s">
        <v>21</v>
      </c>
      <c r="D1" s="1" t="s">
        <v>22</v>
      </c>
      <c r="E1" s="1" t="s">
        <v>69</v>
      </c>
    </row>
    <row r="2" spans="1:5" x14ac:dyDescent="0.2">
      <c r="A2">
        <v>1</v>
      </c>
      <c r="B2" s="5">
        <v>0.03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0.03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0.03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0.03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0.03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0.03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0.03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0.03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0.03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0.03</v>
      </c>
      <c r="C11">
        <v>0.16</v>
      </c>
      <c r="D11" s="6">
        <v>0.03</v>
      </c>
      <c r="E1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J6" sqref="J6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70</v>
      </c>
      <c r="B1" s="2" t="s">
        <v>71</v>
      </c>
      <c r="C1" s="2" t="s">
        <v>72</v>
      </c>
      <c r="D1" s="2" t="s">
        <v>73</v>
      </c>
      <c r="E1" s="2" t="s">
        <v>74</v>
      </c>
      <c r="F1" s="2" t="s">
        <v>75</v>
      </c>
      <c r="G1" s="2" t="s">
        <v>76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K6" sqref="K6"/>
    </sheetView>
  </sheetViews>
  <sheetFormatPr defaultColWidth="8.875" defaultRowHeight="14.25" x14ac:dyDescent="0.2"/>
  <sheetData>
    <row r="1" spans="1:11" ht="54" x14ac:dyDescent="0.2">
      <c r="A1" s="1" t="s">
        <v>14</v>
      </c>
      <c r="B1" s="1" t="s">
        <v>23</v>
      </c>
      <c r="C1" s="1" t="s">
        <v>24</v>
      </c>
      <c r="D1" s="1" t="s">
        <v>25</v>
      </c>
      <c r="E1" s="1" t="s">
        <v>26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J4" sqref="J4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14</v>
      </c>
      <c r="B1" s="1" t="s">
        <v>112</v>
      </c>
      <c r="C1" s="1" t="s">
        <v>115</v>
      </c>
      <c r="D1" s="1" t="s">
        <v>116</v>
      </c>
      <c r="E1" s="1" t="s">
        <v>123</v>
      </c>
      <c r="F1" s="1" t="s">
        <v>124</v>
      </c>
      <c r="G1" s="1" t="s">
        <v>122</v>
      </c>
    </row>
    <row r="2" spans="1:7" x14ac:dyDescent="0.2">
      <c r="A2" s="2">
        <v>1</v>
      </c>
      <c r="B2" s="2" t="s">
        <v>120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121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208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"/>
  <sheetViews>
    <sheetView workbookViewId="0">
      <selection activeCell="F2" sqref="F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14</v>
      </c>
      <c r="B1" s="1" t="s">
        <v>111</v>
      </c>
      <c r="C1" s="1" t="s">
        <v>196</v>
      </c>
      <c r="D1" s="1" t="s">
        <v>112</v>
      </c>
      <c r="E1" s="1" t="s">
        <v>113</v>
      </c>
      <c r="F1" s="1" t="s">
        <v>114</v>
      </c>
      <c r="G1" s="1" t="s">
        <v>115</v>
      </c>
      <c r="H1" s="1" t="s">
        <v>117</v>
      </c>
      <c r="I1" s="1" t="s">
        <v>118</v>
      </c>
      <c r="J1" s="1" t="s">
        <v>124</v>
      </c>
      <c r="K1" s="1" t="s">
        <v>119</v>
      </c>
      <c r="L1" s="8" t="s">
        <v>198</v>
      </c>
      <c r="M1" s="8" t="s">
        <v>207</v>
      </c>
    </row>
    <row r="2" spans="1:13" x14ac:dyDescent="0.2">
      <c r="A2" s="2">
        <v>1</v>
      </c>
      <c r="B2" s="2" t="s">
        <v>318</v>
      </c>
      <c r="C2" s="2">
        <v>1</v>
      </c>
      <c r="D2" t="s">
        <v>120</v>
      </c>
      <c r="E2" s="2">
        <v>6000</v>
      </c>
      <c r="F2" s="2">
        <v>6000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199</v>
      </c>
      <c r="C3" s="2">
        <v>1</v>
      </c>
      <c r="D3" t="s">
        <v>197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199</v>
      </c>
      <c r="C4" s="2">
        <v>2</v>
      </c>
      <c r="D4" t="s">
        <v>121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199</v>
      </c>
      <c r="C5" s="2">
        <v>3</v>
      </c>
      <c r="D5" t="s">
        <v>121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199</v>
      </c>
      <c r="C6" s="2">
        <v>4</v>
      </c>
      <c r="D6" t="s">
        <v>121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199</v>
      </c>
      <c r="C7" s="2">
        <v>5</v>
      </c>
      <c r="D7" t="s">
        <v>121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199</v>
      </c>
      <c r="C8" s="2">
        <v>6</v>
      </c>
      <c r="D8" t="s">
        <v>121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199</v>
      </c>
      <c r="C9" s="2">
        <v>7</v>
      </c>
      <c r="D9" t="s">
        <v>121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248</v>
      </c>
      <c r="C10" s="2">
        <v>4</v>
      </c>
      <c r="D10" t="s">
        <v>208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302</v>
      </c>
      <c r="C11" s="2">
        <v>1</v>
      </c>
      <c r="D11" t="s">
        <v>120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  <row r="12" spans="1:13" x14ac:dyDescent="0.2">
      <c r="A12" s="2">
        <v>11</v>
      </c>
      <c r="B12" s="2" t="s">
        <v>308</v>
      </c>
      <c r="C12" s="2">
        <v>4</v>
      </c>
      <c r="D12" t="s">
        <v>121</v>
      </c>
      <c r="E12" s="2">
        <v>1200</v>
      </c>
      <c r="F12" s="2">
        <v>1200</v>
      </c>
      <c r="G12" s="2">
        <v>9999999</v>
      </c>
      <c r="H12" s="2">
        <v>9999999</v>
      </c>
      <c r="I12" s="2">
        <v>9999999</v>
      </c>
      <c r="J12" s="2">
        <v>9999999</v>
      </c>
      <c r="K12" s="2">
        <v>0</v>
      </c>
      <c r="L12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topLeftCell="C1" workbookViewId="0">
      <pane ySplit="1" topLeftCell="A2" activePane="bottomLeft" state="frozen"/>
      <selection pane="bottomLeft" activeCell="Q65" sqref="Q65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249</v>
      </c>
      <c r="B1" s="1" t="s">
        <v>250</v>
      </c>
      <c r="C1" s="1" t="s">
        <v>251</v>
      </c>
      <c r="D1" s="1" t="s">
        <v>252</v>
      </c>
      <c r="E1" s="1" t="s">
        <v>253</v>
      </c>
      <c r="F1" s="1" t="s">
        <v>254</v>
      </c>
      <c r="G1" s="1" t="s">
        <v>255</v>
      </c>
      <c r="H1" s="1" t="s">
        <v>97</v>
      </c>
      <c r="I1" s="1" t="s">
        <v>256</v>
      </c>
      <c r="J1" s="9" t="s">
        <v>105</v>
      </c>
      <c r="K1" s="1" t="s">
        <v>257</v>
      </c>
      <c r="L1" s="1" t="s">
        <v>50</v>
      </c>
      <c r="Q1" s="1" t="s">
        <v>258</v>
      </c>
      <c r="R1" s="1" t="s">
        <v>258</v>
      </c>
      <c r="S1" s="1" t="s">
        <v>258</v>
      </c>
      <c r="T1" s="1" t="s">
        <v>258</v>
      </c>
      <c r="U1" s="1" t="s">
        <v>51</v>
      </c>
      <c r="V1" s="1" t="s">
        <v>51</v>
      </c>
      <c r="W1" s="1" t="s">
        <v>51</v>
      </c>
    </row>
    <row r="2" spans="1:23" s="29" customFormat="1" x14ac:dyDescent="0.2">
      <c r="A2" s="29">
        <v>1</v>
      </c>
      <c r="B2" s="29">
        <v>1</v>
      </c>
      <c r="C2" s="29" t="s">
        <v>259</v>
      </c>
      <c r="D2" s="29" t="s">
        <v>159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62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159</v>
      </c>
      <c r="D3" s="29" t="s">
        <v>159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240</v>
      </c>
      <c r="D4" s="29" t="s">
        <v>159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205</v>
      </c>
      <c r="D5" s="29" t="s">
        <v>159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206</v>
      </c>
      <c r="D6" s="29" t="s">
        <v>159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260</v>
      </c>
      <c r="G7" s="45" t="s">
        <v>261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262</v>
      </c>
      <c r="G8" s="45" t="s">
        <v>263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160</v>
      </c>
      <c r="D9" s="29" t="s">
        <v>159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264</v>
      </c>
      <c r="D10" s="29" t="s">
        <v>265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39</v>
      </c>
      <c r="D11" s="29" t="s">
        <v>266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241</v>
      </c>
      <c r="D12" s="29" t="s">
        <v>159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168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267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107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268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269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270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168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271</v>
      </c>
      <c r="G19" s="41" t="s">
        <v>272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273</v>
      </c>
      <c r="G20" s="41" t="s">
        <v>169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274</v>
      </c>
      <c r="G21" s="41" t="s">
        <v>275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276</v>
      </c>
      <c r="G22" s="41" t="s">
        <v>201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277</v>
      </c>
      <c r="G23" s="21" t="s">
        <v>245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278</v>
      </c>
      <c r="G24" s="21" t="s">
        <v>170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163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279</v>
      </c>
      <c r="G25" s="21" t="s">
        <v>171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280</v>
      </c>
      <c r="G26" s="21" t="s">
        <v>281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282</v>
      </c>
      <c r="G27" s="41" t="s">
        <v>283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284</v>
      </c>
      <c r="G28" s="41" t="s">
        <v>285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286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287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288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161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162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289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163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164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84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290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165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105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291</v>
      </c>
      <c r="H39" s="19" t="s">
        <v>339</v>
      </c>
      <c r="I39" s="19" t="s">
        <v>340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292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166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293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294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295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296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173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172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174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175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176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177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178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179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100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100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180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100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100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181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300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300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182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200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200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183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184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200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200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185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186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297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46</v>
      </c>
    </row>
    <row r="62" spans="1:17" s="35" customFormat="1" x14ac:dyDescent="0.2">
      <c r="A62" s="35">
        <v>61</v>
      </c>
      <c r="B62" s="35">
        <v>1</v>
      </c>
      <c r="C62" s="35" t="s">
        <v>187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47</v>
      </c>
    </row>
    <row r="63" spans="1:17" s="35" customFormat="1" x14ac:dyDescent="0.2">
      <c r="A63" s="35">
        <v>62</v>
      </c>
      <c r="B63" s="35">
        <v>1</v>
      </c>
      <c r="C63" s="35" t="s">
        <v>188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48</v>
      </c>
    </row>
    <row r="64" spans="1:17" s="35" customFormat="1" x14ac:dyDescent="0.2">
      <c r="A64" s="35">
        <v>63</v>
      </c>
      <c r="B64" s="35">
        <v>1</v>
      </c>
      <c r="C64" s="35" t="s">
        <v>189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49</v>
      </c>
    </row>
    <row r="65" spans="1:17" s="29" customFormat="1" x14ac:dyDescent="0.2">
      <c r="A65" s="29">
        <v>64</v>
      </c>
      <c r="B65" s="29">
        <v>2</v>
      </c>
      <c r="C65" s="29" t="s">
        <v>298</v>
      </c>
      <c r="G65" s="45" t="s">
        <v>299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10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10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9</v>
      </c>
    </row>
    <row r="66" spans="1:17" s="29" customFormat="1" x14ac:dyDescent="0.2">
      <c r="A66" s="29">
        <v>65</v>
      </c>
      <c r="B66" s="29">
        <v>2</v>
      </c>
      <c r="C66" s="29" t="s">
        <v>300</v>
      </c>
      <c r="G66" s="45" t="s">
        <v>246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12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12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10</v>
      </c>
    </row>
    <row r="67" spans="1:17" s="29" customFormat="1" x14ac:dyDescent="0.2">
      <c r="A67" s="29">
        <v>66</v>
      </c>
      <c r="B67" s="29">
        <v>2</v>
      </c>
      <c r="C67" s="29" t="s">
        <v>301</v>
      </c>
      <c r="G67" s="46" t="s">
        <v>247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15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15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Q67" s="29">
        <v>11</v>
      </c>
    </row>
  </sheetData>
  <autoFilter ref="I1:I46"/>
  <dataConsolidate/>
  <phoneticPr fontId="1" type="noConversion"/>
  <conditionalFormatting sqref="J12">
    <cfRule type="iconSet" priority="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1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27:I38 I1:I11 I41:I64">
    <cfRule type="iconSet" priority="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7:H38 H2:H11 H41:H64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40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40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39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39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[fish_3d_data_config_1.xlsm]activity!#REF!</xm:f>
          </x14:formula1>
          <xm:sqref>L14</xm:sqref>
        </x14:dataValidation>
        <x14:dataValidation type="list" allowBlank="1" showInputMessage="1" showErrorMessage="1">
          <x14:formula1>
            <xm:f>[fish_3d_data_config_1.xlsm]base_fish!#REF!</xm:f>
          </x14:formula1>
          <xm:sqref>L2:L7 L13 L65:L66 L15:L16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zoomScaleNormal="100" workbookViewId="0">
      <pane ySplit="1" topLeftCell="A14" activePane="bottomLeft" state="frozen"/>
      <selection pane="bottomLeft" activeCell="J35" sqref="J35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16</v>
      </c>
      <c r="B1" s="1" t="s">
        <v>200</v>
      </c>
      <c r="C1" s="1" t="s">
        <v>11</v>
      </c>
      <c r="D1" s="1" t="s">
        <v>307</v>
      </c>
      <c r="E1" s="1" t="s">
        <v>98</v>
      </c>
      <c r="F1" s="1" t="s">
        <v>0</v>
      </c>
      <c r="G1" s="1" t="s">
        <v>18</v>
      </c>
      <c r="H1" s="1" t="s">
        <v>13</v>
      </c>
      <c r="I1" s="8" t="s">
        <v>103</v>
      </c>
      <c r="J1" s="8" t="s">
        <v>99</v>
      </c>
      <c r="K1" s="8" t="s">
        <v>106</v>
      </c>
      <c r="L1" s="8" t="s">
        <v>125</v>
      </c>
      <c r="M1" s="8" t="s">
        <v>126</v>
      </c>
      <c r="N1" s="8" t="s">
        <v>192</v>
      </c>
      <c r="O1" s="8" t="s">
        <v>198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17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f>IF(OR(C2=4,C2=5),1,0)</f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17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f t="shared" ref="N3:N11" si="1">IF(OR(C3=4,C3=5),1,0)</f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2">1/E4</f>
        <v>0.33333333333333331</v>
      </c>
      <c r="G4" s="27" t="s">
        <v>17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f t="shared" si="1"/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2"/>
        <v>0.25</v>
      </c>
      <c r="G5" s="27" t="s">
        <v>17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f t="shared" si="1"/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2"/>
        <v>0.2</v>
      </c>
      <c r="G6" s="27" t="s">
        <v>17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f t="shared" si="1"/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v>6</v>
      </c>
      <c r="F7" s="27">
        <f t="shared" si="2"/>
        <v>0.16666666666666666</v>
      </c>
      <c r="G7" s="27" t="s">
        <v>17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f t="shared" si="1"/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2"/>
        <v>0.14285714285714285</v>
      </c>
      <c r="G8" s="27" t="s">
        <v>17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f t="shared" si="1"/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2"/>
        <v>0.125</v>
      </c>
      <c r="G9" s="27" t="s">
        <v>17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f t="shared" si="1"/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2"/>
        <v>0.1</v>
      </c>
      <c r="G10" s="27" t="s">
        <v>17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f t="shared" si="1"/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2"/>
        <v>8.3333333333333329E-2</v>
      </c>
      <c r="G11" s="27" t="s">
        <v>17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f t="shared" si="1"/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2"/>
        <v>6.6666666666666666E-2</v>
      </c>
      <c r="G12" s="27" t="s">
        <v>17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2"/>
        <v>5.5555555555555552E-2</v>
      </c>
      <c r="G13" s="39" t="s">
        <v>17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2"/>
        <v>0.05</v>
      </c>
      <c r="G14" s="39" t="s">
        <v>17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2"/>
        <v>0.04</v>
      </c>
      <c r="G15" s="39" t="s">
        <v>17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2"/>
        <v>3.3333333333333333E-2</v>
      </c>
      <c r="G16" s="39" t="s">
        <v>17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2"/>
        <v>2.8571428571428571E-2</v>
      </c>
      <c r="G17" s="39" t="s">
        <v>17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2"/>
        <v>2.5000000000000001E-2</v>
      </c>
      <c r="G18" s="39" t="s">
        <v>17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2"/>
        <v>1.6666666666666666E-2</v>
      </c>
      <c r="G19" s="39" t="s">
        <v>17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30</v>
      </c>
      <c r="F20" s="39">
        <f t="shared" ref="F20:F28" si="3">1/E20</f>
        <v>3.3333333333333333E-2</v>
      </c>
      <c r="G20" s="39" t="s">
        <v>17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30</v>
      </c>
      <c r="J20" s="41">
        <v>1</v>
      </c>
      <c r="K20" s="41">
        <f>LOOKUP(use_fish!B20,base_fish!A:A,base_fish!G:G)</f>
        <v>0</v>
      </c>
      <c r="L20" s="41">
        <f t="shared" ref="L20:L28" si="4">I20</f>
        <v>30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353</v>
      </c>
      <c r="E21" s="19">
        <v>63</v>
      </c>
      <c r="F21" s="19">
        <f t="shared" si="3"/>
        <v>1.5873015873015872E-2</v>
      </c>
      <c r="G21" s="19" t="s">
        <v>17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60</v>
      </c>
      <c r="J21" s="21">
        <v>1</v>
      </c>
      <c r="K21" s="21">
        <f>LOOKUP(use_fish!B21,base_fish!A:A,base_fish!G:G)</f>
        <v>0</v>
      </c>
      <c r="L21" s="21">
        <f t="shared" si="4"/>
        <v>60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/>
      <c r="E22" s="19">
        <v>84</v>
      </c>
      <c r="F22" s="19">
        <f t="shared" si="3"/>
        <v>1.1904761904761904E-2</v>
      </c>
      <c r="G22" s="19" t="s">
        <v>17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80</v>
      </c>
      <c r="J22" s="21">
        <v>1</v>
      </c>
      <c r="K22" s="21">
        <f>LOOKUP(use_fish!B22,base_fish!A:A,base_fish!G:G)</f>
        <v>0</v>
      </c>
      <c r="L22" s="21">
        <f t="shared" si="4"/>
        <v>80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354</v>
      </c>
      <c r="E23" s="19">
        <v>63</v>
      </c>
      <c r="F23" s="19">
        <f t="shared" si="3"/>
        <v>1.5873015873015872E-2</v>
      </c>
      <c r="G23" s="19" t="s">
        <v>17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60</v>
      </c>
      <c r="J23" s="21">
        <v>1</v>
      </c>
      <c r="K23" s="21">
        <f>LOOKUP(use_fish!B23,base_fish!A:A,base_fish!G:G)</f>
        <v>0</v>
      </c>
      <c r="L23" s="21">
        <f t="shared" si="4"/>
        <v>60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355</v>
      </c>
      <c r="E24" s="19">
        <v>105</v>
      </c>
      <c r="F24" s="19">
        <f t="shared" si="3"/>
        <v>9.5238095238095247E-3</v>
      </c>
      <c r="G24" s="19" t="s">
        <v>17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60</v>
      </c>
      <c r="J24" s="21">
        <v>1</v>
      </c>
      <c r="K24" s="21">
        <f>LOOKUP(use_fish!B24,base_fish!A:A,base_fish!G:G)</f>
        <v>0</v>
      </c>
      <c r="L24" s="21">
        <f t="shared" si="4"/>
        <v>60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365</v>
      </c>
      <c r="F25" s="19" t="s">
        <v>366</v>
      </c>
      <c r="G25" s="19" t="s">
        <v>17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321</v>
      </c>
      <c r="J25" s="21">
        <v>1</v>
      </c>
      <c r="K25" s="21">
        <f>LOOKUP(use_fish!B25,base_fish!A:A,base_fish!G:G)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353</v>
      </c>
      <c r="E26" s="19">
        <v>84</v>
      </c>
      <c r="F26" s="19">
        <f t="shared" si="3"/>
        <v>1.1904761904761904E-2</v>
      </c>
      <c r="G26" s="19" t="s">
        <v>17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80</v>
      </c>
      <c r="J26" s="21">
        <v>1</v>
      </c>
      <c r="K26" s="21">
        <f>LOOKUP(use_fish!B26,base_fish!A:A,base_fish!G:G)</f>
        <v>0</v>
      </c>
      <c r="L26" s="21">
        <f t="shared" si="4"/>
        <v>80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353</v>
      </c>
      <c r="E27" s="19">
        <v>105</v>
      </c>
      <c r="F27" s="19">
        <f t="shared" si="3"/>
        <v>9.5238095238095247E-3</v>
      </c>
      <c r="G27" s="19" t="s">
        <v>17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100</v>
      </c>
      <c r="J27" s="21">
        <v>1</v>
      </c>
      <c r="K27" s="21">
        <f>LOOKUP(use_fish!B27,base_fish!A:A,base_fish!G:G)</f>
        <v>0</v>
      </c>
      <c r="L27" s="21">
        <f t="shared" si="4"/>
        <v>100</v>
      </c>
      <c r="M27" s="21">
        <v>1</v>
      </c>
      <c r="N27" s="21">
        <v>0</v>
      </c>
      <c r="O27" s="21">
        <v>2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356</v>
      </c>
      <c r="E28" s="19">
        <v>105</v>
      </c>
      <c r="F28" s="19">
        <f t="shared" si="3"/>
        <v>9.5238095238095247E-3</v>
      </c>
      <c r="G28" s="19" t="s">
        <v>17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100</v>
      </c>
      <c r="J28" s="21">
        <v>1</v>
      </c>
      <c r="K28" s="21">
        <f>LOOKUP(use_fish!B28,base_fish!A:A,base_fish!G:G)</f>
        <v>0</v>
      </c>
      <c r="L28" s="21">
        <f t="shared" si="4"/>
        <v>100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5">1/E29</f>
        <v>0.01</v>
      </c>
      <c r="G29" s="23" t="s">
        <v>17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6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300</v>
      </c>
      <c r="F30" s="23">
        <f t="shared" si="5"/>
        <v>3.3333333333333335E-3</v>
      </c>
      <c r="G30" s="23" t="s">
        <v>17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300</v>
      </c>
      <c r="J30" s="25">
        <v>1</v>
      </c>
      <c r="K30" s="25">
        <f>LOOKUP(use_fish!B30,base_fish!A:A,base_fish!G:G)</f>
        <v>0</v>
      </c>
      <c r="L30" s="25">
        <f t="shared" si="6"/>
        <v>300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200</v>
      </c>
      <c r="F31" s="23">
        <f t="shared" si="5"/>
        <v>5.0000000000000001E-3</v>
      </c>
      <c r="G31" s="23" t="s">
        <v>17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200</v>
      </c>
      <c r="J31" s="25">
        <v>1</v>
      </c>
      <c r="K31" s="25">
        <f>LOOKUP(use_fish!B31,base_fish!A:A,base_fish!G:G)</f>
        <v>0</v>
      </c>
      <c r="L31" s="25">
        <f t="shared" si="6"/>
        <v>200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39</v>
      </c>
      <c r="D32" s="22"/>
      <c r="E32" s="23">
        <f>LOOKUP(use_fish!B32,base_fish!A:A,base_fish!C:C)+_xlfn.IFNA(INDEX(activity!F:F,MATCH(use_fish!C32,activity!A:A,0)),0)</f>
        <v>250</v>
      </c>
      <c r="F32" s="23">
        <f t="shared" si="5"/>
        <v>4.0000000000000001E-3</v>
      </c>
      <c r="G32" s="23" t="s">
        <v>17</v>
      </c>
      <c r="H32" s="24" t="str">
        <f>INDEX(base_fish!E:E,MATCH(use_fish!B32,base_fish!A:A,0))&amp;_xlfn.IFNA("+"&amp;INDEX(activity!G:G,MATCH(use_fish!C32,activity!A:A,0)),"")</f>
        <v>奇遇蟹+强击弹（双倍）</v>
      </c>
      <c r="I32" s="23">
        <f>LOOKUP(use_fish!B32,base_fish!A:A,base_fish!F:F)+_xlfn.IFNA(INDEX(activity!F:F,MATCH(use_fish!C32,activity!A:A,0)),0)</f>
        <v>250</v>
      </c>
      <c r="J32" s="25">
        <v>1</v>
      </c>
      <c r="K32" s="25">
        <f>LOOKUP(use_fish!B32,base_fish!A:A,base_fish!G:G)</f>
        <v>0</v>
      </c>
      <c r="L32" s="25">
        <f t="shared" si="6"/>
        <v>250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200</v>
      </c>
      <c r="F33" s="23">
        <f t="shared" ref="F33:F39" si="7">1/E33</f>
        <v>5.0000000000000001E-3</v>
      </c>
      <c r="G33" s="23" t="s">
        <v>17</v>
      </c>
      <c r="H33" s="24" t="str">
        <f>INDEX(base_fish!E:E,MATCH(use_fish!B33,base_fish!A:A,0))&amp;_xlfn.IFNA("+"&amp;INDEX(activity!G:G,MATCH(use_fish!C33,activity!A:A,0)),"")</f>
        <v>宝藏章鱼+金币转盘</v>
      </c>
      <c r="I33" s="23">
        <f>LOOKUP(use_fish!B33,base_fish!A:A,base_fish!F:F)+_xlfn.IFNA(INDEX(activity!F:F,MATCH(use_fish!C33,activity!A:A,0)),0)</f>
        <v>200</v>
      </c>
      <c r="J33" s="25">
        <v>1</v>
      </c>
      <c r="K33" s="25">
        <f>LOOKUP(use_fish!B33,base_fish!A:A,base_fish!G:G)</f>
        <v>0</v>
      </c>
      <c r="L33" s="25">
        <f t="shared" ref="L33:L39" si="8">I33</f>
        <v>200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300</v>
      </c>
      <c r="F34" s="23">
        <f t="shared" si="7"/>
        <v>3.3333333333333335E-3</v>
      </c>
      <c r="G34" s="23" t="s">
        <v>17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300</v>
      </c>
      <c r="J34" s="25">
        <v>1</v>
      </c>
      <c r="K34" s="25">
        <f>LOOKUP(use_fish!B34,base_fish!A:A,base_fish!G:G)</f>
        <v>0</v>
      </c>
      <c r="L34" s="25">
        <f t="shared" si="8"/>
        <v>300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200</v>
      </c>
      <c r="F35" s="23">
        <f t="shared" si="7"/>
        <v>5.0000000000000001E-3</v>
      </c>
      <c r="G35" s="23" t="s">
        <v>17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v>20</v>
      </c>
      <c r="J35" s="25">
        <v>1</v>
      </c>
      <c r="K35" s="25">
        <f>LOOKUP(use_fish!B35,base_fish!A:A,base_fish!G:G)</f>
        <v>0</v>
      </c>
      <c r="L35" s="25">
        <f t="shared" si="8"/>
        <v>20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300</v>
      </c>
      <c r="F36" s="23">
        <f t="shared" si="7"/>
        <v>3.3333333333333335E-3</v>
      </c>
      <c r="G36" s="23" t="s">
        <v>17</v>
      </c>
      <c r="H36" s="24" t="str">
        <f>INDEX(base_fish!E:E,MATCH(use_fish!B36,base_fish!A:A,0))&amp;_xlfn.IFNA("+"&amp;INDEX(activity!G:G,MATCH(use_fish!C36,activity!A:A,0)),"")</f>
        <v>金龙转盘+连环转盘</v>
      </c>
      <c r="I36" s="23">
        <f>LOOKUP(use_fish!B36,base_fish!A:A,base_fish!F:F)+_xlfn.IFNA(INDEX(activity!F:F,MATCH(use_fish!C36,activity!A:A,0)),0)</f>
        <v>300</v>
      </c>
      <c r="J36" s="25">
        <v>1</v>
      </c>
      <c r="K36" s="25">
        <f>LOOKUP(use_fish!B36,base_fish!A:A,base_fish!G:G)</f>
        <v>0</v>
      </c>
      <c r="L36" s="25">
        <f t="shared" si="8"/>
        <v>300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300</v>
      </c>
      <c r="F37" s="23">
        <f t="shared" si="7"/>
        <v>3.3333333333333335E-3</v>
      </c>
      <c r="G37" s="23" t="s">
        <v>17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300</v>
      </c>
      <c r="J37" s="25">
        <v>1</v>
      </c>
      <c r="K37" s="25">
        <f>LOOKUP(use_fish!B37,base_fish!A:A,base_fish!G:G)</f>
        <v>0</v>
      </c>
      <c r="L37" s="25">
        <f t="shared" si="8"/>
        <v>300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47"/>
      <c r="E38" s="23">
        <f>LOOKUP(use_fish!B38,base_fish!A:A,base_fish!C:C)+_xlfn.IFNA(INDEX(activity!F:F,MATCH(use_fish!C38,activity!A:A,0)),0)</f>
        <v>0</v>
      </c>
      <c r="F38" s="23">
        <v>0</v>
      </c>
      <c r="G38" s="23" t="s">
        <v>17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0</v>
      </c>
      <c r="J38" s="25">
        <v>1</v>
      </c>
      <c r="K38" s="25">
        <f>LOOKUP(use_fish!B38,base_fish!A:A,base_fish!G:G)</f>
        <v>0</v>
      </c>
      <c r="L38" s="25">
        <f t="shared" si="8"/>
        <v>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/>
      <c r="D39" s="30" t="s">
        <v>357</v>
      </c>
      <c r="E39" s="32">
        <f>LOOKUP(use_fish!B39,base_fish!A:A,base_fish!C:C)+_xlfn.IFNA(INDEX(activity!F:F,MATCH(use_fish!C39,activity!A:A,0)),0)</f>
        <v>100</v>
      </c>
      <c r="F39" s="32">
        <f t="shared" si="7"/>
        <v>0.01</v>
      </c>
      <c r="G39" s="32" t="s">
        <v>17</v>
      </c>
      <c r="H39" s="33" t="str">
        <f>INDEX(base_fish!E:E,MATCH(use_fish!B39,base_fish!A:A,0))&amp;_xlfn.IFNA("+"&amp;INDEX(activity!G:G,MATCH(use_fish!C39,activity!A:A,0)),"")</f>
        <v>黄金巨龙</v>
      </c>
      <c r="I39" s="32">
        <f>LOOKUP(use_fish!B39,base_fish!A:A,base_fish!F:F)+_xlfn.IFNA(INDEX(activity!F:F,MATCH(use_fish!C39,activity!A:A,0)),0)</f>
        <v>100</v>
      </c>
      <c r="J39" s="31">
        <v>2</v>
      </c>
      <c r="K39" s="31">
        <f>LOOKUP(use_fish!B39,base_fish!A:A,base_fish!G:G)</f>
        <v>0</v>
      </c>
      <c r="L39" s="31">
        <f t="shared" si="8"/>
        <v>100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/>
      <c r="D40" s="30" t="s">
        <v>358</v>
      </c>
      <c r="E40" s="32">
        <f>LOOKUP(use_fish!B40,base_fish!A:A,base_fish!C:C)+_xlfn.IFNA(INDEX(activity!F:F,MATCH(use_fish!C40,activity!A:A,0)),0)</f>
        <v>100</v>
      </c>
      <c r="F40" s="32">
        <f t="shared" ref="F40:F44" si="9">1/E40</f>
        <v>0.01</v>
      </c>
      <c r="G40" s="32" t="s">
        <v>17</v>
      </c>
      <c r="H40" s="33" t="str">
        <f>INDEX(base_fish!E:E,MATCH(use_fish!B40,base_fish!A:A,0))&amp;_xlfn.IFNA("+"&amp;INDEX(activity!G:G,MATCH(use_fish!C40,activity!A:A,0)),"")</f>
        <v>霸王蟹</v>
      </c>
      <c r="I40" s="32">
        <f>LOOKUP(use_fish!B40,base_fish!A:A,base_fish!F:F)+_xlfn.IFNA(INDEX(activity!F:F,MATCH(use_fish!C40,activity!A:A,0)),0)</f>
        <v>100</v>
      </c>
      <c r="J40" s="31">
        <v>1</v>
      </c>
      <c r="K40" s="31">
        <f>LOOKUP(use_fish!B40,base_fish!A:A,base_fish!G:G)</f>
        <v>0</v>
      </c>
      <c r="L40" s="31">
        <f t="shared" ref="L40:L45" si="10">I40</f>
        <v>100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/>
      <c r="D41" s="30" t="s">
        <v>359</v>
      </c>
      <c r="E41" s="32">
        <f>LOOKUP(use_fish!B41,base_fish!A:A,base_fish!C:C)+_xlfn.IFNA(INDEX(activity!F:F,MATCH(use_fish!C41,activity!A:A,0)),0)</f>
        <v>300</v>
      </c>
      <c r="F41" s="32">
        <f t="shared" si="9"/>
        <v>3.3333333333333335E-3</v>
      </c>
      <c r="G41" s="32" t="s">
        <v>17</v>
      </c>
      <c r="H41" s="33" t="str">
        <f>INDEX(base_fish!E:E,MATCH(use_fish!B41,base_fish!A:A,0))&amp;_xlfn.IFNA("+"&amp;INDEX(activity!G:G,MATCH(use_fish!C41,activity!A:A,0)),"")</f>
        <v>深海鲸</v>
      </c>
      <c r="I41" s="32">
        <f>LOOKUP(use_fish!B41,base_fish!A:A,base_fish!F:F)+_xlfn.IFNA(INDEX(activity!F:F,MATCH(use_fish!C41,activity!A:A,0)),0)</f>
        <v>300</v>
      </c>
      <c r="J41" s="31">
        <v>1</v>
      </c>
      <c r="K41" s="31">
        <f>LOOKUP(use_fish!B41,base_fish!A:A,base_fish!G:G)</f>
        <v>0</v>
      </c>
      <c r="L41" s="31">
        <f t="shared" si="10"/>
        <v>300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/>
      <c r="D42" s="30" t="s">
        <v>358</v>
      </c>
      <c r="E42" s="32">
        <f>LOOKUP(use_fish!B42,base_fish!A:A,base_fish!C:C)+_xlfn.IFNA(INDEX(activity!F:F,MATCH(use_fish!C42,activity!A:A,0)),0)</f>
        <v>200</v>
      </c>
      <c r="F42" s="32">
        <f t="shared" si="9"/>
        <v>5.0000000000000001E-3</v>
      </c>
      <c r="G42" s="32" t="s">
        <v>17</v>
      </c>
      <c r="H42" s="33" t="str">
        <f>INDEX(base_fish!E:E,MATCH(use_fish!B42,base_fish!A:A,0))&amp;_xlfn.IFNA("+"&amp;INDEX(activity!G:G,MATCH(use_fish!C42,activity!A:A,0)),"")</f>
        <v>鲨鱼武士</v>
      </c>
      <c r="I42" s="32">
        <f>LOOKUP(use_fish!B42,base_fish!A:A,base_fish!F:F)+_xlfn.IFNA(INDEX(activity!F:F,MATCH(use_fish!C42,activity!A:A,0)),0)</f>
        <v>200</v>
      </c>
      <c r="J42" s="31">
        <v>1</v>
      </c>
      <c r="K42" s="31">
        <f>LOOKUP(use_fish!B42,base_fish!A:A,base_fish!G:G)</f>
        <v>0</v>
      </c>
      <c r="L42" s="31">
        <f t="shared" si="10"/>
        <v>200</v>
      </c>
      <c r="M42" s="31">
        <v>1</v>
      </c>
      <c r="N42" s="31">
        <v>2</v>
      </c>
      <c r="O42" s="31">
        <v>1</v>
      </c>
    </row>
    <row r="43" spans="1:15" s="31" customFormat="1" x14ac:dyDescent="0.2">
      <c r="A43" s="30">
        <v>42</v>
      </c>
      <c r="B43" s="30">
        <v>42</v>
      </c>
      <c r="C43" s="30"/>
      <c r="D43" s="30"/>
      <c r="E43" s="32">
        <f>LOOKUP(use_fish!B43,base_fish!A:A,base_fish!C:C)+_xlfn.IFNA(INDEX(activity!F:F,MATCH(use_fish!C43,activity!A:A,0)),0)</f>
        <v>0</v>
      </c>
      <c r="F43" s="32">
        <v>0</v>
      </c>
      <c r="G43" s="32" t="s">
        <v>17</v>
      </c>
      <c r="H43" s="33" t="str">
        <f>INDEX(base_fish!E:E,MATCH(use_fish!B43,base_fish!A:A,0))&amp;_xlfn.IFNA("+"&amp;INDEX(activity!G:G,MATCH(use_fish!C43,activity!A:A,0)),"")</f>
        <v>荧光女皇</v>
      </c>
      <c r="I43" s="32">
        <f>LOOKUP(use_fish!B43,base_fish!A:A,base_fish!F:F)+_xlfn.IFNA(INDEX(activity!F:F,MATCH(use_fish!C43,activity!A:A,0)),0)</f>
        <v>0</v>
      </c>
      <c r="J43" s="31">
        <v>1</v>
      </c>
      <c r="K43" s="31">
        <f>LOOKUP(use_fish!B43,base_fish!A:A,base_fish!G:G)</f>
        <v>0</v>
      </c>
      <c r="L43" s="31">
        <f t="shared" si="10"/>
        <v>0</v>
      </c>
      <c r="M43" s="31">
        <v>1</v>
      </c>
      <c r="N43" s="31">
        <v>2</v>
      </c>
      <c r="O43" s="31">
        <v>1</v>
      </c>
    </row>
    <row r="44" spans="1:15" s="31" customFormat="1" x14ac:dyDescent="0.2">
      <c r="A44" s="30">
        <v>43</v>
      </c>
      <c r="B44" s="30">
        <v>43</v>
      </c>
      <c r="C44" s="30"/>
      <c r="D44" s="30" t="s">
        <v>360</v>
      </c>
      <c r="E44" s="32">
        <f>LOOKUP(use_fish!B44,base_fish!A:A,base_fish!C:C)+_xlfn.IFNA(INDEX(activity!F:F,MATCH(use_fish!C44,activity!A:A,0)),0)</f>
        <v>200</v>
      </c>
      <c r="F44" s="32">
        <f t="shared" si="9"/>
        <v>5.0000000000000001E-3</v>
      </c>
      <c r="G44" s="32" t="s">
        <v>17</v>
      </c>
      <c r="H44" s="33" t="str">
        <f>INDEX(base_fish!E:E,MATCH(use_fish!B44,base_fish!A:A,0))&amp;_xlfn.IFNA("+"&amp;INDEX(activity!G:G,MATCH(use_fish!C44,activity!A:A,0)),"")</f>
        <v>龙龟</v>
      </c>
      <c r="I44" s="32">
        <f>LOOKUP(use_fish!B44,base_fish!A:A,base_fish!F:F)+_xlfn.IFNA(INDEX(activity!F:F,MATCH(use_fish!C44,activity!A:A,0)),0)</f>
        <v>200</v>
      </c>
      <c r="J44" s="31">
        <v>1</v>
      </c>
      <c r="K44" s="31">
        <f>LOOKUP(use_fish!B44,base_fish!A:A,base_fish!G:G)</f>
        <v>0</v>
      </c>
      <c r="L44" s="31">
        <f t="shared" si="10"/>
        <v>200</v>
      </c>
      <c r="M44" s="31">
        <v>1</v>
      </c>
      <c r="N44" s="31">
        <v>2</v>
      </c>
      <c r="O44" s="31">
        <v>1</v>
      </c>
    </row>
    <row r="45" spans="1:15" s="31" customFormat="1" x14ac:dyDescent="0.2">
      <c r="A45" s="30">
        <v>44</v>
      </c>
      <c r="B45" s="30">
        <v>44</v>
      </c>
      <c r="C45" s="30"/>
      <c r="D45" s="30"/>
      <c r="E45" s="32">
        <f>LOOKUP(use_fish!B45,base_fish!A:A,base_fish!C:C)+_xlfn.IFNA(INDEX(activity!F:F,MATCH(use_fish!C45,activity!A:A,0)),0)</f>
        <v>0</v>
      </c>
      <c r="F45" s="32">
        <v>0</v>
      </c>
      <c r="G45" s="32" t="s">
        <v>17</v>
      </c>
      <c r="H45" s="33" t="str">
        <f>INDEX(base_fish!E:E,MATCH(use_fish!B45,base_fish!A:A,0))&amp;_xlfn.IFNA("+"&amp;INDEX(activity!G:G,MATCH(use_fish!C45,activity!A:A,0)),"")</f>
        <v>麒麟兽</v>
      </c>
      <c r="I45" s="32">
        <f>LOOKUP(use_fish!B45,base_fish!A:A,base_fish!F:F)+_xlfn.IFNA(INDEX(activity!F:F,MATCH(use_fish!C45,activity!A:A,0)),0)</f>
        <v>0</v>
      </c>
      <c r="J45" s="31">
        <v>2</v>
      </c>
      <c r="K45" s="31">
        <f>LOOKUP(use_fish!B45,base_fish!A:A,base_fish!G:G)</f>
        <v>0</v>
      </c>
      <c r="L45" s="31">
        <f t="shared" si="10"/>
        <v>0</v>
      </c>
      <c r="M45" s="31">
        <v>2</v>
      </c>
      <c r="N45" s="31">
        <v>2</v>
      </c>
      <c r="O45" s="31">
        <v>1</v>
      </c>
    </row>
    <row r="46" spans="1:15" s="31" customFormat="1" x14ac:dyDescent="0.2">
      <c r="A46" s="30">
        <v>45</v>
      </c>
      <c r="B46" s="30">
        <v>45</v>
      </c>
      <c r="C46" s="30"/>
      <c r="D46" s="30"/>
      <c r="E46" s="32">
        <f>LOOKUP(use_fish!B46,base_fish!A:A,base_fish!C:C)+_xlfn.IFNA(INDEX(activity!F:F,MATCH(use_fish!C46,activity!A:A,0)),0)</f>
        <v>0</v>
      </c>
      <c r="F46" s="32">
        <v>0</v>
      </c>
      <c r="G46" s="32" t="s">
        <v>17</v>
      </c>
      <c r="H46" s="33" t="str">
        <f>INDEX(base_fish!E:E,MATCH(use_fish!B46,base_fish!A:A,0))&amp;_xlfn.IFNA("+"&amp;INDEX(activity!G:G,MATCH(use_fish!C46,activity!A:A,0)),"")</f>
        <v>海盗船</v>
      </c>
      <c r="I46" s="32">
        <f>LOOKUP(use_fish!B46,base_fish!A:A,base_fish!F:F)+_xlfn.IFNA(INDEX(activity!F:F,MATCH(use_fish!C46,activity!A:A,0)),0)</f>
        <v>0</v>
      </c>
      <c r="J46" s="31">
        <v>1</v>
      </c>
      <c r="K46" s="31">
        <f>LOOKUP(use_fish!B46,base_fish!A:A,base_fish!G:G)</f>
        <v>0</v>
      </c>
      <c r="L46" s="31">
        <f t="shared" ref="L46:L50" si="11">I46</f>
        <v>0</v>
      </c>
      <c r="M46" s="31">
        <v>1</v>
      </c>
      <c r="N46" s="31">
        <v>2</v>
      </c>
      <c r="O46" s="3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357</v>
      </c>
      <c r="E47" s="36">
        <f>LOOKUP(use_fish!B47,base_fish!A:A,base_fish!C:C)+_xlfn.IFNA(INDEX(activity!F:F,MATCH(use_fish!C47,activity!A:A,0)),0)</f>
        <v>200</v>
      </c>
      <c r="F47" s="36">
        <f t="shared" ref="F47:F50" si="12">1/E47</f>
        <v>5.0000000000000001E-3</v>
      </c>
      <c r="G47" s="36" t="s">
        <v>17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200</v>
      </c>
      <c r="J47" s="35">
        <v>1</v>
      </c>
      <c r="K47" s="35">
        <f>LOOKUP(use_fish!B47,base_fish!A:A,base_fish!G:G)</f>
        <v>0</v>
      </c>
      <c r="L47" s="35">
        <f t="shared" si="11"/>
        <v>200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361</v>
      </c>
      <c r="E48" s="36">
        <f>LOOKUP(use_fish!B48,base_fish!A:A,base_fish!C:C)+_xlfn.IFNA(INDEX(activity!F:F,MATCH(use_fish!C48,activity!A:A,0)),0)</f>
        <v>300</v>
      </c>
      <c r="F48" s="36">
        <f t="shared" si="12"/>
        <v>3.3333333333333335E-3</v>
      </c>
      <c r="G48" s="36" t="s">
        <v>17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f>LOOKUP(use_fish!B48,base_fish!A:A,base_fish!F:F)+_xlfn.IFNA(INDEX(activity!F:F,MATCH(use_fish!C48,activity!A:A,0)),0)</f>
        <v>300</v>
      </c>
      <c r="J48" s="35">
        <v>1</v>
      </c>
      <c r="K48" s="35">
        <f>LOOKUP(use_fish!B48,base_fish!A:A,base_fish!G:G)</f>
        <v>0</v>
      </c>
      <c r="L48" s="35">
        <f t="shared" si="11"/>
        <v>300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357</v>
      </c>
      <c r="E49" s="36">
        <f>LOOKUP(use_fish!B49,base_fish!A:A,base_fish!C:C)+_xlfn.IFNA(INDEX(activity!F:F,MATCH(use_fish!C49,activity!A:A,0)),0)</f>
        <v>400</v>
      </c>
      <c r="F49" s="36">
        <f t="shared" si="12"/>
        <v>2.5000000000000001E-3</v>
      </c>
      <c r="G49" s="36" t="s">
        <v>17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400</v>
      </c>
      <c r="J49" s="35">
        <v>1</v>
      </c>
      <c r="K49" s="35">
        <f>LOOKUP(use_fish!B49,base_fish!A:A,base_fish!G:G)</f>
        <v>0</v>
      </c>
      <c r="L49" s="35">
        <f t="shared" si="11"/>
        <v>400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362</v>
      </c>
      <c r="E50" s="36">
        <f>LOOKUP(use_fish!B50,base_fish!A:A,base_fish!C:C)+_xlfn.IFNA(INDEX(activity!F:F,MATCH(use_fish!C50,activity!A:A,0)),0)</f>
        <v>400</v>
      </c>
      <c r="F50" s="36">
        <f t="shared" si="12"/>
        <v>2.5000000000000001E-3</v>
      </c>
      <c r="G50" s="36" t="s">
        <v>17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400</v>
      </c>
      <c r="J50" s="35">
        <v>1</v>
      </c>
      <c r="K50" s="35">
        <f>LOOKUP(use_fish!B50,base_fish!A:A,base_fish!G:G)</f>
        <v>0</v>
      </c>
      <c r="L50" s="35">
        <f t="shared" si="11"/>
        <v>400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17</v>
      </c>
      <c r="H51" s="35" t="s">
        <v>312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40"/>
  <sheetViews>
    <sheetView tabSelected="1" topLeftCell="A4" workbookViewId="0">
      <selection activeCell="C31" sqref="C31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6" width="15.125" customWidth="1"/>
    <col min="7" max="7" width="21.375" bestFit="1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127</v>
      </c>
      <c r="F1" s="1" t="s">
        <v>28</v>
      </c>
      <c r="G1" s="1" t="s">
        <v>40</v>
      </c>
      <c r="H1" s="1" t="s">
        <v>2</v>
      </c>
      <c r="I1" s="1" t="s">
        <v>2</v>
      </c>
      <c r="K1" s="1" t="s">
        <v>56</v>
      </c>
    </row>
    <row r="2" spans="1:11" x14ac:dyDescent="0.2">
      <c r="A2">
        <v>1</v>
      </c>
      <c r="B2">
        <v>1</v>
      </c>
      <c r="C2" t="s">
        <v>64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41</v>
      </c>
      <c r="K2" t="s">
        <v>77</v>
      </c>
    </row>
    <row r="3" spans="1:11" x14ac:dyDescent="0.2">
      <c r="A3">
        <v>2</v>
      </c>
      <c r="B3">
        <v>2</v>
      </c>
      <c r="C3" t="s">
        <v>67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42</v>
      </c>
      <c r="K3" s="6">
        <v>0.1</v>
      </c>
    </row>
    <row r="4" spans="1:11" x14ac:dyDescent="0.2">
      <c r="A4">
        <v>3</v>
      </c>
      <c r="B4">
        <v>3</v>
      </c>
      <c r="C4" t="s">
        <v>67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43</v>
      </c>
    </row>
    <row r="5" spans="1:11" x14ac:dyDescent="0.2">
      <c r="A5">
        <v>4</v>
      </c>
      <c r="B5">
        <v>4</v>
      </c>
      <c r="C5" t="s">
        <v>53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44</v>
      </c>
    </row>
    <row r="6" spans="1:11" x14ac:dyDescent="0.2">
      <c r="A6">
        <v>5</v>
      </c>
      <c r="B6">
        <v>5</v>
      </c>
      <c r="C6" t="s">
        <v>54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45</v>
      </c>
    </row>
    <row r="7" spans="1:11" x14ac:dyDescent="0.2">
      <c r="A7">
        <v>6</v>
      </c>
      <c r="B7">
        <v>4</v>
      </c>
      <c r="C7" t="s">
        <v>167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46</v>
      </c>
    </row>
    <row r="8" spans="1:11" x14ac:dyDescent="0.2">
      <c r="A8">
        <v>7</v>
      </c>
      <c r="B8">
        <v>1</v>
      </c>
      <c r="C8" t="s">
        <v>52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47</v>
      </c>
    </row>
    <row r="9" spans="1:11" x14ac:dyDescent="0.2">
      <c r="A9">
        <v>8</v>
      </c>
      <c r="B9">
        <v>4</v>
      </c>
      <c r="C9" t="s">
        <v>242</v>
      </c>
      <c r="D9" s="4">
        <v>0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48</v>
      </c>
    </row>
    <row r="10" spans="1:11" x14ac:dyDescent="0.2">
      <c r="A10">
        <v>9</v>
      </c>
      <c r="B10">
        <v>5</v>
      </c>
      <c r="C10" t="s">
        <v>65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96</v>
      </c>
    </row>
    <row r="11" spans="1:11" x14ac:dyDescent="0.2">
      <c r="A11">
        <v>10</v>
      </c>
      <c r="B11">
        <v>5</v>
      </c>
      <c r="C11" t="s">
        <v>243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310</v>
      </c>
    </row>
    <row r="12" spans="1:11" x14ac:dyDescent="0.2">
      <c r="A12">
        <v>11</v>
      </c>
      <c r="B12">
        <v>7</v>
      </c>
      <c r="C12" t="s">
        <v>39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102</v>
      </c>
    </row>
    <row r="13" spans="1:11" x14ac:dyDescent="0.2">
      <c r="A13">
        <v>12</v>
      </c>
      <c r="B13">
        <v>7</v>
      </c>
      <c r="C13" t="s">
        <v>49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140</v>
      </c>
    </row>
    <row r="14" spans="1:11" x14ac:dyDescent="0.2">
      <c r="A14">
        <v>13</v>
      </c>
      <c r="B14">
        <v>8</v>
      </c>
      <c r="C14" t="s">
        <v>38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141</v>
      </c>
    </row>
    <row r="15" spans="1:11" x14ac:dyDescent="0.2">
      <c r="A15">
        <v>14</v>
      </c>
      <c r="B15">
        <v>8</v>
      </c>
      <c r="C15" t="s">
        <v>49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145</v>
      </c>
    </row>
    <row r="16" spans="1:11" x14ac:dyDescent="0.2">
      <c r="A16">
        <v>15</v>
      </c>
      <c r="B16">
        <v>9</v>
      </c>
      <c r="C16" t="s">
        <v>68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190</v>
      </c>
    </row>
    <row r="17" spans="1:9" x14ac:dyDescent="0.2">
      <c r="A17">
        <v>16</v>
      </c>
      <c r="B17">
        <v>9</v>
      </c>
      <c r="C17" t="s">
        <v>68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191</v>
      </c>
    </row>
    <row r="18" spans="1:9" x14ac:dyDescent="0.2">
      <c r="A18">
        <v>17</v>
      </c>
      <c r="B18">
        <v>10</v>
      </c>
      <c r="C18" s="7" t="s">
        <v>322</v>
      </c>
      <c r="D18" s="4">
        <v>0</v>
      </c>
      <c r="E18" s="4">
        <v>0</v>
      </c>
      <c r="F18">
        <v>150</v>
      </c>
      <c r="G18" t="s">
        <v>309</v>
      </c>
      <c r="H18">
        <v>22</v>
      </c>
      <c r="I18" t="s">
        <v>193</v>
      </c>
    </row>
    <row r="19" spans="1:9" x14ac:dyDescent="0.2">
      <c r="A19">
        <v>18</v>
      </c>
      <c r="B19">
        <v>18</v>
      </c>
      <c r="C19" t="s">
        <v>323</v>
      </c>
      <c r="D19" s="4">
        <v>0</v>
      </c>
      <c r="E19" s="4">
        <v>0</v>
      </c>
      <c r="F19">
        <v>63</v>
      </c>
      <c r="G19" t="str">
        <f t="shared" ref="G19:G21" si="1">LOOKUP(B19,H:H,I:I)</f>
        <v>穿透钢弹</v>
      </c>
      <c r="H19">
        <v>23</v>
      </c>
      <c r="I19" t="s">
        <v>194</v>
      </c>
    </row>
    <row r="20" spans="1:9" x14ac:dyDescent="0.2">
      <c r="A20">
        <v>19</v>
      </c>
      <c r="B20">
        <v>17</v>
      </c>
      <c r="C20" s="11" t="s">
        <v>342</v>
      </c>
      <c r="D20" s="4">
        <v>0</v>
      </c>
      <c r="E20" s="4">
        <v>0</v>
      </c>
      <c r="F20">
        <v>300</v>
      </c>
      <c r="G20" t="str">
        <f t="shared" si="1"/>
        <v>钻头弹</v>
      </c>
      <c r="H20">
        <v>24</v>
      </c>
      <c r="I20" t="s">
        <v>368</v>
      </c>
    </row>
    <row r="21" spans="1:9" x14ac:dyDescent="0.2">
      <c r="A21">
        <v>20</v>
      </c>
      <c r="B21">
        <v>19</v>
      </c>
      <c r="C21" t="s">
        <v>324</v>
      </c>
      <c r="D21" s="4">
        <v>0</v>
      </c>
      <c r="E21" s="4">
        <v>1</v>
      </c>
      <c r="F21">
        <v>0</v>
      </c>
      <c r="G21" t="str">
        <f t="shared" si="1"/>
        <v>神灯</v>
      </c>
      <c r="H21">
        <v>25</v>
      </c>
      <c r="I21" t="s">
        <v>369</v>
      </c>
    </row>
    <row r="22" spans="1:9" x14ac:dyDescent="0.2">
      <c r="A22">
        <v>21</v>
      </c>
      <c r="B22">
        <v>20</v>
      </c>
      <c r="C22" s="11" t="s">
        <v>311</v>
      </c>
      <c r="D22" s="4">
        <v>0</v>
      </c>
      <c r="E22" s="4">
        <v>0</v>
      </c>
      <c r="F22">
        <v>50</v>
      </c>
      <c r="G22" t="s">
        <v>325</v>
      </c>
      <c r="H22">
        <v>26</v>
      </c>
      <c r="I22" t="s">
        <v>203</v>
      </c>
    </row>
    <row r="23" spans="1:9" x14ac:dyDescent="0.2">
      <c r="A23">
        <v>22</v>
      </c>
      <c r="B23">
        <v>20</v>
      </c>
      <c r="C23" s="11" t="s">
        <v>146</v>
      </c>
      <c r="D23" s="4">
        <v>0</v>
      </c>
      <c r="E23" s="4">
        <v>0</v>
      </c>
      <c r="F23">
        <v>150</v>
      </c>
      <c r="G23" t="s">
        <v>326</v>
      </c>
      <c r="H23">
        <v>27</v>
      </c>
      <c r="I23" t="s">
        <v>204</v>
      </c>
    </row>
    <row r="24" spans="1:9" x14ac:dyDescent="0.2">
      <c r="A24">
        <v>23</v>
      </c>
      <c r="B24">
        <v>20</v>
      </c>
      <c r="C24" s="11" t="s">
        <v>327</v>
      </c>
      <c r="D24" s="4">
        <v>0</v>
      </c>
      <c r="E24" s="4">
        <v>0</v>
      </c>
      <c r="F24">
        <v>250</v>
      </c>
      <c r="G24" t="s">
        <v>328</v>
      </c>
      <c r="H24">
        <v>28</v>
      </c>
      <c r="I24" t="s">
        <v>370</v>
      </c>
    </row>
    <row r="25" spans="1:9" x14ac:dyDescent="0.2">
      <c r="A25">
        <v>24</v>
      </c>
      <c r="B25">
        <v>20</v>
      </c>
      <c r="C25" s="11" t="s">
        <v>147</v>
      </c>
      <c r="D25" s="4">
        <v>0</v>
      </c>
      <c r="E25" s="4">
        <v>0</v>
      </c>
      <c r="F25">
        <v>450</v>
      </c>
      <c r="G25" t="s">
        <v>329</v>
      </c>
      <c r="H25">
        <v>29</v>
      </c>
      <c r="I25" t="s">
        <v>202</v>
      </c>
    </row>
    <row r="26" spans="1:9" x14ac:dyDescent="0.2">
      <c r="A26">
        <v>25</v>
      </c>
      <c r="B26">
        <v>21</v>
      </c>
      <c r="C26" s="11" t="s">
        <v>330</v>
      </c>
      <c r="D26" s="4">
        <v>0</v>
      </c>
      <c r="E26" s="4">
        <v>0</v>
      </c>
      <c r="F26">
        <v>10</v>
      </c>
      <c r="G26" t="s">
        <v>331</v>
      </c>
      <c r="H26">
        <v>30</v>
      </c>
      <c r="I26" t="s">
        <v>306</v>
      </c>
    </row>
    <row r="27" spans="1:9" x14ac:dyDescent="0.2">
      <c r="A27">
        <v>26</v>
      </c>
      <c r="B27">
        <v>21</v>
      </c>
      <c r="C27" s="11" t="s">
        <v>332</v>
      </c>
      <c r="D27" s="4">
        <v>0</v>
      </c>
      <c r="E27" s="4">
        <v>0</v>
      </c>
      <c r="F27">
        <v>50</v>
      </c>
      <c r="G27" t="s">
        <v>333</v>
      </c>
      <c r="H27">
        <v>31</v>
      </c>
      <c r="I27" t="s">
        <v>314</v>
      </c>
    </row>
    <row r="28" spans="1:9" x14ac:dyDescent="0.2">
      <c r="A28">
        <v>27</v>
      </c>
      <c r="B28">
        <v>21</v>
      </c>
      <c r="C28" s="11" t="s">
        <v>334</v>
      </c>
      <c r="D28" s="4">
        <v>0</v>
      </c>
      <c r="E28" s="4">
        <v>0</v>
      </c>
      <c r="F28">
        <v>100</v>
      </c>
      <c r="G28" t="s">
        <v>335</v>
      </c>
      <c r="H28">
        <v>32</v>
      </c>
      <c r="I28" t="s">
        <v>315</v>
      </c>
    </row>
    <row r="29" spans="1:9" x14ac:dyDescent="0.2">
      <c r="A29">
        <v>28</v>
      </c>
      <c r="B29">
        <v>22</v>
      </c>
      <c r="C29" s="11" t="s">
        <v>336</v>
      </c>
      <c r="D29" s="4">
        <v>0</v>
      </c>
      <c r="E29" s="4">
        <v>0</v>
      </c>
      <c r="F29">
        <v>100</v>
      </c>
      <c r="G29" t="s">
        <v>337</v>
      </c>
      <c r="H29">
        <v>33</v>
      </c>
      <c r="I29" t="s">
        <v>316</v>
      </c>
    </row>
    <row r="30" spans="1:9" x14ac:dyDescent="0.2">
      <c r="A30">
        <v>29</v>
      </c>
      <c r="B30">
        <v>23</v>
      </c>
      <c r="C30" t="s">
        <v>338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344</v>
      </c>
    </row>
    <row r="31" spans="1:9" x14ac:dyDescent="0.2">
      <c r="A31">
        <v>30</v>
      </c>
      <c r="B31">
        <v>24</v>
      </c>
      <c r="C31" s="11" t="s">
        <v>371</v>
      </c>
      <c r="D31" s="4">
        <v>0</v>
      </c>
      <c r="E31" s="4">
        <v>0</v>
      </c>
      <c r="F31">
        <v>300</v>
      </c>
      <c r="G31" t="str">
        <f t="shared" ref="G31:G33" si="2">LOOKUP(B31,H:H,I:I)</f>
        <v>连环转盘</v>
      </c>
      <c r="H31">
        <v>39</v>
      </c>
      <c r="I31" t="s">
        <v>345</v>
      </c>
    </row>
    <row r="32" spans="1:9" x14ac:dyDescent="0.2">
      <c r="A32">
        <v>31</v>
      </c>
      <c r="B32">
        <v>25</v>
      </c>
      <c r="C32" t="s">
        <v>305</v>
      </c>
      <c r="D32" s="4">
        <v>1</v>
      </c>
      <c r="E32" s="4">
        <v>0</v>
      </c>
      <c r="F32">
        <v>200</v>
      </c>
      <c r="G32" t="str">
        <f t="shared" si="2"/>
        <v>电磁弹</v>
      </c>
    </row>
    <row r="33" spans="1:7" x14ac:dyDescent="0.2">
      <c r="A33">
        <v>32</v>
      </c>
      <c r="B33">
        <v>28</v>
      </c>
      <c r="C33" s="11" t="s">
        <v>372</v>
      </c>
      <c r="D33" s="4">
        <v>0</v>
      </c>
      <c r="E33" s="4">
        <v>0</v>
      </c>
      <c r="F33">
        <v>200</v>
      </c>
      <c r="G33" t="str">
        <f t="shared" si="2"/>
        <v>金币转盘</v>
      </c>
    </row>
    <row r="34" spans="1:7" x14ac:dyDescent="0.2">
      <c r="A34">
        <v>33</v>
      </c>
      <c r="B34">
        <v>29</v>
      </c>
      <c r="C34" t="s">
        <v>347</v>
      </c>
      <c r="D34" s="4">
        <v>0</v>
      </c>
      <c r="E34" s="4">
        <v>0</v>
      </c>
      <c r="F34">
        <v>300</v>
      </c>
      <c r="G34" t="s">
        <v>348</v>
      </c>
    </row>
    <row r="35" spans="1:7" x14ac:dyDescent="0.2">
      <c r="A35">
        <v>34</v>
      </c>
      <c r="B35">
        <v>30</v>
      </c>
      <c r="C35" s="11" t="s">
        <v>364</v>
      </c>
      <c r="D35" s="4">
        <v>0</v>
      </c>
      <c r="E35" s="4">
        <v>0</v>
      </c>
      <c r="F35">
        <v>150</v>
      </c>
      <c r="G35" t="s">
        <v>306</v>
      </c>
    </row>
    <row r="36" spans="1:7" x14ac:dyDescent="0.2">
      <c r="A36">
        <v>35</v>
      </c>
      <c r="B36">
        <v>31</v>
      </c>
      <c r="C36" t="s">
        <v>349</v>
      </c>
      <c r="D36" s="4">
        <v>0</v>
      </c>
      <c r="E36" s="4">
        <v>0</v>
      </c>
      <c r="F36">
        <v>200</v>
      </c>
      <c r="G36" t="str">
        <f t="shared" ref="G36" si="3">LOOKUP(B36,H:H,I:I)</f>
        <v>连环炸弹</v>
      </c>
    </row>
    <row r="37" spans="1:7" x14ac:dyDescent="0.2">
      <c r="A37">
        <v>36</v>
      </c>
      <c r="B37">
        <v>32</v>
      </c>
      <c r="C37" s="11" t="s">
        <v>363</v>
      </c>
      <c r="D37" s="4">
        <v>0</v>
      </c>
      <c r="E37" s="4">
        <v>0</v>
      </c>
      <c r="F37">
        <v>300</v>
      </c>
      <c r="G37" t="s">
        <v>315</v>
      </c>
    </row>
    <row r="38" spans="1:7" x14ac:dyDescent="0.2">
      <c r="A38">
        <v>37</v>
      </c>
      <c r="B38">
        <v>33</v>
      </c>
      <c r="C38" t="s">
        <v>367</v>
      </c>
      <c r="D38" s="4">
        <v>0</v>
      </c>
      <c r="E38" s="4">
        <v>0</v>
      </c>
      <c r="F38">
        <v>200</v>
      </c>
      <c r="G38" t="s">
        <v>350</v>
      </c>
    </row>
    <row r="39" spans="1:7" x14ac:dyDescent="0.2">
      <c r="A39">
        <v>38</v>
      </c>
      <c r="B39">
        <v>38</v>
      </c>
      <c r="C39" t="s">
        <v>351</v>
      </c>
      <c r="D39" s="4">
        <v>0</v>
      </c>
      <c r="E39" s="4">
        <v>0</v>
      </c>
      <c r="F39">
        <v>250</v>
      </c>
      <c r="G39" t="s">
        <v>343</v>
      </c>
    </row>
    <row r="40" spans="1:7" x14ac:dyDescent="0.2">
      <c r="A40">
        <v>39</v>
      </c>
      <c r="B40">
        <v>39</v>
      </c>
      <c r="C40" t="s">
        <v>341</v>
      </c>
      <c r="D40" s="4">
        <v>0</v>
      </c>
      <c r="E40" s="4">
        <v>0</v>
      </c>
      <c r="F40">
        <v>250</v>
      </c>
      <c r="G40" t="s">
        <v>352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108</v>
      </c>
      <c r="C1" s="1" t="s">
        <v>109</v>
      </c>
      <c r="D1" s="1" t="s">
        <v>110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16" zoomScaleNormal="100" workbookViewId="0">
      <selection activeCell="C2" sqref="C2:C51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12</v>
      </c>
      <c r="B1" s="1" t="s">
        <v>10</v>
      </c>
      <c r="C1" s="1" t="s">
        <v>97</v>
      </c>
      <c r="D1" s="1" t="s">
        <v>0</v>
      </c>
      <c r="E1" s="1" t="s">
        <v>7</v>
      </c>
      <c r="F1" s="1" t="s">
        <v>104</v>
      </c>
      <c r="G1" s="9" t="s">
        <v>105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210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211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212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213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149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214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215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216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217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218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219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148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220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221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222</v>
      </c>
      <c r="F17" s="15">
        <f t="shared" si="1"/>
        <v>35</v>
      </c>
      <c r="G17" s="15">
        <v>0</v>
      </c>
      <c r="H17" s="15" t="s">
        <v>195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63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0</v>
      </c>
      <c r="D20" s="15">
        <f t="shared" si="0"/>
        <v>0</v>
      </c>
      <c r="E20" s="14" t="s">
        <v>150</v>
      </c>
      <c r="F20" s="15">
        <f t="shared" si="1"/>
        <v>0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60</v>
      </c>
      <c r="D21" s="15">
        <f t="shared" si="0"/>
        <v>1.6666666666666666E-2</v>
      </c>
      <c r="E21" s="17" t="s">
        <v>239</v>
      </c>
      <c r="F21" s="15">
        <f t="shared" si="1"/>
        <v>60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0</v>
      </c>
      <c r="D22" s="15">
        <f t="shared" si="0"/>
        <v>0</v>
      </c>
      <c r="E22" s="16" t="s">
        <v>223</v>
      </c>
      <c r="F22" s="15">
        <f t="shared" si="1"/>
        <v>0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60</v>
      </c>
      <c r="D23" s="15">
        <f t="shared" si="0"/>
        <v>1.6666666666666666E-2</v>
      </c>
      <c r="E23" s="16" t="s">
        <v>224</v>
      </c>
      <c r="F23" s="15">
        <f t="shared" si="1"/>
        <v>60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60</v>
      </c>
      <c r="D24" s="15">
        <f t="shared" si="0"/>
        <v>1.6666666666666666E-2</v>
      </c>
      <c r="E24" s="16" t="s">
        <v>225</v>
      </c>
      <c r="F24" s="15">
        <f t="shared" si="1"/>
        <v>60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346</v>
      </c>
      <c r="D25" s="15" t="s">
        <v>320</v>
      </c>
      <c r="E25" s="17" t="s">
        <v>226</v>
      </c>
      <c r="F25" s="15" t="s">
        <v>319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80</v>
      </c>
      <c r="D26" s="15">
        <f t="shared" ref="D26" si="2">IF(C26,1/C26,0)</f>
        <v>1.2500000000000001E-2</v>
      </c>
      <c r="E26" s="17" t="s">
        <v>152</v>
      </c>
      <c r="F26" s="15">
        <f t="shared" ref="F26" si="3">C26</f>
        <v>80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100</v>
      </c>
      <c r="D27" s="15">
        <f t="shared" si="0"/>
        <v>0.01</v>
      </c>
      <c r="E27" s="16" t="s">
        <v>151</v>
      </c>
      <c r="F27" s="15">
        <f t="shared" si="1"/>
        <v>100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100</v>
      </c>
      <c r="D28" s="15">
        <f t="shared" si="0"/>
        <v>0.01</v>
      </c>
      <c r="E28" s="16" t="s">
        <v>227</v>
      </c>
      <c r="F28" s="15">
        <f t="shared" si="1"/>
        <v>100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155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154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156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158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244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153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228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4">IF(C36,1/C36,0)</f>
        <v>0</v>
      </c>
      <c r="E36" s="17" t="s">
        <v>229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5">IF(C37,1/C37,0)</f>
        <v>0</v>
      </c>
      <c r="E37" s="17" t="s">
        <v>230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0</v>
      </c>
      <c r="D38" s="15">
        <f t="shared" si="5"/>
        <v>0</v>
      </c>
      <c r="E38" s="15" t="s">
        <v>209</v>
      </c>
      <c r="F38" s="15">
        <f t="shared" ref="F38:F51" si="6">C38</f>
        <v>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100</v>
      </c>
      <c r="D39" s="15">
        <f t="shared" si="5"/>
        <v>0.01</v>
      </c>
      <c r="E39" s="15" t="s">
        <v>157</v>
      </c>
      <c r="F39" s="15">
        <f t="shared" si="6"/>
        <v>100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5"/>
        <v>0.01</v>
      </c>
      <c r="E40" s="15" t="s">
        <v>231</v>
      </c>
      <c r="F40" s="15">
        <f t="shared" si="6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300</v>
      </c>
      <c r="D41" s="15">
        <f t="shared" si="5"/>
        <v>3.3333333333333335E-3</v>
      </c>
      <c r="E41" s="15" t="s">
        <v>303</v>
      </c>
      <c r="F41" s="15">
        <f t="shared" si="6"/>
        <v>300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200</v>
      </c>
      <c r="D42" s="15">
        <f t="shared" si="5"/>
        <v>5.0000000000000001E-3</v>
      </c>
      <c r="E42" s="15" t="s">
        <v>232</v>
      </c>
      <c r="F42" s="15">
        <f t="shared" si="6"/>
        <v>200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0</v>
      </c>
      <c r="D43" s="15">
        <f t="shared" si="5"/>
        <v>0</v>
      </c>
      <c r="E43" s="15" t="s">
        <v>233</v>
      </c>
      <c r="F43" s="15">
        <f t="shared" si="6"/>
        <v>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200</v>
      </c>
      <c r="D44" s="15">
        <f t="shared" si="5"/>
        <v>5.0000000000000001E-3</v>
      </c>
      <c r="E44" s="15" t="s">
        <v>234</v>
      </c>
      <c r="F44" s="15">
        <f t="shared" si="6"/>
        <v>200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0</v>
      </c>
      <c r="D45" s="15">
        <f t="shared" si="5"/>
        <v>0</v>
      </c>
      <c r="E45" s="15" t="s">
        <v>235</v>
      </c>
      <c r="F45" s="15">
        <f t="shared" si="6"/>
        <v>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0</v>
      </c>
      <c r="D46" s="15">
        <f t="shared" si="5"/>
        <v>0</v>
      </c>
      <c r="E46" s="15" t="s">
        <v>236</v>
      </c>
      <c r="F46" s="15">
        <f t="shared" si="6"/>
        <v>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200</v>
      </c>
      <c r="D47" s="15">
        <f t="shared" si="5"/>
        <v>5.0000000000000001E-3</v>
      </c>
      <c r="E47" s="15" t="s">
        <v>152</v>
      </c>
      <c r="F47" s="15">
        <f t="shared" si="6"/>
        <v>200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150</v>
      </c>
      <c r="D48" s="15">
        <f t="shared" si="5"/>
        <v>6.6666666666666671E-3</v>
      </c>
      <c r="E48" s="15" t="s">
        <v>304</v>
      </c>
      <c r="F48" s="15">
        <f t="shared" si="6"/>
        <v>150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250</v>
      </c>
      <c r="D49" s="15">
        <f t="shared" si="5"/>
        <v>4.0000000000000001E-3</v>
      </c>
      <c r="E49" s="15" t="s">
        <v>237</v>
      </c>
      <c r="F49" s="15">
        <f t="shared" si="6"/>
        <v>250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200</v>
      </c>
      <c r="D50" s="15">
        <f t="shared" si="5"/>
        <v>5.0000000000000001E-3</v>
      </c>
      <c r="E50" s="15" t="s">
        <v>238</v>
      </c>
      <c r="F50" s="15">
        <f t="shared" si="6"/>
        <v>200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5"/>
        <v>0</v>
      </c>
      <c r="E51" s="2" t="s">
        <v>313</v>
      </c>
      <c r="F51" s="2">
        <f t="shared" si="6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2" workbookViewId="0">
      <selection activeCell="A100" sqref="A100:XFD105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55</v>
      </c>
      <c r="C1" s="1" t="s">
        <v>15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19</v>
      </c>
      <c r="B1" s="1" t="s">
        <v>27</v>
      </c>
      <c r="C1" s="1" t="s">
        <v>29</v>
      </c>
      <c r="D1" s="1" t="s">
        <v>66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 t="e">
        <f>C12/B12/(1/profit!#REF!)/60</f>
        <v>#REF!</v>
      </c>
    </row>
    <row r="13" spans="1:4" x14ac:dyDescent="0.2">
      <c r="A13">
        <v>12</v>
      </c>
      <c r="B13" s="5">
        <v>6.0000000000000001E-3</v>
      </c>
      <c r="C13">
        <v>90</v>
      </c>
      <c r="D13" t="e">
        <f>C13/B13/(1/profit!#REF!)/60</f>
        <v>#REF!</v>
      </c>
    </row>
    <row r="14" spans="1:4" x14ac:dyDescent="0.2">
      <c r="A14">
        <v>13</v>
      </c>
      <c r="B14" s="5">
        <v>6.0000000000000001E-3</v>
      </c>
      <c r="C14">
        <v>90</v>
      </c>
      <c r="D14" t="e">
        <f>C14/B14/(1/profit!#REF!)/60</f>
        <v>#REF!</v>
      </c>
    </row>
    <row r="15" spans="1:4" x14ac:dyDescent="0.2">
      <c r="A15">
        <v>14</v>
      </c>
      <c r="B15" s="5">
        <v>6.0000000000000001E-3</v>
      </c>
      <c r="C15">
        <v>90</v>
      </c>
      <c r="D15" t="e">
        <f>C15/B15/(1/profit!#REF!)/60</f>
        <v>#REF!</v>
      </c>
    </row>
    <row r="16" spans="1:4" x14ac:dyDescent="0.2">
      <c r="A16">
        <v>15</v>
      </c>
      <c r="B16" s="5">
        <v>6.0000000000000001E-3</v>
      </c>
      <c r="C16">
        <v>90</v>
      </c>
      <c r="D16" t="e">
        <f>C16/B16/(1/profit!#REF!)/60</f>
        <v>#REF!</v>
      </c>
    </row>
    <row r="17" spans="1:4" x14ac:dyDescent="0.2">
      <c r="A17">
        <v>16</v>
      </c>
      <c r="B17" s="5">
        <v>6.0000000000000001E-3</v>
      </c>
      <c r="C17">
        <v>90</v>
      </c>
      <c r="D17" t="e">
        <f>C17/B17/(1/profit!#REF!)/60</f>
        <v>#REF!</v>
      </c>
    </row>
    <row r="18" spans="1:4" x14ac:dyDescent="0.2">
      <c r="A18">
        <v>17</v>
      </c>
      <c r="B18" s="5">
        <v>6.0000000000000001E-3</v>
      </c>
      <c r="C18">
        <v>90</v>
      </c>
      <c r="D18" t="e">
        <f>C18/B18/(1/profit!#REF!)/60</f>
        <v>#REF!</v>
      </c>
    </row>
    <row r="19" spans="1:4" x14ac:dyDescent="0.2">
      <c r="A19">
        <v>18</v>
      </c>
      <c r="B19" s="5">
        <v>6.0000000000000001E-3</v>
      </c>
      <c r="C19">
        <v>90</v>
      </c>
      <c r="D19" t="e">
        <f>C19/B19/(1/profit!#REF!)/60</f>
        <v>#REF!</v>
      </c>
    </row>
    <row r="20" spans="1:4" x14ac:dyDescent="0.2">
      <c r="A20">
        <v>19</v>
      </c>
      <c r="B20" s="5">
        <v>6.0000000000000001E-3</v>
      </c>
      <c r="C20">
        <v>90</v>
      </c>
      <c r="D20" t="e">
        <f>C20/B20/(1/profit!#REF!)/60</f>
        <v>#REF!</v>
      </c>
    </row>
    <row r="21" spans="1:4" x14ac:dyDescent="0.2">
      <c r="A21">
        <v>20</v>
      </c>
      <c r="B21" s="5">
        <v>6.0000000000000001E-3</v>
      </c>
      <c r="C21">
        <v>90</v>
      </c>
      <c r="D21" t="e">
        <f>C21/B21/(1/profit!#REF!)/60</f>
        <v>#REF!</v>
      </c>
    </row>
    <row r="22" spans="1:4" x14ac:dyDescent="0.2">
      <c r="A22">
        <v>21</v>
      </c>
      <c r="B22" s="5">
        <v>6.0000000000000001E-3</v>
      </c>
      <c r="C22">
        <v>90</v>
      </c>
      <c r="D22" t="e">
        <f>C22/B22/(1/profit!#REF!)/60</f>
        <v>#REF!</v>
      </c>
    </row>
    <row r="23" spans="1:4" x14ac:dyDescent="0.2">
      <c r="A23">
        <v>22</v>
      </c>
      <c r="B23" s="5">
        <v>6.0000000000000001E-3</v>
      </c>
      <c r="C23">
        <v>90</v>
      </c>
      <c r="D23" t="e">
        <f>C23/B23/(1/profit!#REF!)/60</f>
        <v>#REF!</v>
      </c>
    </row>
    <row r="24" spans="1:4" x14ac:dyDescent="0.2">
      <c r="A24">
        <v>23</v>
      </c>
      <c r="B24" s="5">
        <v>6.0000000000000001E-3</v>
      </c>
      <c r="C24">
        <v>90</v>
      </c>
      <c r="D24" t="e">
        <f>C24/B24/(1/profit!#REF!)/60</f>
        <v>#REF!</v>
      </c>
    </row>
    <row r="25" spans="1:4" x14ac:dyDescent="0.2">
      <c r="A25">
        <v>24</v>
      </c>
      <c r="B25" s="5">
        <v>6.0000000000000001E-3</v>
      </c>
      <c r="C25">
        <v>90</v>
      </c>
      <c r="D25" t="e">
        <f>C25/B25/(1/profit!#REF!)/60</f>
        <v>#REF!</v>
      </c>
    </row>
    <row r="26" spans="1:4" x14ac:dyDescent="0.2">
      <c r="A26">
        <v>25</v>
      </c>
      <c r="B26" s="5">
        <v>6.0000000000000001E-3</v>
      </c>
      <c r="C26">
        <v>90</v>
      </c>
      <c r="D26" t="e">
        <f>C26/B26/(1/profit!#REF!)/60</f>
        <v>#REF!</v>
      </c>
    </row>
    <row r="27" spans="1:4" x14ac:dyDescent="0.2">
      <c r="A27">
        <v>26</v>
      </c>
      <c r="B27" s="5">
        <v>6.0000000000000001E-3</v>
      </c>
      <c r="C27">
        <v>90</v>
      </c>
      <c r="D27" t="e">
        <f>C27/B27/(1/profit!#REF!)/60</f>
        <v>#REF!</v>
      </c>
    </row>
    <row r="28" spans="1:4" x14ac:dyDescent="0.2">
      <c r="A28">
        <v>27</v>
      </c>
      <c r="B28" s="5">
        <v>6.0000000000000001E-3</v>
      </c>
      <c r="C28">
        <v>90</v>
      </c>
      <c r="D28" t="e">
        <f>C28/B28/(1/profit!#REF!)/60</f>
        <v>#REF!</v>
      </c>
    </row>
    <row r="29" spans="1:4" x14ac:dyDescent="0.2">
      <c r="A29">
        <v>28</v>
      </c>
      <c r="B29" s="5">
        <v>6.0000000000000001E-3</v>
      </c>
      <c r="C29">
        <v>90</v>
      </c>
      <c r="D29" t="e">
        <f>C29/B29/(1/profit!#REF!)/60</f>
        <v>#REF!</v>
      </c>
    </row>
    <row r="30" spans="1:4" x14ac:dyDescent="0.2">
      <c r="A30">
        <v>29</v>
      </c>
      <c r="B30" s="5">
        <v>6.0000000000000001E-3</v>
      </c>
      <c r="C30">
        <v>90</v>
      </c>
      <c r="D30" t="e">
        <f>C30/B30/(1/profit!#REF!)/60</f>
        <v>#REF!</v>
      </c>
    </row>
    <row r="31" spans="1:4" x14ac:dyDescent="0.2">
      <c r="A31">
        <v>30</v>
      </c>
      <c r="B31" s="5">
        <v>6.0000000000000001E-3</v>
      </c>
      <c r="C31">
        <v>90</v>
      </c>
      <c r="D31" t="e">
        <f>C31/B31/(1/profit!#REF!)/60</f>
        <v>#REF!</v>
      </c>
    </row>
    <row r="32" spans="1:4" x14ac:dyDescent="0.2">
      <c r="A32">
        <v>31</v>
      </c>
      <c r="B32" s="5">
        <v>6.0000000000000001E-3</v>
      </c>
      <c r="C32">
        <v>90</v>
      </c>
      <c r="D32" t="e">
        <f>C32/B32/(1/profit!#REF!)/60</f>
        <v>#REF!</v>
      </c>
    </row>
    <row r="33" spans="1:4" x14ac:dyDescent="0.2">
      <c r="A33">
        <v>32</v>
      </c>
      <c r="B33" s="5">
        <v>6.0000000000000001E-3</v>
      </c>
      <c r="C33">
        <v>90</v>
      </c>
      <c r="D33" t="e">
        <f>C33/B33/(1/profit!#REF!)/60</f>
        <v>#REF!</v>
      </c>
    </row>
    <row r="34" spans="1:4" x14ac:dyDescent="0.2">
      <c r="A34">
        <v>33</v>
      </c>
      <c r="B34" s="5">
        <v>6.0000000000000001E-3</v>
      </c>
      <c r="C34">
        <v>90</v>
      </c>
      <c r="D34" t="e">
        <f>C34/B34/(1/profit!#REF!)/60</f>
        <v>#REF!</v>
      </c>
    </row>
    <row r="35" spans="1:4" x14ac:dyDescent="0.2">
      <c r="A35">
        <v>34</v>
      </c>
      <c r="B35" s="5">
        <v>6.0000000000000001E-3</v>
      </c>
      <c r="C35">
        <v>90</v>
      </c>
      <c r="D35" t="e">
        <f>C35/B35/(1/profit!#REF!)/60</f>
        <v>#REF!</v>
      </c>
    </row>
    <row r="36" spans="1:4" x14ac:dyDescent="0.2">
      <c r="A36">
        <v>35</v>
      </c>
      <c r="B36" s="5">
        <v>6.0000000000000001E-3</v>
      </c>
      <c r="C36">
        <v>90</v>
      </c>
      <c r="D36" t="e">
        <f>C36/B36/(1/profit!#REF!)/60</f>
        <v>#REF!</v>
      </c>
    </row>
    <row r="37" spans="1:4" x14ac:dyDescent="0.2">
      <c r="A37">
        <v>36</v>
      </c>
      <c r="B37" s="5">
        <v>6.0000000000000001E-3</v>
      </c>
      <c r="C37">
        <v>90</v>
      </c>
      <c r="D37" t="e">
        <f>C37/B37/(1/profit!#REF!)/60</f>
        <v>#REF!</v>
      </c>
    </row>
    <row r="38" spans="1:4" x14ac:dyDescent="0.2">
      <c r="A38">
        <v>37</v>
      </c>
      <c r="B38" s="5">
        <v>6.0000000000000001E-3</v>
      </c>
      <c r="C38">
        <v>90</v>
      </c>
      <c r="D38" t="e">
        <f>C38/B38/(1/profit!#REF!)/60</f>
        <v>#REF!</v>
      </c>
    </row>
    <row r="39" spans="1:4" x14ac:dyDescent="0.2">
      <c r="A39">
        <v>38</v>
      </c>
      <c r="B39" s="5">
        <v>6.0000000000000001E-3</v>
      </c>
      <c r="C39">
        <v>90</v>
      </c>
      <c r="D39" t="e">
        <f>C39/B39/(1/profit!#REF!)/60</f>
        <v>#REF!</v>
      </c>
    </row>
    <row r="40" spans="1:4" x14ac:dyDescent="0.2">
      <c r="A40">
        <v>39</v>
      </c>
      <c r="B40" s="5">
        <v>6.0000000000000001E-3</v>
      </c>
      <c r="C40">
        <v>90</v>
      </c>
      <c r="D40" t="e">
        <f>C40/B40/(1/profit!#REF!)/60</f>
        <v>#REF!</v>
      </c>
    </row>
    <row r="41" spans="1:4" x14ac:dyDescent="0.2">
      <c r="A41">
        <v>40</v>
      </c>
      <c r="B41" s="5">
        <v>6.0000000000000001E-3</v>
      </c>
      <c r="C41">
        <v>90</v>
      </c>
      <c r="D41" t="e">
        <f>C41/B41/(1/profit!#REF!)/60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30</v>
      </c>
      <c r="B1" s="1" t="s">
        <v>31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14</v>
      </c>
      <c r="B1" s="1" t="s">
        <v>57</v>
      </c>
      <c r="C1" s="1" t="s">
        <v>58</v>
      </c>
      <c r="D1" s="1" t="s">
        <v>59</v>
      </c>
      <c r="XFD1" s="1"/>
    </row>
    <row r="2" spans="1:4 16384:16384" x14ac:dyDescent="0.2">
      <c r="A2">
        <v>1</v>
      </c>
      <c r="B2" t="s">
        <v>60</v>
      </c>
      <c r="C2">
        <v>10</v>
      </c>
      <c r="D2">
        <v>0</v>
      </c>
    </row>
    <row r="3" spans="1:4 16384:16384" x14ac:dyDescent="0.2">
      <c r="A3">
        <v>2</v>
      </c>
      <c r="B3" t="s">
        <v>61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78</v>
      </c>
      <c r="B1" s="1" t="s">
        <v>79</v>
      </c>
      <c r="C1" s="1" t="s">
        <v>56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80</v>
      </c>
      <c r="C2" s="2"/>
    </row>
    <row r="3" spans="1:10 16384:16384" x14ac:dyDescent="0.2">
      <c r="A3" s="2">
        <v>2</v>
      </c>
      <c r="B3" s="2" t="s">
        <v>100</v>
      </c>
      <c r="C3" s="2" t="s">
        <v>81</v>
      </c>
    </row>
    <row r="4" spans="1:10 16384:16384" x14ac:dyDescent="0.2">
      <c r="A4" s="2">
        <v>3</v>
      </c>
      <c r="B4" s="2" t="s">
        <v>101</v>
      </c>
      <c r="C4" s="2" t="s">
        <v>82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83</v>
      </c>
      <c r="B1" s="1" t="s">
        <v>84</v>
      </c>
      <c r="C1" s="1" t="s">
        <v>85</v>
      </c>
      <c r="D1" s="1" t="s">
        <v>86</v>
      </c>
      <c r="E1" s="1" t="s">
        <v>87</v>
      </c>
      <c r="F1" s="1" t="s">
        <v>88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89</v>
      </c>
      <c r="D2" s="2">
        <v>0</v>
      </c>
      <c r="E2" s="2"/>
      <c r="F2" t="s">
        <v>90</v>
      </c>
    </row>
    <row r="3" spans="1:10 16384:16384" ht="39" customHeight="1" x14ac:dyDescent="0.2">
      <c r="A3" s="2">
        <v>2</v>
      </c>
      <c r="B3" s="2">
        <v>1</v>
      </c>
      <c r="C3" s="2" t="s">
        <v>91</v>
      </c>
      <c r="D3" s="2">
        <v>1</v>
      </c>
      <c r="E3" s="2" t="s">
        <v>95</v>
      </c>
      <c r="F3" t="s">
        <v>139</v>
      </c>
    </row>
    <row r="4" spans="1:10 16384:16384" ht="63.75" customHeight="1" x14ac:dyDescent="0.2">
      <c r="A4" s="2">
        <v>3</v>
      </c>
      <c r="B4" s="2">
        <v>1</v>
      </c>
      <c r="C4" s="2" t="s">
        <v>92</v>
      </c>
      <c r="D4" s="2">
        <v>0</v>
      </c>
      <c r="E4" s="4" t="s">
        <v>94</v>
      </c>
      <c r="F4" t="s">
        <v>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128</v>
      </c>
      <c r="B1" s="1" t="s">
        <v>129</v>
      </c>
      <c r="C1" s="1" t="s">
        <v>130</v>
      </c>
      <c r="D1" s="1" t="s">
        <v>131</v>
      </c>
      <c r="E1" s="1" t="s">
        <v>132</v>
      </c>
      <c r="F1" s="1" t="s">
        <v>133</v>
      </c>
      <c r="G1" s="1" t="s">
        <v>134</v>
      </c>
      <c r="H1" s="1" t="s">
        <v>135</v>
      </c>
      <c r="I1" s="1" t="s">
        <v>136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137</v>
      </c>
      <c r="B1" t="s">
        <v>138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B21" sqref="B21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128</v>
      </c>
      <c r="B1" s="1" t="s">
        <v>142</v>
      </c>
      <c r="C1" t="s">
        <v>143</v>
      </c>
    </row>
    <row r="2" spans="1:3" x14ac:dyDescent="0.2">
      <c r="A2">
        <v>1</v>
      </c>
      <c r="B2" t="s">
        <v>317</v>
      </c>
      <c r="C2" t="s">
        <v>144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2020-06-28T02:17:08Z</dcterms:modified>
</cp:coreProperties>
</file>