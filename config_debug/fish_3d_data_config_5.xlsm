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E48" i="14" l="1"/>
  <c r="E49" i="14"/>
  <c r="E50" i="14"/>
  <c r="I49" i="7"/>
  <c r="G20" i="5" l="1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H64" i="7"/>
  <c r="J64" i="7"/>
  <c r="J65" i="7"/>
  <c r="J66" i="7"/>
  <c r="J67" i="7"/>
  <c r="J2" i="7"/>
  <c r="G30" i="5" l="1"/>
  <c r="G21" i="5"/>
  <c r="G19" i="5"/>
  <c r="E26" i="14" l="1"/>
  <c r="J40" i="7"/>
  <c r="L25" i="14"/>
  <c r="J39" i="7"/>
  <c r="F26" i="1"/>
  <c r="I26" i="14" s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I12" i="7"/>
  <c r="I11" i="7"/>
  <c r="L17" i="14"/>
  <c r="I31" i="7"/>
  <c r="F34" i="14"/>
  <c r="H48" i="7"/>
  <c r="F36" i="14"/>
  <c r="H50" i="7"/>
  <c r="H52" i="7"/>
  <c r="F40" i="14"/>
  <c r="H54" i="7"/>
  <c r="F42" i="14"/>
  <c r="H56" i="7"/>
  <c r="F44" i="14"/>
  <c r="H58" i="7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H57" i="7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<sst xmlns="http://schemas.openxmlformats.org/spreadsheetml/2006/main" count="480" uniqueCount="372">
  <si>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</si>
  <si>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</si>
  <si>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</si>
  <si>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</si>
  <si>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</si>
  <si>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</si>
  <si>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</si>
  <si>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</si>
  <si>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</si>
  <si>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</si>
  <si>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</si>
  <si>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</si>
  <si>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</si>
  <si>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</si>
  <si>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</si>
  <si>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</si>
  <si>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</si>
  <si>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</si>
  <si>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</si>
  <si>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</si>
  <si>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</si>
  <si>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</si>
  <si>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</si>
  <si>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</si>
  <si>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</si>
  <si>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</si>
  <si>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</si>
  <si>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</si>
  <si>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</si>
  <si>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</si>
  <si>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</si>
  <si>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</si>
  <si>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</si>
  <si>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</si>
  <si>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</si>
  <si>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</si>
  <si>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</si>
  <si>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</si>
  <si>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</si>
  <si>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</si>
  <si>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</si>
  <si>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</si>
  <si>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</si>
  <si>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</si>
  <si>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</si>
  <si>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</si>
  <si>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</si>
  <si>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</si>
  <si>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</si>
  <si>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</si>
  <si>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</si>
  <si>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</si>
  <si>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</si>
  <si>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</si>
  <si>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</si>
  <si>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</si>
  <si>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</si>
  <si>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</si>
  <si>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</si>
  <si>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</si>
  <si>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</si>
  <si>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</si>
  <si>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</si>
  <si>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</si>
  <si>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</si>
  <si>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</si>
  <si>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</si>
  <si>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</si>
  <si>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</si>
  <si>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</si>
  <si>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</si>
  <si>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</si>
  <si>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</si>
  <si>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</si>
  <si>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</si>
  <si>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</si>
  <si>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</si>
  <si>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</si>
  <si>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</si>
  <si>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</si>
  <si>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</si>
  <si>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</si>
  <si>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</si>
  <si>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</si>
  <si>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</si>
  <si>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</si>
  <si>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</si>
  <si>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</si>
  <si>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</si>
  <si>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</si>
  <si>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</si>
  <si>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</si>
  <si>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</si>
  <si>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</si>
  <si>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</si>
  <si>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</si>
  <si>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</si>
  <si>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</si>
  <si>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</si>
  <si>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</si>
  <si>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</si>
  <si>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</si>
  <si>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</si>
  <si>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</si>
  <si>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</si>
  <si>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</si>
  <si>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</si>
  <si>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</si>
  <si>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</si>
  <si>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</si>
  <si>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</si>
  <si>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</si>
  <si>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</si>
  <si>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</si>
  <si>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</si>
  <si>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</si>
  <si>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</si>
  <si>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</si>
  <si>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</si>
  <si>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</si>
  <si>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</si>
  <si>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</si>
  <si>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</si>
  <si>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</si>
  <si>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</si>
  <si>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</si>
  <si>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</si>
  <si>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</si>
  <si>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</si>
  <si>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</si>
  <si>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</si>
  <si>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</si>
  <si>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</si>
  <si>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</si>
  <si>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</si>
  <si>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</si>
  <si>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</si>
  <si>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</si>
  <si>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</si>
  <si>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</si>
  <si>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</si>
  <si>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</si>
  <si>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</si>
  <si>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</si>
  <si>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</si>
  <si>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</si>
  <si>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</si>
  <si>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</si>
  <si>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</si>
  <si>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</si>
  <si>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</si>
  <si>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</si>
  <si>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</si>
  <si>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</si>
  <si>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</si>
  <si>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</si>
  <si>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</si>
  <si>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</si>
  <si>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</si>
  <si>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</si>
  <si>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</si>
  <si>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</si>
  <si>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</si>
  <si>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</si>
  <si>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</si>
  <si>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</si>
  <si>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</si>
  <si>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</si>
  <si>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</si>
  <si>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</si>
  <si>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</si>
  <si>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</si>
  <si>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</si>
  <si>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</si>
  <si>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</si>
  <si>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</si>
  <si>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</si>
  <si>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</si>
  <si>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</si>
  <si>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</si>
  <si>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</si>
  <si>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</si>
  <si>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</si>
  <si>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</si>
  <si>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</si>
  <si>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</si>
  <si>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</si>
  <si>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</si>
  <si>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</si>
  <si>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</si>
  <si>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</si>
  <si>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</si>
  <si>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</si>
  <si>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</si>
  <si>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</si>
  <si>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</si>
  <si>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</si>
  <si>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</si>
  <si>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</si>
  <si>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</si>
  <si>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</si>
  <si>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</si>
  <si>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</si>
  <si>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</si>
  <si>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</si>
  <si>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</si>
  <si>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</si>
  <si>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</si>
  <si>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</si>
  <si>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</si>
  <si>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</si>
  <si>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</si>
  <si>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</si>
  <si>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</si>
  <si>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</si>
  <si>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</si>
  <si>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</si>
  <si>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</si>
  <si>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</si>
  <si>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</si>
  <si>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</si>
  <si>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</si>
  <si>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</si>
  <si>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</si>
  <si>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</si>
  <si>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</si>
  <si>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</si>
  <si>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</si>
  <si>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</si>
  <si>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</si>
  <si>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</si>
  <si>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</si>
  <si>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</si>
  <si>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</si>
  <si>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</si>
  <si>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</si>
  <si>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</si>
  <si>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</si>
  <si>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</si>
  <si>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</si>
  <si>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</si>
  <si>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</si>
  <si>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</si>
  <si>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</si>
  <si>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</si>
  <si>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</si>
  <si>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</si>
  <si>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</si>
  <si>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</si>
  <si>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</si>
  <si>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</si>
  <si>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</si>
  <si>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</si>
  <si>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</si>
  <si>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</si>
  <si>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</si>
  <si>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</si>
  <si>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</si>
  <si>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</si>
  <si>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</si>
  <si>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</si>
  <si>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</si>
  <si>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</si>
  <si>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</si>
  <si>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</si>
  <si>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</si>
  <si>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</si>
  <si>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</si>
  <si>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</si>
  <si>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</si>
  <si>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</si>
  <si>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</si>
  <si>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</si>
  <si>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</si>
  <si>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</si>
  <si>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</si>
  <si>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</si>
  <si>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</si>
  <si>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</si>
  <si>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</si>
  <si>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</si>
  <si>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</si>
  <si>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</si>
  <si>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</si>
  <si>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</si>
  <si>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</si>
  <si>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</si>
  <si>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</si>
  <si>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</si>
  <si>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</si>
  <si>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</si>
  <si>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</si>
  <si>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</si>
  <si>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</si>
  <si>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</si>
  <si>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</si>
  <si>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</si>
  <si>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</si>
  <si>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</si>
  <si>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</si>
  <si>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</si>
  <si>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</si>
  <si>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</si>
  <si>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</si>
  <si>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</si>
  <si>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</si>
  <si>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</si>
  <si>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</si>
  <si>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</si>
  <si>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</si>
  <si>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</si>
  <si>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</si>
  <si>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</si>
  <si>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</si>
  <si>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</si>
  <si>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</si>
  <si>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</si>
  <si>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</si>
  <si>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</si>
  <si>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</si>
  <si>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</si>
  <si>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</si>
  <si>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</si>
  <si>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</si>
  <si>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</si>
  <si>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</si>
  <si>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</si>
  <si>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</si>
  <si>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</si>
  <si>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</si>
  <si>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</si>
  <si>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</si>
  <si>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</si>
  <si>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</si>
  <si>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</si>
  <si>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</si>
  <si>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</si>
  <si>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</si>
  <si>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</si>
  <si>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</si>
  <si>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</si>
  <si>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</si>
  <si>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</si>
  <si>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</si>
  <si>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</si>
  <si>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</si>
  <si>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</si>
  <si>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</si>
  <si>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</si>
  <si>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</si>
  <si>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</si>
  <si>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300,</t>
    <phoneticPr fontId="1" type="noConversion"/>
  </si>
  <si>
    <t>50,50,50,50,100,</t>
    <phoneticPr fontId="1" type="noConversion"/>
  </si>
  <si>
    <t>200,400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</si>
  <si>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</si>
  <si>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</si>
  <si>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</si>
  <si>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1,500,</t>
    <phoneticPr fontId="1" type="noConversion"/>
  </si>
  <si>
    <t>50,</t>
    <phoneticPr fontId="1" type="noConversion"/>
  </si>
  <si>
    <t>骰子龟</t>
    <phoneticPr fontId="1" type="noConversion"/>
  </si>
  <si>
    <t>250,2,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</si>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</sst>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6" workbookViewId="0">
      <selection activeCell="B2" sqref="B2:B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3.2000000000000001E-2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3.2000000000000001E-2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3.2000000000000001E-2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3.2000000000000001E-2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3.2000000000000001E-2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3.2000000000000001E-2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3.2000000000000001E-2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3.2000000000000001E-2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3.2000000000000001E-2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3.2000000000000001E-2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3.2000000000000001E-2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3.2000000000000001E-2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3.2000000000000001E-2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3.2000000000000001E-2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3.2000000000000001E-2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3.2000000000000001E-2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3.2000000000000001E-2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3.2000000000000001E-2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3.2000000000000001E-2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3.2000000000000001E-2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311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C1" workbookViewId="0">
      <pane ySplit="1" topLeftCell="A38" activePane="bottomLeft" state="frozen"/>
      <selection pane="bottomLeft" activeCell="Q65" sqref="Q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344</v>
      </c>
      <c r="I39" s="19" t="s">
        <v>345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20" activePane="bottomLeft" state="frozen"/>
      <selection pane="bottomLeft" activeCell="F45" sqref="F4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362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363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364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322</v>
      </c>
      <c r="F25" s="19" t="s">
        <v>324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325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362</v>
      </c>
      <c r="E26" s="19">
        <f>LOOKUP(use_fish!B26,base_fish!A:A,base_fish!C:C)+_xlfn.IFNA(INDEX(activity!F:F,MATCH(use_fish!C26,activity!A:A,0)),0)</f>
        <v>80</v>
      </c>
      <c r="F26" s="19">
        <f t="shared" ref="F26" si="5">1/E26</f>
        <v>1.2500000000000001E-2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362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365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366</v>
      </c>
      <c r="E39" s="32">
        <f>LOOKUP(use_fish!B39,base_fish!A:A,base_fish!C:C)+_xlfn.IFNA(INDEX(activity!F:F,MATCH(use_fish!C39,activity!A:A,0)),0)</f>
        <v>100</v>
      </c>
      <c r="F39" s="32">
        <f t="shared" si="8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9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367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368</v>
      </c>
      <c r="E41" s="32">
        <f>LOOKUP(use_fish!B41,base_fish!A:A,base_fish!C:C)+_xlfn.IFNA(INDEX(activity!F:F,MATCH(use_fish!C41,activity!A:A,0)),0)</f>
        <v>300</v>
      </c>
      <c r="F41" s="32">
        <f t="shared" si="10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1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367</v>
      </c>
      <c r="E42" s="32">
        <f>LOOKUP(use_fish!B42,base_fish!A:A,base_fish!C:C)+_xlfn.IFNA(INDEX(activity!F:F,MATCH(use_fish!C42,activity!A:A,0)),0)</f>
        <v>200</v>
      </c>
      <c r="F42" s="32">
        <f t="shared" si="10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1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1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369</v>
      </c>
      <c r="E44" s="32">
        <f>LOOKUP(use_fish!B44,base_fish!A:A,base_fish!C:C)+_xlfn.IFNA(INDEX(activity!F:F,MATCH(use_fish!C44,activity!A:A,0)),0)</f>
        <v>200</v>
      </c>
      <c r="F44" s="32">
        <f t="shared" si="10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1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1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2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366</v>
      </c>
      <c r="E47" s="36">
        <f>LOOKUP(use_fish!B47,base_fish!A:A,base_fish!C:C)+_xlfn.IFNA(INDEX(activity!F:F,MATCH(use_fish!C47,activity!A:A,0)),0)</f>
        <v>200</v>
      </c>
      <c r="F47" s="36">
        <f t="shared" ref="F46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370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366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371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1" sqref="C31:G4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326</v>
      </c>
      <c r="D18" s="4">
        <v>0</v>
      </c>
      <c r="E18" s="4">
        <v>0</v>
      </c>
      <c r="F18">
        <v>150</v>
      </c>
      <c r="G18" t="s">
        <v>312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347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328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314</v>
      </c>
      <c r="D22" s="4">
        <v>0</v>
      </c>
      <c r="E22" s="4">
        <v>0</v>
      </c>
      <c r="F22">
        <v>50</v>
      </c>
      <c r="G22" t="s">
        <v>329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330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331</v>
      </c>
      <c r="D24" s="4">
        <v>0</v>
      </c>
      <c r="E24" s="4">
        <v>0</v>
      </c>
      <c r="F24">
        <v>250</v>
      </c>
      <c r="G24" t="s">
        <v>332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333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334</v>
      </c>
      <c r="D26" s="4">
        <v>0</v>
      </c>
      <c r="E26" s="4">
        <v>0</v>
      </c>
      <c r="F26">
        <v>10</v>
      </c>
      <c r="G26" t="s">
        <v>335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336</v>
      </c>
      <c r="D27" s="4">
        <v>0</v>
      </c>
      <c r="E27" s="4">
        <v>0</v>
      </c>
      <c r="F27">
        <v>50</v>
      </c>
      <c r="G27" t="s">
        <v>337</v>
      </c>
      <c r="H27">
        <v>31</v>
      </c>
      <c r="I27" t="s">
        <v>317</v>
      </c>
    </row>
    <row r="28" spans="1:9" x14ac:dyDescent="0.2">
      <c r="A28">
        <v>27</v>
      </c>
      <c r="B28">
        <v>21</v>
      </c>
      <c r="C28" s="11" t="s">
        <v>338</v>
      </c>
      <c r="D28" s="4">
        <v>0</v>
      </c>
      <c r="E28" s="4">
        <v>0</v>
      </c>
      <c r="F28">
        <v>100</v>
      </c>
      <c r="G28" t="s">
        <v>339</v>
      </c>
      <c r="H28">
        <v>32</v>
      </c>
      <c r="I28" t="s">
        <v>318</v>
      </c>
    </row>
    <row r="29" spans="1:9" x14ac:dyDescent="0.2">
      <c r="A29">
        <v>28</v>
      </c>
      <c r="B29">
        <v>22</v>
      </c>
      <c r="C29" s="11" t="s">
        <v>340</v>
      </c>
      <c r="D29" s="4">
        <v>0</v>
      </c>
      <c r="E29" s="4">
        <v>0</v>
      </c>
      <c r="F29">
        <v>100</v>
      </c>
      <c r="G29" t="s">
        <v>341</v>
      </c>
      <c r="H29">
        <v>33</v>
      </c>
      <c r="I29" t="s">
        <v>319</v>
      </c>
    </row>
    <row r="30" spans="1:9" x14ac:dyDescent="0.2">
      <c r="A30">
        <v>29</v>
      </c>
      <c r="B30">
        <v>23</v>
      </c>
      <c r="C30" t="s">
        <v>342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349</v>
      </c>
    </row>
    <row r="31" spans="1:9" x14ac:dyDescent="0.2">
      <c r="A31">
        <v>30</v>
      </c>
      <c r="B31">
        <v>24</v>
      </c>
      <c r="C31" s="11" t="s">
        <v>353</v>
      </c>
      <c r="D31" s="4">
        <v>0</v>
      </c>
      <c r="E31" s="4">
        <v>0</v>
      </c>
      <c r="F31">
        <v>300</v>
      </c>
      <c r="G31" t="s">
        <v>343</v>
      </c>
      <c r="H31">
        <v>39</v>
      </c>
      <c r="I31" t="s">
        <v>350</v>
      </c>
    </row>
    <row r="32" spans="1:9" x14ac:dyDescent="0.2">
      <c r="A32">
        <v>31</v>
      </c>
      <c r="B32">
        <v>25</v>
      </c>
      <c r="C32" t="s">
        <v>308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351</v>
      </c>
      <c r="D33" s="4">
        <v>0</v>
      </c>
      <c r="E33" s="4">
        <v>0</v>
      </c>
      <c r="F33">
        <v>300</v>
      </c>
      <c r="G33" t="s">
        <v>343</v>
      </c>
    </row>
    <row r="34" spans="1:7" x14ac:dyDescent="0.2">
      <c r="A34">
        <v>33</v>
      </c>
      <c r="B34">
        <v>29</v>
      </c>
      <c r="C34" t="s">
        <v>354</v>
      </c>
      <c r="D34" s="4">
        <v>0</v>
      </c>
      <c r="E34" s="4">
        <v>0</v>
      </c>
      <c r="F34">
        <v>300</v>
      </c>
      <c r="G34" t="s">
        <v>355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150</v>
      </c>
      <c r="G35" t="s">
        <v>309</v>
      </c>
    </row>
    <row r="36" spans="1:7" x14ac:dyDescent="0.2">
      <c r="A36">
        <v>35</v>
      </c>
      <c r="B36">
        <v>31</v>
      </c>
      <c r="C36" t="s">
        <v>356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357</v>
      </c>
      <c r="D37" s="4">
        <v>0</v>
      </c>
      <c r="E37" s="4">
        <v>0</v>
      </c>
      <c r="F37">
        <v>300</v>
      </c>
      <c r="G37" t="s">
        <v>318</v>
      </c>
    </row>
    <row r="38" spans="1:7" x14ac:dyDescent="0.2">
      <c r="A38">
        <v>37</v>
      </c>
      <c r="B38">
        <v>33</v>
      </c>
      <c r="C38" t="s">
        <v>358</v>
      </c>
      <c r="D38" s="4">
        <v>0</v>
      </c>
      <c r="E38" s="4">
        <v>0</v>
      </c>
      <c r="F38">
        <v>200</v>
      </c>
      <c r="G38" t="s">
        <v>359</v>
      </c>
    </row>
    <row r="39" spans="1:7" x14ac:dyDescent="0.2">
      <c r="A39">
        <v>38</v>
      </c>
      <c r="B39">
        <v>38</v>
      </c>
      <c r="C39" t="s">
        <v>360</v>
      </c>
      <c r="D39" s="4">
        <v>0</v>
      </c>
      <c r="E39" s="4">
        <v>0</v>
      </c>
      <c r="F39">
        <v>250</v>
      </c>
      <c r="G39" t="s">
        <v>348</v>
      </c>
    </row>
    <row r="40" spans="1:7" x14ac:dyDescent="0.2">
      <c r="A40">
        <v>39</v>
      </c>
      <c r="B40">
        <v>39</v>
      </c>
      <c r="C40" t="s">
        <v>346</v>
      </c>
      <c r="D40" s="4">
        <v>0</v>
      </c>
      <c r="E40" s="4">
        <v>0</v>
      </c>
      <c r="F40">
        <v>250</v>
      </c>
      <c r="G40" t="s">
        <v>361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242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227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228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352</v>
      </c>
      <c r="D25" s="15" t="s">
        <v>323</v>
      </c>
      <c r="E25" s="17" t="s">
        <v>229</v>
      </c>
      <c r="F25" s="15" t="s">
        <v>322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230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212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235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236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237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238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239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307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240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241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316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320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2020-06-23T07:57:14Z</dcterms:modified>
</cp:coreProperties>
</file>