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E26" i="14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<sst xmlns="http://schemas.openxmlformats.org/spreadsheetml/2006/main" count="480" uniqueCount="371">
  <si>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</si>
  <si>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</si>
  <si>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</si>
  <si>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</si>
  <si>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</si>
  <si>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</si>
  <si>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</si>
  <si>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</si>
  <si>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</si>
  <si>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</si>
  <si>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</si>
  <si>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</si>
  <si>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</si>
  <si>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</si>
  <si>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</si>
  <si>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</si>
  <si>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</si>
  <si>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</si>
  <si>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</si>
  <si>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</si>
  <si>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</si>
  <si>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</si>
  <si>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</si>
  <si>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</si>
  <si>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</si>
  <si>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</si>
  <si>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</si>
  <si>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</si>
  <si>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</si>
  <si>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</si>
  <si>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</si>
  <si>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</si>
  <si>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</si>
  <si>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</si>
  <si>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</si>
  <si>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</si>
  <si>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</si>
  <si>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</si>
  <si>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</si>
  <si>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</si>
  <si>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</si>
  <si>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</si>
  <si>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</si>
  <si>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</si>
  <si>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</si>
  <si>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</si>
  <si>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</si>
  <si>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</si>
  <si>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</si>
  <si>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</si>
  <si>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</si>
  <si>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</si>
  <si>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</si>
  <si>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</si>
  <si>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</si>
  <si>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</si>
  <si>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</si>
  <si>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</si>
  <si>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</si>
  <si>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</si>
  <si>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</si>
  <si>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</si>
  <si>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</si>
  <si>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</si>
  <si>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</si>
  <si>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</si>
  <si>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</si>
  <si>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</si>
  <si>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</si>
  <si>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</si>
  <si>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</si>
  <si>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</si>
  <si>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</si>
  <si>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</si>
  <si>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</si>
  <si>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</si>
  <si>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</si>
  <si>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</si>
  <si>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</si>
  <si>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</si>
  <si>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</si>
  <si>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</si>
  <si>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</si>
  <si>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</si>
  <si>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</si>
  <si>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</si>
  <si>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</si>
  <si>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</si>
  <si>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</si>
  <si>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</si>
  <si>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</si>
  <si>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</si>
  <si>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</si>
  <si>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</si>
  <si>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</si>
  <si>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</si>
  <si>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</si>
  <si>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</si>
  <si>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</si>
  <si>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</si>
  <si>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</si>
  <si>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</si>
  <si>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</si>
  <si>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</si>
  <si>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</si>
  <si>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</si>
  <si>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</si>
  <si>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</si>
  <si>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</si>
  <si>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</si>
  <si>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</si>
  <si>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</si>
  <si>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</si>
  <si>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</si>
  <si>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</si>
  <si>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</si>
  <si>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</si>
  <si>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</si>
  <si>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</si>
  <si>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</si>
  <si>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</si>
  <si>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</si>
  <si>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</si>
  <si>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</si>
  <si>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</si>
  <si>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</si>
  <si>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</si>
  <si>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</si>
  <si>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</si>
  <si>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</si>
  <si>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</si>
  <si>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</si>
  <si>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</si>
  <si>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</si>
  <si>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</si>
  <si>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</si>
  <si>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</si>
  <si>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</si>
  <si>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</si>
  <si>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</si>
  <si>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</si>
  <si>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</si>
  <si>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</si>
  <si>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</si>
  <si>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</si>
  <si>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</si>
  <si>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</si>
  <si>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</si>
  <si>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</si>
  <si>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</si>
  <si>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</si>
  <si>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</si>
  <si>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</si>
  <si>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</si>
  <si>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</si>
  <si>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</si>
  <si>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</si>
  <si>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</si>
  <si>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</si>
  <si>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</si>
  <si>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</si>
  <si>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</si>
  <si>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</si>
  <si>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</si>
  <si>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</si>
  <si>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</si>
  <si>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</si>
  <si>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</si>
  <si>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</si>
  <si>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</si>
  <si>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</si>
  <si>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</si>
  <si>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</si>
  <si>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</si>
  <si>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</si>
  <si>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</si>
  <si>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</si>
  <si>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</si>
  <si>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</si>
  <si>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</si>
  <si>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</si>
  <si>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</si>
  <si>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</si>
  <si>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</si>
  <si>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</si>
  <si>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</si>
  <si>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</si>
  <si>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</si>
  <si>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</si>
  <si>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</si>
  <si>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</si>
  <si>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</si>
  <si>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</si>
  <si>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</si>
  <si>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</si>
  <si>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</si>
  <si>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</si>
  <si>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</si>
  <si>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</si>
  <si>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</si>
  <si>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</si>
  <si>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</si>
  <si>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</si>
  <si>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</si>
  <si>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</si>
  <si>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</si>
  <si>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</si>
  <si>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</si>
  <si>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</si>
  <si>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</si>
  <si>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</si>
  <si>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</si>
  <si>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</si>
  <si>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</si>
  <si>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</si>
  <si>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</si>
  <si>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</si>
  <si>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</si>
  <si>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</si>
  <si>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</si>
  <si>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</si>
  <si>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</si>
  <si>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</si>
  <si>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</si>
  <si>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</si>
  <si>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</si>
  <si>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</si>
  <si>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</si>
  <si>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</si>
  <si>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</si>
  <si>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</si>
  <si>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</si>
  <si>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</si>
  <si>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</si>
  <si>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</si>
  <si>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</si>
  <si>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</si>
  <si>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</si>
  <si>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</si>
  <si>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</si>
  <si>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</si>
  <si>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</si>
  <si>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</si>
  <si>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</si>
  <si>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</si>
  <si>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</si>
  <si>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</si>
  <si>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</si>
  <si>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</si>
  <si>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</si>
  <si>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</si>
  <si>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</si>
  <si>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</si>
  <si>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</si>
  <si>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</si>
  <si>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</si>
  <si>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</si>
  <si>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</si>
  <si>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</si>
  <si>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</si>
  <si>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</si>
  <si>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</si>
  <si>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</si>
  <si>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</si>
  <si>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</si>
  <si>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</si>
  <si>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</si>
  <si>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</si>
  <si>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</si>
  <si>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</si>
  <si>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</si>
  <si>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</si>
  <si>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</si>
  <si>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</si>
  <si>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</si>
  <si>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</si>
  <si>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</si>
  <si>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</si>
  <si>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</si>
  <si>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</si>
  <si>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</si>
  <si>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</si>
  <si>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</si>
  <si>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</si>
  <si>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</si>
  <si>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</si>
  <si>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</si>
  <si>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</si>
  <si>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</si>
  <si>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</si>
  <si>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</si>
  <si>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</si>
  <si>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</si>
  <si>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</si>
  <si>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</si>
  <si>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</si>
  <si>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</si>
  <si>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</si>
  <si>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</si>
  <si>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</si>
  <si>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</si>
  <si>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</si>
  <si>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</si>
  <si>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</si>
  <si>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</si>
  <si>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</si>
  <si>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</si>
  <si>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</si>
  <si>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</si>
  <si>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</si>
  <si>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</si>
  <si>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</si>
  <si>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</si>
  <si>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</si>
  <si>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</si>
  <si>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</si>
  <si>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</si>
  <si>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</si>
  <si>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</si>
  <si>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</si>
  <si>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</si>
  <si>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</si>
  <si>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</si>
  <si>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</si>
  <si>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</si>
  <si>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</si>
  <si>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</si>
  <si>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</si>
  <si>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</si>
  <si>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</si>
  <si>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</si>
  <si>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</si>
  <si>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</si>
  <si>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</si>
  <si>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</si>
  <si>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</si>
  <si>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</si>
  <si>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</si>
  <si>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</si>
  <si>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</si>
  <si>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</si>
  <si>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</si>
  <si>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</si>
  <si>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</si>
  <si>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</si>
  <si>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</si>
  <si>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</si>
  <si>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</si>
  <si>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</si>
  <si>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</si>
  <si>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</si>
  <si>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</si>
  <si>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</si>
  <si>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</si>
  <si>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200,</t>
    <phoneticPr fontId="1" type="noConversion"/>
  </si>
  <si>
    <t>4,20,30,50,100,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</si>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</sst>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31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9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362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363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330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364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341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342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366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368</v>
      </c>
      <c r="E47" s="36">
        <f>LOOKUP(use_fish!B47,base_fish!A:A,base_fish!C:C)+_xlfn.IFNA(INDEX(activity!F:F,MATCH(use_fish!C47,activity!A:A,0)),0)</f>
        <v>200</v>
      </c>
      <c r="F47" s="36">
        <f t="shared" ref="F46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369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341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370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332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343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334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335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336</v>
      </c>
      <c r="D26" s="4">
        <v>0</v>
      </c>
      <c r="E26" s="4">
        <v>0</v>
      </c>
      <c r="F26">
        <v>10</v>
      </c>
      <c r="G26" t="s">
        <v>337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338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339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347</v>
      </c>
    </row>
    <row r="32" spans="1:9" x14ac:dyDescent="0.2">
      <c r="A32">
        <v>31</v>
      </c>
      <c r="B32">
        <v>25</v>
      </c>
      <c r="C32" t="s">
        <v>340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348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357</v>
      </c>
    </row>
    <row r="38" spans="1:7" x14ac:dyDescent="0.2">
      <c r="A38">
        <v>37</v>
      </c>
      <c r="B38">
        <v>33</v>
      </c>
      <c r="C38" t="s">
        <v>358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360</v>
      </c>
    </row>
    <row r="40" spans="1:7" x14ac:dyDescent="0.2">
      <c r="A40">
        <v>39</v>
      </c>
      <c r="B40">
        <v>39</v>
      </c>
      <c r="C40" t="s">
        <v>344</v>
      </c>
      <c r="D40" s="4">
        <v>0</v>
      </c>
      <c r="E40" s="4">
        <v>0</v>
      </c>
      <c r="F40">
        <v>250</v>
      </c>
      <c r="G40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349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2020-06-23T07:56:46Z</dcterms:modified>
</cp:coreProperties>
</file>