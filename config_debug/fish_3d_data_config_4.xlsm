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firstSheet="1" activeTab="7"/>
  </bookViews>
  <sheets>
    <sheet name="profit" sheetId="17" r:id="rId1"/>
    <sheet name="random_wave" sheetId="30" r:id="rId2"/>
    <sheet name="wave" sheetId="26" r:id="rId3"/>
    <sheet name="image_type_cfg" sheetId="34" r:id="rId4"/>
    <sheet name="image_cfg" sheetId="28" r:id="rId5"/>
    <sheet name="group" sheetId="7" r:id="rId6"/>
    <sheet name="use_fish" sheetId="14" r:id="rId7"/>
    <sheet name="activity" sheetId="5" r:id="rId8"/>
    <sheet name="box_fish_activity" sheetId="33" r:id="rId9"/>
    <sheet name="base_fish" sheetId="1" r:id="rId10"/>
    <sheet name="path" sheetId="2" r:id="rId11"/>
    <sheet name="laser" sheetId="18" r:id="rId12"/>
    <sheet name="gun" sheetId="25" r:id="rId13"/>
    <sheet name="skill" sheetId="29" r:id="rId14"/>
    <sheet name="dead_mode" sheetId="31" r:id="rId15"/>
    <sheet name="box_fish_award" sheetId="32" r:id="rId16"/>
    <sheet name="match_award" sheetId="35" r:id="rId17"/>
    <sheet name="ue_event_map" sheetId="36" r:id="rId18"/>
    <sheet name="summon_fish" sheetId="37" r:id="rId19"/>
  </sheets>
  <externalReferences>
    <externalReference r:id="rId20"/>
  </externalReferences>
  <definedNames>
    <definedName name="_xlnm._FilterDatabase" localSheetId="5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33" i="5" l="1"/>
  <c r="G32" i="5"/>
  <c r="G31" i="5"/>
  <c r="F28" i="14" l="1"/>
  <c r="F27" i="14"/>
  <c r="F26" i="14"/>
  <c r="F24" i="14"/>
  <c r="F23" i="14"/>
  <c r="F22" i="14"/>
  <c r="F21" i="14"/>
  <c r="G36" i="5" l="1"/>
  <c r="G20" i="5" l="1"/>
  <c r="H23" i="14" l="1"/>
  <c r="H24" i="14"/>
  <c r="H25" i="14"/>
  <c r="H26" i="14"/>
  <c r="H27" i="14"/>
  <c r="K24" i="14" l="1"/>
  <c r="K25" i="14"/>
  <c r="K26" i="14"/>
  <c r="K27" i="14"/>
  <c r="J3" i="7" l="1"/>
  <c r="J4" i="7"/>
  <c r="J5" i="7"/>
  <c r="J6" i="7"/>
  <c r="J7" i="7"/>
  <c r="J8" i="7"/>
  <c r="J9" i="7"/>
  <c r="J10" i="7"/>
  <c r="J11" i="7"/>
  <c r="J12" i="7"/>
  <c r="J13" i="7"/>
  <c r="J14" i="7"/>
  <c r="J15" i="7"/>
  <c r="J16" i="7"/>
  <c r="J17" i="7"/>
  <c r="J18" i="7"/>
  <c r="J19" i="7"/>
  <c r="J20" i="7"/>
  <c r="J21" i="7"/>
  <c r="J22" i="7"/>
  <c r="J23" i="7"/>
  <c r="J24" i="7"/>
  <c r="J25" i="7"/>
  <c r="J26" i="7"/>
  <c r="J27" i="7"/>
  <c r="J28" i="7"/>
  <c r="J29" i="7"/>
  <c r="J30" i="7"/>
  <c r="J31" i="7"/>
  <c r="J32" i="7"/>
  <c r="J33" i="7"/>
  <c r="J34" i="7"/>
  <c r="J35" i="7"/>
  <c r="J36" i="7"/>
  <c r="J37" i="7"/>
  <c r="J38" i="7"/>
  <c r="J40" i="7"/>
  <c r="J41" i="7"/>
  <c r="J42" i="7"/>
  <c r="J43" i="7"/>
  <c r="J44" i="7"/>
  <c r="J45" i="7"/>
  <c r="J46" i="7"/>
  <c r="J47" i="7"/>
  <c r="J48" i="7"/>
  <c r="J49" i="7"/>
  <c r="J50" i="7"/>
  <c r="J51" i="7"/>
  <c r="J52" i="7"/>
  <c r="J53" i="7"/>
  <c r="J54" i="7"/>
  <c r="J55" i="7"/>
  <c r="J56" i="7"/>
  <c r="J57" i="7"/>
  <c r="J58" i="7"/>
  <c r="J59" i="7"/>
  <c r="J60" i="7"/>
  <c r="J61" i="7"/>
  <c r="J62" i="7"/>
  <c r="J63" i="7"/>
  <c r="J64" i="7"/>
  <c r="J65" i="7"/>
  <c r="J66" i="7"/>
  <c r="J67" i="7"/>
  <c r="J2" i="7"/>
  <c r="E48" i="14" l="1"/>
  <c r="E49" i="14"/>
  <c r="H62" i="7" s="1"/>
  <c r="E50" i="14"/>
  <c r="G30" i="5"/>
  <c r="G21" i="5"/>
  <c r="G19" i="5"/>
  <c r="H63" i="7" l="1"/>
  <c r="H64" i="7"/>
  <c r="L25" i="14"/>
  <c r="J39" i="7"/>
  <c r="F26" i="1"/>
  <c r="I26" i="14" s="1"/>
  <c r="D26" i="1"/>
  <c r="H40" i="7" l="1"/>
  <c r="L26" i="14"/>
  <c r="I40" i="7"/>
  <c r="F51" i="1"/>
  <c r="D51" i="1"/>
  <c r="I7" i="14" l="1"/>
  <c r="F7" i="14"/>
  <c r="F7" i="1"/>
  <c r="D7" i="1"/>
  <c r="D39" i="1" l="1"/>
  <c r="D40" i="1"/>
  <c r="D41" i="1"/>
  <c r="D42" i="1"/>
  <c r="D43" i="1"/>
  <c r="D44" i="1"/>
  <c r="D45" i="1"/>
  <c r="D46" i="1"/>
  <c r="D47" i="1"/>
  <c r="D48" i="1"/>
  <c r="D49" i="1"/>
  <c r="D50" i="1"/>
  <c r="E9" i="14" l="1"/>
  <c r="E10" i="14"/>
  <c r="E11" i="14"/>
  <c r="E12" i="14"/>
  <c r="E13" i="14"/>
  <c r="E14" i="14"/>
  <c r="E15" i="14"/>
  <c r="H29" i="7" s="1"/>
  <c r="E16" i="14"/>
  <c r="E17" i="14"/>
  <c r="H31" i="7" s="1"/>
  <c r="E18" i="14"/>
  <c r="H32" i="7" s="1"/>
  <c r="E19" i="14"/>
  <c r="H33" i="7" s="1"/>
  <c r="E20" i="14"/>
  <c r="H34" i="7" s="1"/>
  <c r="H35" i="7"/>
  <c r="H36" i="7"/>
  <c r="H37" i="7"/>
  <c r="H38" i="7"/>
  <c r="H41" i="7"/>
  <c r="H42" i="7"/>
  <c r="E29" i="14"/>
  <c r="H43" i="7" s="1"/>
  <c r="E30" i="14"/>
  <c r="H44" i="7" s="1"/>
  <c r="E31" i="14"/>
  <c r="H45" i="7" s="1"/>
  <c r="E32" i="14"/>
  <c r="H46" i="7" s="1"/>
  <c r="F39" i="1"/>
  <c r="F40" i="1"/>
  <c r="F41" i="1"/>
  <c r="F42" i="1"/>
  <c r="F43" i="1"/>
  <c r="F44" i="1"/>
  <c r="F45" i="1"/>
  <c r="F46" i="1"/>
  <c r="F47" i="1"/>
  <c r="F48" i="1"/>
  <c r="I48" i="14" s="1"/>
  <c r="F49" i="1"/>
  <c r="I49" i="14" s="1"/>
  <c r="F50" i="1"/>
  <c r="I50" i="14" s="1"/>
  <c r="I64" i="7" s="1"/>
  <c r="F28" i="1"/>
  <c r="F29" i="1"/>
  <c r="F30" i="1"/>
  <c r="F24" i="1"/>
  <c r="I24" i="14" s="1"/>
  <c r="I38" i="7" s="1"/>
  <c r="D24" i="1"/>
  <c r="F9" i="1"/>
  <c r="I9" i="14" s="1"/>
  <c r="F10" i="1"/>
  <c r="I10" i="14" s="1"/>
  <c r="D9" i="1"/>
  <c r="D10" i="1"/>
  <c r="I9" i="7" l="1"/>
  <c r="H11" i="7"/>
  <c r="H12" i="7"/>
  <c r="H28" i="7"/>
  <c r="H24" i="7"/>
  <c r="H25" i="7"/>
  <c r="H10" i="7"/>
  <c r="H17" i="7"/>
  <c r="H26" i="7"/>
  <c r="H30" i="7"/>
  <c r="L10" i="14"/>
  <c r="I10" i="7"/>
  <c r="H23" i="7"/>
  <c r="H27" i="7"/>
  <c r="H22" i="7"/>
  <c r="H9" i="7"/>
  <c r="L24" i="14"/>
  <c r="L9" i="14"/>
  <c r="F10" i="14"/>
  <c r="F9" i="14"/>
  <c r="F38" i="1"/>
  <c r="D38" i="1"/>
  <c r="E8" i="14" l="1"/>
  <c r="H67" i="7" l="1"/>
  <c r="H8" i="7"/>
  <c r="H16" i="7"/>
  <c r="H15" i="7"/>
  <c r="F32" i="1"/>
  <c r="F33" i="1"/>
  <c r="F34" i="1"/>
  <c r="F36" i="1"/>
  <c r="F37" i="1"/>
  <c r="D37" i="1"/>
  <c r="D36" i="1" l="1"/>
  <c r="H32" i="14" l="1"/>
  <c r="D35" i="1"/>
  <c r="D34" i="1"/>
  <c r="D28" i="1"/>
  <c r="D29" i="1"/>
  <c r="D30" i="1"/>
  <c r="D31" i="1"/>
  <c r="D32" i="1"/>
  <c r="D33" i="1"/>
  <c r="K50" i="14"/>
  <c r="K49" i="14"/>
  <c r="F49" i="14"/>
  <c r="K48" i="14"/>
  <c r="K47" i="14"/>
  <c r="E47" i="14"/>
  <c r="K46" i="14"/>
  <c r="E46" i="14"/>
  <c r="K45" i="14"/>
  <c r="E45" i="14"/>
  <c r="K44" i="14"/>
  <c r="E44" i="14"/>
  <c r="K43" i="14"/>
  <c r="E43" i="14"/>
  <c r="K42" i="14"/>
  <c r="E42" i="14"/>
  <c r="K41" i="14"/>
  <c r="E41" i="14"/>
  <c r="K40" i="14"/>
  <c r="E40" i="14"/>
  <c r="K39" i="14"/>
  <c r="E39" i="14"/>
  <c r="K38" i="14"/>
  <c r="E38" i="14"/>
  <c r="K37" i="14"/>
  <c r="E37" i="14"/>
  <c r="K36" i="14"/>
  <c r="E36" i="14"/>
  <c r="K35" i="14"/>
  <c r="E35" i="14"/>
  <c r="K34" i="14"/>
  <c r="E34" i="14"/>
  <c r="K33" i="14"/>
  <c r="E33" i="14"/>
  <c r="F8" i="1"/>
  <c r="D8" i="1"/>
  <c r="F8" i="14"/>
  <c r="F29" i="14"/>
  <c r="K29" i="14"/>
  <c r="F30" i="14"/>
  <c r="I30" i="14"/>
  <c r="K30" i="14"/>
  <c r="F31" i="14"/>
  <c r="H31" i="14"/>
  <c r="K31" i="14"/>
  <c r="F32" i="14"/>
  <c r="K32" i="14"/>
  <c r="F20" i="14"/>
  <c r="K20" i="14"/>
  <c r="H21" i="14"/>
  <c r="K21" i="14"/>
  <c r="K22" i="14"/>
  <c r="K23" i="14"/>
  <c r="H28" i="14"/>
  <c r="K28" i="14"/>
  <c r="I29" i="14"/>
  <c r="F31" i="1"/>
  <c r="I31" i="14" s="1"/>
  <c r="I45" i="7" s="1"/>
  <c r="I32" i="14"/>
  <c r="I46" i="7" s="1"/>
  <c r="H48" i="14"/>
  <c r="N3" i="14"/>
  <c r="N4" i="14"/>
  <c r="N5" i="14"/>
  <c r="N6" i="14"/>
  <c r="N7" i="14"/>
  <c r="N8" i="14"/>
  <c r="N9" i="14"/>
  <c r="N10" i="14"/>
  <c r="N11" i="14"/>
  <c r="N2" i="14"/>
  <c r="E2" i="14"/>
  <c r="D27" i="1"/>
  <c r="F27" i="1"/>
  <c r="I27" i="14" s="1"/>
  <c r="I41" i="7" s="1"/>
  <c r="D23" i="1"/>
  <c r="F23" i="1"/>
  <c r="D22" i="1"/>
  <c r="F22" i="1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21" i="1"/>
  <c r="F21" i="1"/>
  <c r="K3" i="14"/>
  <c r="K4" i="14"/>
  <c r="K5" i="14"/>
  <c r="K6" i="14"/>
  <c r="K7" i="14"/>
  <c r="K8" i="14"/>
  <c r="K9" i="14"/>
  <c r="K10" i="14"/>
  <c r="K11" i="14"/>
  <c r="K12" i="14"/>
  <c r="K13" i="14"/>
  <c r="K14" i="14"/>
  <c r="K15" i="14"/>
  <c r="K16" i="14"/>
  <c r="K17" i="14"/>
  <c r="K18" i="14"/>
  <c r="K19" i="14"/>
  <c r="K2" i="14"/>
  <c r="D2" i="1"/>
  <c r="F2" i="1"/>
  <c r="F3" i="1"/>
  <c r="F4" i="1"/>
  <c r="I4" i="14" s="1"/>
  <c r="F5" i="1"/>
  <c r="F6" i="1"/>
  <c r="F11" i="1"/>
  <c r="I11" i="14" s="1"/>
  <c r="F12" i="1"/>
  <c r="I12" i="14"/>
  <c r="L12" i="14" s="1"/>
  <c r="F13" i="1"/>
  <c r="F16" i="1"/>
  <c r="I62" i="7" s="1"/>
  <c r="F15" i="1"/>
  <c r="I15" i="14" s="1"/>
  <c r="I16" i="14"/>
  <c r="F17" i="1"/>
  <c r="I17" i="14" s="1"/>
  <c r="F18" i="1"/>
  <c r="F19" i="1"/>
  <c r="I19" i="14" s="1"/>
  <c r="I33" i="7" s="1"/>
  <c r="F20" i="1"/>
  <c r="E3" i="14"/>
  <c r="E4" i="14"/>
  <c r="H19" i="7" s="1"/>
  <c r="E5" i="14"/>
  <c r="E6" i="14"/>
  <c r="F12" i="14"/>
  <c r="F13" i="14"/>
  <c r="F18" i="14"/>
  <c r="F19" i="14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47" i="14" s="1"/>
  <c r="I61" i="7" s="1"/>
  <c r="F14" i="14"/>
  <c r="G16" i="5"/>
  <c r="G2" i="30"/>
  <c r="F2" i="30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G13" i="5"/>
  <c r="H35" i="14" s="1"/>
  <c r="G15" i="5"/>
  <c r="H41" i="14" s="1"/>
  <c r="G5" i="5"/>
  <c r="G7" i="5"/>
  <c r="H19" i="14" s="1"/>
  <c r="G14" i="5"/>
  <c r="G12" i="5"/>
  <c r="D3" i="18"/>
  <c r="D4" i="18"/>
  <c r="D5" i="18"/>
  <c r="D6" i="18"/>
  <c r="D7" i="18"/>
  <c r="D8" i="18"/>
  <c r="D9" i="18"/>
  <c r="D10" i="18"/>
  <c r="D11" i="18"/>
  <c r="D2" i="18"/>
  <c r="G2" i="5"/>
  <c r="G9" i="5"/>
  <c r="H22" i="14" s="1"/>
  <c r="G10" i="5"/>
  <c r="I45" i="14"/>
  <c r="I59" i="7" s="1"/>
  <c r="I13" i="14"/>
  <c r="F47" i="14" l="1"/>
  <c r="H61" i="7"/>
  <c r="I27" i="7"/>
  <c r="I17" i="7"/>
  <c r="H18" i="7"/>
  <c r="H20" i="7"/>
  <c r="H13" i="7"/>
  <c r="H65" i="7"/>
  <c r="L15" i="14"/>
  <c r="I29" i="7"/>
  <c r="I12" i="7"/>
  <c r="I11" i="7"/>
  <c r="F33" i="14"/>
  <c r="H47" i="7"/>
  <c r="F35" i="14"/>
  <c r="H49" i="7"/>
  <c r="F37" i="14"/>
  <c r="H51" i="7"/>
  <c r="F39" i="14"/>
  <c r="H53" i="7"/>
  <c r="F41" i="14"/>
  <c r="H55" i="7"/>
  <c r="H57" i="7"/>
  <c r="H59" i="7"/>
  <c r="H3" i="7"/>
  <c r="H7" i="7"/>
  <c r="H6" i="7"/>
  <c r="H5" i="7"/>
  <c r="H2" i="7"/>
  <c r="H4" i="7"/>
  <c r="L17" i="14"/>
  <c r="I31" i="7"/>
  <c r="L30" i="14"/>
  <c r="I44" i="7"/>
  <c r="H14" i="7"/>
  <c r="H21" i="7"/>
  <c r="H66" i="7"/>
  <c r="I30" i="7"/>
  <c r="L29" i="14"/>
  <c r="I43" i="7"/>
  <c r="F34" i="14"/>
  <c r="H48" i="7"/>
  <c r="F36" i="14"/>
  <c r="H50" i="7"/>
  <c r="H52" i="7"/>
  <c r="F40" i="14"/>
  <c r="H54" i="7"/>
  <c r="F42" i="14"/>
  <c r="H56" i="7"/>
  <c r="F44" i="14"/>
  <c r="H58" i="7"/>
  <c r="H60" i="7"/>
  <c r="H20" i="14"/>
  <c r="H30" i="14"/>
  <c r="L19" i="14"/>
  <c r="F50" i="14"/>
  <c r="I43" i="14"/>
  <c r="I39" i="14"/>
  <c r="I53" i="7" s="1"/>
  <c r="I20" i="14"/>
  <c r="I34" i="7" s="1"/>
  <c r="I41" i="14"/>
  <c r="I8" i="14"/>
  <c r="I2" i="14"/>
  <c r="I28" i="14"/>
  <c r="I42" i="7" s="1"/>
  <c r="H46" i="14"/>
  <c r="H50" i="14"/>
  <c r="H42" i="14"/>
  <c r="H49" i="14"/>
  <c r="H45" i="14"/>
  <c r="H47" i="14"/>
  <c r="H43" i="14"/>
  <c r="H34" i="14"/>
  <c r="H39" i="14"/>
  <c r="H33" i="14"/>
  <c r="H36" i="14"/>
  <c r="H37" i="14"/>
  <c r="H38" i="14"/>
  <c r="H29" i="14"/>
  <c r="H40" i="14"/>
  <c r="H44" i="14"/>
  <c r="I23" i="14"/>
  <c r="I37" i="7" s="1"/>
  <c r="I18" i="14"/>
  <c r="I38" i="14"/>
  <c r="I36" i="14"/>
  <c r="I14" i="14"/>
  <c r="F3" i="14"/>
  <c r="L16" i="14"/>
  <c r="I5" i="14"/>
  <c r="F17" i="14"/>
  <c r="L45" i="14"/>
  <c r="F16" i="14"/>
  <c r="F4" i="14"/>
  <c r="F15" i="14"/>
  <c r="F48" i="14"/>
  <c r="F5" i="14"/>
  <c r="L11" i="14"/>
  <c r="F2" i="14"/>
  <c r="F6" i="14"/>
  <c r="L4" i="14"/>
  <c r="L47" i="14"/>
  <c r="L49" i="14"/>
  <c r="L27" i="14"/>
  <c r="L32" i="14"/>
  <c r="L31" i="14"/>
  <c r="F11" i="14"/>
  <c r="I63" i="7"/>
  <c r="I44" i="14"/>
  <c r="I58" i="7" s="1"/>
  <c r="I37" i="14"/>
  <c r="I51" i="7" s="1"/>
  <c r="I42" i="14"/>
  <c r="I56" i="7" s="1"/>
  <c r="I49" i="7"/>
  <c r="I34" i="14"/>
  <c r="I48" i="7" s="1"/>
  <c r="L13" i="14"/>
  <c r="I46" i="14"/>
  <c r="I60" i="7" s="1"/>
  <c r="I40" i="14"/>
  <c r="I54" i="7" s="1"/>
  <c r="I33" i="14"/>
  <c r="I47" i="7" s="1"/>
  <c r="I6" i="14"/>
  <c r="I3" i="14"/>
  <c r="I22" i="14"/>
  <c r="I36" i="7" s="1"/>
  <c r="I21" i="14"/>
  <c r="I35" i="7" s="1"/>
  <c r="I22" i="7" l="1"/>
  <c r="L18" i="14"/>
  <c r="I32" i="7"/>
  <c r="I8" i="7"/>
  <c r="I16" i="7"/>
  <c r="I67" i="7"/>
  <c r="I15" i="7"/>
  <c r="L43" i="14"/>
  <c r="I57" i="7"/>
  <c r="I4" i="7"/>
  <c r="I3" i="7"/>
  <c r="I7" i="7"/>
  <c r="I2" i="7"/>
  <c r="I6" i="7"/>
  <c r="I5" i="7"/>
  <c r="L14" i="14"/>
  <c r="I24" i="7"/>
  <c r="I28" i="7"/>
  <c r="I25" i="7"/>
  <c r="L38" i="14"/>
  <c r="I52" i="7"/>
  <c r="I66" i="7"/>
  <c r="I14" i="7"/>
  <c r="I21" i="7"/>
  <c r="L41" i="14"/>
  <c r="I55" i="7"/>
  <c r="I20" i="7"/>
  <c r="I65" i="7"/>
  <c r="I18" i="7"/>
  <c r="I13" i="7"/>
  <c r="L36" i="14"/>
  <c r="I50" i="7"/>
  <c r="I26" i="7"/>
  <c r="I19" i="7"/>
  <c r="I23" i="7"/>
  <c r="L23" i="14"/>
  <c r="L28" i="14"/>
  <c r="L20" i="14"/>
  <c r="L39" i="14"/>
  <c r="L8" i="14"/>
  <c r="L2" i="14"/>
  <c r="L7" i="14"/>
  <c r="L5" i="14"/>
  <c r="L21" i="14"/>
  <c r="L22" i="14"/>
  <c r="L3" i="14"/>
  <c r="L6" i="14"/>
  <c r="L33" i="14"/>
  <c r="L40" i="14"/>
  <c r="L46" i="14"/>
  <c r="L34" i="14"/>
  <c r="L35" i="14"/>
  <c r="L42" i="14"/>
  <c r="L48" i="14"/>
  <c r="L37" i="14"/>
  <c r="L44" i="14"/>
  <c r="L50" i="14"/>
</calcChain>
</file>

<file path=xl/comments1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单炮抽水率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每炮之间的时间间隔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额外扣除的百分比，用于之后的返奖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单位0.1秒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5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6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<sst xmlns="http://schemas.openxmlformats.org/spreadsheetml/2006/main" count="482" uniqueCount="375">
  <si>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</si>
  <si>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</si>
  <si>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</si>
  <si>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</si>
  <si>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</si>
  <si>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</si>
  <si>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</si>
  <si>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</si>
  <si>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</si>
  <si>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</si>
  <si>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</si>
  <si>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</si>
  <si>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</si>
  <si>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</si>
  <si>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</si>
  <si>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</si>
  <si>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</si>
  <si>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</si>
  <si>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</si>
  <si>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no</t>
    <phoneticPr fontId="1" type="noConversion"/>
  </si>
  <si>
    <t>tax</t>
    <phoneticPr fontId="1" type="noConversion"/>
  </si>
  <si>
    <t>fire_interval</t>
  </si>
  <si>
    <t>storage</t>
    <phoneticPr fontId="1" type="noConversion"/>
  </si>
  <si>
    <t>max_times|最大随机次数</t>
  </si>
  <si>
    <t>min_times|最小随机次数</t>
  </si>
  <si>
    <t>max_bodong_value|最大波动概率</t>
  </si>
  <si>
    <t>min_bodong_value</t>
  </si>
  <si>
    <t>per_storage|每炮增加能量</t>
    <phoneticPr fontId="1" type="noConversion"/>
  </si>
  <si>
    <t>value|价值</t>
    <phoneticPr fontId="1" type="noConversion"/>
  </si>
  <si>
    <t>value|价值炮弹</t>
    <phoneticPr fontId="1" type="noConversion"/>
  </si>
  <si>
    <t>no</t>
    <phoneticPr fontId="1" type="noConversion"/>
  </si>
  <si>
    <t>level</t>
    <phoneticPr fontId="1" type="noConversion"/>
  </si>
  <si>
    <t>|最大随机次数需要的时间(秒)</t>
  </si>
  <si>
    <t>|最小随机次数需要的时间</t>
  </si>
  <si>
    <t>|最大波动峰值</t>
  </si>
  <si>
    <t>|最小波动峰值</t>
  </si>
  <si>
    <t>|最大波动低值</t>
  </si>
  <si>
    <t>|最小波动低值</t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</si>
  <si>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</si>
  <si>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</si>
  <si>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</si>
  <si>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</si>
  <si>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</si>
  <si>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</si>
  <si>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</si>
  <si>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</si>
  <si>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</si>
  <si>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</si>
  <si>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</si>
  <si>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</si>
  <si>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</si>
  <si>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</si>
  <si>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</si>
  <si>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</si>
  <si>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</si>
  <si>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</si>
  <si>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</si>
  <si>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</si>
  <si>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</si>
  <si>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</si>
  <si>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</si>
  <si>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</si>
  <si>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</si>
  <si>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</si>
  <si>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</si>
  <si>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</si>
  <si>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|花费时间min</t>
    <phoneticPr fontId="1" type="noConversion"/>
  </si>
  <si>
    <t>63,2,</t>
    <phoneticPr fontId="1" type="noConversion"/>
  </si>
  <si>
    <t>0.01,</t>
    <phoneticPr fontId="1" type="noConversion"/>
  </si>
  <si>
    <t>random_wave_js_limit|随机波动沮丧值，也是开关 -1表示关闭</t>
    <phoneticPr fontId="1" type="noConversion"/>
  </si>
  <si>
    <t>no</t>
    <phoneticPr fontId="1" type="noConversion"/>
  </si>
  <si>
    <t>change_times</t>
    <phoneticPr fontId="1" type="noConversion"/>
  </si>
  <si>
    <t>change_times_power</t>
    <phoneticPr fontId="1" type="noConversion"/>
  </si>
  <si>
    <t>bd_factor</t>
    <phoneticPr fontId="1" type="noConversion"/>
  </si>
  <si>
    <t>bd_power</t>
    <phoneticPr fontId="1" type="noConversion"/>
  </si>
  <si>
    <t>|all_change_times_power</t>
    <phoneticPr fontId="1" type="noConversion"/>
  </si>
  <si>
    <t>|all_bodong_power</t>
    <phoneticPr fontId="1" type="noConversion"/>
  </si>
  <si>
    <t>ID12389活动不要随意修改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</si>
  <si>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</si>
  <si>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</si>
  <si>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</si>
  <si>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</si>
  <si>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</si>
  <si>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</si>
  <si>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</si>
  <si>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</si>
  <si>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</si>
  <si>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</si>
  <si>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</si>
  <si>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</si>
  <si>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</si>
  <si>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</si>
  <si>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</si>
  <si>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</si>
  <si>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</si>
  <si>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</si>
  <si>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</si>
  <si>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</si>
  <si>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</si>
  <si>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</si>
  <si>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</si>
  <si>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</si>
  <si>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</si>
  <si>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</si>
  <si>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</si>
  <si>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</si>
  <si>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</si>
  <si>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</si>
  <si>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</si>
  <si>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</si>
  <si>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</si>
  <si>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image_cfg</t>
    <phoneticPr fontId="1" type="noConversion"/>
  </si>
  <si>
    <t>type|鱼图类别</t>
    <phoneticPr fontId="1" type="noConversion"/>
  </si>
  <si>
    <t>over_time_min</t>
    <phoneticPr fontId="1" type="noConversion"/>
  </si>
  <si>
    <t>over_time_max</t>
    <phoneticPr fontId="1" type="noConversion"/>
  </si>
  <si>
    <t>ctor_in_min_round|最小创建间隔轮次</t>
    <phoneticPr fontId="1" type="noConversion"/>
  </si>
  <si>
    <t>ctor_in_max_round|最大创建间隔轮次</t>
    <phoneticPr fontId="1" type="noConversion"/>
  </si>
  <si>
    <t>ctor_in_max_round|最大创建间隔轮次</t>
    <phoneticPr fontId="1" type="noConversion"/>
  </si>
  <si>
    <t>ctor_count|最大创建次数  9999999999代表无限制</t>
    <phoneticPr fontId="1" type="noConversion"/>
  </si>
  <si>
    <t>power|权值</t>
    <phoneticPr fontId="1" type="noConversion"/>
  </si>
  <si>
    <t>random</t>
    <phoneticPr fontId="1" type="noConversion"/>
  </si>
  <si>
    <t>guding</t>
    <phoneticPr fontId="1" type="noConversion"/>
  </si>
  <si>
    <t>power|权值</t>
    <phoneticPr fontId="1" type="noConversion"/>
  </si>
  <si>
    <t>ctor_count|最大创建次数  9999999999代表无限制</t>
    <phoneticPr fontId="1" type="noConversion"/>
  </si>
  <si>
    <t>first_ctor_min_round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</si>
  <si>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</si>
  <si>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</si>
  <si>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</si>
  <si>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</si>
  <si>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yuchao|鱼潮</t>
    <phoneticPr fontId="1" type="noConversion"/>
  </si>
  <si>
    <t>yc_weight</t>
    <phoneticPr fontId="1" type="noConversion"/>
  </si>
  <si>
    <t>activity</t>
    <phoneticPr fontId="1" type="noConversion"/>
  </si>
  <si>
    <t>activity_weight</t>
    <phoneticPr fontId="1" type="noConversion"/>
  </si>
  <si>
    <t>money</t>
    <phoneticPr fontId="1" type="noConversion"/>
  </si>
  <si>
    <t>money_weight</t>
    <phoneticPr fontId="1" type="noConversion"/>
  </si>
  <si>
    <t>ranking</t>
    <phoneticPr fontId="1" type="noConversion"/>
  </si>
  <si>
    <t>ranking_weight</t>
    <phoneticPr fontId="1" type="noConversion"/>
  </si>
  <si>
    <t>no</t>
    <phoneticPr fontId="1" type="noConversion"/>
  </si>
  <si>
    <t>map_id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</si>
  <si>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</si>
  <si>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</si>
  <si>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</si>
  <si>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</si>
  <si>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</si>
  <si>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</si>
  <si>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</si>
  <si>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100,150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</si>
  <si>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</si>
  <si>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</si>
  <si>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</si>
  <si>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</si>
  <si>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</si>
  <si>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</si>
  <si>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</si>
  <si>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</si>
  <si>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</si>
  <si>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</si>
  <si>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</si>
  <si>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</si>
  <si>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</si>
  <si>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</si>
  <si>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17,</t>
    <phoneticPr fontId="1" type="noConversion"/>
  </si>
  <si>
    <t>18,</t>
    <phoneticPr fontId="1" type="noConversion"/>
  </si>
  <si>
    <t>20,</t>
    <phoneticPr fontId="1" type="noConversion"/>
  </si>
  <si>
    <t>21,</t>
    <phoneticPr fontId="1" type="noConversion"/>
  </si>
  <si>
    <t>23,</t>
    <phoneticPr fontId="1" type="noConversion"/>
  </si>
  <si>
    <t>26,</t>
    <phoneticPr fontId="1" type="noConversion"/>
  </si>
  <si>
    <t>30,</t>
    <phoneticPr fontId="1" type="noConversion"/>
  </si>
  <si>
    <t>4,9,4,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</si>
  <si>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</si>
  <si>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</si>
  <si>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</si>
  <si>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</si>
  <si>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</si>
  <si>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</si>
  <si>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</si>
  <si>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</si>
  <si>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</si>
  <si>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</si>
  <si>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</si>
  <si>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</si>
  <si>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</si>
  <si>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</si>
  <si>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</si>
  <si>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</si>
  <si>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</si>
  <si>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</si>
  <si>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</si>
  <si>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</si>
  <si>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</si>
  <si>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</si>
  <si>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</si>
  <si>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</si>
  <si>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</si>
  <si>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0,50,3</t>
    <phoneticPr fontId="1" type="noConversion"/>
  </si>
  <si>
    <t>时限免费超级活力子弹</t>
    <phoneticPr fontId="1" type="noConversion"/>
  </si>
  <si>
    <t>电磁弹</t>
    <phoneticPr fontId="1" type="noConversion"/>
  </si>
  <si>
    <t xml:space="preserve">    </t>
    <phoneticPr fontId="1" type="noConversion"/>
  </si>
  <si>
    <t>image_no</t>
    <phoneticPr fontId="1" type="noConversion"/>
  </si>
  <si>
    <t>guding</t>
    <phoneticPr fontId="1" type="noConversion"/>
  </si>
  <si>
    <t>clear_level|鱼潮清理等级</t>
    <phoneticPr fontId="1" type="noConversion"/>
  </si>
  <si>
    <t>fish_3d_yutu_gd_1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</si>
  <si>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</si>
  <si>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</si>
  <si>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</si>
  <si>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4,</t>
  </si>
  <si>
    <t>5,</t>
  </si>
  <si>
    <t>10,2,</t>
    <phoneticPr fontId="1" type="noConversion"/>
  </si>
  <si>
    <t>append_image_id|附加的鱼途id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</si>
  <si>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</si>
  <si>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</si>
  <si>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</si>
  <si>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</si>
  <si>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boss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</si>
  <si>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</si>
  <si>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</si>
  <si>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</si>
  <si>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</si>
  <si>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</si>
  <si>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</si>
  <si>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</si>
  <si>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</si>
  <si>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</si>
  <si>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</si>
  <si>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</si>
  <si>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</si>
  <si>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</si>
  <si>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</si>
  <si>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</si>
  <si>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</si>
  <si>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</si>
  <si>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</si>
  <si>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</si>
  <si>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</si>
  <si>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</si>
  <si>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</si>
  <si>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</si>
  <si>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</si>
  <si>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</si>
  <si>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</si>
  <si>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</si>
  <si>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</si>
  <si>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</si>
  <si>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</si>
  <si>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</si>
  <si>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</si>
  <si>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</si>
  <si>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</si>
  <si>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11,</t>
    <phoneticPr fontId="1" type="noConversion"/>
  </si>
  <si>
    <t>80,</t>
    <phoneticPr fontId="1" type="noConversion"/>
  </si>
  <si>
    <t>100,</t>
    <phoneticPr fontId="1" type="noConversion"/>
  </si>
  <si>
    <t>宝藏章鱼</t>
    <phoneticPr fontId="1" type="noConversion"/>
  </si>
  <si>
    <t>3,9,16,22</t>
    <phoneticPr fontId="1" type="noConversion"/>
  </si>
  <si>
    <t>77,39,12,35,16,15,29,5,</t>
  </si>
  <si>
    <t>77,4,11,19,5,34,26,76,</t>
  </si>
  <si>
    <t>fish_3d_yutu_gd_boss</t>
    <phoneticPr fontId="1" type="noConversion"/>
  </si>
  <si>
    <t>ID|鱼组编号</t>
    <phoneticPr fontId="1" type="noConversion"/>
  </si>
  <si>
    <t>fish_type|鱼类型,1A群鱼   2B群鱼  3敢死队  4一网打尽</t>
    <phoneticPr fontId="1" type="noConversion"/>
  </si>
  <si>
    <t>fish_form|鱼组成</t>
    <phoneticPr fontId="1" type="noConversion"/>
  </si>
  <si>
    <t>count|鱼数量，群鱼生效</t>
    <phoneticPr fontId="1" type="noConversion"/>
  </si>
  <si>
    <t>speed|速度</t>
    <phoneticPr fontId="1" type="noConversion"/>
  </si>
  <si>
    <t>int|间隔时间</t>
    <phoneticPr fontId="1" type="noConversion"/>
  </si>
  <si>
    <t>path|一网打尽时路径</t>
    <phoneticPr fontId="1" type="noConversion"/>
  </si>
  <si>
    <t>rate|倍率</t>
    <phoneticPr fontId="1" type="noConversion"/>
  </si>
  <si>
    <t>award_id|奖励组合</t>
    <phoneticPr fontId="1" type="noConversion"/>
  </si>
  <si>
    <t>|辅助</t>
    <phoneticPr fontId="1" type="noConversion"/>
  </si>
  <si>
    <t>4,</t>
    <phoneticPr fontId="1" type="noConversion"/>
  </si>
  <si>
    <t>6,6,6,6,6,6,</t>
    <phoneticPr fontId="1" type="noConversion"/>
  </si>
  <si>
    <t>77,39,12,35,16,15,</t>
    <phoneticPr fontId="1" type="noConversion"/>
  </si>
  <si>
    <t>7,7,7,7,7,7,</t>
    <phoneticPr fontId="1" type="noConversion"/>
  </si>
  <si>
    <t>26,24,7,6,28,4,</t>
    <phoneticPr fontId="1" type="noConversion"/>
  </si>
  <si>
    <t>2,</t>
    <phoneticPr fontId="1" type="noConversion"/>
  </si>
  <si>
    <t>5,</t>
    <phoneticPr fontId="1" type="noConversion"/>
  </si>
  <si>
    <t>8,</t>
    <phoneticPr fontId="1" type="noConversion"/>
  </si>
  <si>
    <t>5,7,5,</t>
    <phoneticPr fontId="1" type="noConversion"/>
  </si>
  <si>
    <t>8,7,8,</t>
    <phoneticPr fontId="1" type="noConversion"/>
  </si>
  <si>
    <t>7,9,7,</t>
    <phoneticPr fontId="1" type="noConversion"/>
  </si>
  <si>
    <t>9,12,9,</t>
    <phoneticPr fontId="1" type="noConversion"/>
  </si>
  <si>
    <t>3,7,17,</t>
    <phoneticPr fontId="1" type="noConversion"/>
  </si>
  <si>
    <t>1,7,14</t>
    <phoneticPr fontId="1" type="noConversion"/>
  </si>
  <si>
    <t>4,5,18,</t>
    <phoneticPr fontId="1" type="noConversion"/>
  </si>
  <si>
    <t>5,8,18,</t>
    <phoneticPr fontId="1" type="noConversion"/>
  </si>
  <si>
    <t>3,9,16</t>
    <phoneticPr fontId="1" type="noConversion"/>
  </si>
  <si>
    <t>12,13,17,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</si>
  <si>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</si>
  <si>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</si>
  <si>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</si>
  <si>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</si>
  <si>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4,10,17,24</t>
    <phoneticPr fontId="1" type="noConversion"/>
  </si>
  <si>
    <t>12,12,12,12,12,</t>
    <phoneticPr fontId="1" type="noConversion"/>
  </si>
  <si>
    <t>79,7,5,32,23,</t>
    <phoneticPr fontId="1" type="noConversion"/>
  </si>
  <si>
    <t>13,13,13,13,13,</t>
    <phoneticPr fontId="1" type="noConversion"/>
  </si>
  <si>
    <t>5,36,31,20,23,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</si>
  <si>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</si>
  <si>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</si>
  <si>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</si>
  <si>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19,</t>
    <phoneticPr fontId="1" type="noConversion"/>
  </si>
  <si>
    <t>22,</t>
    <phoneticPr fontId="1" type="noConversion"/>
  </si>
  <si>
    <t>24,</t>
    <phoneticPr fontId="1" type="noConversion"/>
  </si>
  <si>
    <t>25,</t>
    <phoneticPr fontId="1" type="noConversion"/>
  </si>
  <si>
    <t>27,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</si>
  <si>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</si>
  <si>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</si>
  <si>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</si>
  <si>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46,</t>
    <phoneticPr fontId="1" type="noConversion"/>
  </si>
  <si>
    <t>9,9,9,9,9,9,</t>
    <phoneticPr fontId="1" type="noConversion"/>
  </si>
  <si>
    <t>26,24,7,6,28,4,75,17,</t>
    <phoneticPr fontId="1" type="noConversion"/>
  </si>
  <si>
    <t>10,10,10,10,10,10,</t>
    <phoneticPr fontId="1" type="noConversion"/>
  </si>
  <si>
    <t>11,11,11,11,11,11,</t>
    <phoneticPr fontId="1" type="noConversion"/>
  </si>
  <si>
    <t>fish_3d_yutu_random_boss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</si>
  <si>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</si>
  <si>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</si>
  <si>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</si>
  <si>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</si>
  <si>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fish_3d_yutu_random_4</t>
    <phoneticPr fontId="1" type="noConversion"/>
  </si>
  <si>
    <t>fish_3d_yutu_gd_smallboss</t>
    <phoneticPr fontId="1" type="noConversion"/>
  </si>
  <si>
    <t>宝箱（持续时间，基础倍率，基础血量）</t>
    <phoneticPr fontId="1" type="noConversion"/>
  </si>
  <si>
    <t>贝壳鱼</t>
  </si>
  <si>
    <t>贝壳鱼</t>
    <phoneticPr fontId="1" type="noConversion"/>
  </si>
  <si>
    <t>炽火龙王</t>
    <phoneticPr fontId="1" type="noConversion"/>
  </si>
  <si>
    <t>骰子龟</t>
    <phoneticPr fontId="1" type="noConversion"/>
  </si>
  <si>
    <t>连环炸弹</t>
    <phoneticPr fontId="1" type="noConversion"/>
  </si>
  <si>
    <t>34,35,36,37,38,39,40,41,</t>
    <phoneticPr fontId="1" type="noConversion"/>
  </si>
  <si>
    <t>60,50,50</t>
    <phoneticPr fontId="1" type="noConversion"/>
  </si>
  <si>
    <t>宝箱</t>
    <phoneticPr fontId="1" type="noConversion"/>
  </si>
  <si>
    <t>63,2</t>
    <phoneticPr fontId="1" type="noConversion"/>
  </si>
  <si>
    <t>0,50</t>
    <phoneticPr fontId="1" type="noConversion"/>
  </si>
  <si>
    <t>200,250</t>
    <phoneticPr fontId="1" type="noConversion"/>
  </si>
  <si>
    <t>100倍金币爆发</t>
    <phoneticPr fontId="1" type="noConversion"/>
  </si>
  <si>
    <t>0,200</t>
    <phoneticPr fontId="1" type="noConversion"/>
  </si>
  <si>
    <t>0,300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</si>
  <si>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</si>
  <si>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</si>
  <si>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</si>
  <si>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强击弹（双倍）</t>
    <phoneticPr fontId="1" type="noConversion"/>
  </si>
  <si>
    <t>强击弹（双倍）</t>
    <phoneticPr fontId="1" type="noConversion"/>
  </si>
  <si>
    <t>50,50,50,50,100,</t>
    <phoneticPr fontId="1" type="noConversion"/>
  </si>
  <si>
    <t>300,</t>
    <phoneticPr fontId="1" type="noConversion"/>
  </si>
  <si>
    <t>疯狂6选一</t>
    <phoneticPr fontId="1" type="noConversion"/>
  </si>
  <si>
    <t>4,20,30,50,100,</t>
    <phoneticPr fontId="1" type="noConversion"/>
  </si>
  <si>
    <t>炽火龙王</t>
    <phoneticPr fontId="1" type="noConversion"/>
  </si>
  <si>
    <t>250,2,</t>
    <phoneticPr fontId="1" type="noConversion"/>
  </si>
  <si>
    <t>强击弹</t>
    <phoneticPr fontId="1" type="noConversion"/>
  </si>
  <si>
    <t>0,20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</si>
  <si>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</si>
  <si>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</si>
  <si>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</si>
  <si>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</si>
  <si>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0,100</t>
    <phoneticPr fontId="1" type="noConversion"/>
  </si>
  <si>
    <t>0,300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</si>
  <si>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</si>
  <si>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</si>
  <si>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</si>
  <si>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</si>
  <si>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</si>
  <si>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</si>
  <si>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</si>
  <si>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20,</t>
    <phoneticPr fontId="1" type="noConversion"/>
  </si>
  <si>
    <t>200,400</t>
    <phoneticPr fontId="1" type="noConversion"/>
  </si>
  <si>
    <t>200,</t>
    <phoneticPr fontId="1" type="noConversion"/>
  </si>
  <si>
    <t>200,</t>
    <phoneticPr fontId="1" type="noConversion"/>
  </si>
  <si>
    <t>连环转盘</t>
    <phoneticPr fontId="1" type="noConversion"/>
  </si>
  <si>
    <t>原子弹</t>
    <phoneticPr fontId="1" type="noConversion"/>
  </si>
  <si>
    <t>疯狂原子弹</t>
    <phoneticPr fontId="1" type="noConversion"/>
  </si>
  <si>
    <t>金币转盘</t>
    <phoneticPr fontId="1" type="noConversion"/>
  </si>
  <si>
    <t>1,0,70,1,0,2,15,3,7,4,3</t>
    <phoneticPr fontId="1" type="noConversion"/>
  </si>
  <si>
    <t>彩贝-场次3</t>
    <phoneticPr fontId="1" type="noConversion"/>
  </si>
  <si>
    <t>1,0,70,1,0,2,0,3,10,4,5,5,1</t>
    <phoneticPr fontId="1" type="noConversion"/>
  </si>
  <si>
    <t>彩贝-场次4</t>
    <phoneticPr fontId="1" type="noConversion"/>
  </si>
  <si>
    <t>1,0,90,1,10</t>
    <phoneticPr fontId="1" type="noConversion"/>
  </si>
  <si>
    <t>彩贝-试炼场</t>
    <phoneticPr fontId="1" type="noConversion"/>
  </si>
  <si>
    <t>1,0,85,1,10,2,5</t>
    <phoneticPr fontId="1" type="noConversion"/>
  </si>
  <si>
    <t>彩贝-场次1</t>
    <phoneticPr fontId="1" type="noConversion"/>
  </si>
  <si>
    <t>1,0,70,1,10,2,15,3,5</t>
    <phoneticPr fontId="1" type="noConversion"/>
  </si>
  <si>
    <t>彩贝-场次2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</si>
</sst>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52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10" fontId="0" fillId="0" borderId="0" xfId="0" applyNumberFormat="1"/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JYHD\JyQipai_doc\config_3D\fish_3d_data_config_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fit"/>
      <sheetName val="random_wave"/>
      <sheetName val="wave"/>
      <sheetName val="image_type_cfg"/>
      <sheetName val="image_cfg"/>
      <sheetName val="group"/>
      <sheetName val="use_fish"/>
      <sheetName val="activity"/>
      <sheetName val="box_fish_activity"/>
      <sheetName val="base_fish"/>
      <sheetName val="path"/>
      <sheetName val="laser"/>
      <sheetName val="gun"/>
      <sheetName val="skill"/>
      <sheetName val="dead_mode"/>
      <sheetName val="box_fish_award"/>
      <sheetName val="match_award"/>
      <sheetName val="ue_event_map"/>
      <sheetName val="summon_fish"/>
    </sheetNames>
    <sheetDataSet>
      <sheetData sheetId="0"/>
      <sheetData sheetId="1"/>
      <sheetData sheetId="2"/>
      <sheetData sheetId="3"/>
      <sheetData sheetId="4"/>
      <sheetData sheetId="5"/>
      <sheetData sheetId="6">
        <row r="25">
          <cell r="B25">
            <v>24</v>
          </cell>
        </row>
      </sheetData>
      <sheetData sheetId="7">
        <row r="1">
          <cell r="A1" t="str">
            <v>id|编号</v>
          </cell>
        </row>
      </sheetData>
      <sheetData sheetId="8"/>
      <sheetData sheetId="9">
        <row r="1">
          <cell r="A1" t="str">
            <v>id|基础鱼的ID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1"/>
  <sheetViews>
    <sheetView workbookViewId="0">
      <selection activeCell="C6" sqref="C6"/>
    </sheetView>
  </sheetViews>
  <sheetFormatPr defaultColWidth="8.875" defaultRowHeight="14.25" x14ac:dyDescent="0.2"/>
  <cols>
    <col min="3" max="3" width="15.5" customWidth="1"/>
    <col min="5" max="5" width="26.875" customWidth="1"/>
  </cols>
  <sheetData>
    <row r="1" spans="1:5" s="1" customFormat="1" ht="71.25" customHeight="1" x14ac:dyDescent="0.2">
      <c r="A1" s="1" t="s">
        <v>19</v>
      </c>
      <c r="B1" s="1" t="s">
        <v>20</v>
      </c>
      <c r="C1" s="1" t="s">
        <v>21</v>
      </c>
      <c r="D1" s="1" t="s">
        <v>22</v>
      </c>
      <c r="E1" s="1" t="s">
        <v>69</v>
      </c>
    </row>
    <row r="2" spans="1:5" x14ac:dyDescent="0.2">
      <c r="A2">
        <v>1</v>
      </c>
      <c r="B2" s="5">
        <v>0.03</v>
      </c>
      <c r="C2">
        <v>0.16</v>
      </c>
      <c r="D2" s="6">
        <v>0.03</v>
      </c>
      <c r="E2">
        <v>-1</v>
      </c>
    </row>
    <row r="3" spans="1:5" x14ac:dyDescent="0.2">
      <c r="A3">
        <v>2</v>
      </c>
      <c r="B3" s="5">
        <v>0.03</v>
      </c>
      <c r="C3">
        <v>0.16</v>
      </c>
      <c r="D3" s="6">
        <v>0.03</v>
      </c>
      <c r="E3">
        <v>-1</v>
      </c>
    </row>
    <row r="4" spans="1:5" x14ac:dyDescent="0.2">
      <c r="A4">
        <v>3</v>
      </c>
      <c r="B4" s="5">
        <v>0.03</v>
      </c>
      <c r="C4">
        <v>0.16</v>
      </c>
      <c r="D4" s="6">
        <v>0.03</v>
      </c>
      <c r="E4">
        <v>-1</v>
      </c>
    </row>
    <row r="5" spans="1:5" x14ac:dyDescent="0.2">
      <c r="A5">
        <v>4</v>
      </c>
      <c r="B5" s="5">
        <v>0.03</v>
      </c>
      <c r="C5">
        <v>0.16</v>
      </c>
      <c r="D5" s="6">
        <v>0.03</v>
      </c>
      <c r="E5">
        <v>-1</v>
      </c>
    </row>
    <row r="6" spans="1:5" x14ac:dyDescent="0.2">
      <c r="A6">
        <v>5</v>
      </c>
      <c r="B6" s="5">
        <v>0.03</v>
      </c>
      <c r="C6">
        <v>0.16</v>
      </c>
      <c r="D6" s="6">
        <v>0.03</v>
      </c>
      <c r="E6">
        <v>-1</v>
      </c>
    </row>
    <row r="7" spans="1:5" x14ac:dyDescent="0.2">
      <c r="A7">
        <v>6</v>
      </c>
      <c r="B7" s="5">
        <v>0.03</v>
      </c>
      <c r="C7">
        <v>0.16</v>
      </c>
      <c r="D7" s="6">
        <v>0.03</v>
      </c>
      <c r="E7">
        <v>-1</v>
      </c>
    </row>
    <row r="8" spans="1:5" x14ac:dyDescent="0.2">
      <c r="A8">
        <v>7</v>
      </c>
      <c r="B8" s="5">
        <v>0.03</v>
      </c>
      <c r="C8">
        <v>0.16</v>
      </c>
      <c r="D8" s="6">
        <v>0.03</v>
      </c>
      <c r="E8">
        <v>-1</v>
      </c>
    </row>
    <row r="9" spans="1:5" x14ac:dyDescent="0.2">
      <c r="A9">
        <v>8</v>
      </c>
      <c r="B9" s="5">
        <v>0.03</v>
      </c>
      <c r="C9">
        <v>0.16</v>
      </c>
      <c r="D9" s="6">
        <v>0.03</v>
      </c>
      <c r="E9">
        <v>-1</v>
      </c>
    </row>
    <row r="10" spans="1:5" x14ac:dyDescent="0.2">
      <c r="A10">
        <v>9</v>
      </c>
      <c r="B10" s="5">
        <v>0.03</v>
      </c>
      <c r="C10">
        <v>0.16</v>
      </c>
      <c r="D10" s="6">
        <v>0.03</v>
      </c>
      <c r="E10">
        <v>-1</v>
      </c>
    </row>
    <row r="11" spans="1:5" x14ac:dyDescent="0.2">
      <c r="A11">
        <v>10</v>
      </c>
      <c r="B11" s="5">
        <v>0.03</v>
      </c>
      <c r="C11">
        <v>0.16</v>
      </c>
      <c r="D11" s="6">
        <v>0.03</v>
      </c>
      <c r="E11">
        <v>-1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G8"/>
  <sheetViews>
    <sheetView workbookViewId="0">
      <selection activeCell="C41" sqref="C41"/>
    </sheetView>
  </sheetViews>
  <sheetFormatPr defaultColWidth="11" defaultRowHeight="14.25" x14ac:dyDescent="0.2"/>
  <cols>
    <col min="2" max="3" width="20.625" customWidth="1"/>
    <col min="4" max="4" width="14.625" customWidth="1"/>
    <col min="5" max="5" width="17.625" customWidth="1"/>
    <col min="6" max="6" width="30.625" customWidth="1"/>
    <col min="7" max="7" width="19.375" customWidth="1"/>
  </cols>
  <sheetData>
    <row r="1" spans="1:7" x14ac:dyDescent="0.2">
      <c r="A1" s="2" t="s">
        <v>70</v>
      </c>
      <c r="B1" s="2" t="s">
        <v>71</v>
      </c>
      <c r="C1" s="2" t="s">
        <v>72</v>
      </c>
      <c r="D1" s="2" t="s">
        <v>73</v>
      </c>
      <c r="E1" s="2" t="s">
        <v>74</v>
      </c>
      <c r="F1" s="2" t="s">
        <v>75</v>
      </c>
      <c r="G1" s="2" t="s">
        <v>76</v>
      </c>
    </row>
    <row r="2" spans="1:7" x14ac:dyDescent="0.2">
      <c r="A2" s="2">
        <v>1</v>
      </c>
      <c r="B2" s="2">
        <v>200</v>
      </c>
      <c r="C2" s="2">
        <v>10</v>
      </c>
      <c r="D2" s="2">
        <v>0.45</v>
      </c>
      <c r="E2" s="2">
        <v>10</v>
      </c>
      <c r="F2" s="2">
        <f>SUM(C2:C8)</f>
        <v>100</v>
      </c>
      <c r="G2" s="2">
        <f>SUM(E2:E8)</f>
        <v>100</v>
      </c>
    </row>
    <row r="3" spans="1:7" x14ac:dyDescent="0.2">
      <c r="A3" s="2">
        <v>2</v>
      </c>
      <c r="B3" s="2">
        <v>175</v>
      </c>
      <c r="C3" s="2">
        <v>10</v>
      </c>
      <c r="D3" s="2">
        <v>0.4</v>
      </c>
      <c r="E3" s="2">
        <v>10</v>
      </c>
      <c r="F3" s="2"/>
      <c r="G3" s="2"/>
    </row>
    <row r="4" spans="1:7" x14ac:dyDescent="0.2">
      <c r="A4" s="2">
        <v>3</v>
      </c>
      <c r="B4" s="2">
        <v>150</v>
      </c>
      <c r="C4" s="2">
        <v>20</v>
      </c>
      <c r="D4" s="2">
        <v>0.3</v>
      </c>
      <c r="E4" s="2">
        <v>20</v>
      </c>
      <c r="F4" s="2"/>
      <c r="G4" s="2"/>
    </row>
    <row r="5" spans="1:7" x14ac:dyDescent="0.2">
      <c r="A5" s="2">
        <v>4</v>
      </c>
      <c r="B5" s="2">
        <v>125</v>
      </c>
      <c r="C5" s="2">
        <v>20</v>
      </c>
      <c r="D5" s="2">
        <v>0.2</v>
      </c>
      <c r="E5" s="2">
        <v>20</v>
      </c>
      <c r="F5" s="2"/>
      <c r="G5" s="2"/>
    </row>
    <row r="6" spans="1:7" x14ac:dyDescent="0.2">
      <c r="A6" s="2">
        <v>5</v>
      </c>
      <c r="B6" s="2">
        <v>100</v>
      </c>
      <c r="C6" s="2">
        <v>20</v>
      </c>
      <c r="D6" s="2">
        <v>0.15</v>
      </c>
      <c r="E6" s="2">
        <v>20</v>
      </c>
      <c r="F6" s="2"/>
      <c r="G6" s="2"/>
    </row>
    <row r="7" spans="1:7" x14ac:dyDescent="0.2">
      <c r="A7" s="2">
        <v>6</v>
      </c>
      <c r="B7" s="2">
        <v>75</v>
      </c>
      <c r="C7" s="2">
        <v>10</v>
      </c>
      <c r="D7" s="2">
        <v>0.1</v>
      </c>
      <c r="E7" s="2">
        <v>10</v>
      </c>
      <c r="F7" s="2"/>
      <c r="G7" s="2"/>
    </row>
    <row r="8" spans="1:7" x14ac:dyDescent="0.2">
      <c r="A8" s="2">
        <v>7</v>
      </c>
      <c r="B8" s="2">
        <v>50</v>
      </c>
      <c r="C8" s="2">
        <v>10</v>
      </c>
      <c r="D8" s="2">
        <v>0.05</v>
      </c>
      <c r="E8" s="2">
        <v>10</v>
      </c>
      <c r="F8" s="2"/>
      <c r="G8" s="2"/>
    </row>
  </sheetData>
  <phoneticPr fontId="1" type="noConversion"/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1"/>
  <sheetViews>
    <sheetView workbookViewId="0">
      <selection activeCell="C36" sqref="C36"/>
    </sheetView>
  </sheetViews>
  <sheetFormatPr defaultColWidth="8.875" defaultRowHeight="14.25" x14ac:dyDescent="0.2"/>
  <sheetData>
    <row r="1" spans="1:11" ht="54" x14ac:dyDescent="0.2">
      <c r="A1" s="1" t="s">
        <v>14</v>
      </c>
      <c r="B1" s="1" t="s">
        <v>23</v>
      </c>
      <c r="C1" s="1" t="s">
        <v>24</v>
      </c>
      <c r="D1" s="1" t="s">
        <v>25</v>
      </c>
      <c r="E1" s="1" t="s">
        <v>26</v>
      </c>
      <c r="F1" t="s">
        <v>32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</row>
    <row r="2" spans="1:11" x14ac:dyDescent="0.2">
      <c r="A2">
        <v>1</v>
      </c>
      <c r="B2">
        <v>175</v>
      </c>
      <c r="C2">
        <v>70</v>
      </c>
      <c r="D2">
        <v>0.12</v>
      </c>
      <c r="E2">
        <v>0.05</v>
      </c>
      <c r="F2">
        <v>28</v>
      </c>
      <c r="G2">
        <v>11.2</v>
      </c>
      <c r="H2">
        <v>1.0874999999999999</v>
      </c>
      <c r="I2">
        <v>1.0175000000000001</v>
      </c>
      <c r="J2">
        <v>0.84750000000000003</v>
      </c>
      <c r="K2">
        <v>0.91749999999999998</v>
      </c>
    </row>
    <row r="3" spans="1:11" x14ac:dyDescent="0.2">
      <c r="A3">
        <v>2</v>
      </c>
      <c r="B3">
        <v>175</v>
      </c>
      <c r="C3">
        <v>70</v>
      </c>
      <c r="D3">
        <v>0.12</v>
      </c>
      <c r="E3">
        <v>0.05</v>
      </c>
      <c r="F3">
        <v>28</v>
      </c>
      <c r="G3">
        <v>11.2</v>
      </c>
      <c r="H3">
        <v>1.0874999999999999</v>
      </c>
      <c r="I3">
        <v>1.0175000000000001</v>
      </c>
      <c r="J3">
        <v>0.84750000000000003</v>
      </c>
      <c r="K3">
        <v>0.91749999999999998</v>
      </c>
    </row>
    <row r="4" spans="1:11" x14ac:dyDescent="0.2">
      <c r="A4">
        <v>3</v>
      </c>
      <c r="B4">
        <v>175</v>
      </c>
      <c r="C4">
        <v>70</v>
      </c>
      <c r="D4">
        <v>0.12</v>
      </c>
      <c r="E4">
        <v>0.05</v>
      </c>
      <c r="F4">
        <v>28</v>
      </c>
      <c r="G4">
        <v>11.2</v>
      </c>
      <c r="H4">
        <v>1.0874999999999999</v>
      </c>
      <c r="I4">
        <v>1.0175000000000001</v>
      </c>
      <c r="J4">
        <v>0.84750000000000003</v>
      </c>
      <c r="K4">
        <v>0.91749999999999998</v>
      </c>
    </row>
    <row r="5" spans="1:11" x14ac:dyDescent="0.2">
      <c r="A5">
        <v>4</v>
      </c>
      <c r="B5">
        <v>175</v>
      </c>
      <c r="C5">
        <v>70</v>
      </c>
      <c r="D5">
        <v>0.12</v>
      </c>
      <c r="E5">
        <v>0.05</v>
      </c>
      <c r="F5">
        <v>28</v>
      </c>
      <c r="G5">
        <v>11.2</v>
      </c>
      <c r="H5">
        <v>1.0874999999999999</v>
      </c>
      <c r="I5">
        <v>1.0175000000000001</v>
      </c>
      <c r="J5">
        <v>0.84750000000000003</v>
      </c>
      <c r="K5">
        <v>0.91749999999999998</v>
      </c>
    </row>
    <row r="6" spans="1:11" x14ac:dyDescent="0.2">
      <c r="A6">
        <v>5</v>
      </c>
      <c r="B6">
        <v>175</v>
      </c>
      <c r="C6">
        <v>70</v>
      </c>
      <c r="D6">
        <v>0.12</v>
      </c>
      <c r="E6">
        <v>0.05</v>
      </c>
      <c r="F6">
        <v>28</v>
      </c>
      <c r="G6">
        <v>11.2</v>
      </c>
      <c r="H6">
        <v>1.0874999999999999</v>
      </c>
      <c r="I6">
        <v>1.0175000000000001</v>
      </c>
      <c r="J6">
        <v>0.84750000000000003</v>
      </c>
      <c r="K6">
        <v>0.91749999999999998</v>
      </c>
    </row>
    <row r="7" spans="1:11" x14ac:dyDescent="0.2">
      <c r="A7">
        <v>6</v>
      </c>
      <c r="B7">
        <v>175</v>
      </c>
      <c r="C7">
        <v>70</v>
      </c>
      <c r="D7">
        <v>0.12</v>
      </c>
      <c r="E7">
        <v>0.05</v>
      </c>
      <c r="F7">
        <v>28</v>
      </c>
      <c r="G7">
        <v>11.2</v>
      </c>
      <c r="H7">
        <v>1.0874999999999999</v>
      </c>
      <c r="I7">
        <v>1.0175000000000001</v>
      </c>
      <c r="J7">
        <v>0.84750000000000003</v>
      </c>
      <c r="K7">
        <v>0.91749999999999998</v>
      </c>
    </row>
    <row r="8" spans="1:11" x14ac:dyDescent="0.2">
      <c r="A8">
        <v>7</v>
      </c>
      <c r="B8">
        <v>175</v>
      </c>
      <c r="C8">
        <v>70</v>
      </c>
      <c r="D8">
        <v>0.12</v>
      </c>
      <c r="E8">
        <v>0.05</v>
      </c>
      <c r="F8">
        <v>28</v>
      </c>
      <c r="G8">
        <v>11.2</v>
      </c>
      <c r="H8">
        <v>1.0874999999999999</v>
      </c>
      <c r="I8">
        <v>1.0175000000000001</v>
      </c>
      <c r="J8">
        <v>0.84750000000000003</v>
      </c>
      <c r="K8">
        <v>0.91749999999999998</v>
      </c>
    </row>
    <row r="9" spans="1:11" x14ac:dyDescent="0.2">
      <c r="A9">
        <v>8</v>
      </c>
      <c r="B9">
        <v>175</v>
      </c>
      <c r="C9">
        <v>70</v>
      </c>
      <c r="D9">
        <v>0.12</v>
      </c>
      <c r="E9">
        <v>0.05</v>
      </c>
      <c r="F9">
        <v>28</v>
      </c>
      <c r="G9">
        <v>11.2</v>
      </c>
      <c r="H9">
        <v>1.0874999999999999</v>
      </c>
      <c r="I9">
        <v>1.0175000000000001</v>
      </c>
      <c r="J9">
        <v>0.84750000000000003</v>
      </c>
      <c r="K9">
        <v>0.91749999999999998</v>
      </c>
    </row>
    <row r="10" spans="1:11" x14ac:dyDescent="0.2">
      <c r="A10">
        <v>9</v>
      </c>
      <c r="B10">
        <v>175</v>
      </c>
      <c r="C10">
        <v>70</v>
      </c>
      <c r="D10">
        <v>0.12</v>
      </c>
      <c r="E10">
        <v>0.05</v>
      </c>
      <c r="F10">
        <v>28</v>
      </c>
      <c r="G10">
        <v>11.2</v>
      </c>
      <c r="H10">
        <v>1.0874999999999999</v>
      </c>
      <c r="I10">
        <v>1.0175000000000001</v>
      </c>
      <c r="J10">
        <v>0.84750000000000003</v>
      </c>
      <c r="K10">
        <v>0.91749999999999998</v>
      </c>
    </row>
    <row r="11" spans="1:11" x14ac:dyDescent="0.2">
      <c r="A11">
        <v>10</v>
      </c>
      <c r="B11">
        <v>175</v>
      </c>
      <c r="C11">
        <v>70</v>
      </c>
      <c r="D11">
        <v>0.12</v>
      </c>
      <c r="E11">
        <v>0.05</v>
      </c>
      <c r="F11">
        <v>28</v>
      </c>
      <c r="G11">
        <v>11.2</v>
      </c>
      <c r="H11">
        <v>1.0874999999999999</v>
      </c>
      <c r="I11">
        <v>1.0175000000000001</v>
      </c>
      <c r="J11">
        <v>0.84750000000000003</v>
      </c>
      <c r="K11">
        <v>0.91749999999999998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4"/>
  <sheetViews>
    <sheetView zoomScaleNormal="100" workbookViewId="0">
      <selection activeCell="D3" sqref="D3"/>
    </sheetView>
  </sheetViews>
  <sheetFormatPr defaultColWidth="10.875" defaultRowHeight="14.25" x14ac:dyDescent="0.2"/>
  <cols>
    <col min="1" max="1" width="10.875" style="2"/>
    <col min="2" max="2" width="16.875" style="2" customWidth="1"/>
    <col min="3" max="3" width="21.125" style="2" customWidth="1"/>
    <col min="4" max="4" width="26.375" style="2" customWidth="1"/>
    <col min="5" max="5" width="31.5" style="2" customWidth="1"/>
    <col min="6" max="6" width="20.375" style="2" customWidth="1"/>
    <col min="7" max="7" width="19.5" style="2" customWidth="1"/>
    <col min="8" max="16384" width="10.875" style="2"/>
  </cols>
  <sheetData>
    <row r="1" spans="1:7" ht="27" x14ac:dyDescent="0.2">
      <c r="A1" s="1" t="s">
        <v>14</v>
      </c>
      <c r="B1" s="1" t="s">
        <v>112</v>
      </c>
      <c r="C1" s="1" t="s">
        <v>115</v>
      </c>
      <c r="D1" s="1" t="s">
        <v>116</v>
      </c>
      <c r="E1" s="1" t="s">
        <v>123</v>
      </c>
      <c r="F1" s="1" t="s">
        <v>124</v>
      </c>
      <c r="G1" s="1" t="s">
        <v>122</v>
      </c>
    </row>
    <row r="2" spans="1:7" x14ac:dyDescent="0.2">
      <c r="A2" s="2">
        <v>1</v>
      </c>
      <c r="B2" s="2" t="s">
        <v>120</v>
      </c>
      <c r="C2" s="2">
        <v>2</v>
      </c>
      <c r="D2" s="2">
        <v>2</v>
      </c>
      <c r="E2" s="2">
        <v>9999999999</v>
      </c>
      <c r="F2" s="2">
        <v>0</v>
      </c>
      <c r="G2" s="2">
        <v>10</v>
      </c>
    </row>
    <row r="3" spans="1:7" x14ac:dyDescent="0.2">
      <c r="A3" s="2">
        <v>2</v>
      </c>
      <c r="B3" s="2" t="s">
        <v>121</v>
      </c>
      <c r="C3" s="2">
        <v>2</v>
      </c>
      <c r="D3" s="2">
        <v>2</v>
      </c>
      <c r="E3" s="2">
        <v>9999999999</v>
      </c>
      <c r="F3" s="2">
        <v>2</v>
      </c>
      <c r="G3" s="2">
        <v>10</v>
      </c>
    </row>
    <row r="4" spans="1:7" x14ac:dyDescent="0.2">
      <c r="A4" s="2">
        <v>3</v>
      </c>
      <c r="B4" s="2" t="s">
        <v>213</v>
      </c>
      <c r="C4" s="2">
        <v>2</v>
      </c>
      <c r="D4" s="2">
        <v>2</v>
      </c>
      <c r="E4" s="2">
        <v>9999999999</v>
      </c>
      <c r="F4" s="2">
        <v>1</v>
      </c>
      <c r="G4" s="2">
        <v>10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M12"/>
  <sheetViews>
    <sheetView workbookViewId="0">
      <selection activeCell="M2" sqref="M2"/>
    </sheetView>
  </sheetViews>
  <sheetFormatPr defaultColWidth="8.875" defaultRowHeight="14.25" x14ac:dyDescent="0.2"/>
  <cols>
    <col min="2" max="2" width="24.375" bestFit="1" customWidth="1"/>
    <col min="7" max="7" width="14.875" customWidth="1"/>
    <col min="9" max="9" width="11.5" customWidth="1"/>
    <col min="10" max="10" width="11.625" customWidth="1"/>
  </cols>
  <sheetData>
    <row r="1" spans="1:13" s="2" customFormat="1" ht="38.25" customHeight="1" x14ac:dyDescent="0.2">
      <c r="A1" s="1" t="s">
        <v>14</v>
      </c>
      <c r="B1" s="1" t="s">
        <v>111</v>
      </c>
      <c r="C1" s="1" t="s">
        <v>198</v>
      </c>
      <c r="D1" s="1" t="s">
        <v>112</v>
      </c>
      <c r="E1" s="1" t="s">
        <v>113</v>
      </c>
      <c r="F1" s="1" t="s">
        <v>114</v>
      </c>
      <c r="G1" s="1" t="s">
        <v>115</v>
      </c>
      <c r="H1" s="1" t="s">
        <v>117</v>
      </c>
      <c r="I1" s="1" t="s">
        <v>118</v>
      </c>
      <c r="J1" s="1" t="s">
        <v>124</v>
      </c>
      <c r="K1" s="1" t="s">
        <v>119</v>
      </c>
      <c r="L1" s="8" t="s">
        <v>200</v>
      </c>
      <c r="M1" s="8" t="s">
        <v>208</v>
      </c>
    </row>
    <row r="2" spans="1:13" x14ac:dyDescent="0.2">
      <c r="A2" s="2">
        <v>1</v>
      </c>
      <c r="B2" s="2" t="s">
        <v>314</v>
      </c>
      <c r="C2" s="2">
        <v>1</v>
      </c>
      <c r="D2" t="s">
        <v>120</v>
      </c>
      <c r="E2" s="2">
        <v>6000</v>
      </c>
      <c r="F2" s="2">
        <v>6000</v>
      </c>
      <c r="G2" s="2">
        <v>1</v>
      </c>
      <c r="H2" s="2">
        <v>9999999</v>
      </c>
      <c r="I2" s="2">
        <v>9999999</v>
      </c>
      <c r="J2" s="2">
        <v>0</v>
      </c>
      <c r="K2" s="2">
        <v>1</v>
      </c>
      <c r="L2" s="2">
        <v>3</v>
      </c>
      <c r="M2" s="2"/>
    </row>
    <row r="3" spans="1:13" x14ac:dyDescent="0.2">
      <c r="A3" s="2">
        <v>2</v>
      </c>
      <c r="B3" s="2" t="s">
        <v>201</v>
      </c>
      <c r="C3" s="2">
        <v>1</v>
      </c>
      <c r="D3" t="s">
        <v>199</v>
      </c>
      <c r="E3" s="2">
        <v>550</v>
      </c>
      <c r="F3" s="2">
        <v>550</v>
      </c>
      <c r="G3" s="2">
        <v>2</v>
      </c>
      <c r="H3" s="2">
        <v>9999999</v>
      </c>
      <c r="I3" s="2">
        <v>9999999</v>
      </c>
      <c r="J3" s="2">
        <v>1</v>
      </c>
      <c r="K3" s="2">
        <v>1</v>
      </c>
      <c r="L3" s="2">
        <v>3</v>
      </c>
    </row>
    <row r="4" spans="1:13" x14ac:dyDescent="0.2">
      <c r="A4" s="2">
        <v>3</v>
      </c>
      <c r="B4" s="2" t="s">
        <v>201</v>
      </c>
      <c r="C4" s="2">
        <v>2</v>
      </c>
      <c r="D4" t="s">
        <v>121</v>
      </c>
      <c r="E4" s="2">
        <v>550</v>
      </c>
      <c r="F4" s="2">
        <v>550</v>
      </c>
      <c r="G4" s="2">
        <v>2</v>
      </c>
      <c r="H4" s="2">
        <v>9999999</v>
      </c>
      <c r="I4" s="2">
        <v>9999999</v>
      </c>
      <c r="J4" s="2">
        <v>1</v>
      </c>
      <c r="K4" s="2">
        <v>1</v>
      </c>
      <c r="L4" s="2">
        <v>3</v>
      </c>
    </row>
    <row r="5" spans="1:13" x14ac:dyDescent="0.2">
      <c r="A5" s="2">
        <v>4</v>
      </c>
      <c r="B5" s="2" t="s">
        <v>201</v>
      </c>
      <c r="C5" s="2">
        <v>3</v>
      </c>
      <c r="D5" t="s">
        <v>121</v>
      </c>
      <c r="E5" s="2">
        <v>550</v>
      </c>
      <c r="F5" s="2">
        <v>550</v>
      </c>
      <c r="G5" s="2">
        <v>2</v>
      </c>
      <c r="H5" s="2">
        <v>9999999</v>
      </c>
      <c r="I5" s="2">
        <v>9999999</v>
      </c>
      <c r="J5" s="2">
        <v>1</v>
      </c>
      <c r="K5" s="2">
        <v>1</v>
      </c>
      <c r="L5" s="2">
        <v>3</v>
      </c>
    </row>
    <row r="6" spans="1:13" x14ac:dyDescent="0.2">
      <c r="A6" s="2">
        <v>5</v>
      </c>
      <c r="B6" s="2" t="s">
        <v>201</v>
      </c>
      <c r="C6" s="2">
        <v>4</v>
      </c>
      <c r="D6" t="s">
        <v>121</v>
      </c>
      <c r="E6" s="2">
        <v>550</v>
      </c>
      <c r="F6" s="2">
        <v>550</v>
      </c>
      <c r="G6" s="2">
        <v>2</v>
      </c>
      <c r="H6" s="2">
        <v>9999999</v>
      </c>
      <c r="I6" s="2">
        <v>9999999</v>
      </c>
      <c r="J6" s="2">
        <v>1</v>
      </c>
      <c r="K6" s="2">
        <v>1</v>
      </c>
      <c r="L6" s="2">
        <v>3</v>
      </c>
    </row>
    <row r="7" spans="1:13" x14ac:dyDescent="0.2">
      <c r="A7" s="2">
        <v>6</v>
      </c>
      <c r="B7" s="2" t="s">
        <v>201</v>
      </c>
      <c r="C7" s="2">
        <v>5</v>
      </c>
      <c r="D7" t="s">
        <v>121</v>
      </c>
      <c r="E7" s="2">
        <v>650</v>
      </c>
      <c r="F7" s="2">
        <v>650</v>
      </c>
      <c r="G7" s="2">
        <v>2</v>
      </c>
      <c r="H7" s="2">
        <v>9999999</v>
      </c>
      <c r="I7" s="2">
        <v>9999999</v>
      </c>
      <c r="J7" s="2">
        <v>1</v>
      </c>
      <c r="K7" s="2">
        <v>1</v>
      </c>
      <c r="L7" s="2">
        <v>3</v>
      </c>
    </row>
    <row r="8" spans="1:13" x14ac:dyDescent="0.2">
      <c r="A8" s="2">
        <v>7</v>
      </c>
      <c r="B8" s="2" t="s">
        <v>201</v>
      </c>
      <c r="C8" s="2">
        <v>6</v>
      </c>
      <c r="D8" t="s">
        <v>121</v>
      </c>
      <c r="E8" s="2">
        <v>600</v>
      </c>
      <c r="F8" s="2">
        <v>600</v>
      </c>
      <c r="G8" s="2">
        <v>2</v>
      </c>
      <c r="H8" s="2">
        <v>9999999</v>
      </c>
      <c r="I8" s="2">
        <v>9999999</v>
      </c>
      <c r="J8" s="2">
        <v>1</v>
      </c>
      <c r="K8" s="2">
        <v>1</v>
      </c>
      <c r="L8" s="2">
        <v>3</v>
      </c>
    </row>
    <row r="9" spans="1:13" x14ac:dyDescent="0.2">
      <c r="A9" s="2">
        <v>8</v>
      </c>
      <c r="B9" s="2" t="s">
        <v>201</v>
      </c>
      <c r="C9" s="2">
        <v>7</v>
      </c>
      <c r="D9" t="s">
        <v>121</v>
      </c>
      <c r="E9" s="2">
        <v>300</v>
      </c>
      <c r="F9" s="2">
        <v>300</v>
      </c>
      <c r="G9" s="2">
        <v>2</v>
      </c>
      <c r="H9" s="2">
        <v>9999999</v>
      </c>
      <c r="I9" s="2">
        <v>9999999</v>
      </c>
      <c r="J9" s="2">
        <v>1</v>
      </c>
      <c r="K9" s="2">
        <v>1</v>
      </c>
      <c r="L9" s="2">
        <v>3</v>
      </c>
    </row>
    <row r="10" spans="1:13" x14ac:dyDescent="0.2">
      <c r="A10" s="2">
        <v>9</v>
      </c>
      <c r="B10" s="2" t="s">
        <v>255</v>
      </c>
      <c r="C10" s="2">
        <v>3</v>
      </c>
      <c r="D10" t="s">
        <v>213</v>
      </c>
      <c r="E10" s="2">
        <v>1200</v>
      </c>
      <c r="F10" s="2">
        <v>1200</v>
      </c>
      <c r="G10" s="2">
        <v>2</v>
      </c>
      <c r="H10" s="2">
        <v>9999999</v>
      </c>
      <c r="I10" s="2">
        <v>9999999</v>
      </c>
      <c r="J10" s="2">
        <v>1</v>
      </c>
      <c r="K10" s="2">
        <v>1</v>
      </c>
      <c r="L10" s="2">
        <v>1</v>
      </c>
      <c r="M10" s="2">
        <v>10</v>
      </c>
    </row>
    <row r="11" spans="1:13" x14ac:dyDescent="0.2">
      <c r="A11" s="2">
        <v>10</v>
      </c>
      <c r="B11" s="2" t="s">
        <v>309</v>
      </c>
      <c r="C11" s="2">
        <v>1</v>
      </c>
      <c r="D11" t="s">
        <v>120</v>
      </c>
      <c r="E11" s="2">
        <v>1200</v>
      </c>
      <c r="F11" s="2">
        <v>1200</v>
      </c>
      <c r="G11" s="2">
        <v>9999999</v>
      </c>
      <c r="H11" s="2">
        <v>9999999</v>
      </c>
      <c r="I11" s="2">
        <v>9999999</v>
      </c>
      <c r="J11" s="2">
        <v>9999999</v>
      </c>
      <c r="K11" s="2">
        <v>0</v>
      </c>
      <c r="L11" s="2">
        <v>3</v>
      </c>
    </row>
    <row r="12" spans="1:13" x14ac:dyDescent="0.2">
      <c r="A12" s="2">
        <v>11</v>
      </c>
      <c r="B12" s="2" t="s">
        <v>315</v>
      </c>
      <c r="C12" s="2">
        <v>3</v>
      </c>
      <c r="D12" t="s">
        <v>121</v>
      </c>
      <c r="E12" s="2">
        <v>1200</v>
      </c>
      <c r="F12" s="2">
        <v>1200</v>
      </c>
      <c r="G12" s="2">
        <v>9999999</v>
      </c>
      <c r="H12" s="2">
        <v>9999999</v>
      </c>
      <c r="I12" s="2">
        <v>9999999</v>
      </c>
      <c r="J12" s="2">
        <v>9999999</v>
      </c>
      <c r="K12" s="2">
        <v>0</v>
      </c>
      <c r="L12" s="2">
        <v>3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67"/>
  <sheetViews>
    <sheetView topLeftCell="D1" workbookViewId="0">
      <pane ySplit="1" topLeftCell="A47" activePane="bottomLeft" state="frozen"/>
      <selection pane="bottomLeft" activeCell="Q63" sqref="Q63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256</v>
      </c>
      <c r="B1" s="1" t="s">
        <v>257</v>
      </c>
      <c r="C1" s="1" t="s">
        <v>258</v>
      </c>
      <c r="D1" s="1" t="s">
        <v>259</v>
      </c>
      <c r="E1" s="1" t="s">
        <v>260</v>
      </c>
      <c r="F1" s="1" t="s">
        <v>261</v>
      </c>
      <c r="G1" s="1" t="s">
        <v>262</v>
      </c>
      <c r="H1" s="1" t="s">
        <v>97</v>
      </c>
      <c r="I1" s="1" t="s">
        <v>263</v>
      </c>
      <c r="J1" s="9" t="s">
        <v>105</v>
      </c>
      <c r="K1" s="1" t="s">
        <v>264</v>
      </c>
      <c r="L1" s="1" t="s">
        <v>50</v>
      </c>
      <c r="Q1" s="1" t="s">
        <v>265</v>
      </c>
      <c r="R1" s="1" t="s">
        <v>265</v>
      </c>
      <c r="S1" s="1" t="s">
        <v>265</v>
      </c>
      <c r="T1" s="1" t="s">
        <v>265</v>
      </c>
      <c r="U1" s="1" t="s">
        <v>51</v>
      </c>
      <c r="V1" s="1" t="s">
        <v>51</v>
      </c>
      <c r="W1" s="1" t="s">
        <v>51</v>
      </c>
    </row>
    <row r="2" spans="1:23" s="29" customFormat="1" x14ac:dyDescent="0.2">
      <c r="A2" s="29">
        <v>1</v>
      </c>
      <c r="B2" s="29">
        <v>1</v>
      </c>
      <c r="C2" s="29" t="s">
        <v>266</v>
      </c>
      <c r="D2" s="29" t="s">
        <v>159</v>
      </c>
      <c r="F2" s="29">
        <v>5</v>
      </c>
      <c r="G2" s="27"/>
      <c r="H2" s="29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9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7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9" t="s">
        <v>62</v>
      </c>
      <c r="Q2" s="29">
        <v>1</v>
      </c>
    </row>
    <row r="3" spans="1:23" s="29" customFormat="1" x14ac:dyDescent="0.2">
      <c r="A3" s="29">
        <v>2</v>
      </c>
      <c r="B3" s="29">
        <v>1</v>
      </c>
      <c r="C3" s="29" t="s">
        <v>159</v>
      </c>
      <c r="D3" s="29" t="s">
        <v>159</v>
      </c>
      <c r="F3" s="29">
        <v>5</v>
      </c>
      <c r="G3" s="27"/>
      <c r="H3" s="29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9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7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9">
        <v>1</v>
      </c>
    </row>
    <row r="4" spans="1:23" s="29" customFormat="1" x14ac:dyDescent="0.2">
      <c r="A4" s="29">
        <v>3</v>
      </c>
      <c r="B4" s="29">
        <v>2</v>
      </c>
      <c r="C4" s="29" t="s">
        <v>247</v>
      </c>
      <c r="D4" s="29" t="s">
        <v>159</v>
      </c>
      <c r="G4" s="27"/>
      <c r="H4" s="29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9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7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9">
        <v>1</v>
      </c>
    </row>
    <row r="5" spans="1:23" s="29" customFormat="1" x14ac:dyDescent="0.2">
      <c r="A5" s="29">
        <v>4</v>
      </c>
      <c r="B5" s="29">
        <v>2</v>
      </c>
      <c r="C5" s="29" t="s">
        <v>205</v>
      </c>
      <c r="D5" s="29" t="s">
        <v>159</v>
      </c>
      <c r="G5" s="27"/>
      <c r="H5" s="29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9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7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9">
        <v>1</v>
      </c>
    </row>
    <row r="6" spans="1:23" s="29" customFormat="1" x14ac:dyDescent="0.2">
      <c r="A6" s="29">
        <v>5</v>
      </c>
      <c r="B6" s="29">
        <v>2</v>
      </c>
      <c r="C6" s="29" t="s">
        <v>206</v>
      </c>
      <c r="D6" s="29" t="s">
        <v>159</v>
      </c>
      <c r="G6" s="27"/>
      <c r="H6" s="29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9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7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9">
        <v>1</v>
      </c>
    </row>
    <row r="7" spans="1:23" s="29" customFormat="1" x14ac:dyDescent="0.2">
      <c r="A7" s="29">
        <v>6</v>
      </c>
      <c r="B7" s="29">
        <v>2</v>
      </c>
      <c r="C7" s="29" t="s">
        <v>267</v>
      </c>
      <c r="G7" s="45" t="s">
        <v>268</v>
      </c>
      <c r="H7" s="29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9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7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9">
        <v>1</v>
      </c>
    </row>
    <row r="8" spans="1:23" s="29" customFormat="1" x14ac:dyDescent="0.2">
      <c r="A8" s="29">
        <v>7</v>
      </c>
      <c r="B8" s="29">
        <v>2</v>
      </c>
      <c r="C8" s="29" t="s">
        <v>269</v>
      </c>
      <c r="G8" s="45" t="s">
        <v>270</v>
      </c>
      <c r="H8" s="29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9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7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Q8" s="29">
        <v>7</v>
      </c>
    </row>
    <row r="9" spans="1:23" s="29" customFormat="1" x14ac:dyDescent="0.2">
      <c r="A9" s="29">
        <v>8</v>
      </c>
      <c r="B9" s="29">
        <v>2</v>
      </c>
      <c r="C9" s="29" t="s">
        <v>160</v>
      </c>
      <c r="D9" s="29" t="s">
        <v>159</v>
      </c>
      <c r="F9" s="29">
        <v>10</v>
      </c>
      <c r="H9" s="29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9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7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Q9" s="29">
        <v>8</v>
      </c>
    </row>
    <row r="10" spans="1:23" s="29" customFormat="1" x14ac:dyDescent="0.2">
      <c r="A10" s="29">
        <v>9</v>
      </c>
      <c r="B10" s="29">
        <v>1</v>
      </c>
      <c r="C10" s="29" t="s">
        <v>271</v>
      </c>
      <c r="D10" s="29" t="s">
        <v>272</v>
      </c>
      <c r="H10" s="29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9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7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Q10" s="29">
        <v>9</v>
      </c>
    </row>
    <row r="11" spans="1:23" s="29" customFormat="1" x14ac:dyDescent="0.2">
      <c r="A11" s="29">
        <v>10</v>
      </c>
      <c r="B11" s="29">
        <v>1</v>
      </c>
      <c r="C11" s="29" t="s">
        <v>39</v>
      </c>
      <c r="D11" s="29" t="s">
        <v>273</v>
      </c>
      <c r="H11" s="29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9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7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Q11" s="29">
        <v>10</v>
      </c>
    </row>
    <row r="12" spans="1:23" s="29" customFormat="1" x14ac:dyDescent="0.2">
      <c r="A12" s="29">
        <v>11</v>
      </c>
      <c r="B12" s="29">
        <v>1</v>
      </c>
      <c r="C12" s="29" t="s">
        <v>248</v>
      </c>
      <c r="D12" s="29" t="s">
        <v>159</v>
      </c>
      <c r="H12" s="29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9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7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Q12" s="29">
        <v>10</v>
      </c>
    </row>
    <row r="13" spans="1:23" s="12" customFormat="1" x14ac:dyDescent="0.2">
      <c r="A13" s="12">
        <v>12</v>
      </c>
      <c r="B13" s="12">
        <v>3</v>
      </c>
      <c r="C13" s="12" t="s">
        <v>168</v>
      </c>
      <c r="H13" s="12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18</v>
      </c>
      <c r="I13" s="12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18</v>
      </c>
      <c r="J13" s="13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2">
        <v>4</v>
      </c>
      <c r="R13" s="12">
        <v>9</v>
      </c>
      <c r="S13" s="12">
        <v>4</v>
      </c>
    </row>
    <row r="14" spans="1:23" s="12" customFormat="1" x14ac:dyDescent="0.2">
      <c r="A14" s="12">
        <v>13</v>
      </c>
      <c r="B14" s="12">
        <v>3</v>
      </c>
      <c r="C14" s="12" t="s">
        <v>274</v>
      </c>
      <c r="H14" s="12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2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3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2" t="s">
        <v>107</v>
      </c>
      <c r="Q14" s="12">
        <v>5</v>
      </c>
      <c r="R14" s="12">
        <v>7</v>
      </c>
      <c r="S14" s="12">
        <v>5</v>
      </c>
    </row>
    <row r="15" spans="1:23" s="12" customFormat="1" x14ac:dyDescent="0.2">
      <c r="A15" s="12">
        <v>14</v>
      </c>
      <c r="B15" s="12">
        <v>3</v>
      </c>
      <c r="C15" s="12" t="s">
        <v>275</v>
      </c>
      <c r="H15" s="12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2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3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Q15" s="12">
        <v>8</v>
      </c>
      <c r="R15" s="12">
        <v>7</v>
      </c>
      <c r="S15" s="12">
        <v>8</v>
      </c>
    </row>
    <row r="16" spans="1:23" s="12" customFormat="1" x14ac:dyDescent="0.2">
      <c r="A16" s="12">
        <v>15</v>
      </c>
      <c r="B16" s="12">
        <v>3</v>
      </c>
      <c r="C16" s="12" t="s">
        <v>276</v>
      </c>
      <c r="H16" s="12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24</v>
      </c>
      <c r="I16" s="12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24</v>
      </c>
      <c r="J16" s="13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Q16" s="12">
        <v>7</v>
      </c>
      <c r="R16" s="12">
        <v>9</v>
      </c>
      <c r="S16" s="12">
        <v>7</v>
      </c>
    </row>
    <row r="17" spans="1:20" s="12" customFormat="1" x14ac:dyDescent="0.2">
      <c r="A17" s="12">
        <v>16</v>
      </c>
      <c r="B17" s="12">
        <v>3</v>
      </c>
      <c r="C17" s="12" t="s">
        <v>277</v>
      </c>
      <c r="H17" s="12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38</v>
      </c>
      <c r="I17" s="12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38</v>
      </c>
      <c r="J17" s="13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Q17" s="12">
        <v>9</v>
      </c>
      <c r="R17" s="12">
        <v>12</v>
      </c>
      <c r="S17" s="12">
        <v>9</v>
      </c>
    </row>
    <row r="18" spans="1:20" s="12" customFormat="1" x14ac:dyDescent="0.2">
      <c r="A18" s="12">
        <v>17</v>
      </c>
      <c r="B18" s="12">
        <v>3</v>
      </c>
      <c r="C18" s="12" t="s">
        <v>168</v>
      </c>
      <c r="H18" s="12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18</v>
      </c>
      <c r="I18" s="12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18</v>
      </c>
      <c r="J18" s="13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Q18" s="12">
        <v>4</v>
      </c>
      <c r="R18" s="12">
        <v>9</v>
      </c>
      <c r="S18" s="12">
        <v>4</v>
      </c>
    </row>
    <row r="19" spans="1:20" s="41" customFormat="1" x14ac:dyDescent="0.2">
      <c r="A19" s="41">
        <v>18</v>
      </c>
      <c r="B19" s="41">
        <v>4</v>
      </c>
      <c r="C19" s="41" t="s">
        <v>278</v>
      </c>
      <c r="G19" s="41" t="s">
        <v>279</v>
      </c>
      <c r="H19" s="41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41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9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41">
        <v>3</v>
      </c>
      <c r="R19" s="41">
        <v>7</v>
      </c>
      <c r="S19" s="41">
        <v>17</v>
      </c>
    </row>
    <row r="20" spans="1:20" s="41" customFormat="1" x14ac:dyDescent="0.2">
      <c r="A20" s="41">
        <v>19</v>
      </c>
      <c r="B20" s="41">
        <v>4</v>
      </c>
      <c r="C20" s="41" t="s">
        <v>280</v>
      </c>
      <c r="G20" s="41" t="s">
        <v>169</v>
      </c>
      <c r="H20" s="41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41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9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41">
        <v>4</v>
      </c>
      <c r="R20" s="41">
        <v>5</v>
      </c>
      <c r="S20" s="41">
        <v>18</v>
      </c>
    </row>
    <row r="21" spans="1:20" s="41" customFormat="1" x14ac:dyDescent="0.2">
      <c r="A21" s="41">
        <v>20</v>
      </c>
      <c r="B21" s="41">
        <v>4</v>
      </c>
      <c r="C21" s="41" t="s">
        <v>281</v>
      </c>
      <c r="G21" s="41" t="s">
        <v>282</v>
      </c>
      <c r="H21" s="41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41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9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41">
        <v>5</v>
      </c>
      <c r="R21" s="41">
        <v>8</v>
      </c>
      <c r="S21" s="41">
        <v>18</v>
      </c>
    </row>
    <row r="22" spans="1:20" s="41" customFormat="1" x14ac:dyDescent="0.2">
      <c r="A22" s="41">
        <v>21</v>
      </c>
      <c r="B22" s="41">
        <v>4</v>
      </c>
      <c r="C22" s="41" t="s">
        <v>283</v>
      </c>
      <c r="G22" s="41" t="s">
        <v>203</v>
      </c>
      <c r="H22" s="41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41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9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41">
        <v>12</v>
      </c>
      <c r="R22" s="41">
        <v>13</v>
      </c>
      <c r="S22" s="41">
        <v>17</v>
      </c>
    </row>
    <row r="23" spans="1:20" s="21" customFormat="1" x14ac:dyDescent="0.2">
      <c r="A23" s="21">
        <v>22</v>
      </c>
      <c r="B23" s="21">
        <v>4</v>
      </c>
      <c r="C23" s="21" t="s">
        <v>284</v>
      </c>
      <c r="G23" s="21" t="s">
        <v>252</v>
      </c>
      <c r="H23" s="21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21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9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21">
        <v>12</v>
      </c>
      <c r="R23" s="21">
        <v>14</v>
      </c>
      <c r="S23" s="21">
        <v>16</v>
      </c>
      <c r="T23" s="21">
        <v>20</v>
      </c>
    </row>
    <row r="24" spans="1:20" s="21" customFormat="1" x14ac:dyDescent="0.2">
      <c r="A24" s="21">
        <v>23</v>
      </c>
      <c r="B24" s="21">
        <v>4</v>
      </c>
      <c r="C24" s="21" t="s">
        <v>285</v>
      </c>
      <c r="G24" s="21" t="s">
        <v>170</v>
      </c>
      <c r="H24" s="21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163</v>
      </c>
      <c r="I24" s="21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9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21">
        <v>13</v>
      </c>
      <c r="R24" s="21">
        <v>8</v>
      </c>
      <c r="S24" s="21">
        <v>15</v>
      </c>
      <c r="T24" s="21">
        <v>23</v>
      </c>
    </row>
    <row r="25" spans="1:20" s="21" customFormat="1" x14ac:dyDescent="0.2">
      <c r="A25" s="21">
        <v>24</v>
      </c>
      <c r="B25" s="21">
        <v>4</v>
      </c>
      <c r="C25" s="21" t="s">
        <v>286</v>
      </c>
      <c r="G25" s="21" t="s">
        <v>171</v>
      </c>
      <c r="H25" s="21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21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9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21">
        <v>13</v>
      </c>
      <c r="R25" s="21">
        <v>14</v>
      </c>
      <c r="S25" s="21">
        <v>17</v>
      </c>
      <c r="T25" s="21">
        <v>26</v>
      </c>
    </row>
    <row r="26" spans="1:20" s="21" customFormat="1" x14ac:dyDescent="0.2">
      <c r="A26" s="21">
        <v>25</v>
      </c>
      <c r="B26" s="21">
        <v>4</v>
      </c>
      <c r="C26" s="21" t="s">
        <v>287</v>
      </c>
      <c r="G26" s="21" t="s">
        <v>288</v>
      </c>
      <c r="H26" s="21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21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9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21">
        <v>15</v>
      </c>
      <c r="R26" s="21">
        <v>16</v>
      </c>
      <c r="S26" s="21">
        <v>18</v>
      </c>
      <c r="T26" s="21">
        <v>27</v>
      </c>
    </row>
    <row r="27" spans="1:20" s="41" customFormat="1" x14ac:dyDescent="0.2">
      <c r="A27" s="41">
        <v>26</v>
      </c>
      <c r="B27" s="41">
        <v>2</v>
      </c>
      <c r="C27" s="41" t="s">
        <v>289</v>
      </c>
      <c r="G27" s="41" t="s">
        <v>290</v>
      </c>
      <c r="H27" s="41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41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9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41">
        <v>12</v>
      </c>
    </row>
    <row r="28" spans="1:20" s="41" customFormat="1" x14ac:dyDescent="0.2">
      <c r="A28" s="41">
        <v>27</v>
      </c>
      <c r="B28" s="41">
        <v>2</v>
      </c>
      <c r="C28" s="41" t="s">
        <v>291</v>
      </c>
      <c r="G28" s="41" t="s">
        <v>292</v>
      </c>
      <c r="H28" s="41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41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9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41">
        <v>13</v>
      </c>
    </row>
    <row r="29" spans="1:20" s="41" customFormat="1" x14ac:dyDescent="0.2">
      <c r="A29" s="41">
        <v>28</v>
      </c>
      <c r="B29" s="41">
        <v>1</v>
      </c>
      <c r="C29" s="41" t="s">
        <v>293</v>
      </c>
      <c r="H29" s="41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41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9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41">
        <v>14</v>
      </c>
    </row>
    <row r="30" spans="1:20" s="41" customFormat="1" x14ac:dyDescent="0.2">
      <c r="A30" s="41">
        <v>29</v>
      </c>
      <c r="B30" s="41">
        <v>1</v>
      </c>
      <c r="C30" s="41" t="s">
        <v>294</v>
      </c>
      <c r="H30" s="41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41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9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41">
        <v>15</v>
      </c>
    </row>
    <row r="31" spans="1:20" s="41" customFormat="1" x14ac:dyDescent="0.2">
      <c r="A31" s="41">
        <v>30</v>
      </c>
      <c r="B31" s="41">
        <v>1</v>
      </c>
      <c r="C31" s="41" t="s">
        <v>295</v>
      </c>
      <c r="H31" s="41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41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9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41">
        <v>16</v>
      </c>
    </row>
    <row r="32" spans="1:20" s="41" customFormat="1" x14ac:dyDescent="0.2">
      <c r="A32" s="41">
        <v>31</v>
      </c>
      <c r="B32" s="41">
        <v>1</v>
      </c>
      <c r="C32" s="41" t="s">
        <v>161</v>
      </c>
      <c r="H32" s="41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41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9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41">
        <v>17</v>
      </c>
    </row>
    <row r="33" spans="1:17" s="41" customFormat="1" x14ac:dyDescent="0.2">
      <c r="A33" s="41">
        <v>32</v>
      </c>
      <c r="B33" s="41">
        <v>1</v>
      </c>
      <c r="C33" s="41" t="s">
        <v>162</v>
      </c>
      <c r="H33" s="41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41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9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Q33" s="41">
        <v>18</v>
      </c>
    </row>
    <row r="34" spans="1:17" s="41" customFormat="1" x14ac:dyDescent="0.2">
      <c r="A34" s="41">
        <v>33</v>
      </c>
      <c r="B34" s="41">
        <v>1</v>
      </c>
      <c r="C34" s="41" t="s">
        <v>296</v>
      </c>
      <c r="H34" s="41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41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9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Q34" s="41">
        <v>19</v>
      </c>
    </row>
    <row r="35" spans="1:17" s="21" customFormat="1" x14ac:dyDescent="0.2">
      <c r="A35" s="21">
        <v>34</v>
      </c>
      <c r="B35" s="21">
        <v>1</v>
      </c>
      <c r="C35" s="21" t="s">
        <v>163</v>
      </c>
      <c r="H35" s="21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21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9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Q35" s="21">
        <v>20</v>
      </c>
    </row>
    <row r="36" spans="1:17" s="21" customFormat="1" x14ac:dyDescent="0.2">
      <c r="A36" s="21">
        <v>35</v>
      </c>
      <c r="B36" s="21">
        <v>1</v>
      </c>
      <c r="C36" s="21" t="s">
        <v>164</v>
      </c>
      <c r="H36" s="21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84</v>
      </c>
      <c r="I36" s="21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9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Q36" s="21">
        <v>21</v>
      </c>
    </row>
    <row r="37" spans="1:17" s="21" customFormat="1" x14ac:dyDescent="0.2">
      <c r="A37" s="21">
        <v>36</v>
      </c>
      <c r="B37" s="21">
        <v>1</v>
      </c>
      <c r="C37" s="21" t="s">
        <v>297</v>
      </c>
      <c r="H37" s="21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21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9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Q37" s="21">
        <v>22</v>
      </c>
    </row>
    <row r="38" spans="1:17" s="21" customFormat="1" x14ac:dyDescent="0.2">
      <c r="A38" s="21">
        <v>37</v>
      </c>
      <c r="B38" s="21">
        <v>1</v>
      </c>
      <c r="C38" s="21" t="s">
        <v>165</v>
      </c>
      <c r="H38" s="21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105</v>
      </c>
      <c r="I38" s="21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9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Q38" s="21">
        <v>23</v>
      </c>
    </row>
    <row r="39" spans="1:17" s="21" customFormat="1" x14ac:dyDescent="0.2">
      <c r="A39" s="21">
        <v>38</v>
      </c>
      <c r="B39" s="21">
        <v>1</v>
      </c>
      <c r="C39" s="21" t="s">
        <v>298</v>
      </c>
      <c r="H39" s="19" t="s">
        <v>244</v>
      </c>
      <c r="I39" s="19" t="s">
        <v>245</v>
      </c>
      <c r="J39" s="19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Q39" s="21">
        <v>24</v>
      </c>
    </row>
    <row r="40" spans="1:17" s="21" customFormat="1" x14ac:dyDescent="0.2">
      <c r="A40" s="21">
        <v>39</v>
      </c>
      <c r="B40" s="21">
        <v>1</v>
      </c>
      <c r="C40" s="21" t="s">
        <v>299</v>
      </c>
      <c r="H40" s="21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21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9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Q40" s="21">
        <v>25</v>
      </c>
    </row>
    <row r="41" spans="1:17" s="21" customFormat="1" x14ac:dyDescent="0.2">
      <c r="A41" s="21">
        <v>40</v>
      </c>
      <c r="B41" s="21">
        <v>1</v>
      </c>
      <c r="C41" s="21" t="s">
        <v>166</v>
      </c>
      <c r="H41" s="21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21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9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Q41" s="21">
        <v>26</v>
      </c>
    </row>
    <row r="42" spans="1:17" s="21" customFormat="1" x14ac:dyDescent="0.2">
      <c r="A42" s="21">
        <v>41</v>
      </c>
      <c r="B42" s="21">
        <v>1</v>
      </c>
      <c r="C42" s="21" t="s">
        <v>300</v>
      </c>
      <c r="H42" s="21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21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9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21">
        <v>27</v>
      </c>
    </row>
    <row r="43" spans="1:17" s="44" customFormat="1" x14ac:dyDescent="0.2">
      <c r="A43" s="44">
        <v>42</v>
      </c>
      <c r="B43" s="44">
        <v>1</v>
      </c>
      <c r="C43" s="44" t="s">
        <v>301</v>
      </c>
      <c r="H43" s="44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4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3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4">
        <v>28</v>
      </c>
    </row>
    <row r="44" spans="1:17" s="44" customFormat="1" x14ac:dyDescent="0.2">
      <c r="A44" s="44">
        <v>43</v>
      </c>
      <c r="B44" s="44">
        <v>1</v>
      </c>
      <c r="C44" s="44" t="s">
        <v>302</v>
      </c>
      <c r="H44" s="44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4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3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Q44" s="44">
        <v>29</v>
      </c>
    </row>
    <row r="45" spans="1:17" s="44" customFormat="1" x14ac:dyDescent="0.2">
      <c r="A45" s="44">
        <v>44</v>
      </c>
      <c r="B45" s="44">
        <v>1</v>
      </c>
      <c r="C45" s="44" t="s">
        <v>303</v>
      </c>
      <c r="H45" s="44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4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3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Q45" s="44">
        <v>30</v>
      </c>
    </row>
    <row r="46" spans="1:17" s="44" customFormat="1" x14ac:dyDescent="0.2">
      <c r="A46" s="44">
        <v>45</v>
      </c>
      <c r="B46" s="44">
        <v>1</v>
      </c>
      <c r="C46" s="44" t="s">
        <v>173</v>
      </c>
      <c r="H46" s="44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4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3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4">
        <v>31</v>
      </c>
    </row>
    <row r="47" spans="1:17" s="44" customFormat="1" x14ac:dyDescent="0.2">
      <c r="A47" s="44">
        <v>46</v>
      </c>
      <c r="B47" s="44">
        <v>1</v>
      </c>
      <c r="C47" s="44" t="s">
        <v>172</v>
      </c>
      <c r="H47" s="44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4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3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2">
        <v>32</v>
      </c>
    </row>
    <row r="48" spans="1:17" s="44" customFormat="1" x14ac:dyDescent="0.2">
      <c r="A48" s="44">
        <v>47</v>
      </c>
      <c r="B48" s="44">
        <v>1</v>
      </c>
      <c r="C48" s="44" t="s">
        <v>174</v>
      </c>
      <c r="H48" s="44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4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3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2">
        <v>33</v>
      </c>
    </row>
    <row r="49" spans="1:17" s="44" customFormat="1" x14ac:dyDescent="0.2">
      <c r="A49" s="44">
        <v>48</v>
      </c>
      <c r="B49" s="44">
        <v>1</v>
      </c>
      <c r="C49" s="44" t="s">
        <v>175</v>
      </c>
      <c r="H49" s="44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4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3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2">
        <v>34</v>
      </c>
    </row>
    <row r="50" spans="1:17" s="44" customFormat="1" x14ac:dyDescent="0.2">
      <c r="A50" s="44">
        <v>49</v>
      </c>
      <c r="B50" s="44">
        <v>1</v>
      </c>
      <c r="C50" s="44" t="s">
        <v>176</v>
      </c>
      <c r="H50" s="44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4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3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2">
        <v>35</v>
      </c>
    </row>
    <row r="51" spans="1:17" s="44" customFormat="1" x14ac:dyDescent="0.2">
      <c r="A51" s="44">
        <v>50</v>
      </c>
      <c r="B51" s="44">
        <v>1</v>
      </c>
      <c r="C51" s="44" t="s">
        <v>177</v>
      </c>
      <c r="H51" s="44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4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3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2">
        <v>36</v>
      </c>
    </row>
    <row r="52" spans="1:17" s="44" customFormat="1" x14ac:dyDescent="0.2">
      <c r="A52" s="44">
        <v>51</v>
      </c>
      <c r="B52" s="44">
        <v>1</v>
      </c>
      <c r="C52" s="44" t="s">
        <v>178</v>
      </c>
      <c r="H52" s="44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4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3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2">
        <v>37</v>
      </c>
    </row>
    <row r="53" spans="1:17" s="31" customFormat="1" x14ac:dyDescent="0.2">
      <c r="A53" s="31">
        <v>52</v>
      </c>
      <c r="B53" s="31">
        <v>1</v>
      </c>
      <c r="C53" s="31" t="s">
        <v>179</v>
      </c>
      <c r="H53" s="31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31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2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30">
        <v>38</v>
      </c>
    </row>
    <row r="54" spans="1:17" s="31" customFormat="1" x14ac:dyDescent="0.2">
      <c r="A54" s="31">
        <v>53</v>
      </c>
      <c r="B54" s="31">
        <v>1</v>
      </c>
      <c r="C54" s="31" t="s">
        <v>180</v>
      </c>
      <c r="H54" s="31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31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2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30">
        <v>39</v>
      </c>
    </row>
    <row r="55" spans="1:17" s="31" customFormat="1" x14ac:dyDescent="0.2">
      <c r="A55" s="31">
        <v>54</v>
      </c>
      <c r="B55" s="31">
        <v>1</v>
      </c>
      <c r="C55" s="31" t="s">
        <v>181</v>
      </c>
      <c r="H55" s="31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31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2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30">
        <v>40</v>
      </c>
    </row>
    <row r="56" spans="1:17" s="31" customFormat="1" x14ac:dyDescent="0.2">
      <c r="A56" s="31">
        <v>55</v>
      </c>
      <c r="B56" s="31">
        <v>1</v>
      </c>
      <c r="C56" s="31" t="s">
        <v>182</v>
      </c>
      <c r="H56" s="31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31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2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30">
        <v>41</v>
      </c>
    </row>
    <row r="57" spans="1:17" s="31" customFormat="1" x14ac:dyDescent="0.2">
      <c r="A57" s="31">
        <v>56</v>
      </c>
      <c r="B57" s="31">
        <v>1</v>
      </c>
      <c r="C57" s="31" t="s">
        <v>183</v>
      </c>
      <c r="H57" s="31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31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2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30">
        <v>42</v>
      </c>
    </row>
    <row r="58" spans="1:17" s="31" customFormat="1" x14ac:dyDescent="0.2">
      <c r="A58" s="31">
        <v>57</v>
      </c>
      <c r="B58" s="31">
        <v>1</v>
      </c>
      <c r="C58" s="31" t="s">
        <v>184</v>
      </c>
      <c r="H58" s="31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31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2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30">
        <v>43</v>
      </c>
    </row>
    <row r="59" spans="1:17" s="31" customFormat="1" x14ac:dyDescent="0.2">
      <c r="A59" s="31">
        <v>58</v>
      </c>
      <c r="B59" s="31">
        <v>1</v>
      </c>
      <c r="C59" s="31" t="s">
        <v>185</v>
      </c>
      <c r="H59" s="31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31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2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30">
        <v>44</v>
      </c>
    </row>
    <row r="60" spans="1:17" s="31" customFormat="1" x14ac:dyDescent="0.2">
      <c r="A60" s="31">
        <v>59</v>
      </c>
      <c r="B60" s="31">
        <v>1</v>
      </c>
      <c r="C60" s="31" t="s">
        <v>186</v>
      </c>
      <c r="H60" s="31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31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2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30">
        <v>45</v>
      </c>
    </row>
    <row r="61" spans="1:17" s="35" customFormat="1" x14ac:dyDescent="0.2">
      <c r="A61" s="35">
        <v>60</v>
      </c>
      <c r="B61" s="35">
        <v>1</v>
      </c>
      <c r="C61" s="35" t="s">
        <v>304</v>
      </c>
      <c r="H61" s="35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5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6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4">
        <v>46</v>
      </c>
    </row>
    <row r="62" spans="1:17" s="35" customFormat="1" x14ac:dyDescent="0.2">
      <c r="A62" s="35">
        <v>61</v>
      </c>
      <c r="B62" s="35">
        <v>1</v>
      </c>
      <c r="C62" s="35" t="s">
        <v>187</v>
      </c>
      <c r="H62" s="35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5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6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4">
        <v>47</v>
      </c>
    </row>
    <row r="63" spans="1:17" s="35" customFormat="1" x14ac:dyDescent="0.2">
      <c r="A63" s="35">
        <v>62</v>
      </c>
      <c r="B63" s="35">
        <v>1</v>
      </c>
      <c r="C63" s="35" t="s">
        <v>188</v>
      </c>
      <c r="H63" s="35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5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6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4">
        <v>48</v>
      </c>
    </row>
    <row r="64" spans="1:17" s="35" customFormat="1" x14ac:dyDescent="0.2">
      <c r="A64" s="35">
        <v>63</v>
      </c>
      <c r="B64" s="35">
        <v>1</v>
      </c>
      <c r="C64" s="35" t="s">
        <v>189</v>
      </c>
      <c r="H64" s="35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5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6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4">
        <v>49</v>
      </c>
    </row>
    <row r="65" spans="1:17" s="29" customFormat="1" x14ac:dyDescent="0.2">
      <c r="A65" s="29">
        <v>64</v>
      </c>
      <c r="B65" s="29">
        <v>2</v>
      </c>
      <c r="C65" s="29" t="s">
        <v>305</v>
      </c>
      <c r="G65" s="45" t="s">
        <v>306</v>
      </c>
      <c r="H65" s="29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10</v>
      </c>
      <c r="I65" s="29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10</v>
      </c>
      <c r="J65" s="27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9">
        <v>9</v>
      </c>
    </row>
    <row r="66" spans="1:17" s="29" customFormat="1" x14ac:dyDescent="0.2">
      <c r="A66" s="29">
        <v>65</v>
      </c>
      <c r="B66" s="29">
        <v>2</v>
      </c>
      <c r="C66" s="29" t="s">
        <v>307</v>
      </c>
      <c r="G66" s="45" t="s">
        <v>253</v>
      </c>
      <c r="H66" s="29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12</v>
      </c>
      <c r="I66" s="29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12</v>
      </c>
      <c r="J66" s="27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9">
        <v>10</v>
      </c>
    </row>
    <row r="67" spans="1:17" s="29" customFormat="1" x14ac:dyDescent="0.2">
      <c r="A67" s="29">
        <v>66</v>
      </c>
      <c r="B67" s="29">
        <v>2</v>
      </c>
      <c r="C67" s="29" t="s">
        <v>308</v>
      </c>
      <c r="G67" s="46" t="s">
        <v>254</v>
      </c>
      <c r="H67" s="29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15</v>
      </c>
      <c r="I67" s="29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15</v>
      </c>
      <c r="J67" s="27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Q67" s="29">
        <v>11</v>
      </c>
    </row>
  </sheetData>
  <autoFilter ref="I1:I46"/>
  <dataConsolidate/>
  <phoneticPr fontId="1" type="noConversion"/>
  <conditionalFormatting sqref="J12">
    <cfRule type="iconSet" priority="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1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8:J1048576 K1 J2:J11 J13:J25 J27:J64">
    <cfRule type="iconSet" priority="1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8:I1048576 I13:I25 I27:I38 I1:I11 I40:I64">
    <cfRule type="iconSet" priority="1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7:H38 H2:H11 H40:H64">
    <cfRule type="iconSet" priority="1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67">
    <cfRule type="iconSet" priority="1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67">
    <cfRule type="iconSet" priority="17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67">
    <cfRule type="iconSet" priority="1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39">
    <cfRule type="iconSet" priority="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39">
    <cfRule type="iconSet" priority="2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showInputMessage="1" showErrorMessage="1">
          <x14:formula1>
            <xm:f>'D:\JYHD\JyQipai_doc\config_3D\[fish_3d_data_config_1.xlsm]activity'!#REF!</xm:f>
          </x14:formula1>
          <xm:sqref>L14</xm:sqref>
        </x14:dataValidation>
        <x14:dataValidation type="list" allowBlank="1" showInputMessage="1" showErrorMessage="1">
          <x14:formula1>
            <xm:f>'D:\JYHD\JyQipai_doc\config_3D\[fish_3d_data_config_1.xlsm]base_fish'!#REF!</xm:f>
          </x14:formula1>
          <xm:sqref>L2:L7 L13 L65:L66 L15:L16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51"/>
  <sheetViews>
    <sheetView zoomScaleNormal="100" workbookViewId="0">
      <pane ySplit="1" topLeftCell="A20" activePane="bottomLeft" state="frozen"/>
      <selection pane="bottomLeft" activeCell="C39" sqref="C39:C44"/>
    </sheetView>
  </sheetViews>
  <sheetFormatPr defaultColWidth="8.875" defaultRowHeight="14.25" x14ac:dyDescent="0.2"/>
  <cols>
    <col min="1" max="1" width="14.125" customWidth="1"/>
    <col min="2" max="2" width="11.375" customWidth="1"/>
    <col min="3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16</v>
      </c>
      <c r="B1" s="1" t="s">
        <v>202</v>
      </c>
      <c r="C1" s="1" t="s">
        <v>11</v>
      </c>
      <c r="D1" s="1" t="s">
        <v>313</v>
      </c>
      <c r="E1" s="1" t="s">
        <v>98</v>
      </c>
      <c r="F1" s="1" t="s">
        <v>0</v>
      </c>
      <c r="G1" s="1" t="s">
        <v>18</v>
      </c>
      <c r="H1" s="1" t="s">
        <v>13</v>
      </c>
      <c r="I1" s="8" t="s">
        <v>103</v>
      </c>
      <c r="J1" s="8" t="s">
        <v>99</v>
      </c>
      <c r="K1" s="8" t="s">
        <v>106</v>
      </c>
      <c r="L1" s="8" t="s">
        <v>125</v>
      </c>
      <c r="M1" s="8" t="s">
        <v>126</v>
      </c>
      <c r="N1" s="8" t="s">
        <v>192</v>
      </c>
      <c r="O1" s="8" t="s">
        <v>200</v>
      </c>
    </row>
    <row r="2" spans="1:15" s="29" customFormat="1" x14ac:dyDescent="0.2">
      <c r="A2" s="26">
        <v>1</v>
      </c>
      <c r="B2" s="26">
        <v>1</v>
      </c>
      <c r="C2" s="26"/>
      <c r="D2" s="26"/>
      <c r="E2" s="27">
        <f>LOOKUP(use_fish!B2,base_fish!A:A,base_fish!C:C)+_xlfn.IFNA(INDEX(activity!F:F,MATCH(use_fish!C2,activity!A:A,0)),0)</f>
        <v>2</v>
      </c>
      <c r="F2" s="27">
        <f>1/E2</f>
        <v>0.5</v>
      </c>
      <c r="G2" s="27" t="s">
        <v>17</v>
      </c>
      <c r="H2" s="28" t="str">
        <f>INDEX(base_fish!E:E,MATCH(use_fish!B2,base_fish!A:A,0))&amp;_xlfn.IFNA("+"&amp;INDEX(activity!G:G,MATCH(use_fish!C2,activity!A:A,0)),"")</f>
        <v>小牛角</v>
      </c>
      <c r="I2" s="27">
        <f>LOOKUP(use_fish!B2,base_fish!A:A,base_fish!F:F)+_xlfn.IFNA(INDEX(activity!F:F,MATCH(use_fish!C2,activity!A:A,0)),0)</f>
        <v>2</v>
      </c>
      <c r="J2" s="29">
        <v>1</v>
      </c>
      <c r="K2" s="29">
        <f>LOOKUP(use_fish!B2,base_fish!A:A,base_fish!G:G)</f>
        <v>0</v>
      </c>
      <c r="L2" s="29">
        <f>I2</f>
        <v>2</v>
      </c>
      <c r="M2" s="29">
        <v>1</v>
      </c>
      <c r="N2" s="29">
        <f>IF(OR(C2=4,C2=5),1,0)</f>
        <v>0</v>
      </c>
      <c r="O2" s="29">
        <v>1</v>
      </c>
    </row>
    <row r="3" spans="1:15" s="29" customFormat="1" x14ac:dyDescent="0.2">
      <c r="A3" s="26">
        <v>2</v>
      </c>
      <c r="B3" s="26">
        <v>2</v>
      </c>
      <c r="C3" s="26"/>
      <c r="D3" s="26"/>
      <c r="E3" s="27">
        <f>LOOKUP(use_fish!B3,base_fish!A:A,base_fish!C:C)+_xlfn.IFNA(INDEX(activity!F:F,MATCH(use_fish!C3,activity!A:A,0)),0)</f>
        <v>2</v>
      </c>
      <c r="F3" s="27">
        <f>1/E3</f>
        <v>0.5</v>
      </c>
      <c r="G3" s="27" t="s">
        <v>17</v>
      </c>
      <c r="H3" s="28" t="str">
        <f>INDEX(base_fish!E:E,MATCH(use_fish!B3,base_fish!A:A,0))&amp;_xlfn.IFNA("+"&amp;INDEX(activity!G:G,MATCH(use_fish!C3,activity!A:A,0)),"")</f>
        <v>小气泡</v>
      </c>
      <c r="I3" s="27">
        <f>LOOKUP(use_fish!B3,base_fish!A:A,base_fish!F:F)+_xlfn.IFNA(INDEX(activity!F:F,MATCH(use_fish!C3,activity!A:A,0)),0)</f>
        <v>2</v>
      </c>
      <c r="J3" s="29">
        <v>1</v>
      </c>
      <c r="K3" s="29">
        <f>LOOKUP(use_fish!B3,base_fish!A:A,base_fish!G:G)</f>
        <v>0</v>
      </c>
      <c r="L3" s="29">
        <f t="shared" ref="L3:L19" si="0">I3</f>
        <v>2</v>
      </c>
      <c r="M3" s="29">
        <v>1</v>
      </c>
      <c r="N3" s="29">
        <f t="shared" ref="N3:N11" si="1">IF(OR(C3=4,C3=5),1,0)</f>
        <v>0</v>
      </c>
      <c r="O3" s="29">
        <v>1</v>
      </c>
    </row>
    <row r="4" spans="1:15" s="29" customFormat="1" x14ac:dyDescent="0.2">
      <c r="A4" s="26">
        <v>3</v>
      </c>
      <c r="B4" s="26">
        <v>3</v>
      </c>
      <c r="C4" s="26"/>
      <c r="D4" s="26"/>
      <c r="E4" s="27">
        <f>LOOKUP(use_fish!B4,base_fish!A:A,base_fish!C:C)+_xlfn.IFNA(INDEX(activity!F:F,MATCH(use_fish!C4,activity!A:A,0)),0)</f>
        <v>3</v>
      </c>
      <c r="F4" s="27">
        <f t="shared" ref="F4:F19" si="2">1/E4</f>
        <v>0.33333333333333331</v>
      </c>
      <c r="G4" s="27" t="s">
        <v>17</v>
      </c>
      <c r="H4" s="28" t="str">
        <f>INDEX(base_fish!E:E,MATCH(use_fish!B4,base_fish!A:A,0))&amp;_xlfn.IFNA("+"&amp;INDEX(activity!G:G,MATCH(use_fish!C4,activity!A:A,0)),"")</f>
        <v>小丑鱼</v>
      </c>
      <c r="I4" s="27">
        <f>LOOKUP(use_fish!B4,base_fish!A:A,base_fish!F:F)+_xlfn.IFNA(INDEX(activity!F:F,MATCH(use_fish!C4,activity!A:A,0)),0)</f>
        <v>3</v>
      </c>
      <c r="J4" s="29">
        <v>1</v>
      </c>
      <c r="K4" s="29">
        <f>LOOKUP(use_fish!B4,base_fish!A:A,base_fish!G:G)</f>
        <v>0</v>
      </c>
      <c r="L4" s="29">
        <f t="shared" si="0"/>
        <v>3</v>
      </c>
      <c r="M4" s="29">
        <v>1</v>
      </c>
      <c r="N4" s="29">
        <f t="shared" si="1"/>
        <v>0</v>
      </c>
      <c r="O4" s="29">
        <v>1</v>
      </c>
    </row>
    <row r="5" spans="1:15" s="29" customFormat="1" x14ac:dyDescent="0.2">
      <c r="A5" s="26">
        <v>4</v>
      </c>
      <c r="B5" s="26">
        <v>4</v>
      </c>
      <c r="C5" s="26"/>
      <c r="D5" s="26"/>
      <c r="E5" s="27">
        <f>LOOKUP(use_fish!B5,base_fish!A:A,base_fish!C:C)+_xlfn.IFNA(INDEX(activity!F:F,MATCH(use_fish!C5,activity!A:A,0)),0)</f>
        <v>4</v>
      </c>
      <c r="F5" s="27">
        <f t="shared" si="2"/>
        <v>0.25</v>
      </c>
      <c r="G5" s="27" t="s">
        <v>17</v>
      </c>
      <c r="H5" s="28" t="str">
        <f>INDEX(base_fish!E:E,MATCH(use_fish!B5,base_fish!A:A,0))&amp;_xlfn.IFNA("+"&amp;INDEX(activity!G:G,MATCH(use_fish!C5,activity!A:A,0)),"")</f>
        <v>小燕鱼</v>
      </c>
      <c r="I5" s="27">
        <f>LOOKUP(use_fish!B5,base_fish!A:A,base_fish!F:F)+_xlfn.IFNA(INDEX(activity!F:F,MATCH(use_fish!C5,activity!A:A,0)),0)</f>
        <v>4</v>
      </c>
      <c r="J5" s="29">
        <v>1</v>
      </c>
      <c r="K5" s="29">
        <f>LOOKUP(use_fish!B5,base_fish!A:A,base_fish!G:G)</f>
        <v>0</v>
      </c>
      <c r="L5" s="29">
        <f t="shared" si="0"/>
        <v>4</v>
      </c>
      <c r="M5" s="29">
        <v>1</v>
      </c>
      <c r="N5" s="29">
        <f t="shared" si="1"/>
        <v>0</v>
      </c>
      <c r="O5" s="29">
        <v>1</v>
      </c>
    </row>
    <row r="6" spans="1:15" s="29" customFormat="1" x14ac:dyDescent="0.2">
      <c r="A6" s="26">
        <v>5</v>
      </c>
      <c r="B6" s="26">
        <v>5</v>
      </c>
      <c r="C6" s="26"/>
      <c r="D6" s="26"/>
      <c r="E6" s="27">
        <f>LOOKUP(use_fish!B6,base_fish!A:A,base_fish!C:C)+_xlfn.IFNA(INDEX(activity!F:F,MATCH(use_fish!C6,activity!A:A,0)),0)</f>
        <v>5</v>
      </c>
      <c r="F6" s="27">
        <f t="shared" si="2"/>
        <v>0.2</v>
      </c>
      <c r="G6" s="27" t="s">
        <v>17</v>
      </c>
      <c r="H6" s="28" t="str">
        <f>INDEX(base_fish!E:E,MATCH(use_fish!B6,base_fish!A:A,0))&amp;_xlfn.IFNA("+"&amp;INDEX(activity!G:G,MATCH(use_fish!C6,activity!A:A,0)),"")</f>
        <v>小黄鳍</v>
      </c>
      <c r="I6" s="27">
        <f>LOOKUP(use_fish!B6,base_fish!A:A,base_fish!F:F)+_xlfn.IFNA(INDEX(activity!F:F,MATCH(use_fish!C6,activity!A:A,0)),0)</f>
        <v>5</v>
      </c>
      <c r="J6" s="29">
        <v>1</v>
      </c>
      <c r="K6" s="29">
        <f>LOOKUP(use_fish!B6,base_fish!A:A,base_fish!G:G)</f>
        <v>0</v>
      </c>
      <c r="L6" s="29">
        <f t="shared" si="0"/>
        <v>5</v>
      </c>
      <c r="M6" s="29">
        <v>1</v>
      </c>
      <c r="N6" s="29">
        <f t="shared" si="1"/>
        <v>0</v>
      </c>
      <c r="O6" s="29">
        <v>1</v>
      </c>
    </row>
    <row r="7" spans="1:15" s="29" customFormat="1" x14ac:dyDescent="0.2">
      <c r="A7" s="26">
        <v>6</v>
      </c>
      <c r="B7" s="26">
        <v>6</v>
      </c>
      <c r="C7" s="26"/>
      <c r="D7" s="26"/>
      <c r="E7" s="27">
        <v>6</v>
      </c>
      <c r="F7" s="27">
        <f t="shared" si="2"/>
        <v>0.16666666666666666</v>
      </c>
      <c r="G7" s="27" t="s">
        <v>17</v>
      </c>
      <c r="H7" s="28" t="str">
        <f>INDEX(base_fish!E:E,MATCH(use_fish!B7,base_fish!A:A,0))&amp;_xlfn.IFNA("+"&amp;INDEX(activity!G:G,MATCH(use_fish!C7,activity!A:A,0)),"")</f>
        <v>河豚</v>
      </c>
      <c r="I7" s="27">
        <f>LOOKUP(use_fish!B7,base_fish!A:A,base_fish!F:F)+_xlfn.IFNA(INDEX(activity!F:F,MATCH(use_fish!C7,activity!A:A,0)),0)</f>
        <v>6</v>
      </c>
      <c r="J7" s="29">
        <v>1</v>
      </c>
      <c r="K7" s="29">
        <f>LOOKUP(use_fish!B7,base_fish!A:A,base_fish!G:G)</f>
        <v>0</v>
      </c>
      <c r="L7" s="29">
        <f t="shared" si="0"/>
        <v>6</v>
      </c>
      <c r="M7" s="29">
        <v>1</v>
      </c>
      <c r="N7" s="29">
        <f t="shared" si="1"/>
        <v>0</v>
      </c>
      <c r="O7" s="29">
        <v>1</v>
      </c>
    </row>
    <row r="8" spans="1:15" s="29" customFormat="1" x14ac:dyDescent="0.2">
      <c r="A8" s="26">
        <v>7</v>
      </c>
      <c r="B8" s="26">
        <v>7</v>
      </c>
      <c r="C8" s="26"/>
      <c r="D8" s="26"/>
      <c r="E8" s="27">
        <f>LOOKUP(use_fish!B8,base_fish!A:A,base_fish!C:C)+_xlfn.IFNA(INDEX(activity!F:F,MATCH(use_fish!C8,activity!A:A,0)),0)</f>
        <v>7</v>
      </c>
      <c r="F8" s="27">
        <f t="shared" si="2"/>
        <v>0.14285714285714285</v>
      </c>
      <c r="G8" s="27" t="s">
        <v>17</v>
      </c>
      <c r="H8" s="28" t="str">
        <f>INDEX(base_fish!E:E,MATCH(use_fish!B8,base_fish!A:A,0))&amp;_xlfn.IFNA("+"&amp;INDEX(activity!G:G,MATCH(use_fish!C8,activity!A:A,0)),"")</f>
        <v>小灯笼</v>
      </c>
      <c r="I8" s="27">
        <f>LOOKUP(use_fish!B8,base_fish!A:A,base_fish!F:F)+_xlfn.IFNA(INDEX(activity!F:F,MATCH(use_fish!C8,activity!A:A,0)),0)</f>
        <v>7</v>
      </c>
      <c r="J8" s="29">
        <v>1</v>
      </c>
      <c r="K8" s="29">
        <f>LOOKUP(use_fish!B8,base_fish!A:A,base_fish!G:G)</f>
        <v>0</v>
      </c>
      <c r="L8" s="29">
        <f t="shared" si="0"/>
        <v>7</v>
      </c>
      <c r="M8" s="29">
        <v>1</v>
      </c>
      <c r="N8" s="29">
        <f t="shared" si="1"/>
        <v>0</v>
      </c>
      <c r="O8" s="29">
        <v>1</v>
      </c>
    </row>
    <row r="9" spans="1:15" s="29" customFormat="1" x14ac:dyDescent="0.2">
      <c r="A9" s="26">
        <v>8</v>
      </c>
      <c r="B9" s="26">
        <v>8</v>
      </c>
      <c r="C9" s="26"/>
      <c r="D9" s="26"/>
      <c r="E9" s="27">
        <f>LOOKUP(use_fish!B9,base_fish!A:A,base_fish!C:C)+_xlfn.IFNA(INDEX(activity!F:F,MATCH(use_fish!C9,activity!A:A,0)),0)</f>
        <v>8</v>
      </c>
      <c r="F9" s="27">
        <f t="shared" si="2"/>
        <v>0.125</v>
      </c>
      <c r="G9" s="27" t="s">
        <v>17</v>
      </c>
      <c r="H9" s="28" t="str">
        <f>INDEX(base_fish!E:E,MATCH(use_fish!B9,base_fish!A:A,0))&amp;_xlfn.IFNA("+"&amp;INDEX(activity!G:G,MATCH(use_fish!C9,activity!A:A,0)),"")</f>
        <v>小旗鱼</v>
      </c>
      <c r="I9" s="27">
        <f>LOOKUP(use_fish!B9,base_fish!A:A,base_fish!F:F)+_xlfn.IFNA(INDEX(activity!F:F,MATCH(use_fish!C9,activity!A:A,0)),0)</f>
        <v>8</v>
      </c>
      <c r="J9" s="29">
        <v>1</v>
      </c>
      <c r="K9" s="29">
        <f>LOOKUP(use_fish!B9,base_fish!A:A,base_fish!G:G)</f>
        <v>0</v>
      </c>
      <c r="L9" s="29">
        <f t="shared" si="0"/>
        <v>8</v>
      </c>
      <c r="M9" s="29">
        <v>1</v>
      </c>
      <c r="N9" s="29">
        <f t="shared" si="1"/>
        <v>0</v>
      </c>
      <c r="O9" s="29">
        <v>1</v>
      </c>
    </row>
    <row r="10" spans="1:15" s="29" customFormat="1" x14ac:dyDescent="0.2">
      <c r="A10" s="26">
        <v>9</v>
      </c>
      <c r="B10" s="26">
        <v>9</v>
      </c>
      <c r="C10" s="26"/>
      <c r="D10" s="26"/>
      <c r="E10" s="27">
        <f>LOOKUP(use_fish!B10,base_fish!A:A,base_fish!C:C)+_xlfn.IFNA(INDEX(activity!F:F,MATCH(use_fish!C10,activity!A:A,0)),0)</f>
        <v>10</v>
      </c>
      <c r="F10" s="27">
        <f t="shared" si="2"/>
        <v>0.1</v>
      </c>
      <c r="G10" s="27" t="s">
        <v>17</v>
      </c>
      <c r="H10" s="28" t="str">
        <f>INDEX(base_fish!E:E,MATCH(use_fish!B10,base_fish!A:A,0))&amp;_xlfn.IFNA("+"&amp;INDEX(activity!G:G,MATCH(use_fish!C10,activity!A:A,0)),"")</f>
        <v>小水母</v>
      </c>
      <c r="I10" s="27">
        <f>LOOKUP(use_fish!B10,base_fish!A:A,base_fish!F:F)+_xlfn.IFNA(INDEX(activity!F:F,MATCH(use_fish!C10,activity!A:A,0)),0)</f>
        <v>10</v>
      </c>
      <c r="J10" s="29">
        <v>1</v>
      </c>
      <c r="K10" s="29">
        <f>LOOKUP(use_fish!B10,base_fish!A:A,base_fish!G:G)</f>
        <v>0</v>
      </c>
      <c r="L10" s="29">
        <f t="shared" si="0"/>
        <v>10</v>
      </c>
      <c r="M10" s="29">
        <v>1</v>
      </c>
      <c r="N10" s="29">
        <f t="shared" si="1"/>
        <v>0</v>
      </c>
      <c r="O10" s="29">
        <v>1</v>
      </c>
    </row>
    <row r="11" spans="1:15" s="29" customFormat="1" x14ac:dyDescent="0.2">
      <c r="A11" s="26">
        <v>10</v>
      </c>
      <c r="B11" s="26">
        <v>10</v>
      </c>
      <c r="C11" s="26"/>
      <c r="D11" s="26"/>
      <c r="E11" s="27">
        <f>LOOKUP(use_fish!B11,base_fish!A:A,base_fish!C:C)+_xlfn.IFNA(INDEX(activity!F:F,MATCH(use_fish!C11,activity!A:A,0)),0)</f>
        <v>12</v>
      </c>
      <c r="F11" s="27">
        <f t="shared" si="2"/>
        <v>8.3333333333333329E-2</v>
      </c>
      <c r="G11" s="27" t="s">
        <v>17</v>
      </c>
      <c r="H11" s="28" t="str">
        <f>INDEX(base_fish!E:E,MATCH(use_fish!B11,base_fish!A:A,0))&amp;_xlfn.IFNA("+"&amp;INDEX(activity!G:G,MATCH(use_fish!C11,activity!A:A,0)),"")</f>
        <v>小章鱼</v>
      </c>
      <c r="I11" s="27">
        <f>LOOKUP(use_fish!B11,base_fish!A:A,base_fish!F:F)+_xlfn.IFNA(INDEX(activity!F:F,MATCH(use_fish!C11,activity!A:A,0)),0)</f>
        <v>12</v>
      </c>
      <c r="J11" s="29">
        <v>1</v>
      </c>
      <c r="K11" s="29">
        <f>LOOKUP(use_fish!B11,base_fish!A:A,base_fish!G:G)</f>
        <v>0</v>
      </c>
      <c r="L11" s="29">
        <f t="shared" si="0"/>
        <v>12</v>
      </c>
      <c r="M11" s="29">
        <v>1</v>
      </c>
      <c r="N11" s="29">
        <f t="shared" si="1"/>
        <v>0</v>
      </c>
      <c r="O11" s="29">
        <v>1</v>
      </c>
    </row>
    <row r="12" spans="1:15" s="29" customFormat="1" x14ac:dyDescent="0.2">
      <c r="A12" s="26">
        <v>11</v>
      </c>
      <c r="B12" s="26">
        <v>11</v>
      </c>
      <c r="C12" s="26"/>
      <c r="D12" s="26"/>
      <c r="E12" s="27">
        <f>LOOKUP(use_fish!B12,base_fish!A:A,base_fish!C:C)+_xlfn.IFNA(INDEX(activity!F:F,MATCH(use_fish!C12,activity!A:A,0)),0)</f>
        <v>15</v>
      </c>
      <c r="F12" s="27">
        <f t="shared" si="2"/>
        <v>6.6666666666666666E-2</v>
      </c>
      <c r="G12" s="27" t="s">
        <v>17</v>
      </c>
      <c r="H12" s="28" t="str">
        <f>INDEX(base_fish!E:E,MATCH(use_fish!B12,base_fish!A:A,0))&amp;_xlfn.IFNA("+"&amp;INDEX(activity!G:G,MATCH(use_fish!C12,activity!A:A,0)),"")</f>
        <v>小海龟</v>
      </c>
      <c r="I12" s="27">
        <f>LOOKUP(use_fish!B12,base_fish!A:A,base_fish!F:F)+_xlfn.IFNA(INDEX(activity!F:F,MATCH(use_fish!C12,activity!A:A,0)),0)</f>
        <v>15</v>
      </c>
      <c r="J12" s="29">
        <v>1</v>
      </c>
      <c r="K12" s="29">
        <f>LOOKUP(use_fish!B12,base_fish!A:A,base_fish!G:G)</f>
        <v>0</v>
      </c>
      <c r="L12" s="29">
        <f t="shared" si="0"/>
        <v>15</v>
      </c>
      <c r="M12" s="29">
        <v>1</v>
      </c>
      <c r="N12" s="29">
        <v>0</v>
      </c>
      <c r="O12" s="29">
        <v>1</v>
      </c>
    </row>
    <row r="13" spans="1:15" s="41" customFormat="1" x14ac:dyDescent="0.2">
      <c r="A13" s="38">
        <v>12</v>
      </c>
      <c r="B13" s="38">
        <v>12</v>
      </c>
      <c r="C13" s="38"/>
      <c r="D13" s="38"/>
      <c r="E13" s="39">
        <f>LOOKUP(use_fish!B13,base_fish!A:A,base_fish!C:C)+_xlfn.IFNA(INDEX(activity!F:F,MATCH(use_fish!C13,activity!A:A,0)),0)</f>
        <v>18</v>
      </c>
      <c r="F13" s="39">
        <f t="shared" si="2"/>
        <v>5.5555555555555552E-2</v>
      </c>
      <c r="G13" s="39" t="s">
        <v>17</v>
      </c>
      <c r="H13" s="40" t="str">
        <f>INDEX(base_fish!E:E,MATCH(use_fish!B13,base_fish!A:A,0))&amp;_xlfn.IFNA("+"&amp;INDEX(activity!G:G,MATCH(use_fish!C13,activity!A:A,0)),"")</f>
        <v>狮子鱼</v>
      </c>
      <c r="I13" s="39">
        <f>LOOKUP(use_fish!B13,base_fish!A:A,base_fish!F:F)+_xlfn.IFNA(INDEX(activity!F:F,MATCH(use_fish!C13,activity!A:A,0)),0)</f>
        <v>18</v>
      </c>
      <c r="J13" s="41">
        <v>1</v>
      </c>
      <c r="K13" s="41">
        <f>LOOKUP(use_fish!B13,base_fish!A:A,base_fish!G:G)</f>
        <v>0</v>
      </c>
      <c r="L13" s="41">
        <f t="shared" si="0"/>
        <v>18</v>
      </c>
      <c r="M13" s="41">
        <v>1</v>
      </c>
      <c r="N13" s="41">
        <v>0</v>
      </c>
      <c r="O13" s="41">
        <v>1</v>
      </c>
    </row>
    <row r="14" spans="1:15" s="41" customFormat="1" x14ac:dyDescent="0.2">
      <c r="A14" s="38">
        <v>13</v>
      </c>
      <c r="B14" s="38">
        <v>13</v>
      </c>
      <c r="C14" s="38"/>
      <c r="D14" s="38"/>
      <c r="E14" s="39">
        <f>LOOKUP(use_fish!B14,base_fish!A:A,base_fish!C:C)+_xlfn.IFNA(INDEX(activity!F:F,MATCH(use_fish!C14,activity!A:A,0)),0)</f>
        <v>20</v>
      </c>
      <c r="F14" s="39">
        <f t="shared" si="2"/>
        <v>0.05</v>
      </c>
      <c r="G14" s="39" t="s">
        <v>17</v>
      </c>
      <c r="H14" s="40" t="str">
        <f>INDEX(base_fish!E:E,MATCH(use_fish!B14,base_fish!A:A,0))&amp;_xlfn.IFNA("+"&amp;INDEX(activity!G:G,MATCH(use_fish!C14,activity!A:A,0)),"")</f>
        <v>蝴蝶鱼</v>
      </c>
      <c r="I14" s="39">
        <f>LOOKUP(use_fish!B14,base_fish!A:A,base_fish!F:F)+_xlfn.IFNA(INDEX(activity!F:F,MATCH(use_fish!C14,activity!A:A,0)),0)</f>
        <v>20</v>
      </c>
      <c r="J14" s="41">
        <v>1</v>
      </c>
      <c r="K14" s="41">
        <f>LOOKUP(use_fish!B14,base_fish!A:A,base_fish!G:G)</f>
        <v>0</v>
      </c>
      <c r="L14" s="41">
        <f t="shared" si="0"/>
        <v>20</v>
      </c>
      <c r="M14" s="41">
        <v>1</v>
      </c>
      <c r="N14" s="41">
        <v>0</v>
      </c>
      <c r="O14" s="41">
        <v>1</v>
      </c>
    </row>
    <row r="15" spans="1:15" s="41" customFormat="1" x14ac:dyDescent="0.2">
      <c r="A15" s="38">
        <v>14</v>
      </c>
      <c r="B15" s="38">
        <v>14</v>
      </c>
      <c r="C15" s="38"/>
      <c r="D15" s="38"/>
      <c r="E15" s="39">
        <f>LOOKUP(use_fish!B15,base_fish!A:A,base_fish!C:C)+_xlfn.IFNA(INDEX(activity!F:F,MATCH(use_fish!C15,activity!A:A,0)),0)</f>
        <v>25</v>
      </c>
      <c r="F15" s="39">
        <f t="shared" si="2"/>
        <v>0.04</v>
      </c>
      <c r="G15" s="39" t="s">
        <v>17</v>
      </c>
      <c r="H15" s="40" t="str">
        <f>INDEX(base_fish!E:E,MATCH(use_fish!B15,base_fish!A:A,0))&amp;_xlfn.IFNA("+"&amp;INDEX(activity!G:G,MATCH(use_fish!C15,activity!A:A,0)),"")</f>
        <v>巨大小丑鱼</v>
      </c>
      <c r="I15" s="39">
        <f>LOOKUP(use_fish!B15,base_fish!A:A,base_fish!F:F)+_xlfn.IFNA(INDEX(activity!F:F,MATCH(use_fish!C15,activity!A:A,0)),0)</f>
        <v>25</v>
      </c>
      <c r="J15" s="41">
        <v>1</v>
      </c>
      <c r="K15" s="41">
        <f>LOOKUP(use_fish!B15,base_fish!A:A,base_fish!G:G)</f>
        <v>0</v>
      </c>
      <c r="L15" s="41">
        <f t="shared" si="0"/>
        <v>25</v>
      </c>
      <c r="M15" s="41">
        <v>1</v>
      </c>
      <c r="N15" s="41">
        <v>0</v>
      </c>
      <c r="O15" s="41">
        <v>1</v>
      </c>
    </row>
    <row r="16" spans="1:15" s="41" customFormat="1" x14ac:dyDescent="0.2">
      <c r="A16" s="38">
        <v>15</v>
      </c>
      <c r="B16" s="38">
        <v>15</v>
      </c>
      <c r="C16" s="38"/>
      <c r="D16" s="38"/>
      <c r="E16" s="39">
        <f>LOOKUP(use_fish!B16,base_fish!A:A,base_fish!C:C)+_xlfn.IFNA(INDEX(activity!F:F,MATCH(use_fish!C16,activity!A:A,0)),0)</f>
        <v>30</v>
      </c>
      <c r="F16" s="39">
        <f t="shared" si="2"/>
        <v>3.3333333333333333E-2</v>
      </c>
      <c r="G16" s="39" t="s">
        <v>17</v>
      </c>
      <c r="H16" s="40" t="str">
        <f>INDEX(base_fish!E:E,MATCH(use_fish!B16,base_fish!A:A,0))&amp;_xlfn.IFNA("+"&amp;INDEX(activity!G:G,MATCH(use_fish!C16,activity!A:A,0)),"")</f>
        <v>巨大灯笼鱼</v>
      </c>
      <c r="I16" s="39">
        <f>LOOKUP(use_fish!B16,base_fish!A:A,base_fish!F:F)+_xlfn.IFNA(INDEX(activity!F:F,MATCH(use_fish!C16,activity!A:A,0)),0)</f>
        <v>30</v>
      </c>
      <c r="J16" s="41">
        <v>1</v>
      </c>
      <c r="K16" s="41">
        <f>LOOKUP(use_fish!B16,base_fish!A:A,base_fish!G:G)</f>
        <v>0</v>
      </c>
      <c r="L16" s="41">
        <f t="shared" si="0"/>
        <v>30</v>
      </c>
      <c r="M16" s="41">
        <v>1</v>
      </c>
      <c r="N16" s="41">
        <v>0</v>
      </c>
      <c r="O16" s="41">
        <v>1</v>
      </c>
    </row>
    <row r="17" spans="1:15" s="41" customFormat="1" x14ac:dyDescent="0.2">
      <c r="A17" s="38">
        <v>16</v>
      </c>
      <c r="B17" s="38">
        <v>16</v>
      </c>
      <c r="C17" s="38"/>
      <c r="D17" s="38"/>
      <c r="E17" s="39">
        <f>LOOKUP(use_fish!B17,base_fish!A:A,base_fish!C:C)+_xlfn.IFNA(INDEX(activity!F:F,MATCH(use_fish!C17,activity!A:A,0)),0)</f>
        <v>35</v>
      </c>
      <c r="F17" s="39">
        <f t="shared" si="2"/>
        <v>2.8571428571428571E-2</v>
      </c>
      <c r="G17" s="39" t="s">
        <v>17</v>
      </c>
      <c r="H17" s="40" t="str">
        <f>INDEX(base_fish!E:E,MATCH(use_fish!B17,base_fish!A:A,0))&amp;_xlfn.IFNA("+"&amp;INDEX(activity!G:G,MATCH(use_fish!C17,activity!A:A,0)),"")</f>
        <v>巨大燕鱼</v>
      </c>
      <c r="I17" s="39">
        <f>LOOKUP(use_fish!B17,base_fish!A:A,base_fish!F:F)+_xlfn.IFNA(INDEX(activity!F:F,MATCH(use_fish!C17,activity!A:A,0)),0)</f>
        <v>35</v>
      </c>
      <c r="J17" s="41">
        <v>1</v>
      </c>
      <c r="K17" s="41">
        <f>LOOKUP(use_fish!B17,base_fish!A:A,base_fish!G:G)</f>
        <v>0</v>
      </c>
      <c r="L17" s="41">
        <f t="shared" si="0"/>
        <v>35</v>
      </c>
      <c r="M17" s="41">
        <v>1</v>
      </c>
      <c r="N17" s="41">
        <v>0</v>
      </c>
      <c r="O17" s="41">
        <v>1</v>
      </c>
    </row>
    <row r="18" spans="1:15" s="41" customFormat="1" x14ac:dyDescent="0.2">
      <c r="A18" s="38">
        <v>17</v>
      </c>
      <c r="B18" s="38">
        <v>17</v>
      </c>
      <c r="C18" s="38"/>
      <c r="D18" s="38"/>
      <c r="E18" s="39">
        <f>LOOKUP(use_fish!B18,base_fish!A:A,base_fish!C:C)+_xlfn.IFNA(INDEX(activity!F:F,MATCH(use_fish!C18,activity!A:A,0)),0)</f>
        <v>40</v>
      </c>
      <c r="F18" s="39">
        <f t="shared" si="2"/>
        <v>2.5000000000000001E-2</v>
      </c>
      <c r="G18" s="39" t="s">
        <v>17</v>
      </c>
      <c r="H18" s="40" t="str">
        <f>INDEX(base_fish!E:E,MATCH(use_fish!B18,base_fish!A:A,0))&amp;_xlfn.IFNA("+"&amp;INDEX(activity!G:G,MATCH(use_fish!C18,activity!A:A,0)),"")</f>
        <v>魔鬼鱼</v>
      </c>
      <c r="I18" s="39">
        <f>LOOKUP(use_fish!B18,base_fish!A:A,base_fish!F:F)+_xlfn.IFNA(INDEX(activity!F:F,MATCH(use_fish!C18,activity!A:A,0)),0)</f>
        <v>40</v>
      </c>
      <c r="J18" s="41">
        <v>1</v>
      </c>
      <c r="K18" s="41">
        <f>LOOKUP(use_fish!B18,base_fish!A:A,base_fish!G:G)</f>
        <v>0</v>
      </c>
      <c r="L18" s="41">
        <f t="shared" si="0"/>
        <v>40</v>
      </c>
      <c r="M18" s="41">
        <v>1</v>
      </c>
      <c r="N18" s="41">
        <v>0</v>
      </c>
      <c r="O18" s="41">
        <v>1</v>
      </c>
    </row>
    <row r="19" spans="1:15" s="41" customFormat="1" x14ac:dyDescent="0.2">
      <c r="A19" s="38">
        <v>18</v>
      </c>
      <c r="B19" s="38">
        <v>18</v>
      </c>
      <c r="C19" s="38"/>
      <c r="D19" s="38"/>
      <c r="E19" s="39">
        <f>LOOKUP(use_fish!B19,base_fish!A:A,base_fish!C:C)+_xlfn.IFNA(INDEX(activity!F:F,MATCH(use_fish!C19,activity!A:A,0)),0)</f>
        <v>60</v>
      </c>
      <c r="F19" s="39">
        <f t="shared" si="2"/>
        <v>1.6666666666666666E-2</v>
      </c>
      <c r="G19" s="39" t="s">
        <v>17</v>
      </c>
      <c r="H19" s="40" t="str">
        <f>INDEX(base_fish!E:E,MATCH(use_fish!B19,base_fish!A:A,0))&amp;_xlfn.IFNA("+"&amp;INDEX(activity!G:G,MATCH(use_fish!C19,activity!A:A,0)),"")</f>
        <v>虎鲸</v>
      </c>
      <c r="I19" s="39">
        <f>LOOKUP(use_fish!B19,base_fish!A:A,base_fish!F:F)+_xlfn.IFNA(INDEX(activity!F:F,MATCH(use_fish!C19,activity!A:A,0)),0)</f>
        <v>60</v>
      </c>
      <c r="J19" s="41">
        <v>1</v>
      </c>
      <c r="K19" s="41">
        <f>LOOKUP(use_fish!B19,base_fish!A:A,base_fish!G:G)</f>
        <v>0</v>
      </c>
      <c r="L19" s="41">
        <f t="shared" si="0"/>
        <v>60</v>
      </c>
      <c r="M19" s="41">
        <v>1</v>
      </c>
      <c r="N19" s="41">
        <v>0</v>
      </c>
      <c r="O19" s="41">
        <v>1</v>
      </c>
    </row>
    <row r="20" spans="1:15" s="41" customFormat="1" x14ac:dyDescent="0.2">
      <c r="A20" s="38">
        <v>19</v>
      </c>
      <c r="B20" s="38">
        <v>19</v>
      </c>
      <c r="C20" s="38">
        <v>6</v>
      </c>
      <c r="D20" s="38"/>
      <c r="E20" s="39">
        <f>LOOKUP(use_fish!B20,base_fish!A:A,base_fish!C:C)+_xlfn.IFNA(INDEX(activity!F:F,MATCH(use_fish!C20,activity!A:A,0)),0)</f>
        <v>30</v>
      </c>
      <c r="F20" s="39">
        <f t="shared" ref="F20:F28" si="3">1/E20</f>
        <v>3.3333333333333333E-2</v>
      </c>
      <c r="G20" s="39" t="s">
        <v>17</v>
      </c>
      <c r="H20" s="40" t="str">
        <f>INDEX(base_fish!E:E,MATCH(use_fish!B20,base_fish!A:A,0))&amp;_xlfn.IFNA("+"&amp;INDEX(activity!G:G,MATCH(use_fish!C20,activity!A:A,0)),"")</f>
        <v>炸弹鱼+炸弹</v>
      </c>
      <c r="I20" s="39">
        <f>LOOKUP(use_fish!B20,base_fish!A:A,base_fish!F:F)+_xlfn.IFNA(INDEX(activity!F:F,MATCH(use_fish!C20,activity!A:A,0)),0)</f>
        <v>30</v>
      </c>
      <c r="J20" s="41">
        <v>1</v>
      </c>
      <c r="K20" s="41">
        <f>LOOKUP(use_fish!B20,base_fish!A:A,base_fish!G:G)</f>
        <v>0</v>
      </c>
      <c r="L20" s="41">
        <f t="shared" ref="L20:L28" si="4">I20</f>
        <v>30</v>
      </c>
      <c r="M20" s="41">
        <v>1</v>
      </c>
      <c r="N20" s="41">
        <v>0</v>
      </c>
      <c r="O20" s="41">
        <v>2</v>
      </c>
    </row>
    <row r="21" spans="1:15" s="21" customFormat="1" x14ac:dyDescent="0.2">
      <c r="A21" s="18">
        <v>20</v>
      </c>
      <c r="B21" s="18">
        <v>20</v>
      </c>
      <c r="C21" s="18"/>
      <c r="D21" s="18" t="s">
        <v>343</v>
      </c>
      <c r="E21" s="19">
        <v>63</v>
      </c>
      <c r="F21" s="19">
        <f t="shared" si="3"/>
        <v>1.5873015873015872E-2</v>
      </c>
      <c r="G21" s="19" t="s">
        <v>17</v>
      </c>
      <c r="H21" s="20" t="str">
        <f>INDEX(base_fish!E:E,MATCH(use_fish!B21,base_fish!A:A,0))&amp;_xlfn.IFNA("+"&amp;INDEX(activity!G:G,MATCH(use_fish!C21,activity!A:A,0)),"")</f>
        <v>黄金灯笼鱼</v>
      </c>
      <c r="I21" s="19">
        <f>LOOKUP(use_fish!B21,base_fish!A:A,base_fish!F:F)+_xlfn.IFNA(INDEX(activity!F:F,MATCH(use_fish!C21,activity!A:A,0)),0)</f>
        <v>60</v>
      </c>
      <c r="J21" s="21">
        <v>1</v>
      </c>
      <c r="K21" s="21">
        <f>LOOKUP(use_fish!B21,base_fish!A:A,base_fish!G:G)</f>
        <v>0</v>
      </c>
      <c r="L21" s="21">
        <f t="shared" si="4"/>
        <v>60</v>
      </c>
      <c r="M21" s="21">
        <v>1</v>
      </c>
      <c r="N21" s="21">
        <v>0</v>
      </c>
      <c r="O21" s="21">
        <v>2</v>
      </c>
    </row>
    <row r="22" spans="1:15" s="21" customFormat="1" x14ac:dyDescent="0.2">
      <c r="A22" s="18">
        <v>21</v>
      </c>
      <c r="B22" s="18">
        <v>21</v>
      </c>
      <c r="C22" s="18">
        <v>8</v>
      </c>
      <c r="D22" s="18"/>
      <c r="E22" s="19">
        <v>84</v>
      </c>
      <c r="F22" s="19">
        <f t="shared" si="3"/>
        <v>1.1904761904761904E-2</v>
      </c>
      <c r="G22" s="19" t="s">
        <v>17</v>
      </c>
      <c r="H22" s="20" t="str">
        <f>INDEX(base_fish!E:E,MATCH(use_fish!B22,base_fish!A:A,0))&amp;_xlfn.IFNA("+"&amp;INDEX(activity!G:G,MATCH(use_fish!C22,activity!A:A,0)),"")</f>
        <v>黄金炸弹鱼+炸弹</v>
      </c>
      <c r="I22" s="19">
        <f>LOOKUP(use_fish!B22,base_fish!A:A,base_fish!F:F)+_xlfn.IFNA(INDEX(activity!F:F,MATCH(use_fish!C22,activity!A:A,0)),0)</f>
        <v>80</v>
      </c>
      <c r="J22" s="21">
        <v>1</v>
      </c>
      <c r="K22" s="21">
        <f>LOOKUP(use_fish!B22,base_fish!A:A,base_fish!G:G)</f>
        <v>0</v>
      </c>
      <c r="L22" s="21">
        <f t="shared" si="4"/>
        <v>80</v>
      </c>
      <c r="M22" s="21">
        <v>1</v>
      </c>
      <c r="N22" s="21">
        <v>0</v>
      </c>
      <c r="O22" s="21">
        <v>2</v>
      </c>
    </row>
    <row r="23" spans="1:15" s="21" customFormat="1" x14ac:dyDescent="0.2">
      <c r="A23" s="18">
        <v>22</v>
      </c>
      <c r="B23" s="18">
        <v>22</v>
      </c>
      <c r="C23" s="18"/>
      <c r="D23" s="18" t="s">
        <v>344</v>
      </c>
      <c r="E23" s="19">
        <v>63</v>
      </c>
      <c r="F23" s="19">
        <f t="shared" si="3"/>
        <v>1.5873015873015872E-2</v>
      </c>
      <c r="G23" s="19" t="s">
        <v>17</v>
      </c>
      <c r="H23" s="20" t="str">
        <f>INDEX(base_fish!E:E,MATCH(use_fish!B23,base_fish!A:A,0))&amp;_xlfn.IFNA("+"&amp;INDEX(activity!G:G,MATCH(use_fish!C23,activity!A:A,0)),"")</f>
        <v>黄金狮子鱼</v>
      </c>
      <c r="I23" s="19">
        <f>LOOKUP(use_fish!B23,base_fish!A:A,base_fish!F:F)+_xlfn.IFNA(INDEX(activity!F:F,MATCH(use_fish!C23,activity!A:A,0)),0)</f>
        <v>60</v>
      </c>
      <c r="J23" s="21">
        <v>1</v>
      </c>
      <c r="K23" s="21">
        <f>LOOKUP(use_fish!B23,base_fish!A:A,base_fish!G:G)</f>
        <v>0</v>
      </c>
      <c r="L23" s="21">
        <f t="shared" si="4"/>
        <v>60</v>
      </c>
      <c r="M23" s="21">
        <v>1</v>
      </c>
      <c r="N23" s="21">
        <v>0</v>
      </c>
      <c r="O23" s="21">
        <v>2</v>
      </c>
    </row>
    <row r="24" spans="1:15" s="21" customFormat="1" x14ac:dyDescent="0.2">
      <c r="A24" s="18">
        <v>23</v>
      </c>
      <c r="B24" s="18">
        <v>23</v>
      </c>
      <c r="C24" s="18"/>
      <c r="D24" s="18" t="s">
        <v>345</v>
      </c>
      <c r="E24" s="19">
        <v>105</v>
      </c>
      <c r="F24" s="19">
        <f t="shared" si="3"/>
        <v>9.5238095238095247E-3</v>
      </c>
      <c r="G24" s="19" t="s">
        <v>17</v>
      </c>
      <c r="H24" s="20" t="str">
        <f>INDEX(base_fish!E:E,MATCH(use_fish!B24,base_fish!A:A,0))&amp;_xlfn.IFNA("+"&amp;INDEX(activity!G:G,MATCH(use_fish!C24,activity!A:A,0)),"")</f>
        <v>黄金海龟</v>
      </c>
      <c r="I24" s="19">
        <f>LOOKUP(use_fish!B24,base_fish!A:A,base_fish!F:F)+_xlfn.IFNA(INDEX(activity!F:F,MATCH(use_fish!C24,activity!A:A,0)),0)</f>
        <v>60</v>
      </c>
      <c r="J24" s="21">
        <v>1</v>
      </c>
      <c r="K24" s="21">
        <f>LOOKUP(use_fish!B24,base_fish!A:A,base_fish!G:G)</f>
        <v>0</v>
      </c>
      <c r="L24" s="21">
        <f t="shared" si="4"/>
        <v>60</v>
      </c>
      <c r="M24" s="21">
        <v>1</v>
      </c>
      <c r="N24" s="21">
        <v>0</v>
      </c>
      <c r="O24" s="21">
        <v>2</v>
      </c>
    </row>
    <row r="25" spans="1:15" s="21" customFormat="1" x14ac:dyDescent="0.2">
      <c r="A25" s="18">
        <v>24</v>
      </c>
      <c r="B25" s="18">
        <v>24</v>
      </c>
      <c r="C25" s="18"/>
      <c r="D25" s="18"/>
      <c r="E25" s="19" t="s">
        <v>355</v>
      </c>
      <c r="F25" s="19" t="s">
        <v>356</v>
      </c>
      <c r="G25" s="19" t="s">
        <v>17</v>
      </c>
      <c r="H25" s="20" t="str">
        <f>INDEX(base_fish!E:E,MATCH(use_fish!B25,base_fish!A:A,0))&amp;_xlfn.IFNA("+"&amp;INDEX(activity!G:G,MATCH(use_fish!C25,activity!A:A,0)),"")</f>
        <v>黄金河豚</v>
      </c>
      <c r="I25" s="19" t="s">
        <v>244</v>
      </c>
      <c r="J25" s="21">
        <v>1</v>
      </c>
      <c r="K25" s="21">
        <f>LOOKUP(use_fish!B25,base_fish!A:A,base_fish!G:G)</f>
        <v>0</v>
      </c>
      <c r="L25" s="21" t="str">
        <f>I25</f>
        <v>50,50,50,50,100,</v>
      </c>
      <c r="M25" s="21">
        <v>1</v>
      </c>
      <c r="N25" s="21">
        <v>0</v>
      </c>
      <c r="O25" s="21">
        <v>2</v>
      </c>
    </row>
    <row r="26" spans="1:15" s="21" customFormat="1" x14ac:dyDescent="0.2">
      <c r="A26" s="18">
        <v>25</v>
      </c>
      <c r="B26" s="18">
        <v>25</v>
      </c>
      <c r="C26" s="18"/>
      <c r="D26" s="18" t="s">
        <v>343</v>
      </c>
      <c r="E26" s="19">
        <v>84</v>
      </c>
      <c r="F26" s="19">
        <f t="shared" si="3"/>
        <v>1.1904761904761904E-2</v>
      </c>
      <c r="G26" s="19" t="s">
        <v>17</v>
      </c>
      <c r="H26" s="20" t="str">
        <f>INDEX(base_fish!E:E,MATCH(use_fish!B26,base_fish!A:A,0))&amp;_xlfn.IFNA("+"&amp;INDEX(activity!G:G,MATCH(use_fish!C26,activity!A:A,0)),"")</f>
        <v>金蟾</v>
      </c>
      <c r="I26" s="19">
        <f>LOOKUP(use_fish!B26,base_fish!A:A,base_fish!F:F)+_xlfn.IFNA(INDEX(activity!F:F,MATCH(use_fish!C26,activity!A:A,0)),0)</f>
        <v>80</v>
      </c>
      <c r="J26" s="21">
        <v>1</v>
      </c>
      <c r="K26" s="21">
        <f>LOOKUP(use_fish!B26,base_fish!A:A,base_fish!G:G)</f>
        <v>0</v>
      </c>
      <c r="L26" s="21">
        <f t="shared" ref="L26" si="5">I26</f>
        <v>80</v>
      </c>
      <c r="M26" s="21">
        <v>1</v>
      </c>
      <c r="N26" s="21">
        <v>0</v>
      </c>
      <c r="O26" s="21">
        <v>2</v>
      </c>
    </row>
    <row r="27" spans="1:15" s="21" customFormat="1" x14ac:dyDescent="0.2">
      <c r="A27" s="18">
        <v>26</v>
      </c>
      <c r="B27" s="18">
        <v>26</v>
      </c>
      <c r="C27" s="18"/>
      <c r="D27" s="18" t="s">
        <v>343</v>
      </c>
      <c r="E27" s="19">
        <v>105</v>
      </c>
      <c r="F27" s="19">
        <f t="shared" si="3"/>
        <v>9.5238095238095247E-3</v>
      </c>
      <c r="G27" s="19" t="s">
        <v>17</v>
      </c>
      <c r="H27" s="20" t="str">
        <f>INDEX(base_fish!E:E,MATCH(use_fish!B27,base_fish!A:A,0))&amp;_xlfn.IFNA("+"&amp;INDEX(activity!G:G,MATCH(use_fish!C27,activity!A:A,0)),"")</f>
        <v>大金鲨</v>
      </c>
      <c r="I27" s="19">
        <f>LOOKUP(use_fish!B27,base_fish!A:A,base_fish!F:F)+_xlfn.IFNA(INDEX(activity!F:F,MATCH(use_fish!C27,activity!A:A,0)),0)</f>
        <v>100</v>
      </c>
      <c r="J27" s="21">
        <v>1</v>
      </c>
      <c r="K27" s="21">
        <f>LOOKUP(use_fish!B27,base_fish!A:A,base_fish!G:G)</f>
        <v>0</v>
      </c>
      <c r="L27" s="21">
        <f t="shared" si="4"/>
        <v>100</v>
      </c>
      <c r="M27" s="21">
        <v>1</v>
      </c>
      <c r="N27" s="21">
        <v>0</v>
      </c>
      <c r="O27" s="21">
        <v>2</v>
      </c>
    </row>
    <row r="28" spans="1:15" s="21" customFormat="1" x14ac:dyDescent="0.2">
      <c r="A28" s="18">
        <v>27</v>
      </c>
      <c r="B28" s="18">
        <v>27</v>
      </c>
      <c r="C28" s="18"/>
      <c r="D28" s="18" t="s">
        <v>346</v>
      </c>
      <c r="E28" s="19">
        <v>105</v>
      </c>
      <c r="F28" s="19">
        <f t="shared" si="3"/>
        <v>9.5238095238095247E-3</v>
      </c>
      <c r="G28" s="19" t="s">
        <v>17</v>
      </c>
      <c r="H28" s="20" t="str">
        <f>INDEX(base_fish!E:E,MATCH(use_fish!B28,base_fish!A:A,0))&amp;_xlfn.IFNA("+"&amp;INDEX(activity!G:G,MATCH(use_fish!C28,activity!A:A,0)),"")</f>
        <v>黄金锤头鲨</v>
      </c>
      <c r="I28" s="19">
        <f>LOOKUP(use_fish!B28,base_fish!A:A,base_fish!F:F)+_xlfn.IFNA(INDEX(activity!F:F,MATCH(use_fish!C28,activity!A:A,0)),0)</f>
        <v>100</v>
      </c>
      <c r="J28" s="21">
        <v>1</v>
      </c>
      <c r="K28" s="21">
        <f>LOOKUP(use_fish!B28,base_fish!A:A,base_fish!G:G)</f>
        <v>0</v>
      </c>
      <c r="L28" s="21">
        <f t="shared" si="4"/>
        <v>100</v>
      </c>
      <c r="M28" s="21">
        <v>1</v>
      </c>
      <c r="N28" s="21">
        <v>0</v>
      </c>
      <c r="O28" s="21">
        <v>2</v>
      </c>
    </row>
    <row r="29" spans="1:15" s="25" customFormat="1" x14ac:dyDescent="0.2">
      <c r="A29" s="22">
        <v>28</v>
      </c>
      <c r="B29" s="22">
        <v>28</v>
      </c>
      <c r="C29" s="22">
        <v>10</v>
      </c>
      <c r="D29" s="22"/>
      <c r="E29" s="23">
        <f>LOOKUP(use_fish!B29,base_fish!A:A,base_fish!C:C)+_xlfn.IFNA(INDEX(activity!F:F,MATCH(use_fish!C29,activity!A:A,0)),0)</f>
        <v>100</v>
      </c>
      <c r="F29" s="23">
        <f t="shared" ref="F29:F32" si="6">1/E29</f>
        <v>0.01</v>
      </c>
      <c r="G29" s="23" t="s">
        <v>17</v>
      </c>
      <c r="H29" s="24" t="str">
        <f>INDEX(base_fish!E:E,MATCH(use_fish!B29,base_fish!A:A,0))&amp;_xlfn.IFNA("+"&amp;INDEX(activity!G:G,MATCH(use_fish!C29,activity!A:A,0)),"")</f>
        <v>闪电海鳗+闪电</v>
      </c>
      <c r="I29" s="23">
        <f>LOOKUP(use_fish!B29,base_fish!A:A,base_fish!F:F)+_xlfn.IFNA(INDEX(activity!F:F,MATCH(use_fish!C29,activity!A:A,0)),0)</f>
        <v>100</v>
      </c>
      <c r="J29" s="25">
        <v>1</v>
      </c>
      <c r="K29" s="25">
        <f>LOOKUP(use_fish!B29,base_fish!A:A,base_fish!G:G)</f>
        <v>0</v>
      </c>
      <c r="L29" s="25">
        <f t="shared" ref="L29:L32" si="7">I29</f>
        <v>100</v>
      </c>
      <c r="M29" s="25">
        <v>1</v>
      </c>
      <c r="N29" s="25">
        <v>1</v>
      </c>
      <c r="O29" s="25">
        <v>2</v>
      </c>
    </row>
    <row r="30" spans="1:15" s="25" customFormat="1" x14ac:dyDescent="0.2">
      <c r="A30" s="22">
        <v>29</v>
      </c>
      <c r="B30" s="22">
        <v>29</v>
      </c>
      <c r="C30" s="22">
        <v>19</v>
      </c>
      <c r="D30" s="22"/>
      <c r="E30" s="23">
        <f>LOOKUP(use_fish!B30,base_fish!A:A,base_fish!C:C)+_xlfn.IFNA(INDEX(activity!F:F,MATCH(use_fish!C30,activity!A:A,0)),0)</f>
        <v>300</v>
      </c>
      <c r="F30" s="23">
        <f t="shared" si="6"/>
        <v>3.3333333333333335E-3</v>
      </c>
      <c r="G30" s="23" t="s">
        <v>17</v>
      </c>
      <c r="H30" s="24" t="str">
        <f>INDEX(base_fish!E:E,MATCH(use_fish!B30,base_fish!A:A,0))&amp;_xlfn.IFNA("+"&amp;INDEX(activity!G:G,MATCH(use_fish!C30,activity!A:A,0)),"")</f>
        <v>穿云蟹+钻头弹</v>
      </c>
      <c r="I30" s="23">
        <f>LOOKUP(use_fish!B30,base_fish!A:A,base_fish!F:F)+_xlfn.IFNA(INDEX(activity!F:F,MATCH(use_fish!C30,activity!A:A,0)),0)</f>
        <v>300</v>
      </c>
      <c r="J30" s="25">
        <v>1</v>
      </c>
      <c r="K30" s="25">
        <f>LOOKUP(use_fish!B30,base_fish!A:A,base_fish!G:G)</f>
        <v>0</v>
      </c>
      <c r="L30" s="25">
        <f t="shared" si="7"/>
        <v>300</v>
      </c>
      <c r="M30" s="25">
        <v>1</v>
      </c>
      <c r="N30" s="25">
        <v>1</v>
      </c>
      <c r="O30" s="25">
        <v>2</v>
      </c>
    </row>
    <row r="31" spans="1:15" s="25" customFormat="1" x14ac:dyDescent="0.2">
      <c r="A31" s="22">
        <v>30</v>
      </c>
      <c r="B31" s="22">
        <v>30</v>
      </c>
      <c r="C31" s="22">
        <v>31</v>
      </c>
      <c r="D31" s="22"/>
      <c r="E31" s="23">
        <f>LOOKUP(use_fish!B31,base_fish!A:A,base_fish!C:C)+_xlfn.IFNA(INDEX(activity!F:F,MATCH(use_fish!C31,activity!A:A,0)),0)</f>
        <v>200</v>
      </c>
      <c r="F31" s="23">
        <f t="shared" si="6"/>
        <v>5.0000000000000001E-3</v>
      </c>
      <c r="G31" s="23" t="s">
        <v>17</v>
      </c>
      <c r="H31" s="24" t="str">
        <f>INDEX(base_fish!E:E,MATCH(use_fish!B31,base_fish!A:A,0))&amp;_xlfn.IFNA("+"&amp;INDEX(activity!G:G,MATCH(use_fish!C31,activity!A:A,0)),"")</f>
        <v>电磁蟹+电磁弹</v>
      </c>
      <c r="I31" s="23">
        <f>LOOKUP(use_fish!B31,base_fish!A:A,base_fish!F:F)+_xlfn.IFNA(INDEX(activity!F:F,MATCH(use_fish!C31,activity!A:A,0)),0)</f>
        <v>200</v>
      </c>
      <c r="J31" s="25">
        <v>1</v>
      </c>
      <c r="K31" s="25">
        <f>LOOKUP(use_fish!B31,base_fish!A:A,base_fish!G:G)</f>
        <v>0</v>
      </c>
      <c r="L31" s="25">
        <f t="shared" si="7"/>
        <v>200</v>
      </c>
      <c r="M31" s="25">
        <v>1</v>
      </c>
      <c r="N31" s="25">
        <v>1</v>
      </c>
      <c r="O31" s="25">
        <v>1</v>
      </c>
    </row>
    <row r="32" spans="1:15" s="25" customFormat="1" x14ac:dyDescent="0.2">
      <c r="A32" s="22">
        <v>31</v>
      </c>
      <c r="B32" s="22">
        <v>31</v>
      </c>
      <c r="C32" s="22">
        <v>39</v>
      </c>
      <c r="D32" s="22"/>
      <c r="E32" s="23">
        <f>LOOKUP(use_fish!B32,base_fish!A:A,base_fish!C:C)+_xlfn.IFNA(INDEX(activity!F:F,MATCH(use_fish!C32,activity!A:A,0)),0)</f>
        <v>250</v>
      </c>
      <c r="F32" s="23">
        <f t="shared" si="6"/>
        <v>4.0000000000000001E-3</v>
      </c>
      <c r="G32" s="23" t="s">
        <v>17</v>
      </c>
      <c r="H32" s="24" t="str">
        <f>INDEX(base_fish!E:E,MATCH(use_fish!B32,base_fish!A:A,0))&amp;_xlfn.IFNA("+"&amp;INDEX(activity!G:G,MATCH(use_fish!C32,activity!A:A,0)),"")</f>
        <v>奇遇蟹+强击弹（双倍）</v>
      </c>
      <c r="I32" s="23">
        <f>LOOKUP(use_fish!B32,base_fish!A:A,base_fish!F:F)+_xlfn.IFNA(INDEX(activity!F:F,MATCH(use_fish!C32,activity!A:A,0)),0)</f>
        <v>250</v>
      </c>
      <c r="J32" s="25">
        <v>1</v>
      </c>
      <c r="K32" s="25">
        <f>LOOKUP(use_fish!B32,base_fish!A:A,base_fish!G:G)</f>
        <v>0</v>
      </c>
      <c r="L32" s="25">
        <f t="shared" si="7"/>
        <v>250</v>
      </c>
      <c r="M32" s="25">
        <v>1</v>
      </c>
      <c r="N32" s="25">
        <v>1</v>
      </c>
      <c r="O32" s="25">
        <v>1</v>
      </c>
    </row>
    <row r="33" spans="1:15" s="25" customFormat="1" x14ac:dyDescent="0.2">
      <c r="A33" s="22">
        <v>32</v>
      </c>
      <c r="B33" s="22">
        <v>32</v>
      </c>
      <c r="C33" s="22">
        <v>32</v>
      </c>
      <c r="D33" s="22"/>
      <c r="E33" s="23">
        <f>LOOKUP(use_fish!B33,base_fish!A:A,base_fish!C:C)+_xlfn.IFNA(INDEX(activity!F:F,MATCH(use_fish!C33,activity!A:A,0)),0)</f>
        <v>200</v>
      </c>
      <c r="F33" s="23">
        <f t="shared" ref="F33:F39" si="8">1/E33</f>
        <v>5.0000000000000001E-3</v>
      </c>
      <c r="G33" s="23" t="s">
        <v>17</v>
      </c>
      <c r="H33" s="24" t="str">
        <f>INDEX(base_fish!E:E,MATCH(use_fish!B33,base_fish!A:A,0))&amp;_xlfn.IFNA("+"&amp;INDEX(activity!G:G,MATCH(use_fish!C33,activity!A:A,0)),"")</f>
        <v>宝藏章鱼+金币转盘</v>
      </c>
      <c r="I33" s="23">
        <f>LOOKUP(use_fish!B33,base_fish!A:A,base_fish!F:F)+_xlfn.IFNA(INDEX(activity!F:F,MATCH(use_fish!C33,activity!A:A,0)),0)</f>
        <v>200</v>
      </c>
      <c r="J33" s="25">
        <v>1</v>
      </c>
      <c r="K33" s="25">
        <f>LOOKUP(use_fish!B33,base_fish!A:A,base_fish!G:G)</f>
        <v>0</v>
      </c>
      <c r="L33" s="25">
        <f t="shared" ref="L33:L39" si="9">I33</f>
        <v>200</v>
      </c>
      <c r="M33" s="25">
        <v>1</v>
      </c>
      <c r="N33" s="25">
        <v>1</v>
      </c>
      <c r="O33" s="25">
        <v>1</v>
      </c>
    </row>
    <row r="34" spans="1:15" s="25" customFormat="1" x14ac:dyDescent="0.2">
      <c r="A34" s="22">
        <v>33</v>
      </c>
      <c r="B34" s="22">
        <v>33</v>
      </c>
      <c r="C34" s="22">
        <v>33</v>
      </c>
      <c r="D34" s="22"/>
      <c r="E34" s="23">
        <f>LOOKUP(use_fish!B34,base_fish!A:A,base_fish!C:C)+_xlfn.IFNA(INDEX(activity!F:F,MATCH(use_fish!C34,activity!A:A,0)),0)</f>
        <v>300</v>
      </c>
      <c r="F34" s="23">
        <f t="shared" si="8"/>
        <v>3.3333333333333335E-3</v>
      </c>
      <c r="G34" s="23" t="s">
        <v>17</v>
      </c>
      <c r="H34" s="24" t="str">
        <f>INDEX(base_fish!E:E,MATCH(use_fish!B34,base_fish!A:A,0))&amp;_xlfn.IFNA("+"&amp;INDEX(activity!G:G,MATCH(use_fish!C34,activity!A:A,0)),"")</f>
        <v>美人鱼+疯狂6选一</v>
      </c>
      <c r="I34" s="23">
        <f>LOOKUP(use_fish!B34,base_fish!A:A,base_fish!F:F)+_xlfn.IFNA(INDEX(activity!F:F,MATCH(use_fish!C34,activity!A:A,0)),0)</f>
        <v>300</v>
      </c>
      <c r="J34" s="25">
        <v>1</v>
      </c>
      <c r="K34" s="25">
        <f>LOOKUP(use_fish!B34,base_fish!A:A,base_fish!G:G)</f>
        <v>0</v>
      </c>
      <c r="L34" s="25">
        <f t="shared" si="9"/>
        <v>300</v>
      </c>
      <c r="M34" s="25">
        <v>1</v>
      </c>
      <c r="N34" s="25">
        <v>1</v>
      </c>
      <c r="O34" s="25">
        <v>1</v>
      </c>
    </row>
    <row r="35" spans="1:15" s="25" customFormat="1" x14ac:dyDescent="0.2">
      <c r="A35" s="22">
        <v>34</v>
      </c>
      <c r="B35" s="22">
        <v>34</v>
      </c>
      <c r="C35" s="22">
        <v>37</v>
      </c>
      <c r="D35" s="22"/>
      <c r="E35" s="23">
        <f>LOOKUP(use_fish!B35,base_fish!A:A,base_fish!C:C)+_xlfn.IFNA(INDEX(activity!F:F,MATCH(use_fish!C35,activity!A:A,0)),0)</f>
        <v>200</v>
      </c>
      <c r="F35" s="23">
        <f t="shared" si="8"/>
        <v>5.0000000000000001E-3</v>
      </c>
      <c r="G35" s="23" t="s">
        <v>17</v>
      </c>
      <c r="H35" s="24" t="str">
        <f>INDEX(base_fish!E:E,MATCH(use_fish!B35,base_fish!A:A,0))&amp;_xlfn.IFNA("+"&amp;INDEX(activity!G:G,MATCH(use_fish!C35,activity!A:A,0)),"")</f>
        <v>骰子龟+骰子龟</v>
      </c>
      <c r="I35" s="23">
        <v>20</v>
      </c>
      <c r="J35" s="25">
        <v>1</v>
      </c>
      <c r="K35" s="25">
        <f>LOOKUP(use_fish!B35,base_fish!A:A,base_fish!G:G)</f>
        <v>0</v>
      </c>
      <c r="L35" s="25">
        <f t="shared" si="9"/>
        <v>20</v>
      </c>
      <c r="M35" s="25">
        <v>1</v>
      </c>
      <c r="N35" s="25">
        <v>1</v>
      </c>
      <c r="O35" s="25">
        <v>1</v>
      </c>
    </row>
    <row r="36" spans="1:15" s="25" customFormat="1" x14ac:dyDescent="0.2">
      <c r="A36" s="22">
        <v>35</v>
      </c>
      <c r="B36" s="22">
        <v>35</v>
      </c>
      <c r="C36" s="22">
        <v>30</v>
      </c>
      <c r="D36" s="22"/>
      <c r="E36" s="23">
        <f>LOOKUP(use_fish!B36,base_fish!A:A,base_fish!C:C)+_xlfn.IFNA(INDEX(activity!F:F,MATCH(use_fish!C36,activity!A:A,0)),0)</f>
        <v>300</v>
      </c>
      <c r="F36" s="23">
        <f t="shared" si="8"/>
        <v>3.3333333333333335E-3</v>
      </c>
      <c r="G36" s="23" t="s">
        <v>17</v>
      </c>
      <c r="H36" s="24" t="str">
        <f>INDEX(base_fish!E:E,MATCH(use_fish!B36,base_fish!A:A,0))&amp;_xlfn.IFNA("+"&amp;INDEX(activity!G:G,MATCH(use_fish!C36,activity!A:A,0)),"")</f>
        <v>金龙转盘+连环转盘</v>
      </c>
      <c r="I36" s="23">
        <f>LOOKUP(use_fish!B36,base_fish!A:A,base_fish!F:F)+_xlfn.IFNA(INDEX(activity!F:F,MATCH(use_fish!C36,activity!A:A,0)),0)</f>
        <v>300</v>
      </c>
      <c r="J36" s="25">
        <v>1</v>
      </c>
      <c r="K36" s="25">
        <f>LOOKUP(use_fish!B36,base_fish!A:A,base_fish!G:G)</f>
        <v>0</v>
      </c>
      <c r="L36" s="25">
        <f t="shared" si="9"/>
        <v>300</v>
      </c>
      <c r="M36" s="25">
        <v>1</v>
      </c>
      <c r="N36" s="25">
        <v>1</v>
      </c>
      <c r="O36" s="25">
        <v>1</v>
      </c>
    </row>
    <row r="37" spans="1:15" s="25" customFormat="1" x14ac:dyDescent="0.2">
      <c r="A37" s="22">
        <v>36</v>
      </c>
      <c r="B37" s="22">
        <v>36</v>
      </c>
      <c r="C37" s="22">
        <v>36</v>
      </c>
      <c r="D37" s="22"/>
      <c r="E37" s="23">
        <f>LOOKUP(use_fish!B37,base_fish!A:A,base_fish!C:C)+_xlfn.IFNA(INDEX(activity!F:F,MATCH(use_fish!C37,activity!A:A,0)),0)</f>
        <v>300</v>
      </c>
      <c r="F37" s="23">
        <f t="shared" si="8"/>
        <v>3.3333333333333335E-3</v>
      </c>
      <c r="G37" s="23" t="s">
        <v>17</v>
      </c>
      <c r="H37" s="24" t="str">
        <f>INDEX(base_fish!E:E,MATCH(use_fish!B37,base_fish!A:A,0))&amp;_xlfn.IFNA("+"&amp;INDEX(activity!G:G,MATCH(use_fish!C37,activity!A:A,0)),"")</f>
        <v>炽火龙王+炽火龙王</v>
      </c>
      <c r="I37" s="23">
        <f>LOOKUP(use_fish!B37,base_fish!A:A,base_fish!F:F)+_xlfn.IFNA(INDEX(activity!F:F,MATCH(use_fish!C37,activity!A:A,0)),0)</f>
        <v>300</v>
      </c>
      <c r="J37" s="25">
        <v>1</v>
      </c>
      <c r="K37" s="25">
        <f>LOOKUP(use_fish!B37,base_fish!A:A,base_fish!G:G)</f>
        <v>0</v>
      </c>
      <c r="L37" s="25">
        <f t="shared" si="9"/>
        <v>300</v>
      </c>
      <c r="M37" s="25">
        <v>1</v>
      </c>
      <c r="N37" s="25">
        <v>1</v>
      </c>
      <c r="O37" s="25">
        <v>1</v>
      </c>
    </row>
    <row r="38" spans="1:15" s="25" customFormat="1" x14ac:dyDescent="0.2">
      <c r="A38" s="22">
        <v>37</v>
      </c>
      <c r="B38" s="22">
        <v>37</v>
      </c>
      <c r="C38" s="22"/>
      <c r="D38" s="47"/>
      <c r="E38" s="23">
        <f>LOOKUP(use_fish!B38,base_fish!A:A,base_fish!C:C)+_xlfn.IFNA(INDEX(activity!F:F,MATCH(use_fish!C38,activity!A:A,0)),0)</f>
        <v>0</v>
      </c>
      <c r="F38" s="23">
        <v>0</v>
      </c>
      <c r="G38" s="23" t="s">
        <v>17</v>
      </c>
      <c r="H38" s="24" t="str">
        <f>INDEX(base_fish!E:E,MATCH(use_fish!B38,base_fish!A:A,0))&amp;_xlfn.IFNA("+"&amp;INDEX(activity!G:G,MATCH(use_fish!C38,activity!A:A,0)),"")</f>
        <v>财神</v>
      </c>
      <c r="I38" s="23">
        <f>LOOKUP(use_fish!B38,base_fish!A:A,base_fish!F:F)+_xlfn.IFNA(INDEX(activity!F:F,MATCH(use_fish!C38,activity!A:A,0)),0)</f>
        <v>0</v>
      </c>
      <c r="J38" s="25">
        <v>1</v>
      </c>
      <c r="K38" s="25">
        <f>LOOKUP(use_fish!B38,base_fish!A:A,base_fish!G:G)</f>
        <v>0</v>
      </c>
      <c r="L38" s="25">
        <f t="shared" si="9"/>
        <v>0</v>
      </c>
      <c r="M38" s="25">
        <v>1</v>
      </c>
      <c r="N38" s="25">
        <v>1</v>
      </c>
      <c r="O38" s="25">
        <v>1</v>
      </c>
    </row>
    <row r="39" spans="1:15" s="31" customFormat="1" x14ac:dyDescent="0.2">
      <c r="A39" s="30">
        <v>38</v>
      </c>
      <c r="B39" s="30">
        <v>38</v>
      </c>
      <c r="C39" s="30">
        <v>26</v>
      </c>
      <c r="D39" s="30" t="s">
        <v>329</v>
      </c>
      <c r="E39" s="32">
        <f>LOOKUP(use_fish!B39,base_fish!A:A,base_fish!C:C)+_xlfn.IFNA(INDEX(activity!F:F,MATCH(use_fish!C39,activity!A:A,0)),0)</f>
        <v>102</v>
      </c>
      <c r="F39" s="32">
        <f t="shared" si="8"/>
        <v>9.8039215686274508E-3</v>
      </c>
      <c r="G39" s="32" t="s">
        <v>17</v>
      </c>
      <c r="H39" s="33" t="str">
        <f>INDEX(base_fish!E:E,MATCH(use_fish!B39,base_fish!A:A,0))&amp;_xlfn.IFNA("+"&amp;INDEX(activity!G:G,MATCH(use_fish!C39,activity!A:A,0)),"")</f>
        <v>黄金巨龙+彩贝-场次1</v>
      </c>
      <c r="I39" s="32">
        <f>LOOKUP(use_fish!B39,base_fish!A:A,base_fish!F:F)+_xlfn.IFNA(INDEX(activity!F:F,MATCH(use_fish!C39,activity!A:A,0)),0)</f>
        <v>102</v>
      </c>
      <c r="J39" s="31">
        <v>2</v>
      </c>
      <c r="K39" s="31">
        <f>LOOKUP(use_fish!B39,base_fish!A:A,base_fish!G:G)</f>
        <v>0</v>
      </c>
      <c r="L39" s="31">
        <f t="shared" si="9"/>
        <v>102</v>
      </c>
      <c r="M39" s="31">
        <v>2</v>
      </c>
      <c r="N39" s="31">
        <v>2</v>
      </c>
      <c r="O39" s="31">
        <v>1</v>
      </c>
    </row>
    <row r="40" spans="1:15" s="31" customFormat="1" x14ac:dyDescent="0.2">
      <c r="A40" s="30">
        <v>39</v>
      </c>
      <c r="B40" s="30">
        <v>39</v>
      </c>
      <c r="C40" s="30">
        <v>25</v>
      </c>
      <c r="D40" s="30" t="s">
        <v>347</v>
      </c>
      <c r="E40" s="32">
        <f>LOOKUP(use_fish!B40,base_fish!A:A,base_fish!C:C)+_xlfn.IFNA(INDEX(activity!F:F,MATCH(use_fish!C40,activity!A:A,0)),0)</f>
        <v>105</v>
      </c>
      <c r="F40" s="32">
        <f t="shared" ref="F40:F44" si="10">1/E40</f>
        <v>9.5238095238095247E-3</v>
      </c>
      <c r="G40" s="32" t="s">
        <v>17</v>
      </c>
      <c r="H40" s="33" t="str">
        <f>INDEX(base_fish!E:E,MATCH(use_fish!B40,base_fish!A:A,0))&amp;_xlfn.IFNA("+"&amp;INDEX(activity!G:G,MATCH(use_fish!C40,activity!A:A,0)),"")</f>
        <v>霸王蟹+彩贝-试炼场</v>
      </c>
      <c r="I40" s="32">
        <f>LOOKUP(use_fish!B40,base_fish!A:A,base_fish!F:F)+_xlfn.IFNA(INDEX(activity!F:F,MATCH(use_fish!C40,activity!A:A,0)),0)</f>
        <v>105</v>
      </c>
      <c r="J40" s="31">
        <v>1</v>
      </c>
      <c r="K40" s="31">
        <f>LOOKUP(use_fish!B40,base_fish!A:A,base_fish!G:G)</f>
        <v>0</v>
      </c>
      <c r="L40" s="31">
        <f t="shared" ref="L40:L45" si="11">I40</f>
        <v>105</v>
      </c>
      <c r="M40" s="31">
        <v>1</v>
      </c>
      <c r="N40" s="31">
        <v>2</v>
      </c>
      <c r="O40" s="31">
        <v>1</v>
      </c>
    </row>
    <row r="41" spans="1:15" s="31" customFormat="1" x14ac:dyDescent="0.2">
      <c r="A41" s="30">
        <v>40</v>
      </c>
      <c r="B41" s="30">
        <v>40</v>
      </c>
      <c r="C41" s="30">
        <v>41</v>
      </c>
      <c r="D41" s="30" t="s">
        <v>330</v>
      </c>
      <c r="E41" s="32">
        <f>LOOKUP(use_fish!B41,base_fish!A:A,base_fish!C:C)+_xlfn.IFNA(INDEX(activity!F:F,MATCH(use_fish!C41,activity!A:A,0)),0)</f>
        <v>302</v>
      </c>
      <c r="F41" s="32">
        <f t="shared" si="10"/>
        <v>3.3112582781456954E-3</v>
      </c>
      <c r="G41" s="32" t="s">
        <v>17</v>
      </c>
      <c r="H41" s="33" t="str">
        <f>INDEX(base_fish!E:E,MATCH(use_fish!B41,base_fish!A:A,0))&amp;_xlfn.IFNA("+"&amp;INDEX(activity!G:G,MATCH(use_fish!C41,activity!A:A,0)),"")</f>
        <v>深海鲸+彩贝-场次4</v>
      </c>
      <c r="I41" s="32">
        <f>LOOKUP(use_fish!B41,base_fish!A:A,base_fish!F:F)+_xlfn.IFNA(INDEX(activity!F:F,MATCH(use_fish!C41,activity!A:A,0)),0)</f>
        <v>302</v>
      </c>
      <c r="J41" s="31">
        <v>1</v>
      </c>
      <c r="K41" s="31">
        <f>LOOKUP(use_fish!B41,base_fish!A:A,base_fish!G:G)</f>
        <v>0</v>
      </c>
      <c r="L41" s="31">
        <f t="shared" si="11"/>
        <v>302</v>
      </c>
      <c r="M41" s="31">
        <v>1</v>
      </c>
      <c r="N41" s="31">
        <v>2</v>
      </c>
      <c r="O41" s="31">
        <v>1</v>
      </c>
    </row>
    <row r="42" spans="1:15" s="31" customFormat="1" x14ac:dyDescent="0.2">
      <c r="A42" s="30">
        <v>41</v>
      </c>
      <c r="B42" s="30">
        <v>41</v>
      </c>
      <c r="C42" s="30">
        <v>27</v>
      </c>
      <c r="D42" s="30" t="s">
        <v>348</v>
      </c>
      <c r="E42" s="32">
        <f>LOOKUP(use_fish!B42,base_fish!A:A,base_fish!C:C)+_xlfn.IFNA(INDEX(activity!F:F,MATCH(use_fish!C42,activity!A:A,0)),0)</f>
        <v>206</v>
      </c>
      <c r="F42" s="32">
        <f t="shared" si="10"/>
        <v>4.8543689320388345E-3</v>
      </c>
      <c r="G42" s="32" t="s">
        <v>17</v>
      </c>
      <c r="H42" s="33" t="str">
        <f>INDEX(base_fish!E:E,MATCH(use_fish!B42,base_fish!A:A,0))&amp;_xlfn.IFNA("+"&amp;INDEX(activity!G:G,MATCH(use_fish!C42,activity!A:A,0)),"")</f>
        <v>鲨鱼武士+彩贝-场次2</v>
      </c>
      <c r="I42" s="32">
        <f>LOOKUP(use_fish!B42,base_fish!A:A,base_fish!F:F)+_xlfn.IFNA(INDEX(activity!F:F,MATCH(use_fish!C42,activity!A:A,0)),0)</f>
        <v>206</v>
      </c>
      <c r="J42" s="31">
        <v>1</v>
      </c>
      <c r="K42" s="31">
        <f>LOOKUP(use_fish!B42,base_fish!A:A,base_fish!G:G)</f>
        <v>0</v>
      </c>
      <c r="L42" s="31">
        <f t="shared" si="11"/>
        <v>206</v>
      </c>
      <c r="M42" s="31">
        <v>1</v>
      </c>
      <c r="N42" s="31">
        <v>2</v>
      </c>
      <c r="O42" s="31">
        <v>1</v>
      </c>
    </row>
    <row r="43" spans="1:15" s="51" customFormat="1" x14ac:dyDescent="0.2">
      <c r="A43" s="48">
        <v>42</v>
      </c>
      <c r="B43" s="48">
        <v>42</v>
      </c>
      <c r="C43" s="48"/>
      <c r="D43" s="48"/>
      <c r="E43" s="49">
        <f>LOOKUP(use_fish!B43,base_fish!A:A,base_fish!C:C)+_xlfn.IFNA(INDEX(activity!F:F,MATCH(use_fish!C43,activity!A:A,0)),0)</f>
        <v>0</v>
      </c>
      <c r="F43" s="49">
        <v>0</v>
      </c>
      <c r="G43" s="49" t="s">
        <v>17</v>
      </c>
      <c r="H43" s="50" t="str">
        <f>INDEX(base_fish!E:E,MATCH(use_fish!B43,base_fish!A:A,0))&amp;_xlfn.IFNA("+"&amp;INDEX(activity!G:G,MATCH(use_fish!C43,activity!A:A,0)),"")</f>
        <v>荧光女皇</v>
      </c>
      <c r="I43" s="49">
        <f>LOOKUP(use_fish!B43,base_fish!A:A,base_fish!F:F)+_xlfn.IFNA(INDEX(activity!F:F,MATCH(use_fish!C43,activity!A:A,0)),0)</f>
        <v>0</v>
      </c>
      <c r="J43" s="51">
        <v>1</v>
      </c>
      <c r="K43" s="51">
        <f>LOOKUP(use_fish!B43,base_fish!A:A,base_fish!G:G)</f>
        <v>0</v>
      </c>
      <c r="L43" s="51">
        <f t="shared" si="11"/>
        <v>0</v>
      </c>
      <c r="M43" s="51">
        <v>1</v>
      </c>
      <c r="N43" s="51">
        <v>2</v>
      </c>
      <c r="O43" s="51">
        <v>1</v>
      </c>
    </row>
    <row r="44" spans="1:15" s="31" customFormat="1" x14ac:dyDescent="0.2">
      <c r="A44" s="30">
        <v>43</v>
      </c>
      <c r="B44" s="30">
        <v>43</v>
      </c>
      <c r="C44" s="30">
        <v>40</v>
      </c>
      <c r="D44" s="30" t="s">
        <v>349</v>
      </c>
      <c r="E44" s="32">
        <f>LOOKUP(use_fish!B44,base_fish!A:A,base_fish!C:C)+_xlfn.IFNA(INDEX(activity!F:F,MATCH(use_fish!C44,activity!A:A,0)),0)</f>
        <v>202</v>
      </c>
      <c r="F44" s="32">
        <f t="shared" si="10"/>
        <v>4.9504950495049506E-3</v>
      </c>
      <c r="G44" s="32" t="s">
        <v>17</v>
      </c>
      <c r="H44" s="33" t="str">
        <f>INDEX(base_fish!E:E,MATCH(use_fish!B44,base_fish!A:A,0))&amp;_xlfn.IFNA("+"&amp;INDEX(activity!G:G,MATCH(use_fish!C44,activity!A:A,0)),"")</f>
        <v>龙龟+彩贝-场次3</v>
      </c>
      <c r="I44" s="32">
        <f>LOOKUP(use_fish!B44,base_fish!A:A,base_fish!F:F)+_xlfn.IFNA(INDEX(activity!F:F,MATCH(use_fish!C44,activity!A:A,0)),0)</f>
        <v>202</v>
      </c>
      <c r="J44" s="31">
        <v>1</v>
      </c>
      <c r="K44" s="31">
        <f>LOOKUP(use_fish!B44,base_fish!A:A,base_fish!G:G)</f>
        <v>0</v>
      </c>
      <c r="L44" s="31">
        <f t="shared" si="11"/>
        <v>202</v>
      </c>
      <c r="M44" s="31">
        <v>1</v>
      </c>
      <c r="N44" s="31">
        <v>2</v>
      </c>
      <c r="O44" s="31">
        <v>1</v>
      </c>
    </row>
    <row r="45" spans="1:15" s="51" customFormat="1" x14ac:dyDescent="0.2">
      <c r="A45" s="48">
        <v>44</v>
      </c>
      <c r="B45" s="48">
        <v>44</v>
      </c>
      <c r="C45" s="48"/>
      <c r="D45" s="48"/>
      <c r="E45" s="49">
        <f>LOOKUP(use_fish!B45,base_fish!A:A,base_fish!C:C)+_xlfn.IFNA(INDEX(activity!F:F,MATCH(use_fish!C45,activity!A:A,0)),0)</f>
        <v>0</v>
      </c>
      <c r="F45" s="49">
        <v>0</v>
      </c>
      <c r="G45" s="49" t="s">
        <v>17</v>
      </c>
      <c r="H45" s="50" t="str">
        <f>INDEX(base_fish!E:E,MATCH(use_fish!B45,base_fish!A:A,0))&amp;_xlfn.IFNA("+"&amp;INDEX(activity!G:G,MATCH(use_fish!C45,activity!A:A,0)),"")</f>
        <v>麒麟兽</v>
      </c>
      <c r="I45" s="49">
        <f>LOOKUP(use_fish!B45,base_fish!A:A,base_fish!F:F)+_xlfn.IFNA(INDEX(activity!F:F,MATCH(use_fish!C45,activity!A:A,0)),0)</f>
        <v>0</v>
      </c>
      <c r="J45" s="51">
        <v>2</v>
      </c>
      <c r="K45" s="51">
        <f>LOOKUP(use_fish!B45,base_fish!A:A,base_fish!G:G)</f>
        <v>0</v>
      </c>
      <c r="L45" s="51">
        <f t="shared" si="11"/>
        <v>0</v>
      </c>
      <c r="M45" s="51">
        <v>2</v>
      </c>
      <c r="N45" s="51">
        <v>2</v>
      </c>
      <c r="O45" s="51">
        <v>1</v>
      </c>
    </row>
    <row r="46" spans="1:15" s="51" customFormat="1" x14ac:dyDescent="0.2">
      <c r="A46" s="48">
        <v>45</v>
      </c>
      <c r="B46" s="48">
        <v>45</v>
      </c>
      <c r="C46" s="48"/>
      <c r="D46" s="48"/>
      <c r="E46" s="49">
        <f>LOOKUP(use_fish!B46,base_fish!A:A,base_fish!C:C)+_xlfn.IFNA(INDEX(activity!F:F,MATCH(use_fish!C46,activity!A:A,0)),0)</f>
        <v>0</v>
      </c>
      <c r="F46" s="49">
        <v>0</v>
      </c>
      <c r="G46" s="49" t="s">
        <v>17</v>
      </c>
      <c r="H46" s="50" t="str">
        <f>INDEX(base_fish!E:E,MATCH(use_fish!B46,base_fish!A:A,0))&amp;_xlfn.IFNA("+"&amp;INDEX(activity!G:G,MATCH(use_fish!C46,activity!A:A,0)),"")</f>
        <v>海盗船</v>
      </c>
      <c r="I46" s="49">
        <f>LOOKUP(use_fish!B46,base_fish!A:A,base_fish!F:F)+_xlfn.IFNA(INDEX(activity!F:F,MATCH(use_fish!C46,activity!A:A,0)),0)</f>
        <v>0</v>
      </c>
      <c r="J46" s="51">
        <v>1</v>
      </c>
      <c r="K46" s="51">
        <f>LOOKUP(use_fish!B46,base_fish!A:A,base_fish!G:G)</f>
        <v>0</v>
      </c>
      <c r="L46" s="51">
        <f t="shared" ref="L46:L50" si="12">I46</f>
        <v>0</v>
      </c>
      <c r="M46" s="51">
        <v>1</v>
      </c>
      <c r="N46" s="51">
        <v>2</v>
      </c>
      <c r="O46" s="51">
        <v>1</v>
      </c>
    </row>
    <row r="47" spans="1:15" s="35" customFormat="1" x14ac:dyDescent="0.2">
      <c r="A47" s="34">
        <v>46</v>
      </c>
      <c r="B47" s="34">
        <v>46</v>
      </c>
      <c r="C47" s="34"/>
      <c r="D47" s="34" t="s">
        <v>350</v>
      </c>
      <c r="E47" s="36">
        <f>LOOKUP(use_fish!B47,base_fish!A:A,base_fish!C:C)+_xlfn.IFNA(INDEX(activity!F:F,MATCH(use_fish!C47,activity!A:A,0)),0)</f>
        <v>200</v>
      </c>
      <c r="F47" s="36">
        <f t="shared" ref="F47:F50" si="13">1/E47</f>
        <v>5.0000000000000001E-3</v>
      </c>
      <c r="G47" s="36" t="s">
        <v>17</v>
      </c>
      <c r="H47" s="37" t="str">
        <f>INDEX(base_fish!E:E,MATCH(use_fish!B47,base_fish!A:A,0))&amp;_xlfn.IFNA("+"&amp;INDEX(activity!G:G,MATCH(use_fish!C47,activity!A:A,0)),"")</f>
        <v>金蟾</v>
      </c>
      <c r="I47" s="36">
        <f>LOOKUP(use_fish!B47,base_fish!A:A,base_fish!F:F)+_xlfn.IFNA(INDEX(activity!F:F,MATCH(use_fish!C47,activity!A:A,0)),0)</f>
        <v>200</v>
      </c>
      <c r="J47" s="35">
        <v>1</v>
      </c>
      <c r="K47" s="35">
        <f>LOOKUP(use_fish!B47,base_fish!A:A,base_fish!G:G)</f>
        <v>0</v>
      </c>
      <c r="L47" s="35">
        <f t="shared" si="12"/>
        <v>200</v>
      </c>
      <c r="M47" s="35">
        <v>1</v>
      </c>
      <c r="N47" s="35">
        <v>0</v>
      </c>
      <c r="O47" s="35">
        <v>1</v>
      </c>
    </row>
    <row r="48" spans="1:15" s="35" customFormat="1" x14ac:dyDescent="0.2">
      <c r="A48" s="34">
        <v>47</v>
      </c>
      <c r="B48" s="34">
        <v>47</v>
      </c>
      <c r="C48" s="34">
        <v>34</v>
      </c>
      <c r="D48" s="34" t="s">
        <v>351</v>
      </c>
      <c r="E48" s="36">
        <f>LOOKUP(use_fish!B48,base_fish!A:A,base_fish!C:C)+_xlfn.IFNA(INDEX(activity!F:F,MATCH(use_fish!C48,activity!A:A,0)),0)</f>
        <v>300</v>
      </c>
      <c r="F48" s="36">
        <f t="shared" si="13"/>
        <v>3.3333333333333335E-3</v>
      </c>
      <c r="G48" s="36" t="s">
        <v>17</v>
      </c>
      <c r="H48" s="37" t="str">
        <f>INDEX(base_fish!E:E,MATCH(use_fish!B48,base_fish!A:A,0))&amp;_xlfn.IFNA("+"&amp;INDEX(activity!G:G,MATCH(use_fish!C48,activity!A:A,0)),"")</f>
        <v>深海狂鲨+吞噬天下</v>
      </c>
      <c r="I48" s="36">
        <f>LOOKUP(use_fish!B48,base_fish!A:A,base_fish!F:F)+_xlfn.IFNA(INDEX(activity!F:F,MATCH(use_fish!C48,activity!A:A,0)),0)</f>
        <v>300</v>
      </c>
      <c r="J48" s="35">
        <v>1</v>
      </c>
      <c r="K48" s="35">
        <f>LOOKUP(use_fish!B48,base_fish!A:A,base_fish!G:G)</f>
        <v>0</v>
      </c>
      <c r="L48" s="35">
        <f t="shared" si="12"/>
        <v>300</v>
      </c>
      <c r="M48" s="35">
        <v>1</v>
      </c>
      <c r="N48" s="35">
        <v>0</v>
      </c>
      <c r="O48" s="35">
        <v>1</v>
      </c>
    </row>
    <row r="49" spans="1:15" s="35" customFormat="1" x14ac:dyDescent="0.2">
      <c r="A49" s="34">
        <v>48</v>
      </c>
      <c r="B49" s="34">
        <v>48</v>
      </c>
      <c r="C49" s="34">
        <v>17</v>
      </c>
      <c r="D49" s="34" t="s">
        <v>329</v>
      </c>
      <c r="E49" s="36">
        <f>LOOKUP(use_fish!B49,base_fish!A:A,base_fish!C:C)+_xlfn.IFNA(INDEX(activity!F:F,MATCH(use_fish!C49,activity!A:A,0)),0)</f>
        <v>400</v>
      </c>
      <c r="F49" s="36">
        <f t="shared" si="13"/>
        <v>2.5000000000000001E-3</v>
      </c>
      <c r="G49" s="36" t="s">
        <v>17</v>
      </c>
      <c r="H49" s="37" t="str">
        <f>INDEX(base_fish!E:E,MATCH(use_fish!B49,base_fish!A:A,0))&amp;_xlfn.IFNA("+"&amp;INDEX(activity!G:G,MATCH(use_fish!C49,activity!A:A,0)),"")</f>
        <v>鳄鱼+宝箱</v>
      </c>
      <c r="I49" s="36">
        <f>LOOKUP(use_fish!B49,base_fish!A:A,base_fish!F:F)+_xlfn.IFNA(INDEX(activity!F:F,MATCH(use_fish!C49,activity!A:A,0)),0)</f>
        <v>400</v>
      </c>
      <c r="J49" s="35">
        <v>1</v>
      </c>
      <c r="K49" s="35">
        <f>LOOKUP(use_fish!B49,base_fish!A:A,base_fish!G:G)</f>
        <v>0</v>
      </c>
      <c r="L49" s="35">
        <f t="shared" si="12"/>
        <v>400</v>
      </c>
      <c r="M49" s="35">
        <v>1</v>
      </c>
      <c r="N49" s="35">
        <v>0</v>
      </c>
      <c r="O49" s="35">
        <v>1</v>
      </c>
    </row>
    <row r="50" spans="1:15" s="35" customFormat="1" x14ac:dyDescent="0.2">
      <c r="A50" s="34">
        <v>49</v>
      </c>
      <c r="B50" s="34">
        <v>49</v>
      </c>
      <c r="C50" s="34">
        <v>35</v>
      </c>
      <c r="D50" s="34" t="s">
        <v>352</v>
      </c>
      <c r="E50" s="36">
        <f>LOOKUP(use_fish!B50,base_fish!A:A,base_fish!C:C)+_xlfn.IFNA(INDEX(activity!F:F,MATCH(use_fish!C50,activity!A:A,0)),0)</f>
        <v>400</v>
      </c>
      <c r="F50" s="36">
        <f t="shared" si="13"/>
        <v>2.5000000000000001E-3</v>
      </c>
      <c r="G50" s="36" t="s">
        <v>17</v>
      </c>
      <c r="H50" s="37" t="str">
        <f>INDEX(base_fish!E:E,MATCH(use_fish!B50,base_fish!A:A,0))&amp;_xlfn.IFNA("+"&amp;INDEX(activity!G:G,MATCH(use_fish!C50,activity!A:A,0)),"")</f>
        <v>大王乌贼+连环炸弹</v>
      </c>
      <c r="I50" s="36">
        <f>LOOKUP(use_fish!B50,base_fish!A:A,base_fish!F:F)+_xlfn.IFNA(INDEX(activity!F:F,MATCH(use_fish!C50,activity!A:A,0)),0)</f>
        <v>400</v>
      </c>
      <c r="J50" s="35">
        <v>1</v>
      </c>
      <c r="K50" s="35">
        <f>LOOKUP(use_fish!B50,base_fish!A:A,base_fish!G:G)</f>
        <v>0</v>
      </c>
      <c r="L50" s="35">
        <f t="shared" si="12"/>
        <v>400</v>
      </c>
      <c r="M50" s="35">
        <v>1</v>
      </c>
      <c r="N50" s="35">
        <v>0</v>
      </c>
      <c r="O50" s="35">
        <v>1</v>
      </c>
    </row>
    <row r="51" spans="1:15" s="35" customFormat="1" x14ac:dyDescent="0.2">
      <c r="A51" s="34">
        <v>50</v>
      </c>
      <c r="B51" s="34">
        <v>50</v>
      </c>
      <c r="C51" s="34"/>
      <c r="D51" s="34"/>
      <c r="E51" s="36">
        <v>0</v>
      </c>
      <c r="F51" s="34">
        <v>0</v>
      </c>
      <c r="G51" s="36" t="s">
        <v>17</v>
      </c>
      <c r="H51" s="35" t="s">
        <v>317</v>
      </c>
      <c r="I51" s="36">
        <v>0</v>
      </c>
      <c r="J51" s="35">
        <v>3</v>
      </c>
      <c r="K51" s="36">
        <v>0</v>
      </c>
      <c r="L51" s="36">
        <v>0</v>
      </c>
      <c r="M51" s="36">
        <v>1</v>
      </c>
      <c r="N51" s="35">
        <v>0</v>
      </c>
      <c r="O51" s="35">
        <v>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42"/>
  <sheetViews>
    <sheetView tabSelected="1" topLeftCell="A7" workbookViewId="0">
      <selection activeCell="A26" sqref="A26:G28"/>
    </sheetView>
  </sheetViews>
  <sheetFormatPr defaultColWidth="8.625" defaultRowHeight="14.25" x14ac:dyDescent="0.2"/>
  <cols>
    <col min="2" max="2" width="13" customWidth="1"/>
    <col min="3" max="3" width="21.375" bestFit="1" customWidth="1"/>
    <col min="4" max="5" width="16.125" customWidth="1"/>
    <col min="6" max="6" width="15.125" customWidth="1"/>
    <col min="7" max="7" width="21.375" bestFit="1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127</v>
      </c>
      <c r="F1" s="1" t="s">
        <v>28</v>
      </c>
      <c r="G1" s="1" t="s">
        <v>40</v>
      </c>
      <c r="H1" s="1" t="s">
        <v>2</v>
      </c>
      <c r="I1" s="1" t="s">
        <v>2</v>
      </c>
      <c r="K1" s="1" t="s">
        <v>56</v>
      </c>
    </row>
    <row r="2" spans="1:11" x14ac:dyDescent="0.2">
      <c r="A2">
        <v>1</v>
      </c>
      <c r="B2">
        <v>1</v>
      </c>
      <c r="C2" t="s">
        <v>64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41</v>
      </c>
      <c r="K2" t="s">
        <v>77</v>
      </c>
    </row>
    <row r="3" spans="1:11" x14ac:dyDescent="0.2">
      <c r="A3">
        <v>2</v>
      </c>
      <c r="B3">
        <v>2</v>
      </c>
      <c r="C3" t="s">
        <v>67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42</v>
      </c>
      <c r="K3" s="6">
        <v>0.1</v>
      </c>
    </row>
    <row r="4" spans="1:11" x14ac:dyDescent="0.2">
      <c r="A4">
        <v>3</v>
      </c>
      <c r="B4">
        <v>3</v>
      </c>
      <c r="C4" t="s">
        <v>67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43</v>
      </c>
    </row>
    <row r="5" spans="1:11" x14ac:dyDescent="0.2">
      <c r="A5">
        <v>4</v>
      </c>
      <c r="B5">
        <v>4</v>
      </c>
      <c r="C5" t="s">
        <v>53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44</v>
      </c>
    </row>
    <row r="6" spans="1:11" x14ac:dyDescent="0.2">
      <c r="A6">
        <v>5</v>
      </c>
      <c r="B6">
        <v>5</v>
      </c>
      <c r="C6" t="s">
        <v>54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45</v>
      </c>
    </row>
    <row r="7" spans="1:11" x14ac:dyDescent="0.2">
      <c r="A7">
        <v>6</v>
      </c>
      <c r="B7">
        <v>4</v>
      </c>
      <c r="C7" t="s">
        <v>167</v>
      </c>
      <c r="D7" s="4">
        <v>0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46</v>
      </c>
    </row>
    <row r="8" spans="1:11" x14ac:dyDescent="0.2">
      <c r="A8">
        <v>7</v>
      </c>
      <c r="B8">
        <v>1</v>
      </c>
      <c r="C8" t="s">
        <v>52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47</v>
      </c>
    </row>
    <row r="9" spans="1:11" x14ac:dyDescent="0.2">
      <c r="A9">
        <v>8</v>
      </c>
      <c r="B9">
        <v>4</v>
      </c>
      <c r="C9" t="s">
        <v>249</v>
      </c>
      <c r="D9" s="4">
        <v>0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48</v>
      </c>
    </row>
    <row r="10" spans="1:11" x14ac:dyDescent="0.2">
      <c r="A10">
        <v>9</v>
      </c>
      <c r="B10">
        <v>5</v>
      </c>
      <c r="C10" t="s">
        <v>65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96</v>
      </c>
    </row>
    <row r="11" spans="1:11" x14ac:dyDescent="0.2">
      <c r="A11">
        <v>10</v>
      </c>
      <c r="B11">
        <v>5</v>
      </c>
      <c r="C11" t="s">
        <v>250</v>
      </c>
      <c r="D11" s="4">
        <v>0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316</v>
      </c>
    </row>
    <row r="12" spans="1:11" x14ac:dyDescent="0.2">
      <c r="A12">
        <v>11</v>
      </c>
      <c r="B12">
        <v>7</v>
      </c>
      <c r="C12" t="s">
        <v>39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102</v>
      </c>
    </row>
    <row r="13" spans="1:11" x14ac:dyDescent="0.2">
      <c r="A13">
        <v>12</v>
      </c>
      <c r="B13">
        <v>7</v>
      </c>
      <c r="C13" t="s">
        <v>49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140</v>
      </c>
    </row>
    <row r="14" spans="1:11" x14ac:dyDescent="0.2">
      <c r="A14">
        <v>13</v>
      </c>
      <c r="B14">
        <v>8</v>
      </c>
      <c r="C14" t="s">
        <v>38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141</v>
      </c>
    </row>
    <row r="15" spans="1:11" x14ac:dyDescent="0.2">
      <c r="A15">
        <v>14</v>
      </c>
      <c r="B15">
        <v>8</v>
      </c>
      <c r="C15" t="s">
        <v>49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145</v>
      </c>
    </row>
    <row r="16" spans="1:11" x14ac:dyDescent="0.2">
      <c r="A16">
        <v>15</v>
      </c>
      <c r="B16">
        <v>9</v>
      </c>
      <c r="C16" t="s">
        <v>68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190</v>
      </c>
    </row>
    <row r="17" spans="1:9" x14ac:dyDescent="0.2">
      <c r="A17">
        <v>16</v>
      </c>
      <c r="B17">
        <v>9</v>
      </c>
      <c r="C17" t="s">
        <v>68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191</v>
      </c>
    </row>
    <row r="18" spans="1:9" x14ac:dyDescent="0.2">
      <c r="A18">
        <v>17</v>
      </c>
      <c r="B18">
        <v>10</v>
      </c>
      <c r="C18" s="7" t="s">
        <v>323</v>
      </c>
      <c r="D18" s="4">
        <v>0</v>
      </c>
      <c r="E18" s="4">
        <v>0</v>
      </c>
      <c r="F18">
        <v>150</v>
      </c>
      <c r="G18" t="s">
        <v>324</v>
      </c>
      <c r="H18">
        <v>22</v>
      </c>
      <c r="I18" t="s">
        <v>193</v>
      </c>
    </row>
    <row r="19" spans="1:9" x14ac:dyDescent="0.2">
      <c r="A19">
        <v>18</v>
      </c>
      <c r="B19">
        <v>18</v>
      </c>
      <c r="C19" t="s">
        <v>325</v>
      </c>
      <c r="D19" s="4">
        <v>0</v>
      </c>
      <c r="E19" s="4">
        <v>0</v>
      </c>
      <c r="F19">
        <v>63</v>
      </c>
      <c r="G19" t="str">
        <f t="shared" ref="G19:G21" si="1">LOOKUP(B19,H:H,I:I)</f>
        <v>穿透钢弹</v>
      </c>
      <c r="H19">
        <v>23</v>
      </c>
      <c r="I19" t="s">
        <v>195</v>
      </c>
    </row>
    <row r="20" spans="1:9" x14ac:dyDescent="0.2">
      <c r="A20">
        <v>19</v>
      </c>
      <c r="B20">
        <v>17</v>
      </c>
      <c r="C20" s="11" t="s">
        <v>331</v>
      </c>
      <c r="D20" s="4">
        <v>0</v>
      </c>
      <c r="E20" s="4">
        <v>0</v>
      </c>
      <c r="F20">
        <v>300</v>
      </c>
      <c r="G20" t="str">
        <f t="shared" si="1"/>
        <v>钻头弹</v>
      </c>
      <c r="H20">
        <v>24</v>
      </c>
      <c r="I20" t="s">
        <v>361</v>
      </c>
    </row>
    <row r="21" spans="1:9" x14ac:dyDescent="0.2">
      <c r="A21">
        <v>20</v>
      </c>
      <c r="B21">
        <v>19</v>
      </c>
      <c r="C21" t="s">
        <v>38</v>
      </c>
      <c r="D21" s="4">
        <v>0</v>
      </c>
      <c r="E21" s="4">
        <v>1</v>
      </c>
      <c r="F21">
        <v>0</v>
      </c>
      <c r="G21" t="str">
        <f t="shared" si="1"/>
        <v>神灯</v>
      </c>
      <c r="H21">
        <v>25</v>
      </c>
      <c r="I21" t="s">
        <v>196</v>
      </c>
    </row>
    <row r="22" spans="1:9" x14ac:dyDescent="0.2">
      <c r="A22">
        <v>21</v>
      </c>
      <c r="B22">
        <v>20</v>
      </c>
      <c r="C22" s="11" t="s">
        <v>326</v>
      </c>
      <c r="D22" s="4">
        <v>0</v>
      </c>
      <c r="E22" s="4">
        <v>0</v>
      </c>
      <c r="F22">
        <v>50</v>
      </c>
      <c r="G22" t="s">
        <v>209</v>
      </c>
      <c r="H22">
        <v>26</v>
      </c>
      <c r="I22" t="s">
        <v>362</v>
      </c>
    </row>
    <row r="23" spans="1:9" x14ac:dyDescent="0.2">
      <c r="A23">
        <v>22</v>
      </c>
      <c r="B23">
        <v>20</v>
      </c>
      <c r="C23" s="11" t="s">
        <v>146</v>
      </c>
      <c r="D23" s="4">
        <v>0</v>
      </c>
      <c r="E23" s="4">
        <v>0</v>
      </c>
      <c r="F23">
        <v>150</v>
      </c>
      <c r="G23" t="s">
        <v>210</v>
      </c>
      <c r="H23">
        <v>27</v>
      </c>
      <c r="I23" t="s">
        <v>363</v>
      </c>
    </row>
    <row r="24" spans="1:9" x14ac:dyDescent="0.2">
      <c r="A24">
        <v>23</v>
      </c>
      <c r="B24">
        <v>20</v>
      </c>
      <c r="C24" s="11" t="s">
        <v>327</v>
      </c>
      <c r="D24" s="4">
        <v>0</v>
      </c>
      <c r="E24" s="4">
        <v>0</v>
      </c>
      <c r="F24">
        <v>250</v>
      </c>
      <c r="G24" t="s">
        <v>211</v>
      </c>
      <c r="H24">
        <v>28</v>
      </c>
      <c r="I24" t="s">
        <v>364</v>
      </c>
    </row>
    <row r="25" spans="1:9" x14ac:dyDescent="0.2">
      <c r="A25">
        <v>24</v>
      </c>
      <c r="B25">
        <v>20</v>
      </c>
      <c r="C25" s="11" t="s">
        <v>147</v>
      </c>
      <c r="D25" s="4">
        <v>0</v>
      </c>
      <c r="E25" s="4">
        <v>0</v>
      </c>
      <c r="F25">
        <v>450</v>
      </c>
      <c r="G25" t="s">
        <v>212</v>
      </c>
      <c r="H25">
        <v>29</v>
      </c>
      <c r="I25" t="s">
        <v>204</v>
      </c>
    </row>
    <row r="26" spans="1:9" x14ac:dyDescent="0.2">
      <c r="A26">
        <v>25</v>
      </c>
      <c r="B26">
        <v>21</v>
      </c>
      <c r="C26" s="11" t="s">
        <v>369</v>
      </c>
      <c r="D26" s="4">
        <v>0</v>
      </c>
      <c r="E26" s="4">
        <v>0</v>
      </c>
      <c r="F26">
        <v>5</v>
      </c>
      <c r="G26" t="s">
        <v>370</v>
      </c>
      <c r="H26">
        <v>30</v>
      </c>
      <c r="I26" t="s">
        <v>312</v>
      </c>
    </row>
    <row r="27" spans="1:9" x14ac:dyDescent="0.2">
      <c r="A27">
        <v>26</v>
      </c>
      <c r="B27">
        <v>21</v>
      </c>
      <c r="C27" s="11" t="s">
        <v>371</v>
      </c>
      <c r="D27" s="4">
        <v>0</v>
      </c>
      <c r="E27" s="4">
        <v>0</v>
      </c>
      <c r="F27">
        <v>2</v>
      </c>
      <c r="G27" t="s">
        <v>372</v>
      </c>
      <c r="H27">
        <v>31</v>
      </c>
      <c r="I27" t="s">
        <v>321</v>
      </c>
    </row>
    <row r="28" spans="1:9" x14ac:dyDescent="0.2">
      <c r="A28">
        <v>27</v>
      </c>
      <c r="B28">
        <v>21</v>
      </c>
      <c r="C28" s="11" t="s">
        <v>373</v>
      </c>
      <c r="D28" s="4">
        <v>0</v>
      </c>
      <c r="E28" s="4">
        <v>0</v>
      </c>
      <c r="F28">
        <v>6</v>
      </c>
      <c r="G28" t="s">
        <v>374</v>
      </c>
      <c r="H28">
        <v>32</v>
      </c>
      <c r="I28" t="s">
        <v>319</v>
      </c>
    </row>
    <row r="29" spans="1:9" x14ac:dyDescent="0.2">
      <c r="A29">
        <v>28</v>
      </c>
      <c r="B29">
        <v>22</v>
      </c>
      <c r="C29" s="11" t="s">
        <v>194</v>
      </c>
      <c r="D29" s="4">
        <v>0</v>
      </c>
      <c r="E29" s="4">
        <v>0</v>
      </c>
      <c r="F29">
        <v>100</v>
      </c>
      <c r="G29" t="s">
        <v>328</v>
      </c>
      <c r="H29">
        <v>33</v>
      </c>
      <c r="I29" t="s">
        <v>320</v>
      </c>
    </row>
    <row r="30" spans="1:9" x14ac:dyDescent="0.2">
      <c r="A30">
        <v>29</v>
      </c>
      <c r="B30">
        <v>23</v>
      </c>
      <c r="C30" t="s">
        <v>207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333</v>
      </c>
    </row>
    <row r="31" spans="1:9" x14ac:dyDescent="0.2">
      <c r="A31">
        <v>30</v>
      </c>
      <c r="B31">
        <v>24</v>
      </c>
      <c r="C31" s="11" t="s">
        <v>358</v>
      </c>
      <c r="D31" s="4">
        <v>0</v>
      </c>
      <c r="E31" s="4">
        <v>0</v>
      </c>
      <c r="F31">
        <v>300</v>
      </c>
      <c r="G31" t="str">
        <f t="shared" ref="G31:G33" si="2">LOOKUP(B31,H:H,I:I)</f>
        <v>连环转盘</v>
      </c>
      <c r="H31">
        <v>39</v>
      </c>
      <c r="I31" t="s">
        <v>335</v>
      </c>
    </row>
    <row r="32" spans="1:9" x14ac:dyDescent="0.2">
      <c r="A32">
        <v>31</v>
      </c>
      <c r="B32">
        <v>25</v>
      </c>
      <c r="C32" t="s">
        <v>359</v>
      </c>
      <c r="D32" s="4">
        <v>1</v>
      </c>
      <c r="E32" s="4">
        <v>0</v>
      </c>
      <c r="F32">
        <v>200</v>
      </c>
      <c r="G32" t="str">
        <f t="shared" si="2"/>
        <v>电磁弹</v>
      </c>
    </row>
    <row r="33" spans="1:7" x14ac:dyDescent="0.2">
      <c r="A33">
        <v>32</v>
      </c>
      <c r="B33">
        <v>28</v>
      </c>
      <c r="C33" s="11" t="s">
        <v>360</v>
      </c>
      <c r="D33" s="4">
        <v>0</v>
      </c>
      <c r="E33" s="4">
        <v>0</v>
      </c>
      <c r="F33">
        <v>200</v>
      </c>
      <c r="G33" t="str">
        <f t="shared" si="2"/>
        <v>金币转盘</v>
      </c>
    </row>
    <row r="34" spans="1:7" x14ac:dyDescent="0.2">
      <c r="A34">
        <v>33</v>
      </c>
      <c r="B34">
        <v>29</v>
      </c>
      <c r="C34" t="s">
        <v>337</v>
      </c>
      <c r="D34" s="4">
        <v>0</v>
      </c>
      <c r="E34" s="4">
        <v>0</v>
      </c>
      <c r="F34">
        <v>300</v>
      </c>
      <c r="G34" t="s">
        <v>338</v>
      </c>
    </row>
    <row r="35" spans="1:7" x14ac:dyDescent="0.2">
      <c r="A35">
        <v>34</v>
      </c>
      <c r="B35">
        <v>30</v>
      </c>
      <c r="C35" s="11" t="s">
        <v>354</v>
      </c>
      <c r="D35" s="4">
        <v>0</v>
      </c>
      <c r="E35" s="4">
        <v>0</v>
      </c>
      <c r="F35">
        <v>150</v>
      </c>
      <c r="G35" t="s">
        <v>312</v>
      </c>
    </row>
    <row r="36" spans="1:7" x14ac:dyDescent="0.2">
      <c r="A36">
        <v>35</v>
      </c>
      <c r="B36">
        <v>31</v>
      </c>
      <c r="C36" t="s">
        <v>339</v>
      </c>
      <c r="D36" s="4">
        <v>0</v>
      </c>
      <c r="E36" s="4">
        <v>0</v>
      </c>
      <c r="F36">
        <v>200</v>
      </c>
      <c r="G36" t="str">
        <f t="shared" ref="G36" si="3">LOOKUP(B36,H:H,I:I)</f>
        <v>连环炸弹</v>
      </c>
    </row>
    <row r="37" spans="1:7" x14ac:dyDescent="0.2">
      <c r="A37">
        <v>36</v>
      </c>
      <c r="B37">
        <v>32</v>
      </c>
      <c r="C37" s="11" t="s">
        <v>353</v>
      </c>
      <c r="D37" s="4">
        <v>0</v>
      </c>
      <c r="E37" s="4">
        <v>0</v>
      </c>
      <c r="F37">
        <v>300</v>
      </c>
      <c r="G37" t="s">
        <v>340</v>
      </c>
    </row>
    <row r="38" spans="1:7" x14ac:dyDescent="0.2">
      <c r="A38">
        <v>37</v>
      </c>
      <c r="B38">
        <v>33</v>
      </c>
      <c r="C38" t="s">
        <v>357</v>
      </c>
      <c r="D38" s="4">
        <v>0</v>
      </c>
      <c r="E38" s="4">
        <v>0</v>
      </c>
      <c r="F38">
        <v>200</v>
      </c>
      <c r="G38" t="s">
        <v>320</v>
      </c>
    </row>
    <row r="39" spans="1:7" x14ac:dyDescent="0.2">
      <c r="A39">
        <v>38</v>
      </c>
      <c r="B39">
        <v>38</v>
      </c>
      <c r="C39" t="s">
        <v>341</v>
      </c>
      <c r="D39" s="4">
        <v>0</v>
      </c>
      <c r="E39" s="4">
        <v>0</v>
      </c>
      <c r="F39">
        <v>250</v>
      </c>
      <c r="G39" t="s">
        <v>342</v>
      </c>
    </row>
    <row r="40" spans="1:7" x14ac:dyDescent="0.2">
      <c r="A40">
        <v>39</v>
      </c>
      <c r="B40">
        <v>39</v>
      </c>
      <c r="C40" t="s">
        <v>332</v>
      </c>
      <c r="D40" s="4">
        <v>0</v>
      </c>
      <c r="E40" s="4">
        <v>0</v>
      </c>
      <c r="F40">
        <v>250</v>
      </c>
      <c r="G40" t="s">
        <v>334</v>
      </c>
    </row>
    <row r="41" spans="1:7" x14ac:dyDescent="0.2">
      <c r="A41">
        <v>40</v>
      </c>
      <c r="B41">
        <v>21</v>
      </c>
      <c r="C41" s="11" t="s">
        <v>365</v>
      </c>
      <c r="D41" s="4">
        <v>0</v>
      </c>
      <c r="E41" s="4">
        <v>0</v>
      </c>
      <c r="F41">
        <v>2</v>
      </c>
      <c r="G41" t="s">
        <v>366</v>
      </c>
    </row>
    <row r="42" spans="1:7" x14ac:dyDescent="0.2">
      <c r="A42">
        <v>41</v>
      </c>
      <c r="B42">
        <v>21</v>
      </c>
      <c r="C42" s="11" t="s">
        <v>367</v>
      </c>
      <c r="D42" s="4">
        <v>0</v>
      </c>
      <c r="E42" s="4">
        <v>0</v>
      </c>
      <c r="F42">
        <v>2</v>
      </c>
      <c r="G42" t="s">
        <v>368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108</v>
      </c>
      <c r="C1" s="1" t="s">
        <v>109</v>
      </c>
      <c r="D1" s="1" t="s">
        <v>110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7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51"/>
  <sheetViews>
    <sheetView topLeftCell="A10" zoomScaleNormal="100" workbookViewId="0">
      <selection activeCell="C2" sqref="C2:C51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12</v>
      </c>
      <c r="B1" s="1" t="s">
        <v>10</v>
      </c>
      <c r="C1" s="1" t="s">
        <v>97</v>
      </c>
      <c r="D1" s="1" t="s">
        <v>0</v>
      </c>
      <c r="E1" s="1" t="s">
        <v>7</v>
      </c>
      <c r="F1" s="1" t="s">
        <v>104</v>
      </c>
      <c r="G1" s="9" t="s">
        <v>105</v>
      </c>
    </row>
    <row r="2" spans="1:7" s="15" customFormat="1" x14ac:dyDescent="0.2">
      <c r="A2" s="15">
        <v>1</v>
      </c>
      <c r="B2" s="15">
        <v>1</v>
      </c>
      <c r="C2" s="15">
        <v>2</v>
      </c>
      <c r="D2" s="15">
        <f>IF(C2,1/C2,0)</f>
        <v>0.5</v>
      </c>
      <c r="E2" s="16" t="s">
        <v>215</v>
      </c>
      <c r="F2" s="15">
        <f>C2</f>
        <v>2</v>
      </c>
      <c r="G2" s="15">
        <v>0</v>
      </c>
    </row>
    <row r="3" spans="1:7" s="15" customFormat="1" x14ac:dyDescent="0.2">
      <c r="A3" s="15">
        <v>2</v>
      </c>
      <c r="B3" s="15">
        <v>1</v>
      </c>
      <c r="C3" s="15">
        <v>2</v>
      </c>
      <c r="D3" s="15">
        <f t="shared" ref="D3:D35" si="0">IF(C3,1/C3,0)</f>
        <v>0.5</v>
      </c>
      <c r="E3" s="16" t="s">
        <v>216</v>
      </c>
      <c r="F3" s="15">
        <f t="shared" ref="F3:F37" si="1">C3</f>
        <v>2</v>
      </c>
      <c r="G3" s="15">
        <v>0</v>
      </c>
    </row>
    <row r="4" spans="1:7" s="15" customFormat="1" x14ac:dyDescent="0.2">
      <c r="A4" s="15">
        <v>3</v>
      </c>
      <c r="B4" s="15">
        <v>1</v>
      </c>
      <c r="C4" s="15">
        <v>3</v>
      </c>
      <c r="D4" s="15">
        <f t="shared" si="0"/>
        <v>0.33333333333333331</v>
      </c>
      <c r="E4" s="16" t="s">
        <v>8</v>
      </c>
      <c r="F4" s="15">
        <f t="shared" si="1"/>
        <v>3</v>
      </c>
      <c r="G4" s="15">
        <v>0</v>
      </c>
    </row>
    <row r="5" spans="1:7" s="15" customFormat="1" x14ac:dyDescent="0.2">
      <c r="A5" s="15">
        <v>4</v>
      </c>
      <c r="B5" s="15">
        <v>1</v>
      </c>
      <c r="C5" s="15">
        <v>4</v>
      </c>
      <c r="D5" s="15">
        <f t="shared" si="0"/>
        <v>0.25</v>
      </c>
      <c r="E5" s="16" t="s">
        <v>217</v>
      </c>
      <c r="F5" s="15">
        <f t="shared" si="1"/>
        <v>4</v>
      </c>
      <c r="G5" s="15">
        <v>0</v>
      </c>
    </row>
    <row r="6" spans="1:7" s="15" customFormat="1" x14ac:dyDescent="0.2">
      <c r="A6" s="15">
        <v>5</v>
      </c>
      <c r="B6" s="15">
        <v>1</v>
      </c>
      <c r="C6" s="15">
        <v>5</v>
      </c>
      <c r="D6" s="15">
        <f t="shared" si="0"/>
        <v>0.2</v>
      </c>
      <c r="E6" s="16" t="s">
        <v>218</v>
      </c>
      <c r="F6" s="15">
        <f t="shared" si="1"/>
        <v>5</v>
      </c>
      <c r="G6" s="15">
        <v>0</v>
      </c>
    </row>
    <row r="7" spans="1:7" s="15" customFormat="1" x14ac:dyDescent="0.2">
      <c r="A7" s="15">
        <v>6</v>
      </c>
      <c r="B7" s="15">
        <v>1</v>
      </c>
      <c r="C7" s="15">
        <v>6</v>
      </c>
      <c r="D7" s="15">
        <f t="shared" si="0"/>
        <v>0.16666666666666666</v>
      </c>
      <c r="E7" s="16" t="s">
        <v>149</v>
      </c>
      <c r="F7" s="15">
        <f t="shared" si="1"/>
        <v>6</v>
      </c>
      <c r="G7" s="15">
        <v>0</v>
      </c>
    </row>
    <row r="8" spans="1:7" s="15" customFormat="1" x14ac:dyDescent="0.2">
      <c r="A8" s="15">
        <v>7</v>
      </c>
      <c r="B8" s="15">
        <v>1</v>
      </c>
      <c r="C8" s="15">
        <v>7</v>
      </c>
      <c r="D8" s="15">
        <f t="shared" si="0"/>
        <v>0.14285714285714285</v>
      </c>
      <c r="E8" s="16" t="s">
        <v>219</v>
      </c>
      <c r="F8" s="15">
        <f t="shared" si="1"/>
        <v>7</v>
      </c>
      <c r="G8" s="15">
        <v>0</v>
      </c>
    </row>
    <row r="9" spans="1:7" s="15" customFormat="1" x14ac:dyDescent="0.2">
      <c r="A9" s="15">
        <v>8</v>
      </c>
      <c r="B9" s="15">
        <v>1</v>
      </c>
      <c r="C9" s="15">
        <v>8</v>
      </c>
      <c r="D9" s="15">
        <f t="shared" si="0"/>
        <v>0.125</v>
      </c>
      <c r="E9" s="16" t="s">
        <v>220</v>
      </c>
      <c r="F9" s="15">
        <f t="shared" si="1"/>
        <v>8</v>
      </c>
      <c r="G9" s="15">
        <v>0</v>
      </c>
    </row>
    <row r="10" spans="1:7" s="15" customFormat="1" x14ac:dyDescent="0.2">
      <c r="A10" s="15">
        <v>9</v>
      </c>
      <c r="B10" s="15">
        <v>1</v>
      </c>
      <c r="C10" s="15">
        <v>10</v>
      </c>
      <c r="D10" s="15">
        <f t="shared" si="0"/>
        <v>0.1</v>
      </c>
      <c r="E10" s="16" t="s">
        <v>221</v>
      </c>
      <c r="F10" s="15">
        <f t="shared" si="1"/>
        <v>10</v>
      </c>
      <c r="G10" s="15">
        <v>0</v>
      </c>
    </row>
    <row r="11" spans="1:7" s="15" customFormat="1" x14ac:dyDescent="0.2">
      <c r="A11" s="15">
        <v>10</v>
      </c>
      <c r="B11" s="15">
        <v>1</v>
      </c>
      <c r="C11" s="15">
        <v>12</v>
      </c>
      <c r="D11" s="15">
        <f t="shared" si="0"/>
        <v>8.3333333333333329E-2</v>
      </c>
      <c r="E11" s="16" t="s">
        <v>222</v>
      </c>
      <c r="F11" s="15">
        <f t="shared" si="1"/>
        <v>12</v>
      </c>
      <c r="G11" s="15">
        <v>0</v>
      </c>
    </row>
    <row r="12" spans="1:7" s="15" customFormat="1" x14ac:dyDescent="0.2">
      <c r="A12" s="15">
        <v>11</v>
      </c>
      <c r="B12" s="15">
        <v>1</v>
      </c>
      <c r="C12" s="15">
        <v>15</v>
      </c>
      <c r="D12" s="15">
        <f t="shared" si="0"/>
        <v>6.6666666666666666E-2</v>
      </c>
      <c r="E12" s="16" t="s">
        <v>223</v>
      </c>
      <c r="F12" s="15">
        <f t="shared" si="1"/>
        <v>15</v>
      </c>
      <c r="G12" s="15">
        <v>0</v>
      </c>
    </row>
    <row r="13" spans="1:7" s="15" customFormat="1" x14ac:dyDescent="0.2">
      <c r="A13" s="15">
        <v>12</v>
      </c>
      <c r="B13" s="15">
        <v>1</v>
      </c>
      <c r="C13" s="15">
        <v>18</v>
      </c>
      <c r="D13" s="15">
        <f t="shared" si="0"/>
        <v>5.5555555555555552E-2</v>
      </c>
      <c r="E13" s="16" t="s">
        <v>224</v>
      </c>
      <c r="F13" s="15">
        <f t="shared" si="1"/>
        <v>18</v>
      </c>
      <c r="G13" s="15">
        <v>0</v>
      </c>
    </row>
    <row r="14" spans="1:7" s="15" customFormat="1" x14ac:dyDescent="0.2">
      <c r="A14" s="15">
        <v>13</v>
      </c>
      <c r="B14" s="15">
        <v>1</v>
      </c>
      <c r="C14" s="15">
        <v>20</v>
      </c>
      <c r="D14" s="15">
        <f t="shared" si="0"/>
        <v>0.05</v>
      </c>
      <c r="E14" s="17" t="s">
        <v>148</v>
      </c>
      <c r="F14" s="15">
        <f t="shared" si="1"/>
        <v>20</v>
      </c>
      <c r="G14" s="15">
        <v>0</v>
      </c>
    </row>
    <row r="15" spans="1:7" s="15" customFormat="1" x14ac:dyDescent="0.2">
      <c r="A15" s="15">
        <v>14</v>
      </c>
      <c r="B15" s="15">
        <v>1</v>
      </c>
      <c r="C15" s="15">
        <v>25</v>
      </c>
      <c r="D15" s="15">
        <f t="shared" si="0"/>
        <v>0.04</v>
      </c>
      <c r="E15" s="16" t="s">
        <v>225</v>
      </c>
      <c r="F15" s="15">
        <f t="shared" si="1"/>
        <v>25</v>
      </c>
      <c r="G15" s="15">
        <v>0</v>
      </c>
    </row>
    <row r="16" spans="1:7" s="15" customFormat="1" x14ac:dyDescent="0.2">
      <c r="A16" s="15">
        <v>15</v>
      </c>
      <c r="B16" s="15">
        <v>1</v>
      </c>
      <c r="C16" s="15">
        <v>30</v>
      </c>
      <c r="D16" s="15">
        <f t="shared" si="0"/>
        <v>3.3333333333333333E-2</v>
      </c>
      <c r="E16" s="16" t="s">
        <v>226</v>
      </c>
      <c r="F16" s="15">
        <f t="shared" si="1"/>
        <v>30</v>
      </c>
      <c r="G16" s="15">
        <v>0</v>
      </c>
    </row>
    <row r="17" spans="1:8" s="15" customFormat="1" x14ac:dyDescent="0.2">
      <c r="A17" s="15">
        <v>16</v>
      </c>
      <c r="B17" s="15">
        <v>1</v>
      </c>
      <c r="C17" s="15">
        <v>35</v>
      </c>
      <c r="D17" s="15">
        <f t="shared" si="0"/>
        <v>2.8571428571428571E-2</v>
      </c>
      <c r="E17" s="16" t="s">
        <v>227</v>
      </c>
      <c r="F17" s="15">
        <f t="shared" si="1"/>
        <v>35</v>
      </c>
      <c r="G17" s="15">
        <v>0</v>
      </c>
      <c r="H17" s="15" t="s">
        <v>197</v>
      </c>
    </row>
    <row r="18" spans="1:8" s="15" customFormat="1" x14ac:dyDescent="0.2">
      <c r="A18" s="15">
        <v>17</v>
      </c>
      <c r="B18" s="15">
        <v>1</v>
      </c>
      <c r="C18" s="15">
        <v>40</v>
      </c>
      <c r="D18" s="15">
        <f t="shared" si="0"/>
        <v>2.5000000000000001E-2</v>
      </c>
      <c r="E18" s="16" t="s">
        <v>9</v>
      </c>
      <c r="F18" s="15">
        <f t="shared" si="1"/>
        <v>40</v>
      </c>
      <c r="G18" s="15">
        <v>0</v>
      </c>
    </row>
    <row r="19" spans="1:8" s="15" customFormat="1" x14ac:dyDescent="0.2">
      <c r="A19" s="15">
        <v>18</v>
      </c>
      <c r="B19" s="15">
        <v>1</v>
      </c>
      <c r="C19" s="15">
        <v>60</v>
      </c>
      <c r="D19" s="15">
        <f t="shared" si="0"/>
        <v>1.6666666666666666E-2</v>
      </c>
      <c r="E19" s="16" t="s">
        <v>63</v>
      </c>
      <c r="F19" s="15">
        <f t="shared" si="1"/>
        <v>60</v>
      </c>
      <c r="G19" s="15">
        <v>0</v>
      </c>
    </row>
    <row r="20" spans="1:8" s="15" customFormat="1" x14ac:dyDescent="0.2">
      <c r="A20" s="15">
        <v>19</v>
      </c>
      <c r="B20" s="15">
        <v>1</v>
      </c>
      <c r="C20" s="15">
        <v>0</v>
      </c>
      <c r="D20" s="15">
        <f t="shared" si="0"/>
        <v>0</v>
      </c>
      <c r="E20" s="14" t="s">
        <v>150</v>
      </c>
      <c r="F20" s="15">
        <f t="shared" si="1"/>
        <v>0</v>
      </c>
      <c r="G20" s="15">
        <v>0</v>
      </c>
    </row>
    <row r="21" spans="1:8" s="15" customFormat="1" x14ac:dyDescent="0.2">
      <c r="A21" s="15">
        <v>20</v>
      </c>
      <c r="B21" s="15">
        <v>1</v>
      </c>
      <c r="C21" s="15">
        <v>60</v>
      </c>
      <c r="D21" s="15">
        <f t="shared" si="0"/>
        <v>1.6666666666666666E-2</v>
      </c>
      <c r="E21" s="17" t="s">
        <v>246</v>
      </c>
      <c r="F21" s="15">
        <f t="shared" si="1"/>
        <v>60</v>
      </c>
      <c r="G21" s="15">
        <v>0</v>
      </c>
    </row>
    <row r="22" spans="1:8" s="15" customFormat="1" x14ac:dyDescent="0.2">
      <c r="A22" s="15">
        <v>21</v>
      </c>
      <c r="B22" s="15">
        <v>1</v>
      </c>
      <c r="C22" s="15">
        <v>0</v>
      </c>
      <c r="D22" s="15">
        <f t="shared" si="0"/>
        <v>0</v>
      </c>
      <c r="E22" s="16" t="s">
        <v>228</v>
      </c>
      <c r="F22" s="15">
        <f t="shared" si="1"/>
        <v>0</v>
      </c>
      <c r="G22" s="15">
        <v>0</v>
      </c>
    </row>
    <row r="23" spans="1:8" s="15" customFormat="1" x14ac:dyDescent="0.2">
      <c r="A23" s="15">
        <v>22</v>
      </c>
      <c r="B23" s="15">
        <v>1</v>
      </c>
      <c r="C23" s="15">
        <v>60</v>
      </c>
      <c r="D23" s="15">
        <f t="shared" si="0"/>
        <v>1.6666666666666666E-2</v>
      </c>
      <c r="E23" s="16" t="s">
        <v>229</v>
      </c>
      <c r="F23" s="15">
        <f t="shared" si="1"/>
        <v>60</v>
      </c>
      <c r="G23" s="15">
        <v>0</v>
      </c>
    </row>
    <row r="24" spans="1:8" s="15" customFormat="1" x14ac:dyDescent="0.2">
      <c r="A24" s="15">
        <v>23</v>
      </c>
      <c r="B24" s="15">
        <v>1</v>
      </c>
      <c r="C24" s="15">
        <v>60</v>
      </c>
      <c r="D24" s="15">
        <f t="shared" si="0"/>
        <v>1.6666666666666666E-2</v>
      </c>
      <c r="E24" s="16" t="s">
        <v>230</v>
      </c>
      <c r="F24" s="15">
        <f t="shared" si="1"/>
        <v>60</v>
      </c>
      <c r="G24" s="15">
        <v>0</v>
      </c>
    </row>
    <row r="25" spans="1:8" s="15" customFormat="1" x14ac:dyDescent="0.2">
      <c r="A25" s="15">
        <v>24</v>
      </c>
      <c r="B25" s="15">
        <v>1</v>
      </c>
      <c r="C25" s="15" t="s">
        <v>336</v>
      </c>
      <c r="D25" s="15" t="s">
        <v>245</v>
      </c>
      <c r="E25" s="17" t="s">
        <v>231</v>
      </c>
      <c r="F25" s="15" t="s">
        <v>244</v>
      </c>
      <c r="G25" s="15">
        <v>0</v>
      </c>
    </row>
    <row r="26" spans="1:8" s="15" customFormat="1" x14ac:dyDescent="0.2">
      <c r="A26" s="15">
        <v>25</v>
      </c>
      <c r="B26" s="15">
        <v>1</v>
      </c>
      <c r="C26" s="15">
        <v>80</v>
      </c>
      <c r="D26" s="15">
        <f t="shared" ref="D26" si="2">IF(C26,1/C26,0)</f>
        <v>1.2500000000000001E-2</v>
      </c>
      <c r="E26" s="17" t="s">
        <v>152</v>
      </c>
      <c r="F26" s="15">
        <f t="shared" ref="F26" si="3">C26</f>
        <v>80</v>
      </c>
      <c r="G26" s="15">
        <v>0</v>
      </c>
    </row>
    <row r="27" spans="1:8" s="15" customFormat="1" x14ac:dyDescent="0.2">
      <c r="A27" s="15">
        <v>26</v>
      </c>
      <c r="B27" s="15">
        <v>1</v>
      </c>
      <c r="C27" s="15">
        <v>100</v>
      </c>
      <c r="D27" s="15">
        <f t="shared" si="0"/>
        <v>0.01</v>
      </c>
      <c r="E27" s="16" t="s">
        <v>151</v>
      </c>
      <c r="F27" s="15">
        <f t="shared" si="1"/>
        <v>100</v>
      </c>
      <c r="G27" s="15">
        <v>0</v>
      </c>
    </row>
    <row r="28" spans="1:8" s="15" customFormat="1" x14ac:dyDescent="0.2">
      <c r="A28" s="15">
        <v>27</v>
      </c>
      <c r="B28" s="15">
        <v>1</v>
      </c>
      <c r="C28" s="15">
        <v>100</v>
      </c>
      <c r="D28" s="15">
        <f t="shared" si="0"/>
        <v>0.01</v>
      </c>
      <c r="E28" s="16" t="s">
        <v>232</v>
      </c>
      <c r="F28" s="15">
        <f t="shared" si="1"/>
        <v>100</v>
      </c>
      <c r="G28" s="15">
        <v>0</v>
      </c>
    </row>
    <row r="29" spans="1:8" s="15" customFormat="1" x14ac:dyDescent="0.2">
      <c r="A29" s="15">
        <v>28</v>
      </c>
      <c r="B29" s="15">
        <v>1</v>
      </c>
      <c r="C29" s="15">
        <v>0</v>
      </c>
      <c r="D29" s="15">
        <f t="shared" si="0"/>
        <v>0</v>
      </c>
      <c r="E29" s="15" t="s">
        <v>155</v>
      </c>
      <c r="F29" s="15">
        <f t="shared" si="1"/>
        <v>0</v>
      </c>
      <c r="G29" s="15">
        <v>0</v>
      </c>
    </row>
    <row r="30" spans="1:8" s="15" customFormat="1" x14ac:dyDescent="0.2">
      <c r="A30" s="15">
        <v>29</v>
      </c>
      <c r="B30" s="15">
        <v>1</v>
      </c>
      <c r="C30" s="15">
        <v>0</v>
      </c>
      <c r="D30" s="15">
        <f t="shared" si="0"/>
        <v>0</v>
      </c>
      <c r="E30" s="14" t="s">
        <v>154</v>
      </c>
      <c r="F30" s="15">
        <f t="shared" si="1"/>
        <v>0</v>
      </c>
      <c r="G30" s="15">
        <v>0</v>
      </c>
    </row>
    <row r="31" spans="1:8" s="15" customFormat="1" x14ac:dyDescent="0.2">
      <c r="A31" s="15">
        <v>30</v>
      </c>
      <c r="B31" s="15">
        <v>1</v>
      </c>
      <c r="C31" s="15">
        <v>0</v>
      </c>
      <c r="D31" s="15">
        <f t="shared" si="0"/>
        <v>0</v>
      </c>
      <c r="E31" s="14" t="s">
        <v>156</v>
      </c>
      <c r="F31" s="15">
        <f t="shared" si="1"/>
        <v>0</v>
      </c>
      <c r="G31" s="15">
        <v>0</v>
      </c>
    </row>
    <row r="32" spans="1:8" s="15" customFormat="1" x14ac:dyDescent="0.2">
      <c r="A32" s="15">
        <v>31</v>
      </c>
      <c r="B32" s="15">
        <v>1</v>
      </c>
      <c r="C32" s="15">
        <v>0</v>
      </c>
      <c r="D32" s="15">
        <f t="shared" si="0"/>
        <v>0</v>
      </c>
      <c r="E32" s="14" t="s">
        <v>158</v>
      </c>
      <c r="F32" s="15">
        <f t="shared" si="1"/>
        <v>0</v>
      </c>
      <c r="G32" s="15">
        <v>0</v>
      </c>
    </row>
    <row r="33" spans="1:7" s="15" customFormat="1" x14ac:dyDescent="0.2">
      <c r="A33" s="15">
        <v>32</v>
      </c>
      <c r="B33" s="15">
        <v>1</v>
      </c>
      <c r="C33" s="15">
        <v>0</v>
      </c>
      <c r="D33" s="15">
        <f t="shared" si="0"/>
        <v>0</v>
      </c>
      <c r="E33" s="15" t="s">
        <v>251</v>
      </c>
      <c r="F33" s="15">
        <f t="shared" si="1"/>
        <v>0</v>
      </c>
      <c r="G33" s="15">
        <v>0</v>
      </c>
    </row>
    <row r="34" spans="1:7" s="15" customFormat="1" x14ac:dyDescent="0.2">
      <c r="A34" s="15">
        <v>33</v>
      </c>
      <c r="B34" s="15">
        <v>1</v>
      </c>
      <c r="C34" s="15">
        <v>0</v>
      </c>
      <c r="D34" s="15">
        <f t="shared" si="0"/>
        <v>0</v>
      </c>
      <c r="E34" s="15" t="s">
        <v>153</v>
      </c>
      <c r="F34" s="15">
        <f t="shared" si="1"/>
        <v>0</v>
      </c>
      <c r="G34" s="15">
        <v>0</v>
      </c>
    </row>
    <row r="35" spans="1:7" s="15" customFormat="1" x14ac:dyDescent="0.2">
      <c r="A35" s="15">
        <v>34</v>
      </c>
      <c r="B35" s="15">
        <v>1</v>
      </c>
      <c r="C35" s="15">
        <v>0</v>
      </c>
      <c r="D35" s="15">
        <f t="shared" si="0"/>
        <v>0</v>
      </c>
      <c r="E35" s="15" t="s">
        <v>233</v>
      </c>
      <c r="F35" s="15">
        <v>0</v>
      </c>
      <c r="G35" s="15">
        <v>0</v>
      </c>
    </row>
    <row r="36" spans="1:7" s="15" customFormat="1" x14ac:dyDescent="0.2">
      <c r="A36" s="15">
        <v>35</v>
      </c>
      <c r="B36" s="15">
        <v>1</v>
      </c>
      <c r="C36" s="15">
        <v>0</v>
      </c>
      <c r="D36" s="15">
        <f t="shared" ref="D36" si="4">IF(C36,1/C36,0)</f>
        <v>0</v>
      </c>
      <c r="E36" s="17" t="s">
        <v>234</v>
      </c>
      <c r="F36" s="15">
        <f t="shared" si="1"/>
        <v>0</v>
      </c>
      <c r="G36" s="15">
        <v>0</v>
      </c>
    </row>
    <row r="37" spans="1:7" s="15" customFormat="1" x14ac:dyDescent="0.2">
      <c r="A37" s="15">
        <v>36</v>
      </c>
      <c r="B37" s="15">
        <v>1</v>
      </c>
      <c r="C37" s="15">
        <v>0</v>
      </c>
      <c r="D37" s="15">
        <f t="shared" ref="D37:D51" si="5">IF(C37,1/C37,0)</f>
        <v>0</v>
      </c>
      <c r="E37" s="17" t="s">
        <v>235</v>
      </c>
      <c r="F37" s="15">
        <f t="shared" si="1"/>
        <v>0</v>
      </c>
      <c r="G37" s="15">
        <v>0</v>
      </c>
    </row>
    <row r="38" spans="1:7" s="15" customFormat="1" x14ac:dyDescent="0.2">
      <c r="A38" s="15">
        <v>37</v>
      </c>
      <c r="B38" s="15">
        <v>1</v>
      </c>
      <c r="C38" s="15">
        <v>0</v>
      </c>
      <c r="D38" s="15">
        <f t="shared" si="5"/>
        <v>0</v>
      </c>
      <c r="E38" s="15" t="s">
        <v>214</v>
      </c>
      <c r="F38" s="15">
        <f t="shared" ref="F38:F51" si="6">C38</f>
        <v>0</v>
      </c>
      <c r="G38" s="15">
        <v>0</v>
      </c>
    </row>
    <row r="39" spans="1:7" s="15" customFormat="1" x14ac:dyDescent="0.2">
      <c r="A39" s="15">
        <v>38</v>
      </c>
      <c r="B39" s="15">
        <v>1</v>
      </c>
      <c r="C39" s="15">
        <v>100</v>
      </c>
      <c r="D39" s="15">
        <f t="shared" si="5"/>
        <v>0.01</v>
      </c>
      <c r="E39" s="15" t="s">
        <v>157</v>
      </c>
      <c r="F39" s="15">
        <f t="shared" si="6"/>
        <v>100</v>
      </c>
      <c r="G39" s="15">
        <v>0</v>
      </c>
    </row>
    <row r="40" spans="1:7" s="15" customFormat="1" x14ac:dyDescent="0.2">
      <c r="A40" s="15">
        <v>39</v>
      </c>
      <c r="B40" s="15">
        <v>1</v>
      </c>
      <c r="C40" s="15">
        <v>100</v>
      </c>
      <c r="D40" s="15">
        <f t="shared" si="5"/>
        <v>0.01</v>
      </c>
      <c r="E40" s="15" t="s">
        <v>236</v>
      </c>
      <c r="F40" s="15">
        <f t="shared" si="6"/>
        <v>100</v>
      </c>
      <c r="G40" s="15">
        <v>0</v>
      </c>
    </row>
    <row r="41" spans="1:7" s="15" customFormat="1" x14ac:dyDescent="0.2">
      <c r="A41" s="15">
        <v>40</v>
      </c>
      <c r="B41" s="15">
        <v>1</v>
      </c>
      <c r="C41" s="15">
        <v>300</v>
      </c>
      <c r="D41" s="15">
        <f t="shared" si="5"/>
        <v>3.3333333333333335E-3</v>
      </c>
      <c r="E41" s="15" t="s">
        <v>310</v>
      </c>
      <c r="F41" s="15">
        <f t="shared" si="6"/>
        <v>300</v>
      </c>
      <c r="G41" s="15">
        <v>0</v>
      </c>
    </row>
    <row r="42" spans="1:7" s="15" customFormat="1" x14ac:dyDescent="0.2">
      <c r="A42" s="15">
        <v>41</v>
      </c>
      <c r="B42" s="15">
        <v>1</v>
      </c>
      <c r="C42" s="15">
        <v>200</v>
      </c>
      <c r="D42" s="15">
        <f t="shared" si="5"/>
        <v>5.0000000000000001E-3</v>
      </c>
      <c r="E42" s="15" t="s">
        <v>237</v>
      </c>
      <c r="F42" s="15">
        <f t="shared" si="6"/>
        <v>200</v>
      </c>
      <c r="G42" s="15">
        <v>0</v>
      </c>
    </row>
    <row r="43" spans="1:7" s="15" customFormat="1" x14ac:dyDescent="0.2">
      <c r="A43" s="15">
        <v>42</v>
      </c>
      <c r="B43" s="15">
        <v>1</v>
      </c>
      <c r="C43" s="15">
        <v>0</v>
      </c>
      <c r="D43" s="15">
        <f t="shared" si="5"/>
        <v>0</v>
      </c>
      <c r="E43" s="15" t="s">
        <v>238</v>
      </c>
      <c r="F43" s="15">
        <f t="shared" si="6"/>
        <v>0</v>
      </c>
      <c r="G43" s="15">
        <v>0</v>
      </c>
    </row>
    <row r="44" spans="1:7" s="15" customFormat="1" x14ac:dyDescent="0.2">
      <c r="A44" s="15">
        <v>43</v>
      </c>
      <c r="B44" s="15">
        <v>1</v>
      </c>
      <c r="C44" s="15">
        <v>200</v>
      </c>
      <c r="D44" s="15">
        <f t="shared" si="5"/>
        <v>5.0000000000000001E-3</v>
      </c>
      <c r="E44" s="15" t="s">
        <v>239</v>
      </c>
      <c r="F44" s="15">
        <f t="shared" si="6"/>
        <v>200</v>
      </c>
      <c r="G44" s="15">
        <v>0</v>
      </c>
    </row>
    <row r="45" spans="1:7" s="15" customFormat="1" x14ac:dyDescent="0.2">
      <c r="A45" s="15">
        <v>44</v>
      </c>
      <c r="B45" s="15">
        <v>1</v>
      </c>
      <c r="C45" s="15">
        <v>0</v>
      </c>
      <c r="D45" s="15">
        <f t="shared" si="5"/>
        <v>0</v>
      </c>
      <c r="E45" s="15" t="s">
        <v>240</v>
      </c>
      <c r="F45" s="15">
        <f t="shared" si="6"/>
        <v>0</v>
      </c>
      <c r="G45" s="15">
        <v>0</v>
      </c>
    </row>
    <row r="46" spans="1:7" s="15" customFormat="1" x14ac:dyDescent="0.2">
      <c r="A46" s="15">
        <v>45</v>
      </c>
      <c r="B46" s="15">
        <v>1</v>
      </c>
      <c r="C46" s="15">
        <v>0</v>
      </c>
      <c r="D46" s="15">
        <f t="shared" si="5"/>
        <v>0</v>
      </c>
      <c r="E46" s="15" t="s">
        <v>241</v>
      </c>
      <c r="F46" s="15">
        <f t="shared" si="6"/>
        <v>0</v>
      </c>
      <c r="G46" s="15">
        <v>0</v>
      </c>
    </row>
    <row r="47" spans="1:7" s="15" customFormat="1" x14ac:dyDescent="0.2">
      <c r="A47" s="15">
        <v>46</v>
      </c>
      <c r="B47" s="15">
        <v>1</v>
      </c>
      <c r="C47" s="15">
        <v>200</v>
      </c>
      <c r="D47" s="15">
        <f t="shared" si="5"/>
        <v>5.0000000000000001E-3</v>
      </c>
      <c r="E47" s="15" t="s">
        <v>152</v>
      </c>
      <c r="F47" s="15">
        <f t="shared" si="6"/>
        <v>200</v>
      </c>
      <c r="G47" s="15">
        <v>0</v>
      </c>
    </row>
    <row r="48" spans="1:7" s="15" customFormat="1" x14ac:dyDescent="0.2">
      <c r="A48" s="15">
        <v>47</v>
      </c>
      <c r="B48" s="15">
        <v>1</v>
      </c>
      <c r="C48" s="15">
        <v>150</v>
      </c>
      <c r="D48" s="15">
        <f t="shared" si="5"/>
        <v>6.6666666666666671E-3</v>
      </c>
      <c r="E48" s="15" t="s">
        <v>311</v>
      </c>
      <c r="F48" s="15">
        <f t="shared" si="6"/>
        <v>150</v>
      </c>
      <c r="G48" s="15">
        <v>0</v>
      </c>
    </row>
    <row r="49" spans="1:7" s="15" customFormat="1" x14ac:dyDescent="0.2">
      <c r="A49" s="15">
        <v>48</v>
      </c>
      <c r="B49" s="15">
        <v>1</v>
      </c>
      <c r="C49" s="15">
        <v>250</v>
      </c>
      <c r="D49" s="15">
        <f t="shared" si="5"/>
        <v>4.0000000000000001E-3</v>
      </c>
      <c r="E49" s="15" t="s">
        <v>242</v>
      </c>
      <c r="F49" s="15">
        <f t="shared" si="6"/>
        <v>250</v>
      </c>
      <c r="G49" s="15">
        <v>0</v>
      </c>
    </row>
    <row r="50" spans="1:7" s="15" customFormat="1" x14ac:dyDescent="0.2">
      <c r="A50" s="15">
        <v>49</v>
      </c>
      <c r="B50" s="15">
        <v>1</v>
      </c>
      <c r="C50" s="15">
        <v>200</v>
      </c>
      <c r="D50" s="15">
        <f t="shared" si="5"/>
        <v>5.0000000000000001E-3</v>
      </c>
      <c r="E50" s="15" t="s">
        <v>243</v>
      </c>
      <c r="F50" s="15">
        <f t="shared" si="6"/>
        <v>200</v>
      </c>
      <c r="G50" s="15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5"/>
        <v>0</v>
      </c>
      <c r="E51" s="2" t="s">
        <v>318</v>
      </c>
      <c r="F51" s="2">
        <f t="shared" si="6"/>
        <v>0</v>
      </c>
      <c r="G51" s="2">
        <v>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topLeftCell="A85" workbookViewId="0">
      <selection activeCell="A100" sqref="A100:XFD105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55</v>
      </c>
      <c r="C1" s="1" t="s">
        <v>15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D41"/>
  <sheetViews>
    <sheetView workbookViewId="0">
      <selection activeCell="C2" sqref="C2"/>
    </sheetView>
  </sheetViews>
  <sheetFormatPr defaultColWidth="8.875" defaultRowHeight="14.25" x14ac:dyDescent="0.2"/>
  <sheetData>
    <row r="1" spans="1:4" s="1" customFormat="1" ht="43.5" customHeight="1" x14ac:dyDescent="0.2">
      <c r="A1" s="1" t="s">
        <v>19</v>
      </c>
      <c r="B1" s="1" t="s">
        <v>27</v>
      </c>
      <c r="C1" s="1" t="s">
        <v>29</v>
      </c>
      <c r="D1" s="1" t="s">
        <v>66</v>
      </c>
    </row>
    <row r="2" spans="1:4" x14ac:dyDescent="0.2">
      <c r="A2">
        <v>1</v>
      </c>
      <c r="B2" s="5">
        <v>6.0000000000000001E-3</v>
      </c>
      <c r="C2">
        <v>90</v>
      </c>
      <c r="D2">
        <f>C2/B2/(1/profit!C2)/60</f>
        <v>40</v>
      </c>
    </row>
    <row r="3" spans="1:4" x14ac:dyDescent="0.2">
      <c r="A3">
        <v>2</v>
      </c>
      <c r="B3" s="5">
        <v>6.0000000000000001E-3</v>
      </c>
      <c r="C3">
        <v>90</v>
      </c>
      <c r="D3">
        <f>C3/B3/(1/profit!C3)/60</f>
        <v>40</v>
      </c>
    </row>
    <row r="4" spans="1:4" x14ac:dyDescent="0.2">
      <c r="A4">
        <v>3</v>
      </c>
      <c r="B4" s="5">
        <v>6.0000000000000001E-3</v>
      </c>
      <c r="C4">
        <v>90</v>
      </c>
      <c r="D4">
        <f>C4/B4/(1/profit!C4)/60</f>
        <v>40</v>
      </c>
    </row>
    <row r="5" spans="1:4" x14ac:dyDescent="0.2">
      <c r="A5">
        <v>4</v>
      </c>
      <c r="B5" s="5">
        <v>6.0000000000000001E-3</v>
      </c>
      <c r="C5">
        <v>90</v>
      </c>
      <c r="D5">
        <f>C5/B5/(1/profit!C5)/60</f>
        <v>40</v>
      </c>
    </row>
    <row r="6" spans="1:4" x14ac:dyDescent="0.2">
      <c r="A6">
        <v>5</v>
      </c>
      <c r="B6" s="5">
        <v>6.0000000000000001E-3</v>
      </c>
      <c r="C6">
        <v>90</v>
      </c>
      <c r="D6">
        <f>C6/B6/(1/profit!C6)/60</f>
        <v>40</v>
      </c>
    </row>
    <row r="7" spans="1:4" x14ac:dyDescent="0.2">
      <c r="A7">
        <v>6</v>
      </c>
      <c r="B7" s="5">
        <v>6.0000000000000001E-3</v>
      </c>
      <c r="C7">
        <v>90</v>
      </c>
      <c r="D7">
        <f>C7/B7/(1/profit!C7)/60</f>
        <v>40</v>
      </c>
    </row>
    <row r="8" spans="1:4" x14ac:dyDescent="0.2">
      <c r="A8">
        <v>7</v>
      </c>
      <c r="B8" s="5">
        <v>6.0000000000000001E-3</v>
      </c>
      <c r="C8">
        <v>90</v>
      </c>
      <c r="D8">
        <f>C8/B8/(1/profit!C8)/60</f>
        <v>40</v>
      </c>
    </row>
    <row r="9" spans="1:4" x14ac:dyDescent="0.2">
      <c r="A9">
        <v>8</v>
      </c>
      <c r="B9" s="5">
        <v>6.0000000000000001E-3</v>
      </c>
      <c r="C9">
        <v>90</v>
      </c>
      <c r="D9">
        <f>C9/B9/(1/profit!C9)/60</f>
        <v>40</v>
      </c>
    </row>
    <row r="10" spans="1:4" x14ac:dyDescent="0.2">
      <c r="A10">
        <v>9</v>
      </c>
      <c r="B10" s="5">
        <v>6.0000000000000001E-3</v>
      </c>
      <c r="C10">
        <v>90</v>
      </c>
      <c r="D10">
        <f>C10/B10/(1/profit!C10)/60</f>
        <v>40</v>
      </c>
    </row>
    <row r="11" spans="1:4" x14ac:dyDescent="0.2">
      <c r="A11">
        <v>10</v>
      </c>
      <c r="B11" s="5">
        <v>6.0000000000000001E-3</v>
      </c>
      <c r="C11">
        <v>90</v>
      </c>
      <c r="D11">
        <f>C11/B11/(1/profit!C11)/60</f>
        <v>40</v>
      </c>
    </row>
    <row r="12" spans="1:4" x14ac:dyDescent="0.2">
      <c r="A12">
        <v>11</v>
      </c>
      <c r="B12" s="5">
        <v>6.0000000000000001E-3</v>
      </c>
      <c r="C12">
        <v>90</v>
      </c>
      <c r="D12" t="e">
        <f>C12/B12/(1/profit!#REF!)/60</f>
        <v>#REF!</v>
      </c>
    </row>
    <row r="13" spans="1:4" x14ac:dyDescent="0.2">
      <c r="A13">
        <v>12</v>
      </c>
      <c r="B13" s="5">
        <v>6.0000000000000001E-3</v>
      </c>
      <c r="C13">
        <v>90</v>
      </c>
      <c r="D13" t="e">
        <f>C13/B13/(1/profit!#REF!)/60</f>
        <v>#REF!</v>
      </c>
    </row>
    <row r="14" spans="1:4" x14ac:dyDescent="0.2">
      <c r="A14">
        <v>13</v>
      </c>
      <c r="B14" s="5">
        <v>6.0000000000000001E-3</v>
      </c>
      <c r="C14">
        <v>90</v>
      </c>
      <c r="D14" t="e">
        <f>C14/B14/(1/profit!#REF!)/60</f>
        <v>#REF!</v>
      </c>
    </row>
    <row r="15" spans="1:4" x14ac:dyDescent="0.2">
      <c r="A15">
        <v>14</v>
      </c>
      <c r="B15" s="5">
        <v>6.0000000000000001E-3</v>
      </c>
      <c r="C15">
        <v>90</v>
      </c>
      <c r="D15" t="e">
        <f>C15/B15/(1/profit!#REF!)/60</f>
        <v>#REF!</v>
      </c>
    </row>
    <row r="16" spans="1:4" x14ac:dyDescent="0.2">
      <c r="A16">
        <v>15</v>
      </c>
      <c r="B16" s="5">
        <v>6.0000000000000001E-3</v>
      </c>
      <c r="C16">
        <v>90</v>
      </c>
      <c r="D16" t="e">
        <f>C16/B16/(1/profit!#REF!)/60</f>
        <v>#REF!</v>
      </c>
    </row>
    <row r="17" spans="1:4" x14ac:dyDescent="0.2">
      <c r="A17">
        <v>16</v>
      </c>
      <c r="B17" s="5">
        <v>6.0000000000000001E-3</v>
      </c>
      <c r="C17">
        <v>90</v>
      </c>
      <c r="D17" t="e">
        <f>C17/B17/(1/profit!#REF!)/60</f>
        <v>#REF!</v>
      </c>
    </row>
    <row r="18" spans="1:4" x14ac:dyDescent="0.2">
      <c r="A18">
        <v>17</v>
      </c>
      <c r="B18" s="5">
        <v>6.0000000000000001E-3</v>
      </c>
      <c r="C18">
        <v>90</v>
      </c>
      <c r="D18" t="e">
        <f>C18/B18/(1/profit!#REF!)/60</f>
        <v>#REF!</v>
      </c>
    </row>
    <row r="19" spans="1:4" x14ac:dyDescent="0.2">
      <c r="A19">
        <v>18</v>
      </c>
      <c r="B19" s="5">
        <v>6.0000000000000001E-3</v>
      </c>
      <c r="C19">
        <v>90</v>
      </c>
      <c r="D19" t="e">
        <f>C19/B19/(1/profit!#REF!)/60</f>
        <v>#REF!</v>
      </c>
    </row>
    <row r="20" spans="1:4" x14ac:dyDescent="0.2">
      <c r="A20">
        <v>19</v>
      </c>
      <c r="B20" s="5">
        <v>6.0000000000000001E-3</v>
      </c>
      <c r="C20">
        <v>90</v>
      </c>
      <c r="D20" t="e">
        <f>C20/B20/(1/profit!#REF!)/60</f>
        <v>#REF!</v>
      </c>
    </row>
    <row r="21" spans="1:4" x14ac:dyDescent="0.2">
      <c r="A21">
        <v>20</v>
      </c>
      <c r="B21" s="5">
        <v>6.0000000000000001E-3</v>
      </c>
      <c r="C21">
        <v>90</v>
      </c>
      <c r="D21" t="e">
        <f>C21/B21/(1/profit!#REF!)/60</f>
        <v>#REF!</v>
      </c>
    </row>
    <row r="22" spans="1:4" x14ac:dyDescent="0.2">
      <c r="A22">
        <v>21</v>
      </c>
      <c r="B22" s="5">
        <v>6.0000000000000001E-3</v>
      </c>
      <c r="C22">
        <v>90</v>
      </c>
      <c r="D22" t="e">
        <f>C22/B22/(1/profit!#REF!)/60</f>
        <v>#REF!</v>
      </c>
    </row>
    <row r="23" spans="1:4" x14ac:dyDescent="0.2">
      <c r="A23">
        <v>22</v>
      </c>
      <c r="B23" s="5">
        <v>6.0000000000000001E-3</v>
      </c>
      <c r="C23">
        <v>90</v>
      </c>
      <c r="D23" t="e">
        <f>C23/B23/(1/profit!#REF!)/60</f>
        <v>#REF!</v>
      </c>
    </row>
    <row r="24" spans="1:4" x14ac:dyDescent="0.2">
      <c r="A24">
        <v>23</v>
      </c>
      <c r="B24" s="5">
        <v>6.0000000000000001E-3</v>
      </c>
      <c r="C24">
        <v>90</v>
      </c>
      <c r="D24" t="e">
        <f>C24/B24/(1/profit!#REF!)/60</f>
        <v>#REF!</v>
      </c>
    </row>
    <row r="25" spans="1:4" x14ac:dyDescent="0.2">
      <c r="A25">
        <v>24</v>
      </c>
      <c r="B25" s="5">
        <v>6.0000000000000001E-3</v>
      </c>
      <c r="C25">
        <v>90</v>
      </c>
      <c r="D25" t="e">
        <f>C25/B25/(1/profit!#REF!)/60</f>
        <v>#REF!</v>
      </c>
    </row>
    <row r="26" spans="1:4" x14ac:dyDescent="0.2">
      <c r="A26">
        <v>25</v>
      </c>
      <c r="B26" s="5">
        <v>6.0000000000000001E-3</v>
      </c>
      <c r="C26">
        <v>90</v>
      </c>
      <c r="D26" t="e">
        <f>C26/B26/(1/profit!#REF!)/60</f>
        <v>#REF!</v>
      </c>
    </row>
    <row r="27" spans="1:4" x14ac:dyDescent="0.2">
      <c r="A27">
        <v>26</v>
      </c>
      <c r="B27" s="5">
        <v>6.0000000000000001E-3</v>
      </c>
      <c r="C27">
        <v>90</v>
      </c>
      <c r="D27" t="e">
        <f>C27/B27/(1/profit!#REF!)/60</f>
        <v>#REF!</v>
      </c>
    </row>
    <row r="28" spans="1:4" x14ac:dyDescent="0.2">
      <c r="A28">
        <v>27</v>
      </c>
      <c r="B28" s="5">
        <v>6.0000000000000001E-3</v>
      </c>
      <c r="C28">
        <v>90</v>
      </c>
      <c r="D28" t="e">
        <f>C28/B28/(1/profit!#REF!)/60</f>
        <v>#REF!</v>
      </c>
    </row>
    <row r="29" spans="1:4" x14ac:dyDescent="0.2">
      <c r="A29">
        <v>28</v>
      </c>
      <c r="B29" s="5">
        <v>6.0000000000000001E-3</v>
      </c>
      <c r="C29">
        <v>90</v>
      </c>
      <c r="D29" t="e">
        <f>C29/B29/(1/profit!#REF!)/60</f>
        <v>#REF!</v>
      </c>
    </row>
    <row r="30" spans="1:4" x14ac:dyDescent="0.2">
      <c r="A30">
        <v>29</v>
      </c>
      <c r="B30" s="5">
        <v>6.0000000000000001E-3</v>
      </c>
      <c r="C30">
        <v>90</v>
      </c>
      <c r="D30" t="e">
        <f>C30/B30/(1/profit!#REF!)/60</f>
        <v>#REF!</v>
      </c>
    </row>
    <row r="31" spans="1:4" x14ac:dyDescent="0.2">
      <c r="A31">
        <v>30</v>
      </c>
      <c r="B31" s="5">
        <v>6.0000000000000001E-3</v>
      </c>
      <c r="C31">
        <v>90</v>
      </c>
      <c r="D31" t="e">
        <f>C31/B31/(1/profit!#REF!)/60</f>
        <v>#REF!</v>
      </c>
    </row>
    <row r="32" spans="1:4" x14ac:dyDescent="0.2">
      <c r="A32">
        <v>31</v>
      </c>
      <c r="B32" s="5">
        <v>6.0000000000000001E-3</v>
      </c>
      <c r="C32">
        <v>90</v>
      </c>
      <c r="D32" t="e">
        <f>C32/B32/(1/profit!#REF!)/60</f>
        <v>#REF!</v>
      </c>
    </row>
    <row r="33" spans="1:4" x14ac:dyDescent="0.2">
      <c r="A33">
        <v>32</v>
      </c>
      <c r="B33" s="5">
        <v>6.0000000000000001E-3</v>
      </c>
      <c r="C33">
        <v>90</v>
      </c>
      <c r="D33" t="e">
        <f>C33/B33/(1/profit!#REF!)/60</f>
        <v>#REF!</v>
      </c>
    </row>
    <row r="34" spans="1:4" x14ac:dyDescent="0.2">
      <c r="A34">
        <v>33</v>
      </c>
      <c r="B34" s="5">
        <v>6.0000000000000001E-3</v>
      </c>
      <c r="C34">
        <v>90</v>
      </c>
      <c r="D34" t="e">
        <f>C34/B34/(1/profit!#REF!)/60</f>
        <v>#REF!</v>
      </c>
    </row>
    <row r="35" spans="1:4" x14ac:dyDescent="0.2">
      <c r="A35">
        <v>34</v>
      </c>
      <c r="B35" s="5">
        <v>6.0000000000000001E-3</v>
      </c>
      <c r="C35">
        <v>90</v>
      </c>
      <c r="D35" t="e">
        <f>C35/B35/(1/profit!#REF!)/60</f>
        <v>#REF!</v>
      </c>
    </row>
    <row r="36" spans="1:4" x14ac:dyDescent="0.2">
      <c r="A36">
        <v>35</v>
      </c>
      <c r="B36" s="5">
        <v>6.0000000000000001E-3</v>
      </c>
      <c r="C36">
        <v>90</v>
      </c>
      <c r="D36" t="e">
        <f>C36/B36/(1/profit!#REF!)/60</f>
        <v>#REF!</v>
      </c>
    </row>
    <row r="37" spans="1:4" x14ac:dyDescent="0.2">
      <c r="A37">
        <v>36</v>
      </c>
      <c r="B37" s="5">
        <v>6.0000000000000001E-3</v>
      </c>
      <c r="C37">
        <v>90</v>
      </c>
      <c r="D37" t="e">
        <f>C37/B37/(1/profit!#REF!)/60</f>
        <v>#REF!</v>
      </c>
    </row>
    <row r="38" spans="1:4" x14ac:dyDescent="0.2">
      <c r="A38">
        <v>37</v>
      </c>
      <c r="B38" s="5">
        <v>6.0000000000000001E-3</v>
      </c>
      <c r="C38">
        <v>90</v>
      </c>
      <c r="D38" t="e">
        <f>C38/B38/(1/profit!#REF!)/60</f>
        <v>#REF!</v>
      </c>
    </row>
    <row r="39" spans="1:4" x14ac:dyDescent="0.2">
      <c r="A39">
        <v>38</v>
      </c>
      <c r="B39" s="5">
        <v>6.0000000000000001E-3</v>
      </c>
      <c r="C39">
        <v>90</v>
      </c>
      <c r="D39" t="e">
        <f>C39/B39/(1/profit!#REF!)/60</f>
        <v>#REF!</v>
      </c>
    </row>
    <row r="40" spans="1:4" x14ac:dyDescent="0.2">
      <c r="A40">
        <v>39</v>
      </c>
      <c r="B40" s="5">
        <v>6.0000000000000001E-3</v>
      </c>
      <c r="C40">
        <v>90</v>
      </c>
      <c r="D40" t="e">
        <f>C40/B40/(1/profit!#REF!)/60</f>
        <v>#REF!</v>
      </c>
    </row>
    <row r="41" spans="1:4" x14ac:dyDescent="0.2">
      <c r="A41">
        <v>40</v>
      </c>
      <c r="B41" s="5">
        <v>6.0000000000000001E-3</v>
      </c>
      <c r="C41">
        <v>90</v>
      </c>
      <c r="D41" t="e">
        <f>C41/B41/(1/profit!#REF!)/60</f>
        <v>#REF!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1"/>
  <sheetViews>
    <sheetView workbookViewId="0">
      <selection activeCell="D6" sqref="D6"/>
    </sheetView>
  </sheetViews>
  <sheetFormatPr defaultColWidth="8.875" defaultRowHeight="14.25" x14ac:dyDescent="0.2"/>
  <sheetData>
    <row r="1" spans="1:2" s="1" customFormat="1" ht="39.75" customHeight="1" x14ac:dyDescent="0.2">
      <c r="A1" s="1" t="s">
        <v>30</v>
      </c>
      <c r="B1" s="1" t="s">
        <v>31</v>
      </c>
    </row>
    <row r="2" spans="1:2" x14ac:dyDescent="0.2">
      <c r="A2">
        <v>1</v>
      </c>
      <c r="B2">
        <v>100</v>
      </c>
    </row>
    <row r="3" spans="1:2" x14ac:dyDescent="0.2">
      <c r="A3">
        <v>2</v>
      </c>
      <c r="B3">
        <v>200</v>
      </c>
    </row>
    <row r="4" spans="1:2" x14ac:dyDescent="0.2">
      <c r="A4">
        <v>3</v>
      </c>
      <c r="B4">
        <v>300</v>
      </c>
    </row>
    <row r="5" spans="1:2" x14ac:dyDescent="0.2">
      <c r="A5">
        <v>4</v>
      </c>
      <c r="B5">
        <v>400</v>
      </c>
    </row>
    <row r="6" spans="1:2" x14ac:dyDescent="0.2">
      <c r="A6">
        <v>5</v>
      </c>
      <c r="B6">
        <v>500</v>
      </c>
    </row>
    <row r="7" spans="1:2" x14ac:dyDescent="0.2">
      <c r="A7">
        <v>6</v>
      </c>
      <c r="B7">
        <v>600</v>
      </c>
    </row>
    <row r="8" spans="1:2" x14ac:dyDescent="0.2">
      <c r="A8">
        <v>7</v>
      </c>
      <c r="B8">
        <v>700</v>
      </c>
    </row>
    <row r="9" spans="1:2" x14ac:dyDescent="0.2">
      <c r="A9">
        <v>8</v>
      </c>
      <c r="B9">
        <v>800</v>
      </c>
    </row>
    <row r="10" spans="1:2" x14ac:dyDescent="0.2">
      <c r="A10">
        <v>9</v>
      </c>
      <c r="B10">
        <v>900</v>
      </c>
    </row>
    <row r="11" spans="1:2" x14ac:dyDescent="0.2">
      <c r="A11">
        <v>10</v>
      </c>
      <c r="B11">
        <v>1000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3"/>
  <sheetViews>
    <sheetView workbookViewId="0">
      <selection activeCell="J13" sqref="J13"/>
    </sheetView>
  </sheetViews>
  <sheetFormatPr defaultColWidth="8.875" defaultRowHeight="14.25" x14ac:dyDescent="0.2"/>
  <sheetData>
    <row r="1" spans="1:4 16384:16384" x14ac:dyDescent="0.2">
      <c r="A1" s="1" t="s">
        <v>14</v>
      </c>
      <c r="B1" s="1" t="s">
        <v>57</v>
      </c>
      <c r="C1" s="1" t="s">
        <v>58</v>
      </c>
      <c r="D1" s="1" t="s">
        <v>59</v>
      </c>
      <c r="XFD1" s="1"/>
    </row>
    <row r="2" spans="1:4 16384:16384" x14ac:dyDescent="0.2">
      <c r="A2">
        <v>1</v>
      </c>
      <c r="B2" t="s">
        <v>60</v>
      </c>
      <c r="C2">
        <v>10</v>
      </c>
      <c r="D2">
        <v>0</v>
      </c>
    </row>
    <row r="3" spans="1:4 16384:16384" x14ac:dyDescent="0.2">
      <c r="A3">
        <v>2</v>
      </c>
      <c r="B3" t="s">
        <v>61</v>
      </c>
      <c r="C3">
        <v>20</v>
      </c>
      <c r="D3">
        <v>0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78</v>
      </c>
      <c r="B1" s="1" t="s">
        <v>79</v>
      </c>
      <c r="C1" s="1" t="s">
        <v>56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80</v>
      </c>
      <c r="C2" s="2"/>
    </row>
    <row r="3" spans="1:10 16384:16384" x14ac:dyDescent="0.2">
      <c r="A3" s="2">
        <v>2</v>
      </c>
      <c r="B3" s="2" t="s">
        <v>100</v>
      </c>
      <c r="C3" s="2" t="s">
        <v>81</v>
      </c>
    </row>
    <row r="4" spans="1:10 16384:16384" x14ac:dyDescent="0.2">
      <c r="A4" s="2">
        <v>3</v>
      </c>
      <c r="B4" s="2" t="s">
        <v>101</v>
      </c>
      <c r="C4" s="2" t="s">
        <v>82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E1" sqref="E1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83</v>
      </c>
      <c r="B1" s="1" t="s">
        <v>84</v>
      </c>
      <c r="C1" s="1" t="s">
        <v>85</v>
      </c>
      <c r="D1" s="1" t="s">
        <v>86</v>
      </c>
      <c r="E1" s="1" t="s">
        <v>87</v>
      </c>
      <c r="F1" s="1" t="s">
        <v>88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89</v>
      </c>
      <c r="D2" s="2">
        <v>0</v>
      </c>
      <c r="E2" s="2"/>
      <c r="F2" t="s">
        <v>90</v>
      </c>
    </row>
    <row r="3" spans="1:10 16384:16384" ht="39" customHeight="1" x14ac:dyDescent="0.2">
      <c r="A3" s="2">
        <v>2</v>
      </c>
      <c r="B3" s="2">
        <v>1</v>
      </c>
      <c r="C3" s="2" t="s">
        <v>91</v>
      </c>
      <c r="D3" s="2">
        <v>1</v>
      </c>
      <c r="E3" s="2" t="s">
        <v>95</v>
      </c>
      <c r="F3" t="s">
        <v>139</v>
      </c>
    </row>
    <row r="4" spans="1:10 16384:16384" ht="63.75" customHeight="1" x14ac:dyDescent="0.2">
      <c r="A4" s="2">
        <v>3</v>
      </c>
      <c r="B4" s="2">
        <v>1</v>
      </c>
      <c r="C4" s="2" t="s">
        <v>92</v>
      </c>
      <c r="D4" s="2">
        <v>0</v>
      </c>
      <c r="E4" s="4" t="s">
        <v>94</v>
      </c>
      <c r="F4" t="s">
        <v>93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"/>
  <sheetViews>
    <sheetView workbookViewId="0">
      <selection sqref="A1:B1"/>
    </sheetView>
  </sheetViews>
  <sheetFormatPr defaultRowHeight="14.25" x14ac:dyDescent="0.2"/>
  <sheetData>
    <row r="1" spans="1:9" ht="27" x14ac:dyDescent="0.2">
      <c r="A1" s="1" t="s">
        <v>128</v>
      </c>
      <c r="B1" s="1" t="s">
        <v>129</v>
      </c>
      <c r="C1" s="1" t="s">
        <v>130</v>
      </c>
      <c r="D1" s="1" t="s">
        <v>131</v>
      </c>
      <c r="E1" s="1" t="s">
        <v>132</v>
      </c>
      <c r="F1" s="1" t="s">
        <v>133</v>
      </c>
      <c r="G1" s="1" t="s">
        <v>134</v>
      </c>
      <c r="H1" s="1" t="s">
        <v>135</v>
      </c>
      <c r="I1" s="1" t="s">
        <v>136</v>
      </c>
    </row>
    <row r="2" spans="1:9" x14ac:dyDescent="0.2">
      <c r="B2" s="10"/>
      <c r="C2" s="10"/>
      <c r="F2" s="10"/>
      <c r="G2" s="10"/>
      <c r="H2" s="10"/>
      <c r="I2" s="10"/>
    </row>
    <row r="3" spans="1:9" x14ac:dyDescent="0.2">
      <c r="B3" s="10"/>
      <c r="C3" s="10"/>
      <c r="D3" s="10"/>
      <c r="E3" s="10"/>
      <c r="F3" s="10"/>
      <c r="G3" s="10"/>
      <c r="H3" s="10"/>
      <c r="I3" s="10"/>
    </row>
    <row r="4" spans="1:9" x14ac:dyDescent="0.2">
      <c r="B4" s="10"/>
      <c r="C4" s="10"/>
      <c r="E4" s="10"/>
      <c r="F4" s="10"/>
      <c r="G4" s="10"/>
      <c r="H4" s="10"/>
      <c r="I4" s="10"/>
    </row>
    <row r="5" spans="1:9" x14ac:dyDescent="0.2">
      <c r="B5" s="10"/>
      <c r="C5" s="10"/>
      <c r="D5" s="10"/>
      <c r="E5" s="10"/>
      <c r="F5" s="10"/>
      <c r="G5" s="10"/>
      <c r="H5" s="10"/>
      <c r="I5" s="10"/>
    </row>
    <row r="6" spans="1:9" x14ac:dyDescent="0.2">
      <c r="B6" s="10"/>
      <c r="C6" s="10"/>
      <c r="D6" s="10"/>
      <c r="E6" s="10"/>
      <c r="F6" s="10"/>
      <c r="G6" s="10"/>
      <c r="H6" s="10"/>
      <c r="I6" s="10"/>
    </row>
    <row r="7" spans="1:9" x14ac:dyDescent="0.2">
      <c r="B7" s="10"/>
      <c r="C7" s="10"/>
      <c r="D7" s="10"/>
      <c r="E7" s="10"/>
      <c r="F7" s="10"/>
      <c r="G7" s="10"/>
      <c r="H7" s="10"/>
      <c r="I7" s="10"/>
    </row>
    <row r="8" spans="1:9" x14ac:dyDescent="0.2">
      <c r="B8" s="10"/>
      <c r="C8" s="10"/>
      <c r="D8" s="10"/>
      <c r="E8" s="10"/>
      <c r="F8" s="10"/>
      <c r="G8" s="10"/>
      <c r="H8" s="10"/>
      <c r="I8" s="10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1"/>
  <sheetViews>
    <sheetView workbookViewId="0">
      <selection activeCell="J41" sqref="J41"/>
    </sheetView>
  </sheetViews>
  <sheetFormatPr defaultRowHeight="14.25" x14ac:dyDescent="0.2"/>
  <sheetData>
    <row r="1" spans="1:2" x14ac:dyDescent="0.2">
      <c r="A1" t="s">
        <v>137</v>
      </c>
      <c r="B1" t="s">
        <v>138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"/>
  <sheetViews>
    <sheetView workbookViewId="0">
      <selection activeCell="C18" sqref="C18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128</v>
      </c>
      <c r="B1" s="1" t="s">
        <v>142</v>
      </c>
      <c r="C1" t="s">
        <v>143</v>
      </c>
    </row>
    <row r="2" spans="1:3" x14ac:dyDescent="0.2">
      <c r="A2">
        <v>1</v>
      </c>
      <c r="B2" t="s">
        <v>322</v>
      </c>
      <c r="C2" t="s">
        <v>144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19</vt:i4>
      </vt:variant>
    </vt:vector>
  </HeadingPairs>
  <TitlesOfParts>
    <vt:vector size="19" baseType="lpstr">
      <vt:lpstr>profit</vt:lpstr>
      <vt:lpstr>random_wave</vt:lpstr>
      <vt:lpstr>wave</vt:lpstr>
      <vt:lpstr>image_type_cfg</vt:lpstr>
      <vt:lpstr>image_cfg</vt:lpstr>
      <vt:lpstr>group</vt:lpstr>
      <vt:lpstr>use_fish</vt:lpstr>
      <vt:lpstr>activity</vt:lpstr>
      <vt:lpstr>box_fish_activity</vt:lpstr>
      <vt:lpstr>base_fish</vt:lpstr>
      <vt:lpstr>path</vt:lpstr>
      <vt:lpstr>laser</vt:lpstr>
      <vt:lpstr>gun</vt:lpstr>
      <vt:lpstr>skill</vt:lpstr>
      <vt:lpstr>dead_mode</vt:lpstr>
      <vt:lpstr>box_fish_award</vt:lpstr>
      <vt:lpstr>match_award</vt:lpstr>
      <vt:lpstr>ue_event_map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2020-06-28T07:22:00Z</dcterms:modified>
</cp:coreProperties>
</file>