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0" i="5" l="1"/>
  <c r="G32" i="5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I61" i="7"/>
  <c r="J61" i="7"/>
  <c r="J62" i="7"/>
  <c r="J63" i="7"/>
  <c r="H64" i="7"/>
  <c r="I64" i="7"/>
  <c r="J64" i="7"/>
  <c r="J65" i="7"/>
  <c r="J66" i="7"/>
  <c r="J67" i="7"/>
  <c r="J2" i="7"/>
  <c r="E48" i="14" l="1"/>
  <c r="H61" i="7" s="1"/>
  <c r="E49" i="14"/>
  <c r="H62" i="7" s="1"/>
  <c r="E50" i="14"/>
  <c r="H63" i="7" s="1"/>
  <c r="G36" i="5"/>
  <c r="G30" i="5"/>
  <c r="G21" i="5"/>
  <c r="G19" i="5"/>
  <c r="I26" i="14" l="1"/>
  <c r="E26" i="14"/>
  <c r="L25" i="14"/>
  <c r="J39" i="7"/>
  <c r="F26" i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F47" i="14" s="1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K23" i="14"/>
  <c r="F28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I27" i="7" l="1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F43" i="14"/>
  <c r="H57" i="7"/>
  <c r="F45" i="14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F38" i="14"/>
  <c r="H52" i="7"/>
  <c r="F40" i="14"/>
  <c r="H54" i="7"/>
  <c r="F42" i="14"/>
  <c r="H56" i="7"/>
  <c r="F44" i="14"/>
  <c r="H58" i="7"/>
  <c r="F46" i="14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63" i="7" s="1"/>
  <c r="I44" i="14"/>
  <c r="I58" i="7" s="1"/>
  <c r="I37" i="14"/>
  <c r="I51" i="7" s="1"/>
  <c r="I42" i="14"/>
  <c r="I56" i="7" s="1"/>
  <c r="I35" i="14"/>
  <c r="I49" i="7" s="1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<sst xmlns="http://schemas.openxmlformats.org/spreadsheetml/2006/main" count="479" uniqueCount="361">
  <si>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</si>
  <si>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</si>
  <si>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</si>
  <si>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</si>
  <si>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</si>
  <si>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</si>
  <si>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</si>
  <si>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</si>
  <si>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</si>
  <si>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</si>
  <si>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</si>
  <si>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</si>
  <si>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</si>
  <si>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</si>
  <si>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</si>
  <si>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</si>
  <si>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</si>
  <si>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</si>
  <si>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</si>
  <si>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</si>
  <si>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</si>
  <si>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</si>
  <si>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</si>
  <si>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</si>
  <si>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</si>
  <si>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</si>
  <si>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</si>
  <si>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</si>
  <si>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</si>
  <si>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</si>
  <si>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</si>
  <si>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</si>
  <si>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</si>
  <si>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</si>
  <si>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</si>
  <si>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</si>
  <si>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</si>
  <si>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</si>
  <si>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</si>
  <si>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</si>
  <si>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</si>
  <si>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</si>
  <si>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</si>
  <si>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</si>
  <si>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</si>
  <si>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</si>
  <si>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</si>
  <si>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</si>
  <si>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</si>
  <si>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</si>
  <si>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</si>
  <si>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</si>
  <si>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</si>
  <si>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</si>
  <si>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</si>
  <si>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</si>
  <si>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</si>
  <si>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</si>
  <si>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</si>
  <si>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</si>
  <si>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</si>
  <si>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</si>
  <si>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</si>
  <si>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</si>
  <si>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</si>
  <si>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</si>
  <si>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</si>
  <si>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</si>
  <si>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</si>
  <si>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</si>
  <si>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</si>
  <si>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</si>
  <si>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</si>
  <si>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</si>
  <si>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</si>
  <si>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</si>
  <si>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</si>
  <si>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</si>
  <si>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</si>
  <si>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</si>
  <si>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</si>
  <si>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</si>
  <si>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</si>
  <si>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</si>
  <si>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</si>
  <si>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</si>
  <si>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</si>
  <si>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</si>
  <si>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</si>
  <si>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</si>
  <si>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</si>
  <si>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</si>
  <si>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</si>
  <si>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</si>
  <si>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</si>
  <si>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</si>
  <si>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</si>
  <si>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</si>
  <si>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</si>
  <si>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</si>
  <si>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</si>
  <si>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</si>
  <si>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</si>
  <si>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</si>
  <si>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</si>
  <si>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</si>
  <si>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</si>
  <si>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</si>
  <si>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</si>
  <si>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</si>
  <si>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</si>
  <si>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</si>
  <si>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</si>
  <si>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</si>
  <si>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</si>
  <si>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</si>
  <si>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</si>
  <si>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</si>
  <si>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</si>
  <si>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</si>
  <si>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</si>
  <si>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</si>
  <si>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</si>
  <si>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</si>
  <si>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</si>
  <si>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</si>
  <si>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</si>
  <si>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</si>
  <si>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</si>
  <si>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</si>
  <si>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</si>
  <si>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</si>
  <si>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</si>
  <si>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</si>
  <si>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</si>
  <si>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</si>
  <si>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</si>
  <si>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</si>
  <si>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</si>
  <si>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</si>
  <si>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</si>
  <si>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</si>
  <si>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</si>
  <si>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</si>
  <si>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</si>
  <si>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</si>
  <si>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</si>
  <si>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</si>
  <si>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</si>
  <si>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</si>
  <si>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</si>
  <si>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</si>
  <si>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</si>
  <si>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</si>
  <si>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</si>
  <si>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</si>
  <si>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</si>
  <si>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</si>
  <si>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</si>
  <si>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</si>
  <si>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</si>
  <si>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</si>
  <si>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</si>
  <si>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</si>
  <si>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</si>
  <si>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</si>
  <si>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</si>
  <si>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</si>
  <si>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</si>
  <si>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</si>
  <si>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</si>
  <si>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</si>
  <si>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</si>
  <si>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</si>
  <si>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</si>
  <si>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</si>
  <si>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</si>
  <si>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</si>
  <si>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</si>
  <si>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</si>
  <si>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</si>
  <si>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</si>
  <si>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</si>
  <si>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</si>
  <si>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</si>
  <si>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</si>
  <si>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</si>
  <si>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</si>
  <si>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</si>
  <si>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</si>
  <si>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</si>
  <si>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</si>
  <si>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</si>
  <si>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</si>
  <si>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</si>
  <si>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</si>
  <si>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</si>
  <si>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</si>
  <si>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</si>
  <si>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</si>
  <si>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</si>
  <si>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</si>
  <si>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</si>
  <si>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</si>
  <si>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</si>
  <si>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</si>
  <si>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</si>
  <si>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100,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</si>
  <si>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</si>
  <si>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</si>
  <si>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</si>
  <si>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</si>
  <si>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</si>
  <si>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</si>
  <si>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</si>
  <si>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</si>
  <si>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</si>
  <si>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</si>
  <si>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</si>
  <si>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</si>
  <si>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</si>
  <si>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</si>
  <si>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</si>
  <si>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</si>
  <si>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</si>
  <si>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</si>
  <si>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</si>
  <si>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</si>
  <si>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</si>
  <si>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</si>
  <si>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</si>
  <si>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</si>
  <si>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</si>
  <si>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</si>
  <si>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</si>
  <si>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</si>
  <si>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</si>
  <si>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</si>
  <si>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</si>
  <si>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</si>
  <si>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</si>
  <si>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</si>
  <si>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</si>
  <si>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</si>
  <si>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</si>
  <si>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</si>
  <si>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</si>
  <si>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</si>
  <si>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</si>
  <si>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</si>
  <si>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</si>
  <si>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</si>
  <si>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</si>
  <si>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</si>
  <si>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</si>
  <si>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</si>
  <si>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</si>
  <si>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</si>
  <si>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</si>
  <si>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</si>
  <si>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</si>
  <si>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</si>
  <si>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</si>
  <si>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</si>
  <si>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</si>
  <si>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</si>
  <si>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</si>
  <si>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</si>
  <si>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</si>
  <si>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</si>
  <si>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</si>
  <si>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</si>
  <si>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</si>
  <si>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</si>
  <si>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</si>
  <si>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</si>
  <si>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</si>
  <si>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</si>
  <si>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</si>
  <si>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</si>
  <si>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</si>
  <si>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</si>
  <si>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</si>
  <si>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</si>
  <si>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</si>
  <si>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</si>
  <si>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</si>
  <si>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</si>
  <si>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</si>
  <si>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</si>
  <si>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</si>
  <si>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</si>
  <si>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</si>
  <si>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</si>
  <si>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</si>
  <si>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</si>
  <si>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</si>
  <si>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</si>
  <si>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</si>
  <si>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</si>
  <si>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</si>
  <si>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</si>
  <si>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</si>
  <si>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</si>
  <si>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</si>
  <si>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</si>
  <si>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</si>
  <si>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</si>
  <si>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</si>
  <si>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</si>
  <si>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</si>
  <si>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</si>
  <si>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</si>
  <si>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</si>
  <si>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</si>
  <si>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</si>
  <si>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</si>
  <si>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</si>
  <si>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</si>
  <si>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</si>
  <si>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</si>
  <si>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</si>
  <si>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</si>
  <si>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</si>
  <si>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</si>
  <si>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</si>
  <si>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</si>
  <si>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</si>
  <si>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</si>
  <si>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</si>
  <si>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</si>
  <si>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</si>
  <si>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</si>
  <si>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</si>
  <si>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50,50,50,50,100,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</si>
  <si>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</si>
  <si>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</si>
  <si>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</si>
  <si>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</si>
  <si>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</si>
  <si>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1,0,10,1,20,2,20,</t>
    <phoneticPr fontId="1" type="noConversion"/>
  </si>
  <si>
    <t>初级彩贝</t>
    <phoneticPr fontId="1" type="noConversion"/>
  </si>
  <si>
    <t>中级彩贝</t>
    <phoneticPr fontId="1" type="noConversion"/>
  </si>
  <si>
    <t>100倍金币爆发</t>
    <phoneticPr fontId="1" type="noConversion"/>
  </si>
  <si>
    <t>400,500</t>
    <phoneticPr fontId="1" type="noConversion"/>
  </si>
  <si>
    <t>幸运转盘</t>
    <phoneticPr fontId="1" type="noConversion"/>
  </si>
  <si>
    <t>200,</t>
    <phoneticPr fontId="1" type="noConversion"/>
  </si>
  <si>
    <t>4,40,60,80,120,</t>
    <phoneticPr fontId="1" type="noConversion"/>
  </si>
  <si>
    <t>1,500,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</si>
  <si>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</si>
  <si>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</si>
  <si>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</si>
  <si>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0,200</t>
    <phoneticPr fontId="1" type="noConversion"/>
  </si>
  <si>
    <t>0,200</t>
    <phoneticPr fontId="1" type="noConversion"/>
  </si>
  <si>
    <t>0,300</t>
    <phoneticPr fontId="1" type="noConversion"/>
  </si>
  <si>
    <t>0,300</t>
    <phoneticPr fontId="1" type="noConversion"/>
  </si>
  <si>
    <t>0,400</t>
    <phoneticPr fontId="1" type="noConversion"/>
  </si>
  <si>
    <t>250,2,</t>
    <phoneticPr fontId="1" type="noConversion"/>
  </si>
  <si>
    <t>超级火力</t>
    <phoneticPr fontId="1" type="noConversion"/>
  </si>
  <si>
    <t>200,</t>
    <phoneticPr fontId="1" type="noConversion"/>
  </si>
  <si>
    <t>120,180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</si>
</sst>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221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202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204</v>
      </c>
      <c r="M1" s="8" t="s">
        <v>216</v>
      </c>
    </row>
    <row r="2" spans="1:13" x14ac:dyDescent="0.2">
      <c r="A2" s="2">
        <v>1</v>
      </c>
      <c r="B2" s="2" t="s">
        <v>323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205</v>
      </c>
      <c r="C3" s="2">
        <v>1</v>
      </c>
      <c r="D3" t="s">
        <v>203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205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205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205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205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205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205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263</v>
      </c>
      <c r="C10" s="2">
        <v>3</v>
      </c>
      <c r="D10" t="s">
        <v>221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317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324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11" activePane="bottomLeft" state="frozen"/>
      <selection pane="bottomLeft" activeCell="L17" sqref="L17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264</v>
      </c>
      <c r="B1" s="1" t="s">
        <v>265</v>
      </c>
      <c r="C1" s="1" t="s">
        <v>266</v>
      </c>
      <c r="D1" s="1" t="s">
        <v>267</v>
      </c>
      <c r="E1" s="1" t="s">
        <v>268</v>
      </c>
      <c r="F1" s="1" t="s">
        <v>269</v>
      </c>
      <c r="G1" s="1" t="s">
        <v>270</v>
      </c>
      <c r="H1" s="1" t="s">
        <v>97</v>
      </c>
      <c r="I1" s="1" t="s">
        <v>271</v>
      </c>
      <c r="J1" s="9" t="s">
        <v>105</v>
      </c>
      <c r="K1" s="1" t="s">
        <v>272</v>
      </c>
      <c r="L1" s="1" t="s">
        <v>50</v>
      </c>
      <c r="Q1" s="1" t="s">
        <v>273</v>
      </c>
      <c r="R1" s="1" t="s">
        <v>273</v>
      </c>
      <c r="S1" s="1" t="s">
        <v>273</v>
      </c>
      <c r="T1" s="1" t="s">
        <v>273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274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255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213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214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275</v>
      </c>
      <c r="G7" s="45" t="s">
        <v>276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277</v>
      </c>
      <c r="D8" s="29" t="s">
        <v>159</v>
      </c>
      <c r="G8" s="45" t="s">
        <v>278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279</v>
      </c>
      <c r="D10" s="29" t="s">
        <v>280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281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256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282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283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284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285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286</v>
      </c>
      <c r="G19" s="41" t="s">
        <v>287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288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289</v>
      </c>
      <c r="G21" s="41" t="s">
        <v>290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291</v>
      </c>
      <c r="G22" s="41" t="s">
        <v>208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292</v>
      </c>
      <c r="G23" s="21" t="s">
        <v>260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293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294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295</v>
      </c>
      <c r="G26" s="21" t="s">
        <v>296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297</v>
      </c>
      <c r="G27" s="41" t="s">
        <v>298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299</v>
      </c>
      <c r="G28" s="41" t="s">
        <v>300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301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302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303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304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305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306</v>
      </c>
      <c r="H39" s="19" t="s">
        <v>252</v>
      </c>
      <c r="I39" s="19" t="s">
        <v>253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307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310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311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312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400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313</v>
      </c>
      <c r="G65" s="45" t="s">
        <v>314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315</v>
      </c>
      <c r="G66" s="45" t="s">
        <v>261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316</v>
      </c>
      <c r="G67" s="46" t="s">
        <v>262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5" activePane="bottomLeft" state="frozen"/>
      <selection pane="bottomLeft" activeCell="C31" sqref="C3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206</v>
      </c>
      <c r="C1" s="1" t="s">
        <v>11</v>
      </c>
      <c r="D1" s="1" t="s">
        <v>322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195</v>
      </c>
      <c r="O1" s="8" t="s">
        <v>204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326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326</v>
      </c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327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327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334</v>
      </c>
      <c r="F25" s="19" t="s">
        <v>253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252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326</v>
      </c>
      <c r="E26" s="19">
        <f>LOOKUP(use_fish!B26,base_fish!A:A,base_fish!C:C)+_xlfn.IFNA(INDEX(activity!F:F,MATCH(use_fish!C26,activity!A:A,0)),0)</f>
        <v>150</v>
      </c>
      <c r="F26" s="19">
        <f t="shared" si="3"/>
        <v>6.6666666666666671E-3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LOOKUP(use_fish!B26,base_fish!A:A,base_fish!G:G)</f>
        <v>0</v>
      </c>
      <c r="L26" s="21">
        <f t="shared" ref="L26" si="5">I26</f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327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326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38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奇遇蟹+超级火力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f>LOOKUP(use_fish!B35,base_fish!A:A,base_fish!F:F)+_xlfn.IFNA(INDEX(activity!F:F,MATCH(use_fish!C35,activity!A:A,0)),0)</f>
        <v>500</v>
      </c>
      <c r="J35" s="25">
        <v>1</v>
      </c>
      <c r="K35" s="25">
        <f>LOOKUP(use_fish!B35,base_fish!A:A,base_fish!G:G)</f>
        <v>0</v>
      </c>
      <c r="L35" s="25">
        <f t="shared" si="9"/>
        <v>500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321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352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353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353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352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353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354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321</v>
      </c>
      <c r="E48" s="36">
        <f>LOOKUP(use_fish!B48,base_fish!A:A,base_fish!C:C)+_xlfn.IFNA(INDEX(activity!F:F,MATCH(use_fish!C48,activity!A:A,0)),0)</f>
        <v>400</v>
      </c>
      <c r="F48" s="36">
        <f t="shared" si="12"/>
        <v>2.5000000000000001E-3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355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356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328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9"/>
  <sheetViews>
    <sheetView topLeftCell="A4" workbookViewId="0">
      <selection activeCell="A20" sqref="A20:G2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257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258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325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335</v>
      </c>
      <c r="D18" s="4">
        <v>0</v>
      </c>
      <c r="E18" s="4">
        <v>0</v>
      </c>
      <c r="F18">
        <v>150</v>
      </c>
      <c r="G18" t="s">
        <v>336</v>
      </c>
      <c r="H18">
        <v>22</v>
      </c>
      <c r="I18" t="s">
        <v>196</v>
      </c>
    </row>
    <row r="19" spans="1:9" x14ac:dyDescent="0.2">
      <c r="A19">
        <v>18</v>
      </c>
      <c r="B19">
        <v>18</v>
      </c>
      <c r="C19" t="s">
        <v>337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198</v>
      </c>
    </row>
    <row r="20" spans="1:9" x14ac:dyDescent="0.2">
      <c r="A20">
        <v>19</v>
      </c>
      <c r="B20">
        <v>17</v>
      </c>
      <c r="C20" s="11" t="s">
        <v>360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199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200</v>
      </c>
    </row>
    <row r="22" spans="1:9" x14ac:dyDescent="0.2">
      <c r="A22">
        <v>21</v>
      </c>
      <c r="B22">
        <v>20</v>
      </c>
      <c r="C22" s="11" t="s">
        <v>338</v>
      </c>
      <c r="D22" s="4">
        <v>0</v>
      </c>
      <c r="E22" s="4">
        <v>0</v>
      </c>
      <c r="F22">
        <v>50</v>
      </c>
      <c r="G22" t="s">
        <v>217</v>
      </c>
      <c r="H22">
        <v>26</v>
      </c>
      <c r="I22" t="s">
        <v>211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218</v>
      </c>
      <c r="H23">
        <v>27</v>
      </c>
      <c r="I23" t="s">
        <v>212</v>
      </c>
    </row>
    <row r="24" spans="1:9" x14ac:dyDescent="0.2">
      <c r="A24">
        <v>23</v>
      </c>
      <c r="B24">
        <v>20</v>
      </c>
      <c r="C24" s="11" t="s">
        <v>339</v>
      </c>
      <c r="D24" s="4">
        <v>0</v>
      </c>
      <c r="E24" s="4">
        <v>0</v>
      </c>
      <c r="F24">
        <v>250</v>
      </c>
      <c r="G24" t="s">
        <v>219</v>
      </c>
      <c r="H24">
        <v>28</v>
      </c>
      <c r="I24" t="s">
        <v>210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220</v>
      </c>
      <c r="H25">
        <v>29</v>
      </c>
      <c r="I25" t="s">
        <v>209</v>
      </c>
    </row>
    <row r="26" spans="1:9" x14ac:dyDescent="0.2">
      <c r="A26">
        <v>25</v>
      </c>
      <c r="B26">
        <v>21</v>
      </c>
      <c r="C26" s="11" t="s">
        <v>340</v>
      </c>
      <c r="D26" s="4">
        <v>0</v>
      </c>
      <c r="E26" s="4">
        <v>0</v>
      </c>
      <c r="F26">
        <v>10</v>
      </c>
      <c r="G26" t="s">
        <v>341</v>
      </c>
      <c r="H26">
        <v>30</v>
      </c>
      <c r="I26" t="s">
        <v>320</v>
      </c>
    </row>
    <row r="27" spans="1:9" x14ac:dyDescent="0.2">
      <c r="A27">
        <v>26</v>
      </c>
      <c r="B27">
        <v>21</v>
      </c>
      <c r="C27" s="11" t="s">
        <v>192</v>
      </c>
      <c r="D27" s="4">
        <v>0</v>
      </c>
      <c r="E27" s="4">
        <v>0</v>
      </c>
      <c r="F27">
        <v>50</v>
      </c>
      <c r="G27" t="s">
        <v>342</v>
      </c>
      <c r="H27">
        <v>31</v>
      </c>
      <c r="I27" t="s">
        <v>332</v>
      </c>
    </row>
    <row r="28" spans="1:9" x14ac:dyDescent="0.2">
      <c r="A28">
        <v>27</v>
      </c>
      <c r="B28">
        <v>21</v>
      </c>
      <c r="C28" s="11" t="s">
        <v>193</v>
      </c>
      <c r="D28" s="4">
        <v>0</v>
      </c>
      <c r="E28" s="4">
        <v>0</v>
      </c>
      <c r="F28">
        <v>100</v>
      </c>
      <c r="G28" t="s">
        <v>194</v>
      </c>
      <c r="H28">
        <v>32</v>
      </c>
      <c r="I28" t="s">
        <v>330</v>
      </c>
    </row>
    <row r="29" spans="1:9" x14ac:dyDescent="0.2">
      <c r="A29">
        <v>28</v>
      </c>
      <c r="B29">
        <v>22</v>
      </c>
      <c r="C29" s="11" t="s">
        <v>197</v>
      </c>
      <c r="D29" s="4">
        <v>0</v>
      </c>
      <c r="E29" s="4">
        <v>0</v>
      </c>
      <c r="F29">
        <v>100</v>
      </c>
      <c r="G29" t="s">
        <v>343</v>
      </c>
      <c r="H29">
        <v>33</v>
      </c>
      <c r="I29" t="s">
        <v>331</v>
      </c>
    </row>
    <row r="30" spans="1:9" x14ac:dyDescent="0.2">
      <c r="A30">
        <v>29</v>
      </c>
      <c r="B30">
        <v>23</v>
      </c>
      <c r="C30" t="s">
        <v>215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344</v>
      </c>
      <c r="D31" s="4">
        <v>0</v>
      </c>
      <c r="E31" s="4">
        <v>0</v>
      </c>
      <c r="F31">
        <v>500</v>
      </c>
      <c r="G31" t="s">
        <v>199</v>
      </c>
    </row>
    <row r="32" spans="1:9" x14ac:dyDescent="0.2">
      <c r="A32">
        <v>31</v>
      </c>
      <c r="B32">
        <v>25</v>
      </c>
      <c r="C32" t="s">
        <v>359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207</v>
      </c>
      <c r="D33" s="4">
        <v>0</v>
      </c>
      <c r="E33" s="4">
        <v>0</v>
      </c>
      <c r="F33">
        <v>100</v>
      </c>
      <c r="G33" t="s">
        <v>345</v>
      </c>
    </row>
    <row r="34" spans="1:7" x14ac:dyDescent="0.2">
      <c r="A34">
        <v>33</v>
      </c>
      <c r="B34">
        <v>29</v>
      </c>
      <c r="C34" t="s">
        <v>207</v>
      </c>
      <c r="D34" s="4">
        <v>0</v>
      </c>
      <c r="E34" s="4">
        <v>0</v>
      </c>
      <c r="F34">
        <v>100</v>
      </c>
      <c r="G34" t="s">
        <v>209</v>
      </c>
    </row>
    <row r="35" spans="1:7" x14ac:dyDescent="0.2">
      <c r="A35">
        <v>34</v>
      </c>
      <c r="B35">
        <v>30</v>
      </c>
      <c r="C35" s="11" t="s">
        <v>346</v>
      </c>
      <c r="D35" s="4">
        <v>0</v>
      </c>
      <c r="E35" s="4">
        <v>0</v>
      </c>
      <c r="F35">
        <v>200</v>
      </c>
      <c r="G35" t="s">
        <v>320</v>
      </c>
    </row>
    <row r="36" spans="1:7" x14ac:dyDescent="0.2">
      <c r="A36">
        <v>35</v>
      </c>
      <c r="B36">
        <v>31</v>
      </c>
      <c r="C36" t="s">
        <v>347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348</v>
      </c>
      <c r="D37" s="4">
        <v>0</v>
      </c>
      <c r="E37" s="4">
        <v>0</v>
      </c>
      <c r="F37">
        <v>500</v>
      </c>
      <c r="G37" t="s">
        <v>349</v>
      </c>
    </row>
    <row r="38" spans="1:7" x14ac:dyDescent="0.2">
      <c r="A38">
        <v>37</v>
      </c>
      <c r="B38">
        <v>33</v>
      </c>
      <c r="C38" t="s">
        <v>350</v>
      </c>
      <c r="D38" s="4">
        <v>0</v>
      </c>
      <c r="E38" s="4">
        <v>0</v>
      </c>
      <c r="F38">
        <v>500</v>
      </c>
      <c r="G38" t="s">
        <v>351</v>
      </c>
    </row>
    <row r="39" spans="1:7" x14ac:dyDescent="0.2">
      <c r="A39">
        <v>38</v>
      </c>
      <c r="B39">
        <v>2</v>
      </c>
      <c r="C39" t="s">
        <v>357</v>
      </c>
      <c r="D39" s="4">
        <v>0</v>
      </c>
      <c r="E39" s="4">
        <v>0</v>
      </c>
      <c r="F39">
        <v>250</v>
      </c>
      <c r="G39" t="s">
        <v>358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4" zoomScaleNormal="100" workbookViewId="0">
      <selection activeCell="A19" sqref="A19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223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224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225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226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227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230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231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232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233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234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235</v>
      </c>
      <c r="F17" s="15">
        <f t="shared" si="1"/>
        <v>35</v>
      </c>
      <c r="G17" s="15">
        <v>0</v>
      </c>
      <c r="H17" s="15" t="s">
        <v>201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254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236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237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238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252</v>
      </c>
      <c r="D25" s="15" t="s">
        <v>253</v>
      </c>
      <c r="E25" s="17" t="s">
        <v>239</v>
      </c>
      <c r="F25" s="15" t="s">
        <v>252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240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259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241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242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243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222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244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318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245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246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247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248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249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319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250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251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329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333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2020-05-28T01:41:48Z</dcterms:modified>
</cp:coreProperties>
</file>