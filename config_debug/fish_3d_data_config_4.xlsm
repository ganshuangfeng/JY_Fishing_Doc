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G20" i="5" l="1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G30" i="5"/>
  <c r="G21" i="5"/>
  <c r="G19" i="5"/>
  <c r="H63" i="7" l="1"/>
  <c r="H64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K23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<sst xmlns="http://schemas.openxmlformats.org/spreadsheetml/2006/main" count="478" uniqueCount="371">
  <si>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</si>
  <si>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</si>
  <si>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</si>
  <si>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</si>
  <si>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</si>
  <si>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</si>
  <si>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</si>
  <si>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</si>
  <si>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</si>
  <si>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</si>
  <si>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</si>
  <si>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</si>
  <si>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</si>
  <si>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</si>
  <si>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</si>
  <si>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</si>
  <si>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</si>
  <si>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</si>
  <si>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</si>
  <si>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</si>
  <si>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</si>
  <si>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</si>
  <si>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</si>
  <si>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</si>
  <si>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</si>
  <si>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</si>
  <si>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</si>
  <si>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</si>
  <si>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</si>
  <si>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</si>
  <si>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</si>
  <si>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</si>
  <si>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</si>
  <si>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</si>
  <si>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</si>
  <si>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</si>
  <si>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</si>
  <si>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</si>
  <si>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</si>
  <si>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</si>
  <si>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</si>
  <si>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</si>
  <si>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</si>
  <si>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</si>
  <si>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</si>
  <si>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</si>
  <si>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</si>
  <si>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</si>
  <si>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</si>
  <si>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</si>
  <si>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</si>
  <si>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</si>
  <si>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</si>
  <si>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</si>
  <si>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</si>
  <si>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</si>
  <si>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</si>
  <si>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</si>
  <si>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</si>
  <si>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</si>
  <si>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</si>
  <si>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</si>
  <si>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</si>
  <si>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</si>
  <si>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</si>
  <si>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</si>
  <si>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</si>
  <si>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</si>
  <si>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</si>
  <si>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</si>
  <si>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</si>
  <si>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</si>
  <si>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</si>
  <si>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</si>
  <si>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</si>
  <si>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</si>
  <si>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</si>
  <si>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</si>
  <si>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</si>
  <si>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</si>
  <si>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</si>
  <si>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</si>
  <si>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</si>
  <si>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</si>
  <si>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</si>
  <si>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</si>
  <si>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</si>
  <si>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</si>
  <si>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</si>
  <si>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</si>
  <si>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</si>
  <si>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</si>
  <si>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</si>
  <si>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</si>
  <si>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</si>
  <si>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</si>
  <si>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</si>
  <si>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</si>
  <si>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</si>
  <si>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</si>
  <si>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</si>
  <si>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</si>
  <si>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</si>
  <si>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</si>
  <si>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</si>
  <si>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</si>
  <si>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</si>
  <si>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</si>
  <si>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</si>
  <si>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</si>
  <si>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</si>
  <si>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</si>
  <si>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</si>
  <si>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</si>
  <si>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</si>
  <si>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</si>
  <si>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</si>
  <si>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</si>
  <si>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</si>
  <si>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</si>
  <si>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</si>
  <si>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</si>
  <si>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</si>
  <si>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</si>
  <si>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</si>
  <si>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</si>
  <si>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</si>
  <si>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</si>
  <si>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</si>
  <si>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</si>
  <si>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</si>
  <si>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</si>
  <si>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</si>
  <si>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</si>
  <si>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</si>
  <si>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</si>
  <si>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</si>
  <si>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</si>
  <si>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</si>
  <si>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</si>
  <si>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</si>
  <si>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</si>
  <si>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</si>
  <si>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</si>
  <si>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</si>
  <si>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</si>
  <si>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</si>
  <si>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</si>
  <si>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</si>
  <si>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</si>
  <si>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</si>
  <si>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</si>
  <si>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</si>
  <si>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</si>
  <si>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</si>
  <si>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</si>
  <si>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</si>
  <si>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</si>
  <si>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</si>
  <si>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</si>
  <si>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</si>
  <si>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</si>
  <si>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</si>
  <si>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</si>
  <si>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</si>
  <si>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</si>
  <si>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</si>
  <si>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</si>
  <si>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</si>
  <si>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</si>
  <si>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</si>
  <si>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</si>
  <si>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</si>
  <si>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</si>
  <si>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</si>
  <si>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</si>
  <si>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</si>
  <si>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</si>
  <si>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</si>
  <si>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</si>
  <si>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</si>
  <si>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</si>
  <si>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</si>
  <si>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</si>
  <si>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</si>
  <si>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</si>
  <si>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</si>
  <si>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</si>
  <si>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</si>
  <si>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</si>
  <si>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</si>
  <si>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</si>
  <si>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</si>
  <si>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</si>
  <si>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</si>
  <si>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</si>
  <si>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</si>
  <si>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</si>
  <si>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</si>
  <si>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</si>
  <si>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</si>
  <si>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</si>
  <si>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</si>
  <si>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</si>
  <si>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</si>
  <si>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</si>
  <si>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</si>
  <si>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</si>
  <si>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</si>
  <si>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</si>
  <si>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</si>
  <si>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</si>
  <si>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</si>
  <si>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</si>
  <si>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</si>
  <si>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</si>
  <si>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</si>
  <si>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</si>
  <si>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</si>
  <si>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</si>
  <si>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</si>
  <si>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</si>
  <si>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</si>
  <si>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</si>
  <si>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</si>
  <si>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</si>
  <si>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</si>
  <si>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</si>
  <si>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</si>
  <si>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</si>
  <si>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</si>
  <si>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</si>
  <si>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</si>
  <si>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</si>
  <si>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</si>
  <si>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</si>
  <si>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</si>
  <si>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</si>
  <si>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</si>
  <si>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</si>
  <si>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</si>
  <si>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</si>
  <si>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</si>
  <si>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</si>
  <si>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</si>
  <si>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</si>
  <si>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</si>
  <si>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</si>
  <si>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</si>
  <si>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</si>
  <si>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</si>
  <si>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</si>
  <si>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</si>
  <si>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</si>
  <si>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</si>
  <si>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</si>
  <si>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</si>
  <si>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</si>
  <si>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</si>
  <si>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</si>
  <si>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</si>
  <si>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</si>
  <si>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</si>
  <si>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</si>
  <si>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</si>
  <si>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</si>
  <si>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</si>
  <si>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</si>
  <si>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</si>
  <si>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</si>
  <si>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</si>
  <si>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</si>
  <si>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</si>
  <si>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</si>
  <si>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</si>
  <si>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</si>
  <si>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</si>
  <si>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</si>
  <si>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</si>
  <si>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</si>
  <si>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</si>
  <si>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</si>
  <si>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</si>
  <si>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</si>
  <si>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</si>
  <si>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</si>
  <si>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</si>
  <si>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</si>
  <si>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</si>
  <si>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</si>
  <si>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</si>
  <si>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</si>
  <si>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</si>
  <si>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</si>
  <si>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</si>
  <si>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</si>
  <si>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</si>
  <si>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</si>
  <si>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</si>
  <si>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</si>
  <si>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</si>
  <si>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</si>
  <si>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</si>
  <si>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</si>
  <si>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</si>
  <si>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</si>
  <si>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</si>
  <si>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</si>
  <si>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</si>
  <si>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</si>
  <si>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</si>
  <si>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</si>
  <si>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</si>
  <si>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</si>
  <si>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</si>
  <si>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</si>
  <si>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</si>
  <si>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</si>
  <si>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</si>
  <si>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</si>
  <si>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</si>
  <si>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</si>
  <si>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</si>
  <si>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</si>
  <si>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</si>
  <si>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</si>
  <si>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</si>
  <si>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</si>
  <si>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</si>
  <si>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</si>
  <si>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</si>
  <si>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</si>
  <si>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</si>
  <si>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</si>
  <si>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</si>
  <si>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</si>
  <si>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</si>
  <si>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</si>
  <si>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</si>
  <si>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</si>
  <si>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</si>
  <si>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</si>
  <si>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</si>
  <si>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</si>
  <si>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</si>
  <si>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</si>
  <si>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炽火龙王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</si>
  <si>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</si>
  <si>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</si>
  <si>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</si>
  <si>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</si>
  <si>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</si>
  <si>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</si>
  <si>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</si>
  <si>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</si>
  <si>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</si>
  <si>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</si>
  <si>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</si>
  <si>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</si>
  <si>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</si>
  <si>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</si>
  <si>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</si>
  <si>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</si>
  <si>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</si>
  <si>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200,400</t>
    <phoneticPr fontId="1" type="noConversion"/>
  </si>
  <si>
    <t>200,</t>
    <phoneticPr fontId="1" type="noConversion"/>
  </si>
  <si>
    <t>200,</t>
    <phoneticPr fontId="1" type="noConversion"/>
  </si>
  <si>
    <t>连环转盘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</si>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</sst>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216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201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203</v>
      </c>
      <c r="M1" s="8" t="s">
        <v>211</v>
      </c>
    </row>
    <row r="2" spans="1:13" x14ac:dyDescent="0.2">
      <c r="A2" s="2">
        <v>1</v>
      </c>
      <c r="B2" s="2" t="s">
        <v>317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204</v>
      </c>
      <c r="C3" s="2">
        <v>1</v>
      </c>
      <c r="D3" t="s">
        <v>202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204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204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204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204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204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204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258</v>
      </c>
      <c r="C10" s="2">
        <v>3</v>
      </c>
      <c r="D10" t="s">
        <v>216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312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318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259</v>
      </c>
      <c r="B1" s="1" t="s">
        <v>260</v>
      </c>
      <c r="C1" s="1" t="s">
        <v>261</v>
      </c>
      <c r="D1" s="1" t="s">
        <v>262</v>
      </c>
      <c r="E1" s="1" t="s">
        <v>263</v>
      </c>
      <c r="F1" s="1" t="s">
        <v>264</v>
      </c>
      <c r="G1" s="1" t="s">
        <v>265</v>
      </c>
      <c r="H1" s="1" t="s">
        <v>97</v>
      </c>
      <c r="I1" s="1" t="s">
        <v>266</v>
      </c>
      <c r="J1" s="9" t="s">
        <v>105</v>
      </c>
      <c r="K1" s="1" t="s">
        <v>267</v>
      </c>
      <c r="L1" s="1" t="s">
        <v>50</v>
      </c>
      <c r="Q1" s="1" t="s">
        <v>268</v>
      </c>
      <c r="R1" s="1" t="s">
        <v>268</v>
      </c>
      <c r="S1" s="1" t="s">
        <v>268</v>
      </c>
      <c r="T1" s="1" t="s">
        <v>268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269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250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270</v>
      </c>
      <c r="G7" s="45" t="s">
        <v>271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272</v>
      </c>
      <c r="G8" s="45" t="s">
        <v>273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274</v>
      </c>
      <c r="D10" s="29" t="s">
        <v>275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276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251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277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278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279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280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281</v>
      </c>
      <c r="G19" s="41" t="s">
        <v>282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283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284</v>
      </c>
      <c r="G21" s="41" t="s">
        <v>285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286</v>
      </c>
      <c r="G22" s="41" t="s">
        <v>206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287</v>
      </c>
      <c r="G23" s="21" t="s">
        <v>255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288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289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290</v>
      </c>
      <c r="G26" s="21" t="s">
        <v>291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292</v>
      </c>
      <c r="G27" s="41" t="s">
        <v>293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294</v>
      </c>
      <c r="G28" s="41" t="s">
        <v>295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296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297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298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299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300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301</v>
      </c>
      <c r="H39" s="19" t="s">
        <v>247</v>
      </c>
      <c r="I39" s="19" t="s">
        <v>248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302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303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304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305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306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307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308</v>
      </c>
      <c r="G65" s="45" t="s">
        <v>309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310</v>
      </c>
      <c r="G66" s="45" t="s">
        <v>256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311</v>
      </c>
      <c r="G67" s="46" t="s">
        <v>257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I36" sqref="I36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205</v>
      </c>
      <c r="C1" s="1" t="s">
        <v>11</v>
      </c>
      <c r="D1" s="1" t="s">
        <v>316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203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349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350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351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361</v>
      </c>
      <c r="F25" s="19" t="s">
        <v>362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247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349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349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352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8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9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9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335</v>
      </c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4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336</v>
      </c>
      <c r="E41" s="32">
        <f>LOOKUP(use_fish!B41,base_fish!A:A,base_fish!C:C)+_xlfn.IFNA(INDEX(activity!F:F,MATCH(use_fish!C41,activity!A:A,0)),0)</f>
        <v>300</v>
      </c>
      <c r="F41" s="32">
        <f t="shared" si="10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1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354</v>
      </c>
      <c r="E42" s="32">
        <f>LOOKUP(use_fish!B42,base_fish!A:A,base_fish!C:C)+_xlfn.IFNA(INDEX(activity!F:F,MATCH(use_fish!C42,activity!A:A,0)),0)</f>
        <v>200</v>
      </c>
      <c r="F42" s="32">
        <f t="shared" si="10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1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1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200</v>
      </c>
      <c r="F44" s="32">
        <f t="shared" si="10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1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1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2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357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335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358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abSelected="1" topLeftCell="A7" workbookViewId="0">
      <selection activeCell="I20" sqref="I20:I24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252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253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319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326</v>
      </c>
      <c r="D18" s="4">
        <v>0</v>
      </c>
      <c r="E18" s="4">
        <v>0</v>
      </c>
      <c r="F18">
        <v>150</v>
      </c>
      <c r="G18" t="s">
        <v>327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328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337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367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199</v>
      </c>
    </row>
    <row r="22" spans="1:9" x14ac:dyDescent="0.2">
      <c r="A22">
        <v>21</v>
      </c>
      <c r="B22">
        <v>20</v>
      </c>
      <c r="C22" s="11" t="s">
        <v>329</v>
      </c>
      <c r="D22" s="4">
        <v>0</v>
      </c>
      <c r="E22" s="4">
        <v>0</v>
      </c>
      <c r="F22">
        <v>50</v>
      </c>
      <c r="G22" t="s">
        <v>212</v>
      </c>
      <c r="H22">
        <v>26</v>
      </c>
      <c r="I22" t="s">
        <v>368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213</v>
      </c>
      <c r="H23">
        <v>27</v>
      </c>
      <c r="I23" t="s">
        <v>369</v>
      </c>
    </row>
    <row r="24" spans="1:9" x14ac:dyDescent="0.2">
      <c r="A24">
        <v>23</v>
      </c>
      <c r="B24">
        <v>20</v>
      </c>
      <c r="C24" s="11" t="s">
        <v>330</v>
      </c>
      <c r="D24" s="4">
        <v>0</v>
      </c>
      <c r="E24" s="4">
        <v>0</v>
      </c>
      <c r="F24">
        <v>250</v>
      </c>
      <c r="G24" t="s">
        <v>214</v>
      </c>
      <c r="H24">
        <v>28</v>
      </c>
      <c r="I24" t="s">
        <v>370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215</v>
      </c>
      <c r="H25">
        <v>29</v>
      </c>
      <c r="I25" t="s">
        <v>207</v>
      </c>
    </row>
    <row r="26" spans="1:9" x14ac:dyDescent="0.2">
      <c r="A26">
        <v>25</v>
      </c>
      <c r="B26">
        <v>21</v>
      </c>
      <c r="C26" s="11" t="s">
        <v>331</v>
      </c>
      <c r="D26" s="4">
        <v>0</v>
      </c>
      <c r="E26" s="4">
        <v>0</v>
      </c>
      <c r="F26">
        <v>10</v>
      </c>
      <c r="G26" t="s">
        <v>332</v>
      </c>
      <c r="H26">
        <v>30</v>
      </c>
      <c r="I26" t="s">
        <v>315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333</v>
      </c>
      <c r="H27">
        <v>31</v>
      </c>
      <c r="I27" t="s">
        <v>324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322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334</v>
      </c>
      <c r="H29">
        <v>33</v>
      </c>
      <c r="I29" t="s">
        <v>323</v>
      </c>
    </row>
    <row r="30" spans="1:9" x14ac:dyDescent="0.2">
      <c r="A30">
        <v>29</v>
      </c>
      <c r="B30">
        <v>23</v>
      </c>
      <c r="C30" t="s">
        <v>210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339</v>
      </c>
    </row>
    <row r="31" spans="1:9" x14ac:dyDescent="0.2">
      <c r="A31">
        <v>30</v>
      </c>
      <c r="B31">
        <v>24</v>
      </c>
      <c r="C31" s="11" t="s">
        <v>364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341</v>
      </c>
    </row>
    <row r="32" spans="1:9" x14ac:dyDescent="0.2">
      <c r="A32">
        <v>31</v>
      </c>
      <c r="B32">
        <v>25</v>
      </c>
      <c r="C32" t="s">
        <v>365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366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343</v>
      </c>
      <c r="D34" s="4">
        <v>0</v>
      </c>
      <c r="E34" s="4">
        <v>0</v>
      </c>
      <c r="F34">
        <v>300</v>
      </c>
      <c r="G34" t="s">
        <v>344</v>
      </c>
    </row>
    <row r="35" spans="1:7" x14ac:dyDescent="0.2">
      <c r="A35">
        <v>34</v>
      </c>
      <c r="B35">
        <v>30</v>
      </c>
      <c r="C35" s="11" t="s">
        <v>360</v>
      </c>
      <c r="D35" s="4">
        <v>0</v>
      </c>
      <c r="E35" s="4">
        <v>0</v>
      </c>
      <c r="F35">
        <v>150</v>
      </c>
      <c r="G35" t="s">
        <v>315</v>
      </c>
    </row>
    <row r="36" spans="1:7" x14ac:dyDescent="0.2">
      <c r="A36">
        <v>35</v>
      </c>
      <c r="B36">
        <v>31</v>
      </c>
      <c r="C36" t="s">
        <v>345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359</v>
      </c>
      <c r="D37" s="4">
        <v>0</v>
      </c>
      <c r="E37" s="4">
        <v>0</v>
      </c>
      <c r="F37">
        <v>300</v>
      </c>
      <c r="G37" t="s">
        <v>346</v>
      </c>
    </row>
    <row r="38" spans="1:7" x14ac:dyDescent="0.2">
      <c r="A38">
        <v>37</v>
      </c>
      <c r="B38">
        <v>33</v>
      </c>
      <c r="C38" t="s">
        <v>363</v>
      </c>
      <c r="D38" s="4">
        <v>0</v>
      </c>
      <c r="E38" s="4">
        <v>0</v>
      </c>
      <c r="F38">
        <v>200</v>
      </c>
      <c r="G38" t="s">
        <v>323</v>
      </c>
    </row>
    <row r="39" spans="1:7" x14ac:dyDescent="0.2">
      <c r="A39">
        <v>38</v>
      </c>
      <c r="B39">
        <v>38</v>
      </c>
      <c r="C39" t="s">
        <v>347</v>
      </c>
      <c r="D39" s="4">
        <v>0</v>
      </c>
      <c r="E39" s="4">
        <v>0</v>
      </c>
      <c r="F39">
        <v>250</v>
      </c>
      <c r="G39" t="s">
        <v>348</v>
      </c>
    </row>
    <row r="40" spans="1:7" x14ac:dyDescent="0.2">
      <c r="A40">
        <v>39</v>
      </c>
      <c r="B40">
        <v>39</v>
      </c>
      <c r="C40" t="s">
        <v>338</v>
      </c>
      <c r="D40" s="4">
        <v>0</v>
      </c>
      <c r="E40" s="4">
        <v>0</v>
      </c>
      <c r="F40">
        <v>250</v>
      </c>
      <c r="G40" t="s">
        <v>340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218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219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220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221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222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223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224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225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226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227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228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229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230</v>
      </c>
      <c r="F17" s="15">
        <f t="shared" si="1"/>
        <v>35</v>
      </c>
      <c r="G17" s="15">
        <v>0</v>
      </c>
      <c r="H17" s="15" t="s">
        <v>200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249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231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232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233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342</v>
      </c>
      <c r="D25" s="15" t="s">
        <v>248</v>
      </c>
      <c r="E25" s="17" t="s">
        <v>234</v>
      </c>
      <c r="F25" s="15" t="s">
        <v>247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235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254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236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237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238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217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239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313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240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241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242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243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244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314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245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246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325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2020-06-28T02:16:44Z</dcterms:modified>
</cp:coreProperties>
</file>