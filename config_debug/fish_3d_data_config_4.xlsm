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 l="1"/>
  <c r="F27" i="14"/>
  <c r="F26" i="14"/>
  <c r="F24" i="14"/>
  <c r="F23" i="14"/>
  <c r="F22" i="14"/>
  <c r="F21" i="14"/>
  <c r="G36" i="5" l="1"/>
  <c r="G20" i="5" l="1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G30" i="5"/>
  <c r="G21" i="5"/>
  <c r="G19" i="5"/>
  <c r="H63" i="7" l="1"/>
  <c r="H64" i="7"/>
  <c r="L25" i="14"/>
  <c r="J39" i="7"/>
  <c r="F26" i="1"/>
  <c r="I26" i="14" s="1"/>
  <c r="D26" i="1"/>
  <c r="H40" i="7" l="1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K23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27" i="7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H57" i="7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H52" i="7"/>
  <c r="F40" i="14"/>
  <c r="H54" i="7"/>
  <c r="F42" i="14"/>
  <c r="H56" i="7"/>
  <c r="F44" i="14"/>
  <c r="H58" i="7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<sst xmlns="http://schemas.openxmlformats.org/spreadsheetml/2006/main" count="482" uniqueCount="375">
  <si>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</si>
  <si>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</si>
  <si>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</si>
  <si>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</si>
  <si>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</si>
  <si>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</si>
  <si>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</si>
  <si>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</si>
  <si>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</si>
  <si>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</si>
  <si>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</si>
  <si>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</si>
  <si>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</si>
  <si>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</si>
  <si>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</si>
  <si>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</si>
  <si>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</si>
  <si>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</si>
  <si>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</si>
  <si>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</si>
  <si>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</si>
  <si>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</si>
  <si>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</si>
  <si>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</si>
  <si>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</si>
  <si>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</si>
  <si>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</si>
  <si>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</si>
  <si>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</si>
  <si>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</si>
  <si>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</si>
  <si>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</si>
  <si>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</si>
  <si>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</si>
  <si>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</si>
  <si>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</si>
  <si>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</si>
  <si>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</si>
  <si>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</si>
  <si>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</si>
  <si>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</si>
  <si>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</si>
  <si>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</si>
  <si>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</si>
  <si>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</si>
  <si>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</si>
  <si>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</si>
  <si>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</si>
  <si>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</si>
  <si>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</si>
  <si>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</si>
  <si>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</si>
  <si>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</si>
  <si>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</si>
  <si>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</si>
  <si>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</si>
  <si>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</si>
  <si>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</si>
  <si>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</si>
  <si>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</si>
  <si>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</si>
  <si>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</si>
  <si>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</si>
  <si>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</si>
  <si>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</si>
  <si>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</si>
  <si>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</si>
  <si>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</si>
  <si>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</si>
  <si>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</si>
  <si>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</si>
  <si>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</si>
  <si>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</si>
  <si>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</si>
  <si>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</si>
  <si>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</si>
  <si>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</si>
  <si>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</si>
  <si>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</si>
  <si>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</si>
  <si>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</si>
  <si>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</si>
  <si>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</si>
  <si>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</si>
  <si>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</si>
  <si>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</si>
  <si>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</si>
  <si>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</si>
  <si>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</si>
  <si>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</si>
  <si>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</si>
  <si>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</si>
  <si>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</si>
  <si>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</si>
  <si>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</si>
  <si>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</si>
  <si>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</si>
  <si>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</si>
  <si>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</si>
  <si>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</si>
  <si>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</si>
  <si>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</si>
  <si>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</si>
  <si>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</si>
  <si>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</si>
  <si>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</si>
  <si>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</si>
  <si>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</si>
  <si>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</si>
  <si>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</si>
  <si>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</si>
  <si>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</si>
  <si>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</si>
  <si>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</si>
  <si>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</si>
  <si>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</si>
  <si>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</si>
  <si>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</si>
  <si>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</si>
  <si>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</si>
  <si>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</si>
  <si>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</si>
  <si>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</si>
  <si>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</si>
  <si>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</si>
  <si>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</si>
  <si>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</si>
  <si>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</si>
  <si>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</si>
  <si>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</si>
  <si>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</si>
  <si>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</si>
  <si>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</si>
  <si>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</si>
  <si>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</si>
  <si>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</si>
  <si>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</si>
  <si>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</si>
  <si>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</si>
  <si>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</si>
  <si>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</si>
  <si>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</si>
  <si>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</si>
  <si>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</si>
  <si>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</si>
  <si>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</si>
  <si>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</si>
  <si>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</si>
  <si>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</si>
  <si>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</si>
  <si>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</si>
  <si>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</si>
  <si>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</si>
  <si>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</si>
  <si>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</si>
  <si>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</si>
  <si>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</si>
  <si>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</si>
  <si>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</si>
  <si>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</si>
  <si>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</si>
  <si>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</si>
  <si>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</si>
  <si>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</si>
  <si>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</si>
  <si>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</si>
  <si>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</si>
  <si>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</si>
  <si>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</si>
  <si>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</si>
  <si>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</si>
  <si>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</si>
  <si>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</si>
  <si>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</si>
  <si>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</si>
  <si>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</si>
  <si>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</si>
  <si>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</si>
  <si>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</si>
  <si>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</si>
  <si>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</si>
  <si>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</si>
  <si>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</si>
  <si>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</si>
  <si>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</si>
  <si>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</si>
  <si>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</si>
  <si>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</si>
  <si>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</si>
  <si>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</si>
  <si>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</si>
  <si>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</si>
  <si>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</si>
  <si>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</si>
  <si>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</si>
  <si>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</si>
  <si>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</si>
  <si>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</si>
  <si>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</si>
  <si>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</si>
  <si>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</si>
  <si>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</si>
  <si>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</si>
  <si>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</si>
  <si>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</si>
  <si>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</si>
  <si>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</si>
  <si>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</si>
  <si>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</si>
  <si>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</si>
  <si>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</si>
  <si>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</si>
  <si>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</si>
  <si>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</si>
  <si>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</si>
  <si>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</si>
  <si>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</si>
  <si>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</si>
  <si>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</si>
  <si>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</si>
  <si>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</si>
  <si>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</si>
  <si>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</si>
  <si>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</si>
  <si>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</si>
  <si>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</si>
  <si>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</si>
  <si>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</si>
  <si>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</si>
  <si>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</si>
  <si>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</si>
  <si>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</si>
  <si>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</si>
  <si>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</si>
  <si>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</si>
  <si>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</si>
  <si>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</si>
  <si>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</si>
  <si>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</si>
  <si>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</si>
  <si>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</si>
  <si>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</si>
  <si>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</si>
  <si>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</si>
  <si>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</si>
  <si>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</si>
  <si>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</si>
  <si>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</si>
  <si>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</si>
  <si>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</si>
  <si>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</si>
  <si>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</si>
  <si>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</si>
  <si>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</si>
  <si>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</si>
  <si>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</si>
  <si>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</si>
  <si>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</si>
  <si>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</si>
  <si>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</si>
  <si>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</si>
  <si>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</si>
  <si>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</si>
  <si>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</si>
  <si>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</si>
  <si>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</si>
  <si>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</si>
  <si>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</si>
  <si>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</si>
  <si>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</si>
  <si>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</si>
  <si>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</si>
  <si>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</si>
  <si>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</si>
  <si>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</si>
  <si>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</si>
  <si>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</si>
  <si>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</si>
  <si>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</si>
  <si>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</si>
  <si>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</si>
  <si>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</si>
  <si>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</si>
  <si>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</si>
  <si>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</si>
  <si>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</si>
  <si>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</si>
  <si>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</si>
  <si>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</si>
  <si>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</si>
  <si>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</si>
  <si>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</si>
  <si>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</si>
  <si>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</si>
  <si>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</si>
  <si>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</si>
  <si>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</si>
  <si>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</si>
  <si>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</si>
  <si>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</si>
  <si>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</si>
  <si>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</si>
  <si>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</si>
  <si>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</si>
  <si>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</si>
  <si>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</si>
  <si>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</si>
  <si>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</si>
  <si>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</si>
  <si>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</si>
  <si>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</si>
  <si>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</si>
  <si>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</si>
  <si>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</si>
  <si>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</si>
  <si>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</si>
  <si>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</si>
  <si>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</si>
  <si>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</si>
  <si>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</si>
  <si>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</si>
  <si>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</si>
  <si>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</si>
  <si>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</si>
  <si>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</si>
  <si>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</si>
  <si>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</si>
  <si>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</si>
  <si>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100倍金币爆发</t>
    <phoneticPr fontId="1" type="noConversion"/>
  </si>
  <si>
    <t>0,200</t>
    <phoneticPr fontId="1" type="noConversion"/>
  </si>
  <si>
    <t>0,300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</si>
  <si>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</si>
  <si>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</si>
  <si>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</si>
  <si>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</si>
  <si>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</si>
  <si>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50,50,50,50,100,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</si>
  <si>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</si>
  <si>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</si>
  <si>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</si>
  <si>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炽火龙王</t>
    <phoneticPr fontId="1" type="noConversion"/>
  </si>
  <si>
    <t>250,2,</t>
    <phoneticPr fontId="1" type="noConversion"/>
  </si>
  <si>
    <t>强击弹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</si>
  <si>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</si>
  <si>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</si>
  <si>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</si>
  <si>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</si>
  <si>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</si>
  <si>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</si>
  <si>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</si>
  <si>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</si>
  <si>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</si>
  <si>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</si>
  <si>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</si>
  <si>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</si>
  <si>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</si>
  <si>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</si>
  <si>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</si>
  <si>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200,400</t>
    <phoneticPr fontId="1" type="noConversion"/>
  </si>
  <si>
    <t>200,</t>
    <phoneticPr fontId="1" type="noConversion"/>
  </si>
  <si>
    <t>200,</t>
    <phoneticPr fontId="1" type="noConversion"/>
  </si>
  <si>
    <t>连环转盘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</si>
  <si>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</si>
  <si>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</si>
  <si>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</si>
  <si>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</si>
  <si>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</si>
  <si>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</si>
  <si>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</si>
  <si>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</si>
  <si>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</si>
  <si>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</si>
  <si>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</si>
  <si>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</si>
  <si>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1,0,84,1,0,2,0,3,10,4,5,5,1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</si>
</sst>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213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208</v>
      </c>
    </row>
    <row r="2" spans="1:13" x14ac:dyDescent="0.2">
      <c r="A2" s="2">
        <v>1</v>
      </c>
      <c r="B2" s="2" t="s">
        <v>314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255</v>
      </c>
      <c r="C10" s="2">
        <v>3</v>
      </c>
      <c r="D10" t="s">
        <v>213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315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D1" workbookViewId="0">
      <pane ySplit="1" topLeftCell="A47" activePane="bottomLeft" state="frozen"/>
      <selection pane="bottomLeft" activeCell="Q63" sqref="Q6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 t="s">
        <v>262</v>
      </c>
      <c r="H1" s="1" t="s">
        <v>97</v>
      </c>
      <c r="I1" s="1" t="s">
        <v>263</v>
      </c>
      <c r="J1" s="9" t="s">
        <v>105</v>
      </c>
      <c r="K1" s="1" t="s">
        <v>264</v>
      </c>
      <c r="L1" s="1" t="s">
        <v>50</v>
      </c>
      <c r="Q1" s="1" t="s">
        <v>265</v>
      </c>
      <c r="R1" s="1" t="s">
        <v>265</v>
      </c>
      <c r="S1" s="1" t="s">
        <v>265</v>
      </c>
      <c r="T1" s="1" t="s">
        <v>265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266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247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205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206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267</v>
      </c>
      <c r="G7" s="45" t="s">
        <v>268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269</v>
      </c>
      <c r="G8" s="45" t="s">
        <v>270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271</v>
      </c>
      <c r="D10" s="29" t="s">
        <v>272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273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248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274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275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276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277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278</v>
      </c>
      <c r="G19" s="41" t="s">
        <v>279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280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281</v>
      </c>
      <c r="G21" s="41" t="s">
        <v>282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283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284</v>
      </c>
      <c r="G23" s="21" t="s">
        <v>252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285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286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287</v>
      </c>
      <c r="G26" s="21" t="s">
        <v>288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289</v>
      </c>
      <c r="G27" s="41" t="s">
        <v>290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291</v>
      </c>
      <c r="G28" s="41" t="s">
        <v>292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293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294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295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297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298</v>
      </c>
      <c r="H39" s="19" t="s">
        <v>244</v>
      </c>
      <c r="I39" s="19" t="s">
        <v>245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299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305</v>
      </c>
      <c r="G65" s="45" t="s">
        <v>306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307</v>
      </c>
      <c r="G66" s="45" t="s">
        <v>253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308</v>
      </c>
      <c r="G67" s="46" t="s">
        <v>254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0" activePane="bottomLeft" state="frozen"/>
      <selection pane="bottomLeft" activeCell="C39" sqref="C39:C4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313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343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344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345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355</v>
      </c>
      <c r="F25" s="19" t="s">
        <v>356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244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343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ref="L26" si="5">I26</f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343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346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8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9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9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329</v>
      </c>
      <c r="E39" s="32">
        <f>LOOKUP(use_fish!B39,base_fish!A:A,base_fish!C:C)+_xlfn.IFNA(INDEX(activity!F:F,MATCH(use_fish!C39,activity!A:A,0)),0)</f>
        <v>102</v>
      </c>
      <c r="F39" s="32">
        <f t="shared" si="8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9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347</v>
      </c>
      <c r="E40" s="32">
        <f>LOOKUP(use_fish!B40,base_fish!A:A,base_fish!C:C)+_xlfn.IFNA(INDEX(activity!F:F,MATCH(use_fish!C40,activity!A:A,0)),0)</f>
        <v>105</v>
      </c>
      <c r="F40" s="32">
        <f t="shared" ref="F40:F44" si="10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1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330</v>
      </c>
      <c r="E41" s="32">
        <f>LOOKUP(use_fish!B41,base_fish!A:A,base_fish!C:C)+_xlfn.IFNA(INDEX(activity!F:F,MATCH(use_fish!C41,activity!A:A,0)),0)</f>
        <v>302</v>
      </c>
      <c r="F41" s="32">
        <f t="shared" si="10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1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348</v>
      </c>
      <c r="E42" s="32">
        <f>LOOKUP(use_fish!B42,base_fish!A:A,base_fish!C:C)+_xlfn.IFNA(INDEX(activity!F:F,MATCH(use_fish!C42,activity!A:A,0)),0)</f>
        <v>206</v>
      </c>
      <c r="F42" s="32">
        <f t="shared" si="10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1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1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349</v>
      </c>
      <c r="E44" s="32">
        <f>LOOKUP(use_fish!B44,base_fish!A:A,base_fish!C:C)+_xlfn.IFNA(INDEX(activity!F:F,MATCH(use_fish!C44,activity!A:A,0)),0)</f>
        <v>202</v>
      </c>
      <c r="F44" s="32">
        <f t="shared" si="10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1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1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2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350</v>
      </c>
      <c r="E47" s="36">
        <f>LOOKUP(use_fish!B47,base_fish!A:A,base_fish!C:C)+_xlfn.IFNA(INDEX(activity!F:F,MATCH(use_fish!C47,activity!A:A,0)),0)</f>
        <v>200</v>
      </c>
      <c r="F47" s="36">
        <f t="shared" ref="F47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351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329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352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317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abSelected="1" topLeftCell="A22" workbookViewId="0">
      <selection activeCell="C42" sqref="C4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249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316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323</v>
      </c>
      <c r="D18" s="4">
        <v>0</v>
      </c>
      <c r="E18" s="4">
        <v>0</v>
      </c>
      <c r="F18">
        <v>150</v>
      </c>
      <c r="G18" t="s">
        <v>324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325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331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361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326</v>
      </c>
      <c r="D22" s="4">
        <v>0</v>
      </c>
      <c r="E22" s="4">
        <v>0</v>
      </c>
      <c r="F22">
        <v>50</v>
      </c>
      <c r="G22" t="s">
        <v>209</v>
      </c>
      <c r="H22">
        <v>26</v>
      </c>
      <c r="I22" t="s">
        <v>362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210</v>
      </c>
      <c r="H23">
        <v>27</v>
      </c>
      <c r="I23" t="s">
        <v>363</v>
      </c>
    </row>
    <row r="24" spans="1:9" x14ac:dyDescent="0.2">
      <c r="A24">
        <v>23</v>
      </c>
      <c r="B24">
        <v>20</v>
      </c>
      <c r="C24" s="11" t="s">
        <v>327</v>
      </c>
      <c r="D24" s="4">
        <v>0</v>
      </c>
      <c r="E24" s="4">
        <v>0</v>
      </c>
      <c r="F24">
        <v>250</v>
      </c>
      <c r="G24" t="s">
        <v>211</v>
      </c>
      <c r="H24">
        <v>28</v>
      </c>
      <c r="I24" t="s">
        <v>364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212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368</v>
      </c>
      <c r="D26" s="4">
        <v>0</v>
      </c>
      <c r="E26" s="4">
        <v>0</v>
      </c>
      <c r="F26">
        <v>5</v>
      </c>
      <c r="G26" t="s">
        <v>369</v>
      </c>
      <c r="H26">
        <v>30</v>
      </c>
      <c r="I26" t="s">
        <v>312</v>
      </c>
    </row>
    <row r="27" spans="1:9" x14ac:dyDescent="0.2">
      <c r="A27">
        <v>26</v>
      </c>
      <c r="B27">
        <v>21</v>
      </c>
      <c r="C27" s="11" t="s">
        <v>370</v>
      </c>
      <c r="D27" s="4">
        <v>0</v>
      </c>
      <c r="E27" s="4">
        <v>0</v>
      </c>
      <c r="F27">
        <v>2</v>
      </c>
      <c r="G27" t="s">
        <v>371</v>
      </c>
      <c r="H27">
        <v>31</v>
      </c>
      <c r="I27" t="s">
        <v>321</v>
      </c>
    </row>
    <row r="28" spans="1:9" x14ac:dyDescent="0.2">
      <c r="A28">
        <v>27</v>
      </c>
      <c r="B28">
        <v>21</v>
      </c>
      <c r="C28" s="11" t="s">
        <v>372</v>
      </c>
      <c r="D28" s="4">
        <v>0</v>
      </c>
      <c r="E28" s="4">
        <v>0</v>
      </c>
      <c r="F28">
        <v>6</v>
      </c>
      <c r="G28" t="s">
        <v>373</v>
      </c>
      <c r="H28">
        <v>32</v>
      </c>
      <c r="I28" t="s">
        <v>319</v>
      </c>
    </row>
    <row r="29" spans="1:9" x14ac:dyDescent="0.2">
      <c r="A29">
        <v>28</v>
      </c>
      <c r="B29">
        <v>22</v>
      </c>
      <c r="C29" s="11" t="s">
        <v>194</v>
      </c>
      <c r="D29" s="4">
        <v>0</v>
      </c>
      <c r="E29" s="4">
        <v>0</v>
      </c>
      <c r="F29">
        <v>100</v>
      </c>
      <c r="G29" t="s">
        <v>328</v>
      </c>
      <c r="H29">
        <v>33</v>
      </c>
      <c r="I29" t="s">
        <v>320</v>
      </c>
    </row>
    <row r="30" spans="1:9" x14ac:dyDescent="0.2">
      <c r="A30">
        <v>29</v>
      </c>
      <c r="B30">
        <v>23</v>
      </c>
      <c r="C30" t="s">
        <v>207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333</v>
      </c>
    </row>
    <row r="31" spans="1:9" x14ac:dyDescent="0.2">
      <c r="A31">
        <v>30</v>
      </c>
      <c r="B31">
        <v>24</v>
      </c>
      <c r="C31" s="11" t="s">
        <v>358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335</v>
      </c>
    </row>
    <row r="32" spans="1:9" x14ac:dyDescent="0.2">
      <c r="A32">
        <v>31</v>
      </c>
      <c r="B32">
        <v>25</v>
      </c>
      <c r="C32" t="s">
        <v>359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360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337</v>
      </c>
      <c r="D34" s="4">
        <v>0</v>
      </c>
      <c r="E34" s="4">
        <v>0</v>
      </c>
      <c r="F34">
        <v>300</v>
      </c>
      <c r="G34" t="s">
        <v>338</v>
      </c>
    </row>
    <row r="35" spans="1:7" x14ac:dyDescent="0.2">
      <c r="A35">
        <v>34</v>
      </c>
      <c r="B35">
        <v>30</v>
      </c>
      <c r="C35" s="11" t="s">
        <v>354</v>
      </c>
      <c r="D35" s="4">
        <v>0</v>
      </c>
      <c r="E35" s="4">
        <v>0</v>
      </c>
      <c r="F35">
        <v>150</v>
      </c>
      <c r="G35" t="s">
        <v>312</v>
      </c>
    </row>
    <row r="36" spans="1:7" x14ac:dyDescent="0.2">
      <c r="A36">
        <v>35</v>
      </c>
      <c r="B36">
        <v>31</v>
      </c>
      <c r="C36" t="s">
        <v>339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353</v>
      </c>
      <c r="D37" s="4">
        <v>0</v>
      </c>
      <c r="E37" s="4">
        <v>0</v>
      </c>
      <c r="F37">
        <v>300</v>
      </c>
      <c r="G37" t="s">
        <v>340</v>
      </c>
    </row>
    <row r="38" spans="1:7" x14ac:dyDescent="0.2">
      <c r="A38">
        <v>37</v>
      </c>
      <c r="B38">
        <v>33</v>
      </c>
      <c r="C38" t="s">
        <v>357</v>
      </c>
      <c r="D38" s="4">
        <v>0</v>
      </c>
      <c r="E38" s="4">
        <v>0</v>
      </c>
      <c r="F38">
        <v>200</v>
      </c>
      <c r="G38" t="s">
        <v>320</v>
      </c>
    </row>
    <row r="39" spans="1:7" x14ac:dyDescent="0.2">
      <c r="A39">
        <v>38</v>
      </c>
      <c r="B39">
        <v>38</v>
      </c>
      <c r="C39" t="s">
        <v>341</v>
      </c>
      <c r="D39" s="4">
        <v>0</v>
      </c>
      <c r="E39" s="4">
        <v>0</v>
      </c>
      <c r="F39">
        <v>250</v>
      </c>
      <c r="G39" t="s">
        <v>342</v>
      </c>
    </row>
    <row r="40" spans="1:7" x14ac:dyDescent="0.2">
      <c r="A40">
        <v>39</v>
      </c>
      <c r="B40">
        <v>39</v>
      </c>
      <c r="C40" t="s">
        <v>332</v>
      </c>
      <c r="D40" s="4">
        <v>0</v>
      </c>
      <c r="E40" s="4">
        <v>0</v>
      </c>
      <c r="F40">
        <v>250</v>
      </c>
      <c r="G40" t="s">
        <v>334</v>
      </c>
    </row>
    <row r="41" spans="1:7" x14ac:dyDescent="0.2">
      <c r="A41">
        <v>40</v>
      </c>
      <c r="B41">
        <v>21</v>
      </c>
      <c r="C41" s="11" t="s">
        <v>365</v>
      </c>
      <c r="D41" s="4">
        <v>0</v>
      </c>
      <c r="E41" s="4">
        <v>0</v>
      </c>
      <c r="F41">
        <v>2</v>
      </c>
      <c r="G41" t="s">
        <v>366</v>
      </c>
    </row>
    <row r="42" spans="1:7" x14ac:dyDescent="0.2">
      <c r="A42">
        <v>41</v>
      </c>
      <c r="B42">
        <v>21</v>
      </c>
      <c r="C42" s="11" t="s">
        <v>374</v>
      </c>
      <c r="D42" s="4">
        <v>0</v>
      </c>
      <c r="E42" s="4">
        <v>0</v>
      </c>
      <c r="F42">
        <v>2</v>
      </c>
      <c r="G42" t="s">
        <v>367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215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216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217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218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219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220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221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222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223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224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225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226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227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246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228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229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230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336</v>
      </c>
      <c r="D25" s="15" t="s">
        <v>245</v>
      </c>
      <c r="E25" s="17" t="s">
        <v>231</v>
      </c>
      <c r="F25" s="15" t="s">
        <v>244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232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233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234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235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214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236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310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237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238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239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240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241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311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242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243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318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322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2020-06-28T09:11:06Z</dcterms:modified>
</cp:coreProperties>
</file>