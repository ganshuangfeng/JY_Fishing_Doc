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6" i="5" l="1"/>
  <c r="G32" i="5"/>
  <c r="G20" i="5" l="1"/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G30" i="5"/>
  <c r="G21" i="5"/>
  <c r="G19" i="5"/>
  <c r="H63" i="7" l="1"/>
  <c r="H64" i="7"/>
  <c r="E26" i="14"/>
  <c r="L25" i="14"/>
  <c r="J39" i="7"/>
  <c r="F26" i="1"/>
  <c r="I26" i="14" s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K23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27" i="7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H57" i="7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H52" i="7"/>
  <c r="F40" i="14"/>
  <c r="H54" i="7"/>
  <c r="F42" i="14"/>
  <c r="H56" i="7"/>
  <c r="F44" i="14"/>
  <c r="H58" i="7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<sst xmlns="http://schemas.openxmlformats.org/spreadsheetml/2006/main" count="480" uniqueCount="371">
  <si>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</si>
  <si>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</si>
  <si>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</si>
  <si>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</si>
  <si>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</si>
  <si>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</si>
  <si>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</si>
  <si>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</si>
  <si>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</si>
  <si>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</si>
  <si>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</si>
  <si>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</si>
  <si>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</si>
  <si>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</si>
  <si>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</si>
  <si>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</si>
  <si>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</si>
  <si>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</si>
  <si>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</si>
  <si>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</si>
  <si>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</si>
  <si>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</si>
  <si>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</si>
  <si>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</si>
  <si>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</si>
  <si>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</si>
  <si>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</si>
  <si>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</si>
  <si>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</si>
  <si>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</si>
  <si>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</si>
  <si>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</si>
  <si>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</si>
  <si>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</si>
  <si>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</si>
  <si>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</si>
  <si>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</si>
  <si>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</si>
  <si>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</si>
  <si>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</si>
  <si>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</si>
  <si>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</si>
  <si>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</si>
  <si>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</si>
  <si>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</si>
  <si>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</si>
  <si>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</si>
  <si>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</si>
  <si>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</si>
  <si>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</si>
  <si>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</si>
  <si>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</si>
  <si>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</si>
  <si>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</si>
  <si>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</si>
  <si>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</si>
  <si>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</si>
  <si>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</si>
  <si>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</si>
  <si>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</si>
  <si>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</si>
  <si>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</si>
  <si>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</si>
  <si>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</si>
  <si>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</si>
  <si>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</si>
  <si>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</si>
  <si>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</si>
  <si>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</si>
  <si>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</si>
  <si>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</si>
  <si>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</si>
  <si>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</si>
  <si>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</si>
  <si>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</si>
  <si>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</si>
  <si>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</si>
  <si>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</si>
  <si>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</si>
  <si>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</si>
  <si>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</si>
  <si>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</si>
  <si>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</si>
  <si>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</si>
  <si>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</si>
  <si>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</si>
  <si>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</si>
  <si>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</si>
  <si>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</si>
  <si>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</si>
  <si>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</si>
  <si>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</si>
  <si>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</si>
  <si>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</si>
  <si>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</si>
  <si>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</si>
  <si>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</si>
  <si>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</si>
  <si>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</si>
  <si>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</si>
  <si>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</si>
  <si>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</si>
  <si>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</si>
  <si>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</si>
  <si>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</si>
  <si>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</si>
  <si>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</si>
  <si>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</si>
  <si>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</si>
  <si>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</si>
  <si>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</si>
  <si>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</si>
  <si>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</si>
  <si>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</si>
  <si>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</si>
  <si>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</si>
  <si>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</si>
  <si>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</si>
  <si>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</si>
  <si>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</si>
  <si>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</si>
  <si>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</si>
  <si>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</si>
  <si>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</si>
  <si>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</si>
  <si>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</si>
  <si>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</si>
  <si>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</si>
  <si>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</si>
  <si>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</si>
  <si>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</si>
  <si>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</si>
  <si>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</si>
  <si>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</si>
  <si>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</si>
  <si>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</si>
  <si>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</si>
  <si>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</si>
  <si>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</si>
  <si>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</si>
  <si>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</si>
  <si>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</si>
  <si>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</si>
  <si>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</si>
  <si>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</si>
  <si>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</si>
  <si>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</si>
  <si>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</si>
  <si>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</si>
  <si>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</si>
  <si>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</si>
  <si>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</si>
  <si>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</si>
  <si>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</si>
  <si>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</si>
  <si>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</si>
  <si>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</si>
  <si>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</si>
  <si>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</si>
  <si>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</si>
  <si>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</si>
  <si>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</si>
  <si>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</si>
  <si>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</si>
  <si>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</si>
  <si>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</si>
  <si>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</si>
  <si>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</si>
  <si>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</si>
  <si>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</si>
  <si>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</si>
  <si>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</si>
  <si>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</si>
  <si>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</si>
  <si>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</si>
  <si>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</si>
  <si>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</si>
  <si>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</si>
  <si>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</si>
  <si>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</si>
  <si>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</si>
  <si>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</si>
  <si>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</si>
  <si>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</si>
  <si>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</si>
  <si>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</si>
  <si>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</si>
  <si>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</si>
  <si>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</si>
  <si>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</si>
  <si>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</si>
  <si>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</si>
  <si>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</si>
  <si>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</si>
  <si>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</si>
  <si>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</si>
  <si>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</si>
  <si>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</si>
  <si>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</si>
  <si>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</si>
  <si>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</si>
  <si>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</si>
  <si>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</si>
  <si>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</si>
  <si>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</si>
  <si>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</si>
  <si>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</si>
  <si>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</si>
  <si>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</si>
  <si>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</si>
  <si>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</si>
  <si>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</si>
  <si>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</si>
  <si>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</si>
  <si>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</si>
  <si>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</si>
  <si>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</si>
  <si>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</si>
  <si>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</si>
  <si>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</si>
  <si>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</si>
  <si>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</si>
  <si>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</si>
  <si>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</si>
  <si>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</si>
  <si>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</si>
  <si>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</si>
  <si>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</si>
  <si>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</si>
  <si>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</si>
  <si>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</si>
  <si>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</si>
  <si>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</si>
  <si>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</si>
  <si>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</si>
  <si>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</si>
  <si>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</si>
  <si>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</si>
  <si>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</si>
  <si>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</si>
  <si>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</si>
  <si>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</si>
  <si>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</si>
  <si>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</si>
  <si>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</si>
  <si>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</si>
  <si>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</si>
  <si>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</si>
  <si>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</si>
  <si>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</si>
  <si>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</si>
  <si>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</si>
  <si>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</si>
  <si>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</si>
  <si>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</si>
  <si>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</si>
  <si>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</si>
  <si>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</si>
  <si>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</si>
  <si>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</si>
  <si>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</si>
  <si>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</si>
  <si>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</si>
  <si>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</si>
  <si>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</si>
  <si>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</si>
  <si>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</si>
  <si>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</si>
  <si>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</si>
  <si>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</si>
  <si>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</si>
  <si>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</si>
  <si>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</si>
  <si>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</si>
  <si>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</si>
  <si>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</si>
  <si>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</si>
  <si>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</si>
  <si>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</si>
  <si>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</si>
  <si>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</si>
  <si>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</si>
  <si>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</si>
  <si>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</si>
  <si>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</si>
  <si>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</si>
  <si>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</si>
  <si>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</si>
  <si>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</si>
  <si>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</si>
  <si>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</si>
  <si>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</si>
  <si>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</si>
  <si>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</si>
  <si>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</si>
  <si>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</si>
  <si>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</si>
  <si>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</si>
  <si>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</si>
  <si>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</si>
  <si>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</si>
  <si>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</si>
  <si>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</si>
  <si>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</si>
  <si>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</si>
  <si>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</si>
  <si>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</si>
  <si>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</si>
  <si>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</si>
  <si>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</si>
  <si>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</si>
  <si>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</si>
  <si>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</si>
  <si>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</si>
  <si>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</si>
  <si>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</si>
  <si>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</si>
  <si>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</si>
  <si>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</si>
  <si>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</si>
  <si>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</si>
  <si>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</si>
  <si>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</si>
  <si>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</si>
  <si>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</si>
  <si>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</si>
  <si>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</si>
  <si>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</si>
  <si>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</si>
  <si>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</si>
  <si>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50,50,50,50,100,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</si>
  <si>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</si>
  <si>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</si>
  <si>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</si>
  <si>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</si>
  <si>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</si>
  <si>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</si>
  <si>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</si>
  <si>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</si>
  <si>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</si>
  <si>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200,</t>
    <phoneticPr fontId="1" type="noConversion"/>
  </si>
  <si>
    <t>0,200</t>
    <phoneticPr fontId="1" type="noConversion"/>
  </si>
  <si>
    <t>0,300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</si>
  <si>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</si>
  <si>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</si>
  <si>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</si>
  <si>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</si>
  <si>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</si>
  <si>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</si>
  <si>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50,50,50,50,100,</t>
    <phoneticPr fontId="1" type="noConversion"/>
  </si>
  <si>
    <t>200,400</t>
    <phoneticPr fontId="1" type="noConversion"/>
  </si>
  <si>
    <t>幸运转盘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</si>
  <si>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</si>
  <si>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</si>
  <si>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</si>
  <si>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炽火龙王</t>
    <phoneticPr fontId="1" type="noConversion"/>
  </si>
  <si>
    <t>50,</t>
    <phoneticPr fontId="1" type="noConversion"/>
  </si>
  <si>
    <t>250,2,</t>
    <phoneticPr fontId="1" type="noConversion"/>
  </si>
  <si>
    <t>强击弹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</si>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</sst>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220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215</v>
      </c>
    </row>
    <row r="2" spans="1:13" x14ac:dyDescent="0.2">
      <c r="A2" s="2">
        <v>1</v>
      </c>
      <c r="B2" s="2" t="s">
        <v>321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262</v>
      </c>
      <c r="C10" s="2">
        <v>3</v>
      </c>
      <c r="D10" t="s">
        <v>220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316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322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D1" workbookViewId="0">
      <pane ySplit="1" topLeftCell="A47" activePane="bottomLeft" state="frozen"/>
      <selection pane="bottomLeft" activeCell="Q63" sqref="Q6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263</v>
      </c>
      <c r="B1" s="1" t="s">
        <v>264</v>
      </c>
      <c r="C1" s="1" t="s">
        <v>265</v>
      </c>
      <c r="D1" s="1" t="s">
        <v>266</v>
      </c>
      <c r="E1" s="1" t="s">
        <v>267</v>
      </c>
      <c r="F1" s="1" t="s">
        <v>268</v>
      </c>
      <c r="G1" s="1" t="s">
        <v>269</v>
      </c>
      <c r="H1" s="1" t="s">
        <v>97</v>
      </c>
      <c r="I1" s="1" t="s">
        <v>270</v>
      </c>
      <c r="J1" s="9" t="s">
        <v>105</v>
      </c>
      <c r="K1" s="1" t="s">
        <v>271</v>
      </c>
      <c r="L1" s="1" t="s">
        <v>50</v>
      </c>
      <c r="Q1" s="1" t="s">
        <v>272</v>
      </c>
      <c r="R1" s="1" t="s">
        <v>272</v>
      </c>
      <c r="S1" s="1" t="s">
        <v>272</v>
      </c>
      <c r="T1" s="1" t="s">
        <v>272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273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254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212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213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274</v>
      </c>
      <c r="G7" s="45" t="s">
        <v>275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276</v>
      </c>
      <c r="G8" s="45" t="s">
        <v>277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278</v>
      </c>
      <c r="D10" s="29" t="s">
        <v>279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255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285</v>
      </c>
      <c r="G19" s="41" t="s">
        <v>286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287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288</v>
      </c>
      <c r="G21" s="41" t="s">
        <v>289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290</v>
      </c>
      <c r="G22" s="41" t="s">
        <v>207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291</v>
      </c>
      <c r="G23" s="21" t="s">
        <v>259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292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293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294</v>
      </c>
      <c r="G26" s="21" t="s">
        <v>295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296</v>
      </c>
      <c r="G27" s="41" t="s">
        <v>297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298</v>
      </c>
      <c r="G28" s="41" t="s">
        <v>299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305</v>
      </c>
      <c r="H39" s="19" t="s">
        <v>251</v>
      </c>
      <c r="I39" s="19" t="s">
        <v>252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308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309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310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311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312</v>
      </c>
      <c r="G65" s="45" t="s">
        <v>313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314</v>
      </c>
      <c r="G66" s="45" t="s">
        <v>260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315</v>
      </c>
      <c r="G67" s="46" t="s">
        <v>261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9" activePane="bottomLeft" state="frozen"/>
      <selection pane="bottomLeft" activeCell="F45" sqref="F4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359</v>
      </c>
      <c r="E21" s="19">
        <f>LOOKUP(use_fish!B21,base_fish!A:A,base_fish!C:C)+_xlfn.IFNA(INDEX(activity!F:F,MATCH(use_fish!C21,activity!A:A,0)),0)</f>
        <v>60</v>
      </c>
      <c r="F21" s="19">
        <f t="shared" si="3"/>
        <v>1.6666666666666666E-2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360</v>
      </c>
      <c r="E23" s="19">
        <f>LOOKUP(use_fish!B23,base_fish!A:A,base_fish!C:C)+_xlfn.IFNA(INDEX(activity!F:F,MATCH(use_fish!C23,activity!A:A,0)),0)</f>
        <v>60</v>
      </c>
      <c r="F23" s="19">
        <f t="shared" si="3"/>
        <v>1.6666666666666666E-2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361</v>
      </c>
      <c r="E24" s="19">
        <f>LOOKUP(use_fish!B24,base_fish!A:A,base_fish!C:C)+_xlfn.IFNA(INDEX(activity!F:F,MATCH(use_fish!C24,activity!A:A,0)),0)</f>
        <v>60</v>
      </c>
      <c r="F24" s="19">
        <f t="shared" si="3"/>
        <v>1.6666666666666666E-2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330</v>
      </c>
      <c r="F25" s="19" t="s">
        <v>252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251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359</v>
      </c>
      <c r="E26" s="19">
        <f>LOOKUP(use_fish!B26,base_fish!A:A,base_fish!C:C)+_xlfn.IFNA(INDEX(activity!F:F,MATCH(use_fish!C26,activity!A:A,0)),0)</f>
        <v>80</v>
      </c>
      <c r="F26" s="19">
        <f t="shared" si="3"/>
        <v>1.2500000000000001E-2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ref="L26" si="5">I26</f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359</v>
      </c>
      <c r="E27" s="19">
        <f>LOOKUP(use_fish!B27,base_fish!A:A,base_fish!C:C)+_xlfn.IFNA(INDEX(activity!F:F,MATCH(use_fish!C27,activity!A:A,0)),0)</f>
        <v>100</v>
      </c>
      <c r="F27" s="19">
        <f t="shared" si="3"/>
        <v>0.01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362</v>
      </c>
      <c r="E28" s="19">
        <f>LOOKUP(use_fish!B28,base_fish!A:A,base_fish!C:C)+_xlfn.IFNA(INDEX(activity!F:F,MATCH(use_fish!C28,activity!A:A,0)),0)</f>
        <v>100</v>
      </c>
      <c r="F28" s="19">
        <f t="shared" si="3"/>
        <v>0.01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8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8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9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8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9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9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341</v>
      </c>
      <c r="E39" s="32">
        <f>LOOKUP(use_fish!B39,base_fish!A:A,base_fish!C:C)+_xlfn.IFNA(INDEX(activity!F:F,MATCH(use_fish!C39,activity!A:A,0)),0)</f>
        <v>100</v>
      </c>
      <c r="F39" s="32">
        <f t="shared" si="8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9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363</v>
      </c>
      <c r="E40" s="32">
        <f>LOOKUP(use_fish!B40,base_fish!A:A,base_fish!C:C)+_xlfn.IFNA(INDEX(activity!F:F,MATCH(use_fish!C40,activity!A:A,0)),0)</f>
        <v>100</v>
      </c>
      <c r="F40" s="32">
        <f t="shared" ref="F40:F44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342</v>
      </c>
      <c r="E41" s="32">
        <f>LOOKUP(use_fish!B41,base_fish!A:A,base_fish!C:C)+_xlfn.IFNA(INDEX(activity!F:F,MATCH(use_fish!C41,activity!A:A,0)),0)</f>
        <v>300</v>
      </c>
      <c r="F41" s="32">
        <f t="shared" si="10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1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364</v>
      </c>
      <c r="E42" s="32">
        <f>LOOKUP(use_fish!B42,base_fish!A:A,base_fish!C:C)+_xlfn.IFNA(INDEX(activity!F:F,MATCH(use_fish!C42,activity!A:A,0)),0)</f>
        <v>200</v>
      </c>
      <c r="F42" s="32">
        <f t="shared" si="10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1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1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365</v>
      </c>
      <c r="E44" s="32">
        <f>LOOKUP(use_fish!B44,base_fish!A:A,base_fish!C:C)+_xlfn.IFNA(INDEX(activity!F:F,MATCH(use_fish!C44,activity!A:A,0)),0)</f>
        <v>200</v>
      </c>
      <c r="F44" s="32">
        <f t="shared" si="10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1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1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2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366</v>
      </c>
      <c r="E47" s="36">
        <f>LOOKUP(use_fish!B47,base_fish!A:A,base_fish!C:C)+_xlfn.IFNA(INDEX(activity!F:F,MATCH(use_fish!C47,activity!A:A,0)),0)</f>
        <v>200</v>
      </c>
      <c r="F47" s="36">
        <f t="shared" ref="F47:F50" si="13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2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367</v>
      </c>
      <c r="E48" s="36">
        <f>LOOKUP(use_fish!B48,base_fish!A:A,base_fish!C:C)+_xlfn.IFNA(INDEX(activity!F:F,MATCH(use_fish!C48,activity!A:A,0)),0)</f>
        <v>300</v>
      </c>
      <c r="F48" s="36">
        <f t="shared" si="13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2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341</v>
      </c>
      <c r="E49" s="36">
        <f>LOOKUP(use_fish!B49,base_fish!A:A,base_fish!C:C)+_xlfn.IFNA(INDEX(activity!F:F,MATCH(use_fish!C49,activity!A:A,0)),0)</f>
        <v>400</v>
      </c>
      <c r="F49" s="36">
        <f t="shared" si="13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2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368</v>
      </c>
      <c r="E50" s="36">
        <f>LOOKUP(use_fish!B50,base_fish!A:A,base_fish!C:C)+_xlfn.IFNA(INDEX(activity!F:F,MATCH(use_fish!C50,activity!A:A,0)),0)</f>
        <v>400</v>
      </c>
      <c r="F50" s="36">
        <f t="shared" si="13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2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324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7" workbookViewId="0">
      <selection activeCell="C36" sqref="C36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331</v>
      </c>
      <c r="D18" s="4">
        <v>0</v>
      </c>
      <c r="E18" s="4">
        <v>0</v>
      </c>
      <c r="F18">
        <v>150</v>
      </c>
      <c r="G18" t="s">
        <v>332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333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s="11" t="s">
        <v>343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334</v>
      </c>
      <c r="D22" s="4">
        <v>0</v>
      </c>
      <c r="E22" s="4">
        <v>0</v>
      </c>
      <c r="F22">
        <v>50</v>
      </c>
      <c r="G22" t="s">
        <v>216</v>
      </c>
      <c r="H22">
        <v>26</v>
      </c>
      <c r="I22" t="s">
        <v>210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217</v>
      </c>
      <c r="H23">
        <v>27</v>
      </c>
      <c r="I23" t="s">
        <v>211</v>
      </c>
    </row>
    <row r="24" spans="1:9" x14ac:dyDescent="0.2">
      <c r="A24">
        <v>23</v>
      </c>
      <c r="B24">
        <v>20</v>
      </c>
      <c r="C24" s="11" t="s">
        <v>335</v>
      </c>
      <c r="D24" s="4">
        <v>0</v>
      </c>
      <c r="E24" s="4">
        <v>0</v>
      </c>
      <c r="F24">
        <v>250</v>
      </c>
      <c r="G24" t="s">
        <v>218</v>
      </c>
      <c r="H24">
        <v>28</v>
      </c>
      <c r="I24" t="s">
        <v>209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219</v>
      </c>
      <c r="H25">
        <v>29</v>
      </c>
      <c r="I25" t="s">
        <v>208</v>
      </c>
    </row>
    <row r="26" spans="1:9" x14ac:dyDescent="0.2">
      <c r="A26">
        <v>25</v>
      </c>
      <c r="B26">
        <v>21</v>
      </c>
      <c r="C26" s="11" t="s">
        <v>336</v>
      </c>
      <c r="D26" s="4">
        <v>0</v>
      </c>
      <c r="E26" s="4">
        <v>0</v>
      </c>
      <c r="F26">
        <v>10</v>
      </c>
      <c r="G26" t="s">
        <v>337</v>
      </c>
      <c r="H26">
        <v>30</v>
      </c>
      <c r="I26" t="s">
        <v>319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338</v>
      </c>
      <c r="H27">
        <v>31</v>
      </c>
      <c r="I27" t="s">
        <v>328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326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339</v>
      </c>
      <c r="H29">
        <v>33</v>
      </c>
      <c r="I29" t="s">
        <v>327</v>
      </c>
    </row>
    <row r="30" spans="1:9" x14ac:dyDescent="0.2">
      <c r="A30">
        <v>29</v>
      </c>
      <c r="B30">
        <v>23</v>
      </c>
      <c r="C30" t="s">
        <v>214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345</v>
      </c>
    </row>
    <row r="31" spans="1:9" x14ac:dyDescent="0.2">
      <c r="A31">
        <v>30</v>
      </c>
      <c r="B31">
        <v>24</v>
      </c>
      <c r="C31" s="11" t="s">
        <v>350</v>
      </c>
      <c r="D31" s="4">
        <v>0</v>
      </c>
      <c r="E31" s="4">
        <v>0</v>
      </c>
      <c r="F31">
        <v>300</v>
      </c>
      <c r="G31" t="s">
        <v>199</v>
      </c>
      <c r="H31">
        <v>39</v>
      </c>
      <c r="I31" t="s">
        <v>347</v>
      </c>
    </row>
    <row r="32" spans="1:9" x14ac:dyDescent="0.2">
      <c r="A32">
        <v>31</v>
      </c>
      <c r="B32">
        <v>25</v>
      </c>
      <c r="C32" t="s">
        <v>340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348</v>
      </c>
      <c r="D33" s="4">
        <v>0</v>
      </c>
      <c r="E33" s="4">
        <v>0</v>
      </c>
      <c r="F33">
        <v>300</v>
      </c>
      <c r="G33" t="s">
        <v>351</v>
      </c>
    </row>
    <row r="34" spans="1:7" x14ac:dyDescent="0.2">
      <c r="A34">
        <v>33</v>
      </c>
      <c r="B34">
        <v>29</v>
      </c>
      <c r="C34" t="s">
        <v>352</v>
      </c>
      <c r="D34" s="4">
        <v>0</v>
      </c>
      <c r="E34" s="4">
        <v>0</v>
      </c>
      <c r="F34">
        <v>300</v>
      </c>
      <c r="G34" t="s">
        <v>353</v>
      </c>
    </row>
    <row r="35" spans="1:7" x14ac:dyDescent="0.2">
      <c r="A35">
        <v>34</v>
      </c>
      <c r="B35">
        <v>30</v>
      </c>
      <c r="C35" s="11" t="s">
        <v>370</v>
      </c>
      <c r="D35" s="4">
        <v>0</v>
      </c>
      <c r="E35" s="4">
        <v>0</v>
      </c>
      <c r="F35">
        <v>150</v>
      </c>
      <c r="G35" t="s">
        <v>319</v>
      </c>
    </row>
    <row r="36" spans="1:7" x14ac:dyDescent="0.2">
      <c r="A36">
        <v>35</v>
      </c>
      <c r="B36">
        <v>31</v>
      </c>
      <c r="C36" t="s">
        <v>354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369</v>
      </c>
      <c r="D37" s="4">
        <v>0</v>
      </c>
      <c r="E37" s="4">
        <v>0</v>
      </c>
      <c r="F37">
        <v>300</v>
      </c>
      <c r="G37" t="s">
        <v>355</v>
      </c>
    </row>
    <row r="38" spans="1:7" x14ac:dyDescent="0.2">
      <c r="A38">
        <v>37</v>
      </c>
      <c r="B38">
        <v>33</v>
      </c>
      <c r="C38" t="s">
        <v>356</v>
      </c>
      <c r="D38" s="4">
        <v>0</v>
      </c>
      <c r="E38" s="4">
        <v>0</v>
      </c>
      <c r="F38">
        <v>200</v>
      </c>
      <c r="G38" t="s">
        <v>327</v>
      </c>
    </row>
    <row r="39" spans="1:7" x14ac:dyDescent="0.2">
      <c r="A39">
        <v>38</v>
      </c>
      <c r="B39">
        <v>38</v>
      </c>
      <c r="C39" t="s">
        <v>357</v>
      </c>
      <c r="D39" s="4">
        <v>0</v>
      </c>
      <c r="E39" s="4">
        <v>0</v>
      </c>
      <c r="F39">
        <v>250</v>
      </c>
      <c r="G39" t="s">
        <v>358</v>
      </c>
    </row>
    <row r="40" spans="1:7" x14ac:dyDescent="0.2">
      <c r="A40">
        <v>39</v>
      </c>
      <c r="B40">
        <v>39</v>
      </c>
      <c r="C40" t="s">
        <v>344</v>
      </c>
      <c r="D40" s="4">
        <v>0</v>
      </c>
      <c r="E40" s="4">
        <v>0</v>
      </c>
      <c r="F40">
        <v>250</v>
      </c>
      <c r="G40" t="s">
        <v>346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222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223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224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225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226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227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228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229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230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231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232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233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234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253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235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236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237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349</v>
      </c>
      <c r="D25" s="15" t="s">
        <v>252</v>
      </c>
      <c r="E25" s="17" t="s">
        <v>238</v>
      </c>
      <c r="F25" s="15" t="s">
        <v>251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239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240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241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242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221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243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317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244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245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246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247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248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318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249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250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325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2020-06-17T12:09:34Z</dcterms:modified>
</cp:coreProperties>
</file>