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G20" i="5" l="1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G30" i="5"/>
  <c r="G21" i="5"/>
  <c r="G19" i="5"/>
  <c r="H63" i="7" l="1"/>
  <c r="H64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K23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<sst xmlns="http://schemas.openxmlformats.org/spreadsheetml/2006/main" count="480" uniqueCount="372">
  <si>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</si>
  <si>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</si>
  <si>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</si>
  <si>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</si>
  <si>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</si>
  <si>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</si>
  <si>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</si>
  <si>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</si>
  <si>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</si>
  <si>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</si>
  <si>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</si>
  <si>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</si>
  <si>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</si>
  <si>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</si>
  <si>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</si>
  <si>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</si>
  <si>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</si>
  <si>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</si>
  <si>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</si>
  <si>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</si>
  <si>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</si>
  <si>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</si>
  <si>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</si>
  <si>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</si>
  <si>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</si>
  <si>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</si>
  <si>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</si>
  <si>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</si>
  <si>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</si>
  <si>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</si>
  <si>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</si>
  <si>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</si>
  <si>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</si>
  <si>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</si>
  <si>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</si>
  <si>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</si>
  <si>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</si>
  <si>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</si>
  <si>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</si>
  <si>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</si>
  <si>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</si>
  <si>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</si>
  <si>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</si>
  <si>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</si>
  <si>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</si>
  <si>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</si>
  <si>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</si>
  <si>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</si>
  <si>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</si>
  <si>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</si>
  <si>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</si>
  <si>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</si>
  <si>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</si>
  <si>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</si>
  <si>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</si>
  <si>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</si>
  <si>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</si>
  <si>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</si>
  <si>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</si>
  <si>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</si>
  <si>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</si>
  <si>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</si>
  <si>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</si>
  <si>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</si>
  <si>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</si>
  <si>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</si>
  <si>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</si>
  <si>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</si>
  <si>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</si>
  <si>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</si>
  <si>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</si>
  <si>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</si>
  <si>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</si>
  <si>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</si>
  <si>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</si>
  <si>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</si>
  <si>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</si>
  <si>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</si>
  <si>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</si>
  <si>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</si>
  <si>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</si>
  <si>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</si>
  <si>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</si>
  <si>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</si>
  <si>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</si>
  <si>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</si>
  <si>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</si>
  <si>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</si>
  <si>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</si>
  <si>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</si>
  <si>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</si>
  <si>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</si>
  <si>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</si>
  <si>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</si>
  <si>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</si>
  <si>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</si>
  <si>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</si>
  <si>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</si>
  <si>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</si>
  <si>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</si>
  <si>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</si>
  <si>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</si>
  <si>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</si>
  <si>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</si>
  <si>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</si>
  <si>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</si>
  <si>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</si>
  <si>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</si>
  <si>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</si>
  <si>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</si>
  <si>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</si>
  <si>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</si>
  <si>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</si>
  <si>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</si>
  <si>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</si>
  <si>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</si>
  <si>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</si>
  <si>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</si>
  <si>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</si>
  <si>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</si>
  <si>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</si>
  <si>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</si>
  <si>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</si>
  <si>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</si>
  <si>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</si>
  <si>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</si>
  <si>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</si>
  <si>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</si>
  <si>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</si>
  <si>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</si>
  <si>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</si>
  <si>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</si>
  <si>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</si>
  <si>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</si>
  <si>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</si>
  <si>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</si>
  <si>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</si>
  <si>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</si>
  <si>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</si>
  <si>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</si>
  <si>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</si>
  <si>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</si>
  <si>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</si>
  <si>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</si>
  <si>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</si>
  <si>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</si>
  <si>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</si>
  <si>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</si>
  <si>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</si>
  <si>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</si>
  <si>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</si>
  <si>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</si>
  <si>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</si>
  <si>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</si>
  <si>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</si>
  <si>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</si>
  <si>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</si>
  <si>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</si>
  <si>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</si>
  <si>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</si>
  <si>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</si>
  <si>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</si>
  <si>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</si>
  <si>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</si>
  <si>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</si>
  <si>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</si>
  <si>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</si>
  <si>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</si>
  <si>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</si>
  <si>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</si>
  <si>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</si>
  <si>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</si>
  <si>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</si>
  <si>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</si>
  <si>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</si>
  <si>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</si>
  <si>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</si>
  <si>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</si>
  <si>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</si>
  <si>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</si>
  <si>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</si>
  <si>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</si>
  <si>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</si>
  <si>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</si>
  <si>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</si>
  <si>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</si>
  <si>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</si>
  <si>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</si>
  <si>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</si>
  <si>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</si>
  <si>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</si>
  <si>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</si>
  <si>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</si>
  <si>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</si>
  <si>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</si>
  <si>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</si>
  <si>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</si>
  <si>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</si>
  <si>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</si>
  <si>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</si>
  <si>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</si>
  <si>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</si>
  <si>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</si>
  <si>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</si>
  <si>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</si>
  <si>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</si>
  <si>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</si>
  <si>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</si>
  <si>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</si>
  <si>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</si>
  <si>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</si>
  <si>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</si>
  <si>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</si>
  <si>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</si>
  <si>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</si>
  <si>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</si>
  <si>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</si>
  <si>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</si>
  <si>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</si>
  <si>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</si>
  <si>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</si>
  <si>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</si>
  <si>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</si>
  <si>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</si>
  <si>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</si>
  <si>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</si>
  <si>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</si>
  <si>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</si>
  <si>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</si>
  <si>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</si>
  <si>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</si>
  <si>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</si>
  <si>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</si>
  <si>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</si>
  <si>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</si>
  <si>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</si>
  <si>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</si>
  <si>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</si>
  <si>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</si>
  <si>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</si>
  <si>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</si>
  <si>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</si>
  <si>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</si>
  <si>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</si>
  <si>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</si>
  <si>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</si>
  <si>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</si>
  <si>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</si>
  <si>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</si>
  <si>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</si>
  <si>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</si>
  <si>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</si>
  <si>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</si>
  <si>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</si>
  <si>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</si>
  <si>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</si>
  <si>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</si>
  <si>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</si>
  <si>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</si>
  <si>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</si>
  <si>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</si>
  <si>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</si>
  <si>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</si>
  <si>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</si>
  <si>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</si>
  <si>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</si>
  <si>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</si>
  <si>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</si>
  <si>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</si>
  <si>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</si>
  <si>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</si>
  <si>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</si>
  <si>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</si>
  <si>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</si>
  <si>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</si>
  <si>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</si>
  <si>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</si>
  <si>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</si>
  <si>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</si>
  <si>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</si>
  <si>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</si>
  <si>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</si>
  <si>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</si>
  <si>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</si>
  <si>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</si>
  <si>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</si>
  <si>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</si>
  <si>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</si>
  <si>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</si>
  <si>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</si>
  <si>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</si>
  <si>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</si>
  <si>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</si>
  <si>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</si>
  <si>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</si>
  <si>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</si>
  <si>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</si>
  <si>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</si>
  <si>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</si>
  <si>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</si>
  <si>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</si>
  <si>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</si>
  <si>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</si>
  <si>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</si>
  <si>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</si>
  <si>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</si>
  <si>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</si>
  <si>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</si>
  <si>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</si>
  <si>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</si>
  <si>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</si>
  <si>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</si>
  <si>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</si>
  <si>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</si>
  <si>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</si>
  <si>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</si>
  <si>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</si>
  <si>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</si>
  <si>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</si>
  <si>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</si>
  <si>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</si>
  <si>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</si>
  <si>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</si>
  <si>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</si>
  <si>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</si>
  <si>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</si>
  <si>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</si>
  <si>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</si>
  <si>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</si>
  <si>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</si>
  <si>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</si>
  <si>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</si>
  <si>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</si>
  <si>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</si>
  <si>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</si>
  <si>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</si>
  <si>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</si>
  <si>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</si>
  <si>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</si>
  <si>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200,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</si>
  <si>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</si>
  <si>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</si>
  <si>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</si>
  <si>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</si>
  <si>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</si>
  <si>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</si>
  <si>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</si>
  <si>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</si>
  <si>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</si>
  <si>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</si>
  <si>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幸运转盘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</si>
  <si>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</si>
  <si>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</si>
  <si>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</si>
  <si>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炽火龙王</t>
    <phoneticPr fontId="1" type="noConversion"/>
  </si>
  <si>
    <t>50,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</si>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</sst>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215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262</v>
      </c>
      <c r="C10" s="2">
        <v>3</v>
      </c>
      <c r="D10" t="s">
        <v>220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322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97</v>
      </c>
      <c r="I1" s="1" t="s">
        <v>270</v>
      </c>
      <c r="J1" s="9" t="s">
        <v>105</v>
      </c>
      <c r="K1" s="1" t="s">
        <v>271</v>
      </c>
      <c r="L1" s="1" t="s">
        <v>50</v>
      </c>
      <c r="Q1" s="1" t="s">
        <v>272</v>
      </c>
      <c r="R1" s="1" t="s">
        <v>272</v>
      </c>
      <c r="S1" s="1" t="s">
        <v>272</v>
      </c>
      <c r="T1" s="1" t="s">
        <v>272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273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254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212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213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274</v>
      </c>
      <c r="G7" s="45" t="s">
        <v>275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276</v>
      </c>
      <c r="G8" s="45" t="s">
        <v>277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278</v>
      </c>
      <c r="D10" s="29" t="s">
        <v>279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255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285</v>
      </c>
      <c r="G19" s="41" t="s">
        <v>286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287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288</v>
      </c>
      <c r="G21" s="41" t="s">
        <v>289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290</v>
      </c>
      <c r="G22" s="41" t="s">
        <v>207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291</v>
      </c>
      <c r="G23" s="21" t="s">
        <v>259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292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293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294</v>
      </c>
      <c r="G26" s="21" t="s">
        <v>295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298</v>
      </c>
      <c r="G28" s="41" t="s">
        <v>299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305</v>
      </c>
      <c r="H39" s="19" t="s">
        <v>251</v>
      </c>
      <c r="I39" s="19" t="s">
        <v>252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312</v>
      </c>
      <c r="G65" s="45" t="s">
        <v>313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314</v>
      </c>
      <c r="G66" s="45" t="s">
        <v>260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315</v>
      </c>
      <c r="G67" s="46" t="s">
        <v>261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I36" sqref="I3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358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359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360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370</v>
      </c>
      <c r="F25" s="19" t="s">
        <v>371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358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358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361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9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340</v>
      </c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362</v>
      </c>
      <c r="E40" s="32">
        <f>LOOKUP(use_fish!B40,base_fish!A:A,base_fish!C:C)+_xlfn.IFNA(INDEX(activity!F:F,MATCH(use_fish!C40,activity!A:A,0)),0)</f>
        <v>100</v>
      </c>
      <c r="F40" s="32">
        <f t="shared" ref="F40:F44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341</v>
      </c>
      <c r="E41" s="32">
        <f>LOOKUP(use_fish!B41,base_fish!A:A,base_fish!C:C)+_xlfn.IFNA(INDEX(activity!F:F,MATCH(use_fish!C41,activity!A:A,0)),0)</f>
        <v>300</v>
      </c>
      <c r="F41" s="32">
        <f t="shared" si="10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1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363</v>
      </c>
      <c r="E42" s="32">
        <f>LOOKUP(use_fish!B42,base_fish!A:A,base_fish!C:C)+_xlfn.IFNA(INDEX(activity!F:F,MATCH(use_fish!C42,activity!A:A,0)),0)</f>
        <v>200</v>
      </c>
      <c r="F42" s="32">
        <f t="shared" si="10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1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1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364</v>
      </c>
      <c r="E44" s="32">
        <f>LOOKUP(use_fish!B44,base_fish!A:A,base_fish!C:C)+_xlfn.IFNA(INDEX(activity!F:F,MATCH(use_fish!C44,activity!A:A,0)),0)</f>
        <v>200</v>
      </c>
      <c r="F44" s="32">
        <f t="shared" si="10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1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1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2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365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366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340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367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7" workbookViewId="0">
      <selection activeCell="C36" sqref="C36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330</v>
      </c>
      <c r="D18" s="4">
        <v>0</v>
      </c>
      <c r="E18" s="4">
        <v>0</v>
      </c>
      <c r="F18">
        <v>150</v>
      </c>
      <c r="G18" t="s">
        <v>331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342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333</v>
      </c>
      <c r="D22" s="4">
        <v>0</v>
      </c>
      <c r="E22" s="4">
        <v>0</v>
      </c>
      <c r="F22">
        <v>50</v>
      </c>
      <c r="G22" t="s">
        <v>216</v>
      </c>
      <c r="H22">
        <v>26</v>
      </c>
      <c r="I22" t="s">
        <v>210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217</v>
      </c>
      <c r="H23">
        <v>27</v>
      </c>
      <c r="I23" t="s">
        <v>211</v>
      </c>
    </row>
    <row r="24" spans="1:9" x14ac:dyDescent="0.2">
      <c r="A24">
        <v>23</v>
      </c>
      <c r="B24">
        <v>20</v>
      </c>
      <c r="C24" s="11" t="s">
        <v>334</v>
      </c>
      <c r="D24" s="4">
        <v>0</v>
      </c>
      <c r="E24" s="4">
        <v>0</v>
      </c>
      <c r="F24">
        <v>250</v>
      </c>
      <c r="G24" t="s">
        <v>218</v>
      </c>
      <c r="H24">
        <v>28</v>
      </c>
      <c r="I24" t="s">
        <v>209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219</v>
      </c>
      <c r="H25">
        <v>29</v>
      </c>
      <c r="I25" t="s">
        <v>208</v>
      </c>
    </row>
    <row r="26" spans="1:9" x14ac:dyDescent="0.2">
      <c r="A26">
        <v>25</v>
      </c>
      <c r="B26">
        <v>21</v>
      </c>
      <c r="C26" s="11" t="s">
        <v>335</v>
      </c>
      <c r="D26" s="4">
        <v>0</v>
      </c>
      <c r="E26" s="4">
        <v>0</v>
      </c>
      <c r="F26">
        <v>10</v>
      </c>
      <c r="G26" t="s">
        <v>336</v>
      </c>
      <c r="H26">
        <v>30</v>
      </c>
      <c r="I26" t="s">
        <v>319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337</v>
      </c>
      <c r="H27">
        <v>31</v>
      </c>
      <c r="I27" t="s">
        <v>328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326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338</v>
      </c>
      <c r="H29">
        <v>33</v>
      </c>
      <c r="I29" t="s">
        <v>327</v>
      </c>
    </row>
    <row r="30" spans="1:9" x14ac:dyDescent="0.2">
      <c r="A30">
        <v>29</v>
      </c>
      <c r="B30">
        <v>23</v>
      </c>
      <c r="C30" t="s">
        <v>214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344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300</v>
      </c>
      <c r="G31" t="s">
        <v>199</v>
      </c>
      <c r="H31">
        <v>39</v>
      </c>
      <c r="I31" t="s">
        <v>346</v>
      </c>
    </row>
    <row r="32" spans="1:9" x14ac:dyDescent="0.2">
      <c r="A32">
        <v>31</v>
      </c>
      <c r="B32">
        <v>25</v>
      </c>
      <c r="C32" t="s">
        <v>339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347</v>
      </c>
      <c r="D33" s="4">
        <v>0</v>
      </c>
      <c r="E33" s="4">
        <v>0</v>
      </c>
      <c r="F33">
        <v>300</v>
      </c>
      <c r="G33" t="s">
        <v>350</v>
      </c>
    </row>
    <row r="34" spans="1:7" x14ac:dyDescent="0.2">
      <c r="A34">
        <v>33</v>
      </c>
      <c r="B34">
        <v>29</v>
      </c>
      <c r="C34" t="s">
        <v>351</v>
      </c>
      <c r="D34" s="4">
        <v>0</v>
      </c>
      <c r="E34" s="4">
        <v>0</v>
      </c>
      <c r="F34">
        <v>300</v>
      </c>
      <c r="G34" t="s">
        <v>352</v>
      </c>
    </row>
    <row r="35" spans="1:7" x14ac:dyDescent="0.2">
      <c r="A35">
        <v>34</v>
      </c>
      <c r="B35">
        <v>30</v>
      </c>
      <c r="C35" s="11" t="s">
        <v>369</v>
      </c>
      <c r="D35" s="4">
        <v>0</v>
      </c>
      <c r="E35" s="4">
        <v>0</v>
      </c>
      <c r="F35">
        <v>150</v>
      </c>
      <c r="G35" t="s">
        <v>319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368</v>
      </c>
      <c r="D37" s="4">
        <v>0</v>
      </c>
      <c r="E37" s="4">
        <v>0</v>
      </c>
      <c r="F37">
        <v>300</v>
      </c>
      <c r="G37" t="s">
        <v>354</v>
      </c>
    </row>
    <row r="38" spans="1:7" x14ac:dyDescent="0.2">
      <c r="A38">
        <v>37</v>
      </c>
      <c r="B38">
        <v>33</v>
      </c>
      <c r="C38" t="s">
        <v>355</v>
      </c>
      <c r="D38" s="4">
        <v>0</v>
      </c>
      <c r="E38" s="4">
        <v>0</v>
      </c>
      <c r="F38">
        <v>200</v>
      </c>
      <c r="G38" t="s">
        <v>327</v>
      </c>
    </row>
    <row r="39" spans="1:7" x14ac:dyDescent="0.2">
      <c r="A39">
        <v>38</v>
      </c>
      <c r="B39">
        <v>38</v>
      </c>
      <c r="C39" t="s">
        <v>356</v>
      </c>
      <c r="D39" s="4">
        <v>0</v>
      </c>
      <c r="E39" s="4">
        <v>0</v>
      </c>
      <c r="F39">
        <v>250</v>
      </c>
      <c r="G39" t="s">
        <v>357</v>
      </c>
    </row>
    <row r="40" spans="1:7" x14ac:dyDescent="0.2">
      <c r="A40">
        <v>39</v>
      </c>
      <c r="B40">
        <v>39</v>
      </c>
      <c r="C40" t="s">
        <v>343</v>
      </c>
      <c r="D40" s="4">
        <v>0</v>
      </c>
      <c r="E40" s="4">
        <v>0</v>
      </c>
      <c r="F40">
        <v>250</v>
      </c>
      <c r="G40" t="s">
        <v>345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234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236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237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348</v>
      </c>
      <c r="D25" s="15" t="s">
        <v>252</v>
      </c>
      <c r="E25" s="17" t="s">
        <v>238</v>
      </c>
      <c r="F25" s="15" t="s">
        <v>251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239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221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317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244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245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246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247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248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318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249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250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325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2020-06-28T01:40:36Z</dcterms:modified>
</cp:coreProperties>
</file>