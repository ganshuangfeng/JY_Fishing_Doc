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02" i="7" l="1"/>
  <c r="I202" i="7"/>
  <c r="J202" i="7"/>
  <c r="H197" i="7"/>
  <c r="I197" i="7"/>
  <c r="J197" i="7"/>
  <c r="H198" i="7"/>
  <c r="I198" i="7"/>
  <c r="J198" i="7"/>
  <c r="H199" i="7"/>
  <c r="I199" i="7"/>
  <c r="J199" i="7"/>
  <c r="H200" i="7"/>
  <c r="I200" i="7"/>
  <c r="J200" i="7"/>
  <c r="H201" i="7"/>
  <c r="I201" i="7"/>
  <c r="J201" i="7"/>
  <c r="H182" i="14" l="1"/>
  <c r="H183" i="14"/>
  <c r="H184" i="14"/>
  <c r="H185" i="14"/>
  <c r="H186" i="14"/>
  <c r="H181" i="14"/>
  <c r="F68" i="1" l="1"/>
  <c r="D65" i="1" l="1"/>
  <c r="D66" i="1"/>
  <c r="D67" i="1"/>
  <c r="D68" i="1"/>
  <c r="D69" i="1"/>
  <c r="D64" i="1"/>
  <c r="F65" i="1"/>
  <c r="F66" i="1"/>
  <c r="F67" i="1"/>
  <c r="F69" i="1"/>
  <c r="F64" i="1"/>
  <c r="H191" i="7" l="1"/>
  <c r="I191" i="7"/>
  <c r="J191" i="7"/>
  <c r="H192" i="7"/>
  <c r="I192" i="7"/>
  <c r="J192" i="7"/>
  <c r="H193" i="7"/>
  <c r="I193" i="7"/>
  <c r="J193" i="7"/>
  <c r="H194" i="7"/>
  <c r="I194" i="7"/>
  <c r="J194" i="7"/>
  <c r="H195" i="7"/>
  <c r="I195" i="7"/>
  <c r="J195" i="7"/>
  <c r="H196" i="7"/>
  <c r="I196" i="7"/>
  <c r="J196" i="7"/>
  <c r="F176" i="14"/>
  <c r="F177" i="14"/>
  <c r="F178" i="14"/>
  <c r="F179" i="14"/>
  <c r="F180" i="14"/>
  <c r="F175" i="14"/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K172" i="14"/>
  <c r="J188" i="7" s="1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J181" i="7" s="1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I187" i="7" l="1"/>
  <c r="H186" i="7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<sst xmlns="http://schemas.openxmlformats.org/spreadsheetml/2006/main" count="842" uniqueCount="528">
  <si>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</si>
  <si>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</si>
  <si>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</si>
  <si>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</si>
  <si>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</si>
  <si>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</si>
  <si>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</si>
  <si>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</si>
  <si>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</si>
  <si>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</si>
  <si>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</si>
  <si>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</si>
  <si>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</si>
  <si>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</si>
  <si>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</si>
  <si>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</si>
  <si>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</si>
  <si>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</si>
  <si>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</si>
  <si>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</si>
  <si>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</si>
  <si>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</si>
  <si>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</si>
  <si>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</si>
  <si>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</si>
  <si>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</si>
  <si>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</si>
  <si>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</si>
  <si>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</si>
  <si>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</si>
  <si>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</si>
  <si>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</si>
  <si>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</si>
  <si>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</si>
  <si>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</si>
  <si>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</si>
  <si>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</si>
  <si>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</si>
  <si>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</si>
  <si>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</si>
  <si>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</si>
  <si>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</si>
  <si>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</si>
  <si>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</si>
  <si>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</si>
  <si>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</si>
  <si>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</si>
  <si>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</si>
  <si>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</si>
  <si>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</si>
  <si>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</si>
  <si>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</si>
  <si>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</si>
  <si>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</si>
  <si>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</si>
  <si>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</si>
  <si>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</si>
  <si>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</si>
  <si>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</si>
  <si>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</si>
  <si>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</si>
  <si>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</si>
  <si>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</si>
  <si>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</si>
  <si>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</si>
  <si>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</si>
  <si>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</si>
  <si>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</si>
  <si>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</si>
  <si>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</si>
  <si>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</si>
  <si>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</si>
  <si>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</si>
  <si>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</si>
  <si>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</si>
  <si>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</si>
  <si>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</si>
  <si>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</si>
  <si>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</si>
  <si>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</si>
  <si>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</si>
  <si>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</si>
  <si>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</si>
  <si>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</si>
  <si>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</si>
  <si>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</si>
  <si>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</si>
  <si>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</si>
  <si>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</si>
  <si>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</si>
  <si>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</si>
  <si>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</si>
  <si>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</si>
  <si>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</si>
  <si>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</si>
  <si>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</si>
  <si>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</si>
  <si>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</si>
  <si>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</si>
  <si>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</si>
  <si>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</si>
  <si>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</si>
  <si>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</si>
  <si>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</si>
  <si>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</si>
  <si>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</si>
  <si>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</si>
  <si>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</si>
  <si>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</si>
  <si>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</si>
  <si>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</si>
  <si>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</si>
  <si>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</si>
  <si>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</si>
  <si>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</si>
  <si>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</si>
  <si>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</si>
  <si>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</si>
  <si>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</si>
  <si>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</si>
  <si>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</si>
  <si>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</si>
  <si>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</si>
  <si>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</si>
  <si>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</si>
  <si>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</si>
  <si>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</si>
  <si>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</si>
  <si>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</si>
  <si>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</si>
  <si>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</si>
  <si>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</si>
  <si>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</si>
  <si>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</si>
  <si>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</si>
  <si>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</si>
  <si>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</si>
  <si>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</si>
  <si>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</si>
  <si>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</si>
  <si>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</si>
  <si>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</si>
  <si>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</si>
  <si>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</si>
  <si>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</si>
  <si>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</si>
  <si>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</si>
  <si>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</si>
  <si>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</si>
  <si>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</si>
  <si>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</si>
  <si>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</si>
  <si>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</si>
  <si>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</si>
  <si>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</si>
  <si>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</si>
  <si>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</si>
  <si>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</si>
  <si>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</si>
  <si>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</si>
  <si>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</si>
  <si>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</si>
  <si>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</si>
  <si>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</si>
  <si>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</si>
  <si>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</si>
  <si>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</si>
  <si>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</si>
  <si>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</si>
  <si>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</si>
  <si>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</si>
  <si>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</si>
  <si>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</si>
  <si>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</si>
  <si>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</si>
  <si>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</si>
  <si>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</si>
  <si>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</si>
  <si>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</si>
  <si>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</si>
  <si>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巨大灯笼鱼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</si>
  <si>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</si>
  <si>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</si>
  <si>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</si>
  <si>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</si>
  <si>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</si>
  <si>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</si>
  <si>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</si>
  <si>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</si>
  <si>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</si>
  <si>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</si>
  <si>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</si>
  <si>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</si>
  <si>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</si>
  <si>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</si>
  <si>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</si>
  <si>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</si>
  <si>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</si>
  <si>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</si>
  <si>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</si>
  <si>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</si>
  <si>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</si>
  <si>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</si>
  <si>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</si>
  <si>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</si>
  <si>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</si>
  <si>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</si>
  <si>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</si>
  <si>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</si>
  <si>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</si>
  <si>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</si>
  <si>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</si>
  <si>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</si>
  <si>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</si>
  <si>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</si>
  <si>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</si>
  <si>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</si>
  <si>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</si>
  <si>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</si>
  <si>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</si>
  <si>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</si>
  <si>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</si>
  <si>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</si>
  <si>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</si>
  <si>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</si>
  <si>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</si>
  <si>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</si>
  <si>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</si>
  <si>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</si>
  <si>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</si>
  <si>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</si>
  <si>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</si>
  <si>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</si>
  <si>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</si>
  <si>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</si>
  <si>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</si>
  <si>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</si>
  <si>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</si>
  <si>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</si>
  <si>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</si>
  <si>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</si>
  <si>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</si>
  <si>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</si>
  <si>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</si>
  <si>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</si>
  <si>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</si>
  <si>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</si>
  <si>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</si>
  <si>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</si>
  <si>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</si>
  <si>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</si>
  <si>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</si>
  <si>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</si>
  <si>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</si>
  <si>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</si>
  <si>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</si>
  <si>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</si>
  <si>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</si>
  <si>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</si>
  <si>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</si>
  <si>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</si>
  <si>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</si>
  <si>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</si>
  <si>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</si>
  <si>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</si>
  <si>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</si>
  <si>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</si>
  <si>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</si>
  <si>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</si>
  <si>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</si>
  <si>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</si>
  <si>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</si>
  <si>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</si>
  <si>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</si>
  <si>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</si>
  <si>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</si>
  <si>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</si>
  <si>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</si>
  <si>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</si>
  <si>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</si>
  <si>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</si>
  <si>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</si>
  <si>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</si>
  <si>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</si>
  <si>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</si>
  <si>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</si>
  <si>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</si>
  <si>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</si>
  <si>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</si>
  <si>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</si>
  <si>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</si>
  <si>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</si>
  <si>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</si>
  <si>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</si>
  <si>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</si>
  <si>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</si>
  <si>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</si>
  <si>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</si>
  <si>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</si>
  <si>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</si>
  <si>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</si>
  <si>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</si>
  <si>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</si>
  <si>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</si>
  <si>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</si>
  <si>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</si>
  <si>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</si>
  <si>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</si>
  <si>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</si>
  <si>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</si>
  <si>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</si>
  <si>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</si>
  <si>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</si>
  <si>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</si>
  <si>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</si>
  <si>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</si>
  <si>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</si>
  <si>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</si>
  <si>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</si>
  <si>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</si>
  <si>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</si>
  <si>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</si>
  <si>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</si>
  <si>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</si>
  <si>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</si>
  <si>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</si>
  <si>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</si>
  <si>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</si>
  <si>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</si>
  <si>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</si>
  <si>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</si>
  <si>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</si>
  <si>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</si>
  <si>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</si>
  <si>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</si>
  <si>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</si>
  <si>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</si>
  <si>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</si>
  <si>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</si>
  <si>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</si>
  <si>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</si>
  <si>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</si>
  <si>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</si>
  <si>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</si>
  <si>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</si>
  <si>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</si>
  <si>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</si>
  <si>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</si>
  <si>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</si>
  <si>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</si>
  <si>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</si>
  <si>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</si>
  <si>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</si>
  <si>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</si>
  <si>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</si>
  <si>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</si>
  <si>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</si>
  <si>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</si>
  <si>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</si>
  <si>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</si>
  <si>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</si>
  <si>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</si>
  <si>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</si>
  <si>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</si>
  <si>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</si>
  <si>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</si>
  <si>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</si>
  <si>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</si>
  <si>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</si>
  <si>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</si>
  <si>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</si>
  <si>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</si>
  <si>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</si>
  <si>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</si>
  <si>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</si>
  <si>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</si>
  <si>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</si>
  <si>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</si>
  <si>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</si>
  <si>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</si>
  <si>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</si>
  <si>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</si>
  <si>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</si>
  <si>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</si>
  <si>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</si>
  <si>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</si>
  <si>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</si>
  <si>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</si>
  <si>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</si>
  <si>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</si>
  <si>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</si>
  <si>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</si>
  <si>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</si>
  <si>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</si>
  <si>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</si>
  <si>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</si>
  <si>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</si>
  <si>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</si>
  <si>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</si>
  <si>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</si>
  <si>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</si>
  <si>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</si>
  <si>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</si>
  <si>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</si>
  <si>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</si>
  <si>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</si>
  <si>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</si>
  <si>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</si>
  <si>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</si>
  <si>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</si>
  <si>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</si>
  <si>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</si>
  <si>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</si>
  <si>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</si>
  <si>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</si>
  <si>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</si>
  <si>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</si>
  <si>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</si>
  <si>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</si>
  <si>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</si>
  <si>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</si>
  <si>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</si>
  <si>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</si>
  <si>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</si>
  <si>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</si>
  <si>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</si>
  <si>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</si>
  <si>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</si>
  <si>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</si>
  <si>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</si>
  <si>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</si>
  <si>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</si>
  <si>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</si>
  <si>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</si>
  <si>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</si>
  <si>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</si>
  <si>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</si>
  <si>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</si>
  <si>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</si>
  <si>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</si>
  <si>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</si>
  <si>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</si>
  <si>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</si>
  <si>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</si>
  <si>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</si>
  <si>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</si>
  <si>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</si>
  <si>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</si>
  <si>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</si>
  <si>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</si>
  <si>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</si>
  <si>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</si>
  <si>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</si>
  <si>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活动boss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</si>
  <si>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</si>
  <si>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</si>
  <si>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</si>
  <si>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</si>
  <si>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</si>
  <si>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</si>
  <si>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</si>
  <si>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</si>
  <si>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</si>
  <si>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</si>
  <si>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</si>
  <si>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</si>
  <si>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</si>
  <si>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</si>
  <si>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</si>
  <si>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</si>
  <si>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</si>
  <si>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</si>
  <si>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</si>
  <si>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</si>
  <si>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</si>
  <si>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</si>
  <si>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</si>
  <si>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</si>
  <si>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</si>
  <si>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</si>
  <si>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</si>
  <si>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</si>
  <si>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</si>
  <si>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</si>
  <si>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</si>
  <si>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</si>
  <si>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</si>
  <si>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</si>
  <si>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</si>
  <si>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</si>
  <si>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黄金灯笼鱼</t>
  </si>
  <si>
    <t>0,40</t>
    <phoneticPr fontId="1" type="noConversion"/>
  </si>
  <si>
    <t>0,80</t>
    <phoneticPr fontId="1" type="noConversion"/>
  </si>
  <si>
    <t>0,120</t>
    <phoneticPr fontId="1" type="noConversion"/>
  </si>
  <si>
    <t>0,40</t>
    <phoneticPr fontId="1" type="noConversion"/>
  </si>
  <si>
    <t>0,80</t>
    <phoneticPr fontId="1" type="noConversion"/>
  </si>
  <si>
    <t>174,</t>
  </si>
  <si>
    <t>175,</t>
  </si>
  <si>
    <t>176,</t>
  </si>
  <si>
    <t>177,</t>
  </si>
  <si>
    <t>178,</t>
  </si>
  <si>
    <t>179,</t>
  </si>
  <si>
    <t>金龙币</t>
    <phoneticPr fontId="1" type="noConversion"/>
  </si>
  <si>
    <t>"prop_jinglongbi",9,0.01,</t>
    <phoneticPr fontId="1" type="noConversion"/>
  </si>
  <si>
    <t>180,</t>
  </si>
  <si>
    <t>181,</t>
  </si>
  <si>
    <t>182,</t>
  </si>
  <si>
    <t>183,</t>
  </si>
  <si>
    <t>184,</t>
  </si>
  <si>
    <t>185,</t>
  </si>
  <si>
    <t>小黄鱼</t>
    <phoneticPr fontId="1" type="noConversion"/>
  </si>
  <si>
    <t>小蓝鱼</t>
    <phoneticPr fontId="1" type="noConversion"/>
  </si>
  <si>
    <t>小飞鱼</t>
    <phoneticPr fontId="1" type="noConversion"/>
  </si>
  <si>
    <t>小丑鱼</t>
    <phoneticPr fontId="1" type="noConversion"/>
  </si>
  <si>
    <t>海马</t>
    <phoneticPr fontId="1" type="noConversion"/>
  </si>
  <si>
    <t>灯笼鱼</t>
    <phoneticPr fontId="1" type="noConversion"/>
  </si>
  <si>
    <t>水母</t>
    <phoneticPr fontId="1" type="noConversion"/>
  </si>
  <si>
    <t>狮子鱼</t>
    <phoneticPr fontId="1" type="noConversion"/>
  </si>
  <si>
    <t>蝴蝶鲤</t>
    <phoneticPr fontId="1" type="noConversion"/>
  </si>
  <si>
    <t>招财鱼</t>
    <phoneticPr fontId="1" type="noConversion"/>
  </si>
  <si>
    <t>小锦鲤</t>
    <phoneticPr fontId="1" type="noConversion"/>
  </si>
  <si>
    <t>龙虾</t>
    <phoneticPr fontId="1" type="noConversion"/>
  </si>
  <si>
    <t>河豚</t>
    <phoneticPr fontId="1" type="noConversion"/>
  </si>
  <si>
    <t>海豚</t>
  </si>
  <si>
    <t>锤头鲨</t>
  </si>
  <si>
    <t>鲸鱼</t>
  </si>
  <si>
    <t>1,</t>
    <phoneticPr fontId="1" type="noConversion"/>
  </si>
  <si>
    <t>5,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</si>
</sst>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center"/>
    </xf>
    <xf numFmtId="0" fontId="7" fillId="4" borderId="0" xfId="0" applyFon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02"/>
  <sheetViews>
    <sheetView tabSelected="1" workbookViewId="0">
      <pane ySplit="1" topLeftCell="A2" activePane="bottomLeft" state="frozen"/>
      <selection pane="bottomLeft" activeCell="F3" sqref="F3"/>
    </sheetView>
  </sheetViews>
  <sheetFormatPr defaultColWidth="8.625" defaultRowHeight="14.25" outlineLevelCol="1" x14ac:dyDescent="0.2"/>
  <cols>
    <col min="2" max="2" width="17.125" customWidth="1"/>
    <col min="3" max="3" width="17.875" style="101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9</v>
      </c>
      <c r="B1" s="1" t="s">
        <v>207</v>
      </c>
      <c r="C1" s="87" t="s">
        <v>12</v>
      </c>
      <c r="D1" s="1" t="s">
        <v>13</v>
      </c>
      <c r="E1" s="1" t="s">
        <v>10</v>
      </c>
      <c r="F1" s="1" t="s">
        <v>11</v>
      </c>
      <c r="G1" s="1" t="s">
        <v>203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7" customFormat="1" x14ac:dyDescent="0.2">
      <c r="A2" s="27">
        <v>1</v>
      </c>
      <c r="B2" s="27">
        <v>1</v>
      </c>
      <c r="C2" s="88" t="s">
        <v>526</v>
      </c>
      <c r="D2" s="27" t="s">
        <v>116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48</v>
      </c>
      <c r="Q2" s="27">
        <v>1</v>
      </c>
    </row>
    <row r="3" spans="1:23" s="27" customFormat="1" x14ac:dyDescent="0.2">
      <c r="A3" s="27">
        <v>2</v>
      </c>
      <c r="B3" s="27">
        <v>1</v>
      </c>
      <c r="C3" s="88" t="s">
        <v>206</v>
      </c>
      <c r="D3" s="27" t="s">
        <v>116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2</v>
      </c>
    </row>
    <row r="4" spans="1:23" s="27" customFormat="1" x14ac:dyDescent="0.2">
      <c r="A4" s="27">
        <v>3</v>
      </c>
      <c r="B4" s="27">
        <v>2</v>
      </c>
      <c r="C4" s="88" t="s">
        <v>200</v>
      </c>
      <c r="D4" s="27" t="s">
        <v>116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3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3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3</v>
      </c>
    </row>
    <row r="5" spans="1:23" s="27" customFormat="1" x14ac:dyDescent="0.2">
      <c r="A5" s="27">
        <v>4</v>
      </c>
      <c r="B5" s="27">
        <v>2</v>
      </c>
      <c r="C5" s="88" t="s">
        <v>173</v>
      </c>
      <c r="D5" s="27" t="s">
        <v>116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4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4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4</v>
      </c>
    </row>
    <row r="6" spans="1:23" s="27" customFormat="1" x14ac:dyDescent="0.2">
      <c r="A6" s="27">
        <v>5</v>
      </c>
      <c r="B6" s="27">
        <v>1</v>
      </c>
      <c r="C6" s="88" t="s">
        <v>527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5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5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5</v>
      </c>
    </row>
    <row r="7" spans="1:23" s="27" customFormat="1" x14ac:dyDescent="0.2">
      <c r="A7" s="27">
        <v>6</v>
      </c>
      <c r="B7" s="27">
        <v>2</v>
      </c>
      <c r="C7" s="88" t="s">
        <v>249</v>
      </c>
      <c r="G7" s="43" t="s">
        <v>250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6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6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6</v>
      </c>
    </row>
    <row r="8" spans="1:23" s="27" customFormat="1" x14ac:dyDescent="0.2">
      <c r="A8" s="27">
        <v>7</v>
      </c>
      <c r="B8" s="27">
        <v>2</v>
      </c>
      <c r="C8" s="88" t="s">
        <v>251</v>
      </c>
      <c r="G8" s="43" t="s">
        <v>252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8" t="s">
        <v>117</v>
      </c>
      <c r="D9" s="27" t="s">
        <v>218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8" t="s">
        <v>206</v>
      </c>
      <c r="D10" s="27" t="s">
        <v>116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8" t="s">
        <v>24</v>
      </c>
      <c r="D11" s="27" t="s">
        <v>117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8" t="s">
        <v>202</v>
      </c>
      <c r="D12" s="27" t="s">
        <v>116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89" t="s">
        <v>345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89" t="s">
        <v>158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89" t="s">
        <v>201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>97</v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89" t="s">
        <v>346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>102</v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89" t="s">
        <v>347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89" t="s">
        <v>348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0" t="s">
        <v>211</v>
      </c>
      <c r="G19" s="39" t="s">
        <v>136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0" t="s">
        <v>210</v>
      </c>
      <c r="G20" s="39" t="s">
        <v>137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0" t="s">
        <v>209</v>
      </c>
      <c r="G21" s="39" t="s">
        <v>135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0" t="s">
        <v>208</v>
      </c>
      <c r="G22" s="39" t="s">
        <v>170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1" t="s">
        <v>212</v>
      </c>
      <c r="G23" s="19" t="s">
        <v>216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1" t="s">
        <v>213</v>
      </c>
      <c r="G24" s="19" t="s">
        <v>138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1" t="s">
        <v>214</v>
      </c>
      <c r="G25" s="19" t="s">
        <v>139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1" t="s">
        <v>215</v>
      </c>
      <c r="G26" s="19" t="s">
        <v>139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0" t="s">
        <v>320</v>
      </c>
      <c r="G27" s="39" t="s">
        <v>220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0" t="s">
        <v>219</v>
      </c>
      <c r="G28" s="39" t="s">
        <v>221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0" t="s">
        <v>118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0" t="s">
        <v>119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0" t="s">
        <v>120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0" t="s">
        <v>121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0" t="s">
        <v>122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0" t="s">
        <v>123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1" t="s">
        <v>124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1" t="s">
        <v>125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1" t="s">
        <v>126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1" t="s">
        <v>127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1" t="s">
        <v>128</v>
      </c>
      <c r="H39" s="17" t="s">
        <v>197</v>
      </c>
      <c r="I39" s="17" t="s">
        <v>198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1" t="s">
        <v>129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1" t="s">
        <v>130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1" t="s">
        <v>134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2" t="s">
        <v>131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2" t="s">
        <v>132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2" t="s">
        <v>133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2" t="s">
        <v>141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2" t="s">
        <v>140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2" t="s">
        <v>142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2" t="s">
        <v>143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2" t="s">
        <v>144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2" t="s">
        <v>145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2" t="s">
        <v>146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3" t="s">
        <v>147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3" t="s">
        <v>148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3" t="s">
        <v>149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3" t="s">
        <v>150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3" t="s">
        <v>151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3" t="s">
        <v>152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3" t="s">
        <v>153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3" t="s">
        <v>154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4" t="s">
        <v>217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4" t="s">
        <v>155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4" t="s">
        <v>156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4" t="s">
        <v>157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8" t="s">
        <v>254</v>
      </c>
      <c r="G65" s="43" t="s">
        <v>259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8" t="s">
        <v>255</v>
      </c>
      <c r="G66" s="43" t="s">
        <v>258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8" t="s">
        <v>256</v>
      </c>
      <c r="G67" s="44" t="s">
        <v>257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3" t="s">
        <v>292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3" t="s">
        <v>293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3" t="s">
        <v>294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3" t="s">
        <v>295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3" t="s">
        <v>296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3" t="s">
        <v>297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3" t="s">
        <v>298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3" t="s">
        <v>299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103" customFormat="1" x14ac:dyDescent="0.2">
      <c r="A76" s="103">
        <v>75</v>
      </c>
      <c r="B76" s="103">
        <v>1</v>
      </c>
      <c r="C76" s="104" t="s">
        <v>300</v>
      </c>
      <c r="H76" s="103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103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105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106">
        <v>59</v>
      </c>
    </row>
    <row r="77" spans="1:17" s="103" customFormat="1" x14ac:dyDescent="0.2">
      <c r="A77" s="103">
        <v>76</v>
      </c>
      <c r="B77" s="103">
        <v>1</v>
      </c>
      <c r="C77" s="104" t="s">
        <v>301</v>
      </c>
      <c r="H77" s="103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103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105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106">
        <v>60</v>
      </c>
    </row>
    <row r="78" spans="1:17" s="103" customFormat="1" x14ac:dyDescent="0.2">
      <c r="A78" s="103">
        <v>77</v>
      </c>
      <c r="B78" s="103">
        <v>1</v>
      </c>
      <c r="C78" s="104" t="s">
        <v>302</v>
      </c>
      <c r="H78" s="103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103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105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106">
        <v>61</v>
      </c>
    </row>
    <row r="79" spans="1:17" s="103" customFormat="1" x14ac:dyDescent="0.2">
      <c r="A79" s="103">
        <v>78</v>
      </c>
      <c r="B79" s="103">
        <v>1</v>
      </c>
      <c r="C79" s="104" t="s">
        <v>303</v>
      </c>
      <c r="H79" s="103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103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105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106">
        <v>62</v>
      </c>
    </row>
    <row r="80" spans="1:17" s="103" customFormat="1" x14ac:dyDescent="0.2">
      <c r="A80" s="103">
        <v>79</v>
      </c>
      <c r="B80" s="103">
        <v>1</v>
      </c>
      <c r="C80" s="104" t="s">
        <v>304</v>
      </c>
      <c r="H80" s="103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103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105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106">
        <v>63</v>
      </c>
    </row>
    <row r="81" spans="1:17" s="103" customFormat="1" x14ac:dyDescent="0.2">
      <c r="A81" s="103">
        <v>80</v>
      </c>
      <c r="B81" s="103">
        <v>1</v>
      </c>
      <c r="C81" s="104" t="s">
        <v>305</v>
      </c>
      <c r="H81" s="103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103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105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106">
        <v>64</v>
      </c>
    </row>
    <row r="82" spans="1:17" s="29" customFormat="1" x14ac:dyDescent="0.2">
      <c r="A82" s="29">
        <v>81</v>
      </c>
      <c r="B82" s="29">
        <v>1</v>
      </c>
      <c r="C82" s="93" t="s">
        <v>306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3" t="s">
        <v>307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3" t="s">
        <v>308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3" t="s">
        <v>309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3" t="s">
        <v>310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3" t="s">
        <v>311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3" t="s">
        <v>312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3" t="s">
        <v>313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103" customFormat="1" x14ac:dyDescent="0.2">
      <c r="A90" s="103">
        <v>89</v>
      </c>
      <c r="B90" s="103">
        <v>1</v>
      </c>
      <c r="C90" s="104" t="s">
        <v>314</v>
      </c>
      <c r="H90" s="103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103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105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106">
        <v>73</v>
      </c>
    </row>
    <row r="91" spans="1:17" s="103" customFormat="1" x14ac:dyDescent="0.2">
      <c r="A91" s="103">
        <v>90</v>
      </c>
      <c r="B91" s="103">
        <v>1</v>
      </c>
      <c r="C91" s="104" t="s">
        <v>315</v>
      </c>
      <c r="H91" s="103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103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105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106">
        <v>74</v>
      </c>
    </row>
    <row r="92" spans="1:17" s="103" customFormat="1" x14ac:dyDescent="0.2">
      <c r="A92" s="103">
        <v>91</v>
      </c>
      <c r="B92" s="103">
        <v>1</v>
      </c>
      <c r="C92" s="104" t="s">
        <v>316</v>
      </c>
      <c r="H92" s="103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103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105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106">
        <v>75</v>
      </c>
    </row>
    <row r="93" spans="1:17" s="103" customFormat="1" x14ac:dyDescent="0.2">
      <c r="A93" s="103">
        <v>92</v>
      </c>
      <c r="B93" s="103">
        <v>1</v>
      </c>
      <c r="C93" s="104" t="s">
        <v>317</v>
      </c>
      <c r="H93" s="103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103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105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106">
        <v>76</v>
      </c>
    </row>
    <row r="94" spans="1:17" s="103" customFormat="1" x14ac:dyDescent="0.2">
      <c r="A94" s="103">
        <v>93</v>
      </c>
      <c r="B94" s="103">
        <v>1</v>
      </c>
      <c r="C94" s="104" t="s">
        <v>318</v>
      </c>
      <c r="H94" s="103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103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105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106">
        <v>77</v>
      </c>
    </row>
    <row r="95" spans="1:17" s="103" customFormat="1" x14ac:dyDescent="0.2">
      <c r="A95" s="103">
        <v>94</v>
      </c>
      <c r="B95" s="103">
        <v>1</v>
      </c>
      <c r="C95" s="104" t="s">
        <v>319</v>
      </c>
      <c r="H95" s="103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103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105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106">
        <v>78</v>
      </c>
    </row>
    <row r="96" spans="1:17" s="54" customFormat="1" x14ac:dyDescent="0.2">
      <c r="A96" s="54">
        <v>95</v>
      </c>
      <c r="B96" s="54">
        <v>1</v>
      </c>
      <c r="C96" s="95" t="s">
        <v>323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3" t="s">
        <v>325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3" t="s">
        <v>326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3" t="s">
        <v>328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3" t="s">
        <v>327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3" t="s">
        <v>338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3" t="s">
        <v>339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3" t="s">
        <v>340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3" t="s">
        <v>341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3" t="s">
        <v>342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3" t="s">
        <v>343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3" t="s">
        <v>344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6" t="s">
        <v>353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6" t="s">
        <v>357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6" t="s">
        <v>358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6" t="s">
        <v>354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6" t="s">
        <v>355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6" t="s">
        <v>356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6" t="s">
        <v>359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6" t="s">
        <v>360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6" t="s">
        <v>361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6" t="s">
        <v>362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7" t="s">
        <v>387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7" t="s">
        <v>388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7" t="s">
        <v>389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7" t="s">
        <v>390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7" t="s">
        <v>391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7" t="s">
        <v>392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7" t="s">
        <v>393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7" t="s">
        <v>394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7" t="s">
        <v>395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8" t="s">
        <v>402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8" t="s">
        <v>403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99" t="s">
        <v>410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99" t="s">
        <v>411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99" t="s">
        <v>412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99" t="s">
        <v>413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99" t="s">
        <v>414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99" t="s">
        <v>415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99" t="s">
        <v>416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99" t="s">
        <v>417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99" t="s">
        <v>418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0" t="s">
        <v>419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0" t="s">
        <v>420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0" t="s">
        <v>421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0" t="s">
        <v>422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0" t="s">
        <v>423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0" t="s">
        <v>424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1" t="s">
        <v>425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1" t="s">
        <v>426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1" t="s">
        <v>427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1" t="s">
        <v>428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1" t="s">
        <v>429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1" t="s">
        <v>430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0" t="s">
        <v>431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0" t="s">
        <v>432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0" t="s">
        <v>433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0" t="s">
        <v>434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0" t="s">
        <v>435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0" t="s">
        <v>436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1" t="s">
        <v>437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1" t="s">
        <v>438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1" t="s">
        <v>439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1" t="s">
        <v>440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1" t="s">
        <v>441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1" t="s">
        <v>442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3" t="s">
        <v>444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3" t="s">
        <v>445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3" t="s">
        <v>446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3" t="s">
        <v>447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3" t="s">
        <v>448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3" t="s">
        <v>449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3" t="s">
        <v>450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3" t="s">
        <v>451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3" t="s">
        <v>452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7" t="s">
        <v>454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7" t="s">
        <v>455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7" t="s">
        <v>456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7" t="s">
        <v>457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7" t="s">
        <v>458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7" t="s">
        <v>459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7" t="s">
        <v>460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7" t="s">
        <v>461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7" t="s">
        <v>462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2">
        <v>179</v>
      </c>
      <c r="B180" s="82">
        <v>1</v>
      </c>
      <c r="C180" s="102" t="s">
        <v>463</v>
      </c>
      <c r="D180" s="82"/>
      <c r="E180" s="82"/>
      <c r="F180" s="82"/>
      <c r="G180" s="82"/>
      <c r="H180" s="82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2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5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2"/>
      <c r="L180" s="82"/>
      <c r="M180" s="82"/>
      <c r="N180" s="82"/>
      <c r="O180" s="82"/>
      <c r="P180" s="82"/>
      <c r="Q180" s="82">
        <v>163</v>
      </c>
    </row>
    <row r="181" spans="1:17" s="55" customFormat="1" x14ac:dyDescent="0.2">
      <c r="A181" s="82">
        <v>180</v>
      </c>
      <c r="B181" s="82">
        <v>1</v>
      </c>
      <c r="C181" s="102" t="s">
        <v>464</v>
      </c>
      <c r="D181" s="82"/>
      <c r="E181" s="82"/>
      <c r="F181" s="82"/>
      <c r="G181" s="82"/>
      <c r="H181" s="82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2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5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2"/>
      <c r="L181" s="82"/>
      <c r="M181" s="82"/>
      <c r="N181" s="82"/>
      <c r="O181" s="82"/>
      <c r="P181" s="82"/>
      <c r="Q181" s="82">
        <v>164</v>
      </c>
    </row>
    <row r="182" spans="1:17" s="55" customFormat="1" x14ac:dyDescent="0.2">
      <c r="A182" s="82">
        <v>181</v>
      </c>
      <c r="B182" s="82">
        <v>1</v>
      </c>
      <c r="C182" s="102" t="s">
        <v>465</v>
      </c>
      <c r="D182" s="82"/>
      <c r="E182" s="82"/>
      <c r="F182" s="82"/>
      <c r="G182" s="82"/>
      <c r="H182" s="82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2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5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2"/>
      <c r="L182" s="82"/>
      <c r="M182" s="82"/>
      <c r="N182" s="82"/>
      <c r="O182" s="82"/>
      <c r="P182" s="82"/>
      <c r="Q182" s="82">
        <v>165</v>
      </c>
    </row>
    <row r="183" spans="1:17" s="55" customFormat="1" x14ac:dyDescent="0.2">
      <c r="A183" s="82">
        <v>182</v>
      </c>
      <c r="B183" s="82">
        <v>1</v>
      </c>
      <c r="C183" s="102" t="s">
        <v>466</v>
      </c>
      <c r="D183" s="82"/>
      <c r="E183" s="82"/>
      <c r="F183" s="82"/>
      <c r="G183" s="82"/>
      <c r="H183" s="82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2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5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2"/>
      <c r="L183" s="82"/>
      <c r="M183" s="82"/>
      <c r="N183" s="82"/>
      <c r="O183" s="82"/>
      <c r="P183" s="82"/>
      <c r="Q183" s="82">
        <v>166</v>
      </c>
    </row>
    <row r="184" spans="1:17" s="55" customFormat="1" x14ac:dyDescent="0.2">
      <c r="A184" s="82">
        <v>183</v>
      </c>
      <c r="B184" s="82">
        <v>1</v>
      </c>
      <c r="C184" s="102" t="s">
        <v>467</v>
      </c>
      <c r="D184" s="82"/>
      <c r="E184" s="82"/>
      <c r="F184" s="82"/>
      <c r="G184" s="82"/>
      <c r="H184" s="82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2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5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2"/>
      <c r="L184" s="82"/>
      <c r="M184" s="82"/>
      <c r="N184" s="82"/>
      <c r="O184" s="82"/>
      <c r="P184" s="82"/>
      <c r="Q184" s="82">
        <v>167</v>
      </c>
    </row>
    <row r="185" spans="1:17" s="55" customFormat="1" x14ac:dyDescent="0.2">
      <c r="A185" s="82">
        <v>184</v>
      </c>
      <c r="B185" s="82">
        <v>1</v>
      </c>
      <c r="C185" s="102" t="s">
        <v>468</v>
      </c>
      <c r="D185" s="82"/>
      <c r="E185" s="82"/>
      <c r="F185" s="82"/>
      <c r="G185" s="82"/>
      <c r="H185" s="82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2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5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2"/>
      <c r="L185" s="82"/>
      <c r="M185" s="82"/>
      <c r="N185" s="82"/>
      <c r="O185" s="82"/>
      <c r="P185" s="82"/>
      <c r="Q185" s="82">
        <v>168</v>
      </c>
    </row>
    <row r="186" spans="1:17" s="55" customFormat="1" x14ac:dyDescent="0.2">
      <c r="A186" s="82">
        <v>185</v>
      </c>
      <c r="B186" s="82">
        <v>1</v>
      </c>
      <c r="C186" s="102" t="s">
        <v>469</v>
      </c>
      <c r="D186" s="82"/>
      <c r="E186" s="82"/>
      <c r="F186" s="82"/>
      <c r="G186" s="82"/>
      <c r="H186" s="82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2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5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2"/>
      <c r="L186" s="82"/>
      <c r="M186" s="82"/>
      <c r="N186" s="82"/>
      <c r="O186" s="82"/>
      <c r="P186" s="82"/>
      <c r="Q186" s="82">
        <v>169</v>
      </c>
    </row>
    <row r="187" spans="1:17" s="55" customFormat="1" x14ac:dyDescent="0.2">
      <c r="A187" s="82">
        <v>186</v>
      </c>
      <c r="B187" s="82">
        <v>1</v>
      </c>
      <c r="C187" s="102" t="s">
        <v>470</v>
      </c>
      <c r="D187" s="82"/>
      <c r="E187" s="82"/>
      <c r="F187" s="82"/>
      <c r="G187" s="82"/>
      <c r="H187" s="82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2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5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2"/>
      <c r="L187" s="82"/>
      <c r="M187" s="82"/>
      <c r="N187" s="82"/>
      <c r="O187" s="82"/>
      <c r="P187" s="82"/>
      <c r="Q187" s="82">
        <v>170</v>
      </c>
    </row>
    <row r="188" spans="1:17" s="55" customFormat="1" x14ac:dyDescent="0.2">
      <c r="A188" s="82">
        <v>187</v>
      </c>
      <c r="B188" s="82">
        <v>1</v>
      </c>
      <c r="C188" s="102" t="s">
        <v>471</v>
      </c>
      <c r="D188" s="82"/>
      <c r="E188" s="82"/>
      <c r="F188" s="82"/>
      <c r="G188" s="82"/>
      <c r="H188" s="82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2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5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2"/>
      <c r="L188" s="82"/>
      <c r="M188" s="82"/>
      <c r="N188" s="82"/>
      <c r="O188" s="82"/>
      <c r="P188" s="82"/>
      <c r="Q188" s="82">
        <v>171</v>
      </c>
    </row>
    <row r="189" spans="1:17" s="55" customFormat="1" x14ac:dyDescent="0.2">
      <c r="A189" s="82">
        <v>188</v>
      </c>
      <c r="B189" s="82">
        <v>1</v>
      </c>
      <c r="C189" s="102" t="s">
        <v>474</v>
      </c>
      <c r="D189" s="82"/>
      <c r="E189" s="82"/>
      <c r="F189" s="82"/>
      <c r="G189" s="82"/>
      <c r="H189" s="82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2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5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2"/>
      <c r="L189" s="82"/>
      <c r="M189" s="82"/>
      <c r="N189" s="82"/>
      <c r="O189" s="82"/>
      <c r="P189" s="82"/>
      <c r="Q189" s="82">
        <v>172</v>
      </c>
    </row>
    <row r="190" spans="1:17" s="55" customFormat="1" x14ac:dyDescent="0.2">
      <c r="A190" s="82">
        <v>189</v>
      </c>
      <c r="B190" s="82">
        <v>1</v>
      </c>
      <c r="C190" s="102" t="s">
        <v>475</v>
      </c>
      <c r="D190" s="82"/>
      <c r="E190" s="82"/>
      <c r="F190" s="82"/>
      <c r="G190" s="82"/>
      <c r="H190" s="82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2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5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2"/>
      <c r="L190" s="82"/>
      <c r="M190" s="82"/>
      <c r="N190" s="82"/>
      <c r="O190" s="82"/>
      <c r="P190" s="82"/>
      <c r="Q190" s="82">
        <v>173</v>
      </c>
    </row>
    <row r="191" spans="1:17" s="62" customFormat="1" x14ac:dyDescent="0.2">
      <c r="A191" s="62">
        <v>190</v>
      </c>
      <c r="B191" s="62">
        <v>1</v>
      </c>
      <c r="C191" s="97" t="s">
        <v>496</v>
      </c>
      <c r="H191" s="62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62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1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62">
        <v>174</v>
      </c>
    </row>
    <row r="192" spans="1:17" s="62" customFormat="1" x14ac:dyDescent="0.2">
      <c r="A192" s="62">
        <v>191</v>
      </c>
      <c r="B192" s="62">
        <v>1</v>
      </c>
      <c r="C192" s="97" t="s">
        <v>497</v>
      </c>
      <c r="H192" s="62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62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1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62">
        <v>175</v>
      </c>
    </row>
    <row r="193" spans="1:17" s="62" customFormat="1" x14ac:dyDescent="0.2">
      <c r="A193" s="62">
        <v>192</v>
      </c>
      <c r="B193" s="62">
        <v>1</v>
      </c>
      <c r="C193" s="97" t="s">
        <v>498</v>
      </c>
      <c r="H193" s="62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62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1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62">
        <v>176</v>
      </c>
    </row>
    <row r="194" spans="1:17" s="62" customFormat="1" x14ac:dyDescent="0.2">
      <c r="A194" s="62">
        <v>193</v>
      </c>
      <c r="B194" s="62">
        <v>1</v>
      </c>
      <c r="C194" s="97" t="s">
        <v>499</v>
      </c>
      <c r="H194" s="62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62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1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62">
        <v>177</v>
      </c>
    </row>
    <row r="195" spans="1:17" s="62" customFormat="1" x14ac:dyDescent="0.2">
      <c r="A195" s="62">
        <v>194</v>
      </c>
      <c r="B195" s="62">
        <v>1</v>
      </c>
      <c r="C195" s="97" t="s">
        <v>500</v>
      </c>
      <c r="H195" s="62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62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1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62">
        <v>178</v>
      </c>
    </row>
    <row r="196" spans="1:17" s="62" customFormat="1" x14ac:dyDescent="0.2">
      <c r="A196" s="62">
        <v>195</v>
      </c>
      <c r="B196" s="62">
        <v>1</v>
      </c>
      <c r="C196" s="97" t="s">
        <v>501</v>
      </c>
      <c r="H196" s="62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62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1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62">
        <v>179</v>
      </c>
    </row>
    <row r="197" spans="1:17" s="103" customFormat="1" x14ac:dyDescent="0.2">
      <c r="A197" s="103">
        <v>196</v>
      </c>
      <c r="B197" s="103">
        <v>1</v>
      </c>
      <c r="C197" s="104" t="s">
        <v>504</v>
      </c>
      <c r="H197" s="103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73</v>
      </c>
      <c r="I197" s="103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60</v>
      </c>
      <c r="J197" s="105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Q197" s="103">
        <v>180</v>
      </c>
    </row>
    <row r="198" spans="1:17" s="103" customFormat="1" x14ac:dyDescent="0.2">
      <c r="A198" s="103">
        <v>197</v>
      </c>
      <c r="B198" s="103">
        <v>1</v>
      </c>
      <c r="C198" s="104" t="s">
        <v>505</v>
      </c>
      <c r="H198" s="103">
        <f>SUM(_xlfn.IFNA(LOOKUP(Q198,use_fish!A:A,use_fish!E:E),0),_xlfn.IFNA(LOOKUP(R198,use_fish!A:A,use_fish!E:E),0),_xlfn.IFNA(LOOKUP(S198,use_fish!A:A,use_fish!E:E),0),_xlfn.IFNA(LOOKUP(T198,use_fish!A:A,use_fish!E:E),0),_xlfn.IFNA(LOOKUP(U198,use_fish!A:A,use_fish!E:E),0),_xlfn.IFNA(LOOKUP(V198,use_fish!A:A,use_fish!E:E),0),_xlfn.IFNA(LOOKUP(W198,use_fish!A:A,use_fish!E:E),0),)</f>
        <v>73</v>
      </c>
      <c r="I198" s="103">
        <f>SUM(_xlfn.IFNA(LOOKUP(Q198,use_fish!A:A,use_fish!I:I),0),_xlfn.IFNA(LOOKUP(R198,use_fish!A:A,use_fish!I:I),0),_xlfn.IFNA(LOOKUP(S198,use_fish!A:A,use_fish!I:I),0),_xlfn.IFNA(LOOKUP(T198,use_fish!A:A,use_fish!I:I),0),_xlfn.IFNA(LOOKUP(U198,use_fish!A:A,use_fish!I:I),0),_xlfn.IFNA(LOOKUP(V198,use_fish!A:A,use_fish!I:I),0),_xlfn.IFNA(LOOKUP(W198,use_fish!A:A,use_fish!I:I),0),)</f>
        <v>60</v>
      </c>
      <c r="J198" s="105">
        <f>SUM(_xlfn.IFNA(LOOKUP(Q198,use_fish!A:A,use_fish!K:K),0),_xlfn.IFNA(LOOKUP(R198,use_fish!A:A,use_fish!K:K),0),_xlfn.IFNA(LOOKUP(S198,use_fish!A:A,use_fish!K:K),0),_xlfn.IFNA(LOOKUP(T198,use_fish!A:A,use_fish!K:K),0),_xlfn.IFNA(LOOKUP(U198,use_fish!A:A,use_fish!K:K),0),_xlfn.IFNA(LOOKUP(V198,use_fish!A:A,use_fish!K:K),0),_xlfn.IFNA(LOOKUP(W198,use_fish!A:A,use_fish!K:K),0),)</f>
        <v>0</v>
      </c>
      <c r="Q198" s="103">
        <v>181</v>
      </c>
    </row>
    <row r="199" spans="1:17" s="103" customFormat="1" x14ac:dyDescent="0.2">
      <c r="A199" s="103">
        <v>198</v>
      </c>
      <c r="B199" s="103">
        <v>1</v>
      </c>
      <c r="C199" s="104" t="s">
        <v>506</v>
      </c>
      <c r="H199" s="103">
        <f>SUM(_xlfn.IFNA(LOOKUP(Q199,use_fish!A:A,use_fish!E:E),0),_xlfn.IFNA(LOOKUP(R199,use_fish!A:A,use_fish!E:E),0),_xlfn.IFNA(LOOKUP(S199,use_fish!A:A,use_fish!E:E),0),_xlfn.IFNA(LOOKUP(T199,use_fish!A:A,use_fish!E:E),0),_xlfn.IFNA(LOOKUP(U199,use_fish!A:A,use_fish!E:E),0),_xlfn.IFNA(LOOKUP(V199,use_fish!A:A,use_fish!E:E),0),_xlfn.IFNA(LOOKUP(W199,use_fish!A:A,use_fish!E:E),0),)</f>
        <v>73</v>
      </c>
      <c r="I199" s="103">
        <f>SUM(_xlfn.IFNA(LOOKUP(Q199,use_fish!A:A,use_fish!I:I),0),_xlfn.IFNA(LOOKUP(R199,use_fish!A:A,use_fish!I:I),0),_xlfn.IFNA(LOOKUP(S199,use_fish!A:A,use_fish!I:I),0),_xlfn.IFNA(LOOKUP(T199,use_fish!A:A,use_fish!I:I),0),_xlfn.IFNA(LOOKUP(U199,use_fish!A:A,use_fish!I:I),0),_xlfn.IFNA(LOOKUP(V199,use_fish!A:A,use_fish!I:I),0),_xlfn.IFNA(LOOKUP(W199,use_fish!A:A,use_fish!I:I),0),)</f>
        <v>60</v>
      </c>
      <c r="J199" s="105">
        <f>SUM(_xlfn.IFNA(LOOKUP(Q199,use_fish!A:A,use_fish!K:K),0),_xlfn.IFNA(LOOKUP(R199,use_fish!A:A,use_fish!K:K),0),_xlfn.IFNA(LOOKUP(S199,use_fish!A:A,use_fish!K:K),0),_xlfn.IFNA(LOOKUP(T199,use_fish!A:A,use_fish!K:K),0),_xlfn.IFNA(LOOKUP(U199,use_fish!A:A,use_fish!K:K),0),_xlfn.IFNA(LOOKUP(V199,use_fish!A:A,use_fish!K:K),0),_xlfn.IFNA(LOOKUP(W199,use_fish!A:A,use_fish!K:K),0),)</f>
        <v>0</v>
      </c>
      <c r="Q199" s="103">
        <v>182</v>
      </c>
    </row>
    <row r="200" spans="1:17" s="103" customFormat="1" x14ac:dyDescent="0.2">
      <c r="A200" s="103">
        <v>199</v>
      </c>
      <c r="B200" s="103">
        <v>1</v>
      </c>
      <c r="C200" s="104" t="s">
        <v>507</v>
      </c>
      <c r="H200" s="103">
        <f>SUM(_xlfn.IFNA(LOOKUP(Q200,use_fish!A:A,use_fish!E:E),0),_xlfn.IFNA(LOOKUP(R200,use_fish!A:A,use_fish!E:E),0),_xlfn.IFNA(LOOKUP(S200,use_fish!A:A,use_fish!E:E),0),_xlfn.IFNA(LOOKUP(T200,use_fish!A:A,use_fish!E:E),0),_xlfn.IFNA(LOOKUP(U200,use_fish!A:A,use_fish!E:E),0),_xlfn.IFNA(LOOKUP(V200,use_fish!A:A,use_fish!E:E),0),_xlfn.IFNA(LOOKUP(W200,use_fish!A:A,use_fish!E:E),0),)</f>
        <v>74</v>
      </c>
      <c r="I200" s="103">
        <f>SUM(_xlfn.IFNA(LOOKUP(Q200,use_fish!A:A,use_fish!I:I),0),_xlfn.IFNA(LOOKUP(R200,use_fish!A:A,use_fish!I:I),0),_xlfn.IFNA(LOOKUP(S200,use_fish!A:A,use_fish!I:I),0),_xlfn.IFNA(LOOKUP(T200,use_fish!A:A,use_fish!I:I),0),_xlfn.IFNA(LOOKUP(U200,use_fish!A:A,use_fish!I:I),0),_xlfn.IFNA(LOOKUP(V200,use_fish!A:A,use_fish!I:I),0),_xlfn.IFNA(LOOKUP(W200,use_fish!A:A,use_fish!I:I),0),)</f>
        <v>80</v>
      </c>
      <c r="J200" s="105">
        <f>SUM(_xlfn.IFNA(LOOKUP(Q200,use_fish!A:A,use_fish!K:K),0),_xlfn.IFNA(LOOKUP(R200,use_fish!A:A,use_fish!K:K),0),_xlfn.IFNA(LOOKUP(S200,use_fish!A:A,use_fish!K:K),0),_xlfn.IFNA(LOOKUP(T200,use_fish!A:A,use_fish!K:K),0),_xlfn.IFNA(LOOKUP(U200,use_fish!A:A,use_fish!K:K),0),_xlfn.IFNA(LOOKUP(V200,use_fish!A:A,use_fish!K:K),0),_xlfn.IFNA(LOOKUP(W200,use_fish!A:A,use_fish!K:K),0),)</f>
        <v>0</v>
      </c>
      <c r="Q200" s="103">
        <v>183</v>
      </c>
    </row>
    <row r="201" spans="1:17" s="103" customFormat="1" x14ac:dyDescent="0.2">
      <c r="A201" s="103">
        <v>200</v>
      </c>
      <c r="B201" s="103">
        <v>1</v>
      </c>
      <c r="C201" s="104" t="s">
        <v>508</v>
      </c>
      <c r="H201" s="103">
        <f>SUM(_xlfn.IFNA(LOOKUP(Q201,use_fish!A:A,use_fish!E:E),0),_xlfn.IFNA(LOOKUP(R201,use_fish!A:A,use_fish!E:E),0),_xlfn.IFNA(LOOKUP(S201,use_fish!A:A,use_fish!E:E),0),_xlfn.IFNA(LOOKUP(T201,use_fish!A:A,use_fish!E:E),0),_xlfn.IFNA(LOOKUP(U201,use_fish!A:A,use_fish!E:E),0),_xlfn.IFNA(LOOKUP(V201,use_fish!A:A,use_fish!E:E),0),_xlfn.IFNA(LOOKUP(W201,use_fish!A:A,use_fish!E:E),0),)</f>
        <v>115</v>
      </c>
      <c r="I201" s="103">
        <f>SUM(_xlfn.IFNA(LOOKUP(Q201,use_fish!A:A,use_fish!I:I),0),_xlfn.IFNA(LOOKUP(R201,use_fish!A:A,use_fish!I:I),0),_xlfn.IFNA(LOOKUP(S201,use_fish!A:A,use_fish!I:I),0),_xlfn.IFNA(LOOKUP(T201,use_fish!A:A,use_fish!I:I),0),_xlfn.IFNA(LOOKUP(U201,use_fish!A:A,use_fish!I:I),0),_xlfn.IFNA(LOOKUP(V201,use_fish!A:A,use_fish!I:I),0),_xlfn.IFNA(LOOKUP(W201,use_fish!A:A,use_fish!I:I),0),)</f>
        <v>100</v>
      </c>
      <c r="J201" s="105">
        <f>SUM(_xlfn.IFNA(LOOKUP(Q201,use_fish!A:A,use_fish!K:K),0),_xlfn.IFNA(LOOKUP(R201,use_fish!A:A,use_fish!K:K),0),_xlfn.IFNA(LOOKUP(S201,use_fish!A:A,use_fish!K:K),0),_xlfn.IFNA(LOOKUP(T201,use_fish!A:A,use_fish!K:K),0),_xlfn.IFNA(LOOKUP(U201,use_fish!A:A,use_fish!K:K),0),_xlfn.IFNA(LOOKUP(V201,use_fish!A:A,use_fish!K:K),0),_xlfn.IFNA(LOOKUP(W201,use_fish!A:A,use_fish!K:K),0),)</f>
        <v>0</v>
      </c>
      <c r="Q201" s="103">
        <v>184</v>
      </c>
    </row>
    <row r="202" spans="1:17" s="103" customFormat="1" x14ac:dyDescent="0.2">
      <c r="A202" s="103">
        <v>201</v>
      </c>
      <c r="B202" s="103">
        <v>1</v>
      </c>
      <c r="C202" s="104" t="s">
        <v>509</v>
      </c>
      <c r="H202" s="103">
        <f>SUM(_xlfn.IFNA(LOOKUP(Q202,use_fish!A:A,use_fish!E:E),0),_xlfn.IFNA(LOOKUP(R202,use_fish!A:A,use_fish!E:E),0),_xlfn.IFNA(LOOKUP(S202,use_fish!A:A,use_fish!E:E),0),_xlfn.IFNA(LOOKUP(T202,use_fish!A:A,use_fish!E:E),0),_xlfn.IFNA(LOOKUP(U202,use_fish!A:A,use_fish!E:E),0),_xlfn.IFNA(LOOKUP(V202,use_fish!A:A,use_fish!E:E),0),_xlfn.IFNA(LOOKUP(W202,use_fish!A:A,use_fish!E:E),0),)</f>
        <v>115</v>
      </c>
      <c r="I202" s="103">
        <f>SUM(_xlfn.IFNA(LOOKUP(Q202,use_fish!A:A,use_fish!I:I),0),_xlfn.IFNA(LOOKUP(R202,use_fish!A:A,use_fish!I:I),0),_xlfn.IFNA(LOOKUP(S202,use_fish!A:A,use_fish!I:I),0),_xlfn.IFNA(LOOKUP(T202,use_fish!A:A,use_fish!I:I),0),_xlfn.IFNA(LOOKUP(U202,use_fish!A:A,use_fish!I:I),0),_xlfn.IFNA(LOOKUP(V202,use_fish!A:A,use_fish!I:I),0),_xlfn.IFNA(LOOKUP(W202,use_fish!A:A,use_fish!I:I),0),)</f>
        <v>100</v>
      </c>
      <c r="J202" s="105">
        <f>SUM(_xlfn.IFNA(LOOKUP(Q202,use_fish!A:A,use_fish!K:K),0),_xlfn.IFNA(LOOKUP(R202,use_fish!A:A,use_fish!K:K),0),_xlfn.IFNA(LOOKUP(S202,use_fish!A:A,use_fish!K:K),0),_xlfn.IFNA(LOOKUP(T202,use_fish!A:A,use_fish!K:K),0),_xlfn.IFNA(LOOKUP(U202,use_fish!A:A,use_fish!K:K),0),_xlfn.IFNA(LOOKUP(V202,use_fish!A:A,use_fish!K:K),0),_xlfn.IFNA(LOOKUP(W202,use_fish!A:A,use_fish!K:K),0),)</f>
        <v>0</v>
      </c>
      <c r="Q202" s="103">
        <v>185</v>
      </c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03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03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202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202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202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6"/>
  <sheetViews>
    <sheetView zoomScaleNormal="100" workbookViewId="0">
      <pane ySplit="1" topLeftCell="A2" activePane="bottomLeft" state="frozen"/>
      <selection pane="bottomLeft" activeCell="A12" sqref="A12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20</v>
      </c>
      <c r="B1" s="1" t="s">
        <v>169</v>
      </c>
      <c r="C1" s="1" t="s">
        <v>15</v>
      </c>
      <c r="D1" s="1" t="s">
        <v>227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161</v>
      </c>
      <c r="O1" s="7" t="s">
        <v>168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21</v>
      </c>
      <c r="H2" s="26" t="str">
        <f>INDEX(base_fish!E:E,MATCH(use_fish!B2,base_fish!A:A,0))&amp;_xlfn.IFNA("+"&amp;INDEX(activity!G:G,MATCH(use_fish!C2,activity!A:A,0)),"")</f>
        <v>小黄鱼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21</v>
      </c>
      <c r="H3" s="26" t="str">
        <f>INDEX(base_fish!E:E,MATCH(use_fish!B3,base_fish!A:A,0))&amp;_xlfn.IFNA("+"&amp;INDEX(activity!G:G,MATCH(use_fish!C3,activity!A:A,0)),"")</f>
        <v>小蓝鱼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21</v>
      </c>
      <c r="H4" s="26" t="str">
        <f>INDEX(base_fish!E:E,MATCH(use_fish!B4,base_fish!A:A,0))&amp;_xlfn.IFNA("+"&amp;INDEX(activity!G:G,MATCH(use_fish!C4,activity!A:A,0)),"")</f>
        <v>小飞鱼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21</v>
      </c>
      <c r="H5" s="26" t="str">
        <f>INDEX(base_fish!E:E,MATCH(use_fish!B5,base_fish!A:A,0))&amp;_xlfn.IFNA("+"&amp;INDEX(activity!G:G,MATCH(use_fish!C5,activity!A:A,0)),"")</f>
        <v>小丑鱼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21</v>
      </c>
      <c r="H6" s="26" t="str">
        <f>INDEX(base_fish!E:E,MATCH(use_fish!B6,base_fish!A:A,0))&amp;_xlfn.IFNA("+"&amp;INDEX(activity!G:G,MATCH(use_fish!C6,activity!A:A,0)),"")</f>
        <v>海马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21</v>
      </c>
      <c r="H7" s="26" t="str">
        <f>INDEX(base_fish!E:E,MATCH(use_fish!B7,base_fish!A:A,0))&amp;_xlfn.IFNA("+"&amp;INDEX(activity!G:G,MATCH(use_fish!C7,activity!A:A,0)),"")</f>
        <v>灯笼鱼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21</v>
      </c>
      <c r="H8" s="26" t="str">
        <f>INDEX(base_fish!E:E,MATCH(use_fish!B8,base_fish!A:A,0))&amp;_xlfn.IFNA("+"&amp;INDEX(activity!G:G,MATCH(use_fish!C8,activity!A:A,0)),"")</f>
        <v>水母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21</v>
      </c>
      <c r="H9" s="26" t="str">
        <f>INDEX(base_fish!E:E,MATCH(use_fish!B9,base_fish!A:A,0))&amp;_xlfn.IFNA("+"&amp;INDEX(activity!G:G,MATCH(use_fish!C9,activity!A:A,0)),"")</f>
        <v>狮子鱼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21</v>
      </c>
      <c r="H10" s="26" t="str">
        <f>INDEX(base_fish!E:E,MATCH(use_fish!B10,base_fish!A:A,0))&amp;_xlfn.IFNA("+"&amp;INDEX(activity!G:G,MATCH(use_fish!C10,activity!A:A,0)),"")</f>
        <v>蝴蝶鲤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21</v>
      </c>
      <c r="H11" s="26" t="str">
        <f>INDEX(base_fish!E:E,MATCH(use_fish!B11,base_fish!A:A,0))&amp;_xlfn.IFNA("+"&amp;INDEX(activity!G:G,MATCH(use_fish!C11,activity!A:A,0)),"")</f>
        <v>招财鱼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21</v>
      </c>
      <c r="H12" s="26" t="str">
        <f>INDEX(base_fish!E:E,MATCH(use_fish!B12,base_fish!A:A,0))&amp;_xlfn.IFNA("+"&amp;INDEX(activity!G:G,MATCH(use_fish!C12,activity!A:A,0)),"")</f>
        <v>小锦鲤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21</v>
      </c>
      <c r="H13" s="38" t="str">
        <f>INDEX(base_fish!E:E,MATCH(use_fish!B13,base_fish!A:A,0))&amp;_xlfn.IFNA("+"&amp;INDEX(activity!G:G,MATCH(use_fish!C13,activity!A:A,0)),"")</f>
        <v>龙虾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21</v>
      </c>
      <c r="H14" s="38" t="str">
        <f>INDEX(base_fish!E:E,MATCH(use_fish!B14,base_fish!A:A,0))&amp;_xlfn.IFNA("+"&amp;INDEX(activity!G:G,MATCH(use_fish!C14,activity!A:A,0)),"")</f>
        <v>河豚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21</v>
      </c>
      <c r="H15" s="38" t="str">
        <f>INDEX(base_fish!E:E,MATCH(use_fish!B15,base_fish!A:A,0))&amp;_xlfn.IFNA("+"&amp;INDEX(activity!G:G,MATCH(use_fish!C15,activity!A:A,0)),"")</f>
        <v>海龟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21</v>
      </c>
      <c r="H16" s="38" t="str">
        <f>INDEX(base_fish!E:E,MATCH(use_fish!B16,base_fish!A:A,0))&amp;_xlfn.IFNA("+"&amp;INDEX(activity!G:G,MATCH(use_fish!C16,activity!A:A,0)),"")</f>
        <v>魔鬼鱼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21</v>
      </c>
      <c r="H17" s="38" t="str">
        <f>INDEX(base_fish!E:E,MATCH(use_fish!B17,base_fish!A:A,0))&amp;_xlfn.IFNA("+"&amp;INDEX(activity!G:G,MATCH(use_fish!C17,activity!A:A,0)),"")</f>
        <v>海豚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21</v>
      </c>
      <c r="H18" s="38" t="str">
        <f>INDEX(base_fish!E:E,MATCH(use_fish!B18,base_fish!A:A,0))&amp;_xlfn.IFNA("+"&amp;INDEX(activity!G:G,MATCH(use_fish!C18,activity!A:A,0)),"")</f>
        <v>锤头鲨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21</v>
      </c>
      <c r="H19" s="38" t="str">
        <f>INDEX(base_fish!E:E,MATCH(use_fish!B19,base_fish!A:A,0))&amp;_xlfn.IFNA("+"&amp;INDEX(activity!G:G,MATCH(use_fish!C19,activity!A:A,0)),"")</f>
        <v>鲸鱼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21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231</v>
      </c>
      <c r="E21" s="17">
        <v>63</v>
      </c>
      <c r="F21" s="17">
        <f t="shared" si="3"/>
        <v>1.5873015873015872E-2</v>
      </c>
      <c r="G21" s="17" t="s">
        <v>21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21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260</v>
      </c>
      <c r="E23" s="17">
        <v>63</v>
      </c>
      <c r="F23" s="17">
        <f t="shared" si="3"/>
        <v>1.5873015873015872E-2</v>
      </c>
      <c r="G23" s="17" t="s">
        <v>21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261</v>
      </c>
      <c r="E24" s="17">
        <v>63</v>
      </c>
      <c r="F24" s="17">
        <f t="shared" si="3"/>
        <v>1.5873015873015872E-2</v>
      </c>
      <c r="G24" s="17" t="s">
        <v>21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274</v>
      </c>
      <c r="F25" s="17" t="s">
        <v>275</v>
      </c>
      <c r="G25" s="17" t="s">
        <v>21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197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231</v>
      </c>
      <c r="E26" s="17">
        <v>84</v>
      </c>
      <c r="F26" s="17">
        <f t="shared" si="3"/>
        <v>1.1904761904761904E-2</v>
      </c>
      <c r="G26" s="17" t="s">
        <v>21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231</v>
      </c>
      <c r="E27" s="17">
        <v>105</v>
      </c>
      <c r="F27" s="17">
        <f t="shared" si="3"/>
        <v>9.5238095238095247E-3</v>
      </c>
      <c r="G27" s="17" t="s">
        <v>21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262</v>
      </c>
      <c r="E28" s="17">
        <v>105</v>
      </c>
      <c r="F28" s="17">
        <f t="shared" si="3"/>
        <v>9.5238095238095247E-3</v>
      </c>
      <c r="G28" s="17" t="s">
        <v>21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21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21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21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21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21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21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21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21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21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21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240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21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263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21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264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21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263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21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21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265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21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21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21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266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21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268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21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269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21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270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21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21</v>
      </c>
      <c r="H51" s="33" t="s">
        <v>232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21</v>
      </c>
      <c r="H52" s="26" t="str">
        <f>INDEX(base_fish!E:E,MATCH(use_fish!B52,base_fish!A:A,0))&amp;_xlfn.IFNA("+"&amp;INDEX(activity!G:G,MATCH(use_fish!C52,activity!A:A,0)),"")</f>
        <v>小锦鲤+炸弹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21</v>
      </c>
      <c r="H53" s="38" t="str">
        <f>INDEX(base_fish!E:E,MATCH(use_fish!B53,base_fish!A:A,0))&amp;_xlfn.IFNA("+"&amp;INDEX(activity!G:G,MATCH(use_fish!C53,activity!A:A,0)),"")</f>
        <v>龙虾+炸弹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21</v>
      </c>
      <c r="H54" s="38" t="str">
        <f>INDEX(base_fish!E:E,MATCH(use_fish!B54,base_fish!A:A,0))&amp;_xlfn.IFNA("+"&amp;INDEX(activity!G:G,MATCH(use_fish!C54,activity!A:A,0)),"")</f>
        <v>河豚+炸弹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21</v>
      </c>
      <c r="H55" s="38" t="str">
        <f>INDEX(base_fish!E:E,MATCH(use_fish!B55,base_fish!A:A,0))&amp;_xlfn.IFNA("+"&amp;INDEX(activity!G:G,MATCH(use_fish!C55,activity!A:A,0)),"")</f>
        <v>海龟+炸弹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21</v>
      </c>
      <c r="H56" s="38" t="str">
        <f>INDEX(base_fish!E:E,MATCH(use_fish!B56,base_fish!A:A,0))&amp;_xlfn.IFNA("+"&amp;INDEX(activity!G:G,MATCH(use_fish!C56,activity!A:A,0)),"")</f>
        <v>魔鬼鱼+炸弹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21</v>
      </c>
      <c r="H57" s="38" t="str">
        <f>INDEX(base_fish!E:E,MATCH(use_fish!B57,base_fish!A:A,0))&amp;_xlfn.IFNA("+"&amp;INDEX(activity!G:G,MATCH(use_fish!C57,activity!A:A,0)),"")</f>
        <v>海豚+炸弹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21</v>
      </c>
      <c r="H58" s="38" t="str">
        <f>INDEX(base_fish!E:E,MATCH(use_fish!B58,base_fish!A:A,0))&amp;_xlfn.IFNA("+"&amp;INDEX(activity!G:G,MATCH(use_fish!C58,activity!A:A,0)),"")</f>
        <v>锤头鲨+炸弹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21</v>
      </c>
      <c r="H59" s="38" t="str">
        <f>INDEX(base_fish!E:E,MATCH(use_fish!B59,base_fish!A:A,0))&amp;_xlfn.IFNA("+"&amp;INDEX(activity!G:G,MATCH(use_fish!C59,activity!A:A,0)),"")</f>
        <v>鲸鱼+炸弹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231</v>
      </c>
      <c r="E60" s="17">
        <v>93</v>
      </c>
      <c r="F60" s="17">
        <f t="shared" si="13"/>
        <v>1.0752688172043012E-2</v>
      </c>
      <c r="G60" s="17" t="s">
        <v>21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260</v>
      </c>
      <c r="E61" s="17">
        <v>93</v>
      </c>
      <c r="F61" s="17">
        <f t="shared" si="13"/>
        <v>1.0752688172043012E-2</v>
      </c>
      <c r="G61" s="17" t="s">
        <v>21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261</v>
      </c>
      <c r="E62" s="17">
        <v>135</v>
      </c>
      <c r="F62" s="17">
        <f t="shared" si="13"/>
        <v>7.4074074074074077E-3</v>
      </c>
      <c r="G62" s="17" t="s">
        <v>21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231</v>
      </c>
      <c r="E63" s="17">
        <v>114</v>
      </c>
      <c r="F63" s="17">
        <f t="shared" si="13"/>
        <v>8.771929824561403E-3</v>
      </c>
      <c r="G63" s="17" t="s">
        <v>21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231</v>
      </c>
      <c r="E64" s="17">
        <v>135</v>
      </c>
      <c r="F64" s="17">
        <f t="shared" si="13"/>
        <v>7.4074074074074077E-3</v>
      </c>
      <c r="G64" s="17" t="s">
        <v>21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260</v>
      </c>
      <c r="E65" s="17">
        <v>135</v>
      </c>
      <c r="F65" s="17">
        <f t="shared" si="13"/>
        <v>7.4074074074074077E-3</v>
      </c>
      <c r="G65" s="17" t="s">
        <v>21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21</v>
      </c>
      <c r="H66" s="26" t="str">
        <f>INDEX(base_fish!E:E,MATCH(use_fish!B66,base_fish!A:A,0))&amp;_xlfn.IFNA("+"&amp;INDEX(activity!G:G,MATCH(use_fish!C66,activity!A:A,0)),"")</f>
        <v>小锦鲤+闪电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21</v>
      </c>
      <c r="H67" s="38" t="str">
        <f>INDEX(base_fish!E:E,MATCH(use_fish!B67,base_fish!A:A,0))&amp;_xlfn.IFNA("+"&amp;INDEX(activity!G:G,MATCH(use_fish!C67,activity!A:A,0)),"")</f>
        <v>龙虾+闪电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21</v>
      </c>
      <c r="H68" s="38" t="str">
        <f>INDEX(base_fish!E:E,MATCH(use_fish!B68,base_fish!A:A,0))&amp;_xlfn.IFNA("+"&amp;INDEX(activity!G:G,MATCH(use_fish!C68,activity!A:A,0)),"")</f>
        <v>河豚+闪电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21</v>
      </c>
      <c r="H69" s="38" t="str">
        <f>INDEX(base_fish!E:E,MATCH(use_fish!B69,base_fish!A:A,0))&amp;_xlfn.IFNA("+"&amp;INDEX(activity!G:G,MATCH(use_fish!C69,activity!A:A,0)),"")</f>
        <v>海龟+闪电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21</v>
      </c>
      <c r="H70" s="38" t="str">
        <f>INDEX(base_fish!E:E,MATCH(use_fish!B70,base_fish!A:A,0))&amp;_xlfn.IFNA("+"&amp;INDEX(activity!G:G,MATCH(use_fish!C70,activity!A:A,0)),"")</f>
        <v>魔鬼鱼+闪电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21</v>
      </c>
      <c r="H71" s="38" t="str">
        <f>INDEX(base_fish!E:E,MATCH(use_fish!B71,base_fish!A:A,0))&amp;_xlfn.IFNA("+"&amp;INDEX(activity!G:G,MATCH(use_fish!C71,activity!A:A,0)),"")</f>
        <v>海豚+闪电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21</v>
      </c>
      <c r="H72" s="38" t="str">
        <f>INDEX(base_fish!E:E,MATCH(use_fish!B72,base_fish!A:A,0))&amp;_xlfn.IFNA("+"&amp;INDEX(activity!G:G,MATCH(use_fish!C72,activity!A:A,0)),"")</f>
        <v>锤头鲨+闪电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21</v>
      </c>
      <c r="H73" s="38" t="str">
        <f>INDEX(base_fish!E:E,MATCH(use_fish!B73,base_fish!A:A,0))&amp;_xlfn.IFNA("+"&amp;INDEX(activity!G:G,MATCH(use_fish!C73,activity!A:A,0)),"")</f>
        <v>鲸鱼+闪电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231</v>
      </c>
      <c r="E74" s="17">
        <v>113</v>
      </c>
      <c r="F74" s="17">
        <f t="shared" si="16"/>
        <v>8.8495575221238937E-3</v>
      </c>
      <c r="G74" s="17" t="s">
        <v>21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260</v>
      </c>
      <c r="E75" s="17">
        <v>113</v>
      </c>
      <c r="F75" s="17">
        <f t="shared" si="16"/>
        <v>8.8495575221238937E-3</v>
      </c>
      <c r="G75" s="17" t="s">
        <v>21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261</v>
      </c>
      <c r="E76" s="17">
        <v>155</v>
      </c>
      <c r="F76" s="17">
        <f t="shared" si="16"/>
        <v>6.4516129032258064E-3</v>
      </c>
      <c r="G76" s="17" t="s">
        <v>21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231</v>
      </c>
      <c r="E77" s="17">
        <v>134</v>
      </c>
      <c r="F77" s="17">
        <f t="shared" si="16"/>
        <v>7.462686567164179E-3</v>
      </c>
      <c r="G77" s="17" t="s">
        <v>21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231</v>
      </c>
      <c r="E78" s="17">
        <v>155</v>
      </c>
      <c r="F78" s="17">
        <f t="shared" si="16"/>
        <v>6.4516129032258064E-3</v>
      </c>
      <c r="G78" s="17" t="s">
        <v>21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260</v>
      </c>
      <c r="E79" s="17">
        <v>155</v>
      </c>
      <c r="F79" s="17">
        <f t="shared" si="16"/>
        <v>6.4516129032258064E-3</v>
      </c>
      <c r="G79" s="17" t="s">
        <v>21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322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322</v>
      </c>
      <c r="H81" s="38" t="str">
        <f>INDEX(base_fish!E:E,MATCH(use_fish!B81,base_fish!A:A,0))&amp;_xlfn.IFNA("+"&amp;INDEX(activity!G:G,MATCH(use_fish!C81,activity!A:A,0)),"")</f>
        <v>鲸鱼+临时活动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324</v>
      </c>
      <c r="H82" s="38" t="str">
        <f>INDEX(base_fish!E:E,MATCH(use_fish!B82,base_fish!A:A,0))&amp;_xlfn.IFNA("+"&amp;INDEX(activity!G:G,MATCH(use_fish!C82,activity!A:A,0)),"")</f>
        <v>锤头鲨+临时活动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322</v>
      </c>
      <c r="H83" s="38" t="str">
        <f>INDEX(base_fish!E:E,MATCH(use_fish!B83,base_fish!A:A,0))&amp;_xlfn.IFNA("+"&amp;INDEX(activity!G:G,MATCH(use_fish!C83,activity!A:A,0)),"")</f>
        <v>魔鬼鱼+临时活动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322</v>
      </c>
      <c r="H84" s="38" t="str">
        <f>INDEX(base_fish!E:E,MATCH(use_fish!B84,base_fish!A:A,0))&amp;_xlfn.IFNA("+"&amp;INDEX(activity!G:G,MATCH(use_fish!C84,activity!A:A,0)),"")</f>
        <v>河豚+临时活动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324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322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322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324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322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322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324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324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324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324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324</v>
      </c>
      <c r="H95" s="58" t="str">
        <f>INDEX(base_fish!E:E,MATCH(use_fish!B95,base_fish!A:A,0))&amp;_xlfn.IFNA("+"&amp;INDEX(activity!G:G,MATCH(use_fish!C95,activity!A:A,0)),"")</f>
        <v>小锦鲤+临时活动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324</v>
      </c>
      <c r="H96" s="58" t="str">
        <f>INDEX(base_fish!E:E,MATCH(use_fish!B96,base_fish!A:A,0))&amp;_xlfn.IFNA("+"&amp;INDEX(activity!G:G,MATCH(use_fish!C96,activity!A:A,0)),"")</f>
        <v>龙虾+临时活动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324</v>
      </c>
      <c r="H97" s="58" t="str">
        <f>INDEX(base_fish!E:E,MATCH(use_fish!B97,base_fish!A:A,0))&amp;_xlfn.IFNA("+"&amp;INDEX(activity!G:G,MATCH(use_fish!C97,activity!A:A,0)),"")</f>
        <v>河豚+临时活动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324</v>
      </c>
      <c r="H98" s="58" t="str">
        <f>INDEX(base_fish!E:E,MATCH(use_fish!B98,base_fish!A:A,0))&amp;_xlfn.IFNA("+"&amp;INDEX(activity!G:G,MATCH(use_fish!C98,activity!A:A,0)),"")</f>
        <v>海龟+临时活动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324</v>
      </c>
      <c r="H99" s="58" t="str">
        <f>INDEX(base_fish!E:E,MATCH(use_fish!B99,base_fish!A:A,0))&amp;_xlfn.IFNA("+"&amp;INDEX(activity!G:G,MATCH(use_fish!C99,activity!A:A,0)),"")</f>
        <v>魔鬼鱼+临时活动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324</v>
      </c>
      <c r="H100" s="58" t="str">
        <f>INDEX(base_fish!E:E,MATCH(use_fish!B100,base_fish!A:A,0))&amp;_xlfn.IFNA("+"&amp;INDEX(activity!G:G,MATCH(use_fish!C100,activity!A:A,0)),"")</f>
        <v>海豚+临时活动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324</v>
      </c>
      <c r="H101" s="58" t="str">
        <f>INDEX(base_fish!E:E,MATCH(use_fish!B101,base_fish!A:A,0))&amp;_xlfn.IFNA("+"&amp;INDEX(activity!G:G,MATCH(use_fish!C101,activity!A:A,0)),"")</f>
        <v>锤头鲨+临时活动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322</v>
      </c>
      <c r="H102" s="64" t="str">
        <f>INDEX(base_fish!E:E,MATCH(use_fish!B102,base_fish!A:A,0))&amp;_xlfn.IFNA("+"&amp;INDEX(activity!G:G,MATCH(use_fish!C102,activity!A:A,0)),"")</f>
        <v>河豚+临时活动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322</v>
      </c>
      <c r="H103" s="64" t="str">
        <f>INDEX(base_fish!E:E,MATCH(use_fish!B103,base_fish!A:A,0))&amp;_xlfn.IFNA("+"&amp;INDEX(activity!G:G,MATCH(use_fish!C103,activity!A:A,0)),"")</f>
        <v>海龟+临时活动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322</v>
      </c>
      <c r="H104" s="64" t="str">
        <f>INDEX(base_fish!E:E,MATCH(use_fish!B104,base_fish!A:A,0))&amp;_xlfn.IFNA("+"&amp;INDEX(activity!G:G,MATCH(use_fish!C104,activity!A:A,0)),"")</f>
        <v>魔鬼鱼+临时活动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322</v>
      </c>
      <c r="H105" s="64" t="str">
        <f>INDEX(base_fish!E:E,MATCH(use_fish!B105,base_fish!A:A,0))&amp;_xlfn.IFNA("+"&amp;INDEX(activity!G:G,MATCH(use_fish!C105,activity!A:A,0)),"")</f>
        <v>海豚+临时活动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322</v>
      </c>
      <c r="H106" s="64" t="str">
        <f>INDEX(base_fish!E:E,MATCH(use_fish!B106,base_fish!A:A,0))&amp;_xlfn.IFNA("+"&amp;INDEX(activity!G:G,MATCH(use_fish!C106,activity!A:A,0)),"")</f>
        <v>锤头鲨+临时活动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322</v>
      </c>
      <c r="H107" s="64" t="str">
        <f>INDEX(base_fish!E:E,MATCH(use_fish!B107,base_fish!A:A,0))&amp;_xlfn.IFNA("+"&amp;INDEX(activity!G:G,MATCH(use_fish!C107,activity!A:A,0)),"")</f>
        <v>鲸鱼+临时活动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322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322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322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322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443</v>
      </c>
      <c r="E112" s="57">
        <v>0</v>
      </c>
      <c r="F112" s="67">
        <v>0</v>
      </c>
      <c r="G112" s="67" t="s">
        <v>322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322</v>
      </c>
      <c r="H113" s="73" t="str">
        <f>INDEX(base_fish!E:E,MATCH(use_fish!B113,base_fish!A:A,0))&amp;_xlfn.IFNA("+"&amp;INDEX(activity!G:G,MATCH(use_fish!C113,activity!A:A,0)),"")</f>
        <v>河豚+临时活动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322</v>
      </c>
      <c r="H114" s="73" t="str">
        <f>INDEX(base_fish!E:E,MATCH(use_fish!B114,base_fish!A:A,0))&amp;_xlfn.IFNA("+"&amp;INDEX(activity!G:G,MATCH(use_fish!C114,activity!A:A,0)),"")</f>
        <v>海龟+临时活动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322</v>
      </c>
      <c r="H115" s="73" t="str">
        <f>INDEX(base_fish!E:E,MATCH(use_fish!B115,base_fish!A:A,0))&amp;_xlfn.IFNA("+"&amp;INDEX(activity!G:G,MATCH(use_fish!C115,activity!A:A,0)),"")</f>
        <v>魔鬼鱼+临时活动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322</v>
      </c>
      <c r="H116" s="73" t="str">
        <f>INDEX(base_fish!E:E,MATCH(use_fish!B116,base_fish!A:A,0))&amp;_xlfn.IFNA("+"&amp;INDEX(activity!G:G,MATCH(use_fish!C116,activity!A:A,0)),"")</f>
        <v>海豚+临时活动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322</v>
      </c>
      <c r="H117" s="73" t="str">
        <f>INDEX(base_fish!E:E,MATCH(use_fish!B117,base_fish!A:A,0))&amp;_xlfn.IFNA("+"&amp;INDEX(activity!G:G,MATCH(use_fish!C117,activity!A:A,0)),"")</f>
        <v>锤头鲨+临时活动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322</v>
      </c>
      <c r="H118" s="73" t="str">
        <f>INDEX(base_fish!E:E,MATCH(use_fish!B118,base_fish!A:A,0))&amp;_xlfn.IFNA("+"&amp;INDEX(activity!G:G,MATCH(use_fish!C118,activity!A:A,0)),"")</f>
        <v>鲸鱼+临时活动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322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322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322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231</v>
      </c>
      <c r="E122" s="17">
        <v>65</v>
      </c>
      <c r="F122" s="17">
        <f t="shared" si="16"/>
        <v>1.5384615384615385E-2</v>
      </c>
      <c r="G122" s="17" t="s">
        <v>21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260</v>
      </c>
      <c r="E123" s="17">
        <v>65</v>
      </c>
      <c r="F123" s="17">
        <f t="shared" si="16"/>
        <v>1.5384615384615385E-2</v>
      </c>
      <c r="G123" s="17" t="s">
        <v>21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261</v>
      </c>
      <c r="E124" s="17">
        <v>65</v>
      </c>
      <c r="F124" s="17">
        <f t="shared" si="16"/>
        <v>1.5384615384615385E-2</v>
      </c>
      <c r="G124" s="17" t="s">
        <v>21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231</v>
      </c>
      <c r="E125" s="17">
        <v>86</v>
      </c>
      <c r="F125" s="17">
        <f t="shared" si="16"/>
        <v>1.1627906976744186E-2</v>
      </c>
      <c r="G125" s="17" t="s">
        <v>21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231</v>
      </c>
      <c r="E126" s="17">
        <v>107</v>
      </c>
      <c r="F126" s="17">
        <f t="shared" si="16"/>
        <v>9.3457943925233638E-3</v>
      </c>
      <c r="G126" s="17" t="s">
        <v>21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260</v>
      </c>
      <c r="E127" s="17">
        <v>107</v>
      </c>
      <c r="F127" s="17">
        <f t="shared" si="16"/>
        <v>9.3457943925233638E-3</v>
      </c>
      <c r="G127" s="17" t="s">
        <v>21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231</v>
      </c>
      <c r="E128" s="76">
        <v>69</v>
      </c>
      <c r="F128" s="76">
        <f t="shared" ref="F128:F133" si="19">1/E128</f>
        <v>1.4492753623188406E-2</v>
      </c>
      <c r="G128" s="76" t="s">
        <v>21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260</v>
      </c>
      <c r="E129" s="76">
        <v>69</v>
      </c>
      <c r="F129" s="76">
        <f t="shared" si="19"/>
        <v>1.4492753623188406E-2</v>
      </c>
      <c r="G129" s="76" t="s">
        <v>21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261</v>
      </c>
      <c r="E130" s="76">
        <v>69</v>
      </c>
      <c r="F130" s="76">
        <f t="shared" si="19"/>
        <v>1.4492753623188406E-2</v>
      </c>
      <c r="G130" s="76" t="s">
        <v>21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231</v>
      </c>
      <c r="E131" s="76">
        <v>90</v>
      </c>
      <c r="F131" s="76">
        <f t="shared" si="19"/>
        <v>1.1111111111111112E-2</v>
      </c>
      <c r="G131" s="76" t="s">
        <v>21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231</v>
      </c>
      <c r="E132" s="76">
        <v>111</v>
      </c>
      <c r="F132" s="76">
        <f t="shared" si="19"/>
        <v>9.0090090090090089E-3</v>
      </c>
      <c r="G132" s="76" t="s">
        <v>21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260</v>
      </c>
      <c r="E133" s="76">
        <v>111</v>
      </c>
      <c r="F133" s="76">
        <f t="shared" si="19"/>
        <v>9.0090090090090089E-3</v>
      </c>
      <c r="G133" s="76" t="s">
        <v>21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231</v>
      </c>
      <c r="E134" s="17">
        <v>65</v>
      </c>
      <c r="F134" s="17">
        <f t="shared" ref="F134:F139" si="21">1/E134</f>
        <v>1.5384615384615385E-2</v>
      </c>
      <c r="G134" s="17" t="s">
        <v>21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260</v>
      </c>
      <c r="E135" s="17">
        <v>65</v>
      </c>
      <c r="F135" s="17">
        <f t="shared" si="21"/>
        <v>1.5384615384615385E-2</v>
      </c>
      <c r="G135" s="17" t="s">
        <v>21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261</v>
      </c>
      <c r="E136" s="17">
        <v>65</v>
      </c>
      <c r="F136" s="17">
        <f t="shared" si="21"/>
        <v>1.5384615384615385E-2</v>
      </c>
      <c r="G136" s="17" t="s">
        <v>21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231</v>
      </c>
      <c r="E137" s="17">
        <v>86</v>
      </c>
      <c r="F137" s="17">
        <f t="shared" si="21"/>
        <v>1.1627906976744186E-2</v>
      </c>
      <c r="G137" s="17" t="s">
        <v>21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231</v>
      </c>
      <c r="E138" s="17">
        <v>107</v>
      </c>
      <c r="F138" s="17">
        <f t="shared" si="21"/>
        <v>9.3457943925233638E-3</v>
      </c>
      <c r="G138" s="17" t="s">
        <v>21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260</v>
      </c>
      <c r="E139" s="17">
        <v>107</v>
      </c>
      <c r="F139" s="17">
        <f t="shared" si="21"/>
        <v>9.3457943925233638E-3</v>
      </c>
      <c r="G139" s="17" t="s">
        <v>21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231</v>
      </c>
      <c r="E140" s="76">
        <v>65</v>
      </c>
      <c r="F140" s="76">
        <f t="shared" ref="F140:F154" si="23">1/E140</f>
        <v>1.5384615384615385E-2</v>
      </c>
      <c r="G140" s="76" t="s">
        <v>21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260</v>
      </c>
      <c r="E141" s="76">
        <v>65</v>
      </c>
      <c r="F141" s="76">
        <f t="shared" si="23"/>
        <v>1.5384615384615385E-2</v>
      </c>
      <c r="G141" s="76" t="s">
        <v>21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261</v>
      </c>
      <c r="E142" s="76">
        <v>65</v>
      </c>
      <c r="F142" s="76">
        <f t="shared" si="23"/>
        <v>1.5384615384615385E-2</v>
      </c>
      <c r="G142" s="76" t="s">
        <v>21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231</v>
      </c>
      <c r="E143" s="76">
        <v>86</v>
      </c>
      <c r="F143" s="76">
        <f t="shared" si="23"/>
        <v>1.1627906976744186E-2</v>
      </c>
      <c r="G143" s="76" t="s">
        <v>21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231</v>
      </c>
      <c r="E144" s="76">
        <v>107</v>
      </c>
      <c r="F144" s="76">
        <f t="shared" si="23"/>
        <v>9.3457943925233638E-3</v>
      </c>
      <c r="G144" s="76" t="s">
        <v>21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260</v>
      </c>
      <c r="E145" s="76">
        <v>107</v>
      </c>
      <c r="F145" s="76">
        <f t="shared" si="23"/>
        <v>9.3457943925233638E-3</v>
      </c>
      <c r="G145" s="76" t="s">
        <v>21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21</v>
      </c>
      <c r="H146" s="31" t="str">
        <f>INDEX(base_fish!E:E,MATCH(use_fish!B146,base_fish!A:A,0))&amp;_xlfn.IFNA("+"&amp;INDEX(activity!G:G,MATCH(use_fish!C146,activity!A:A,0)),"")</f>
        <v>河豚+临时活动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21</v>
      </c>
      <c r="H147" s="31" t="str">
        <f>INDEX(base_fish!E:E,MATCH(use_fish!B147,base_fish!A:A,0))&amp;_xlfn.IFNA("+"&amp;INDEX(activity!G:G,MATCH(use_fish!C147,activity!A:A,0)),"")</f>
        <v>海龟+临时活动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21</v>
      </c>
      <c r="H148" s="31" t="str">
        <f>INDEX(base_fish!E:E,MATCH(use_fish!B148,base_fish!A:A,0))&amp;_xlfn.IFNA("+"&amp;INDEX(activity!G:G,MATCH(use_fish!C148,activity!A:A,0)),"")</f>
        <v>魔鬼鱼+临时活动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21</v>
      </c>
      <c r="H149" s="31" t="str">
        <f>INDEX(base_fish!E:E,MATCH(use_fish!B149,base_fish!A:A,0))&amp;_xlfn.IFNA("+"&amp;INDEX(activity!G:G,MATCH(use_fish!C149,activity!A:A,0)),"")</f>
        <v>海豚+临时活动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21</v>
      </c>
      <c r="H150" s="31" t="str">
        <f>INDEX(base_fish!E:E,MATCH(use_fish!B150,base_fish!A:A,0))&amp;_xlfn.IFNA("+"&amp;INDEX(activity!G:G,MATCH(use_fish!C150,activity!A:A,0)),"")</f>
        <v>锤头鲨+临时活动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21</v>
      </c>
      <c r="H151" s="31" t="str">
        <f>INDEX(base_fish!E:E,MATCH(use_fish!B151,base_fish!A:A,0))&amp;_xlfn.IFNA("+"&amp;INDEX(activity!G:G,MATCH(use_fish!C151,activity!A:A,0)),"")</f>
        <v>鲸鱼+临时活动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21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21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21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21</v>
      </c>
      <c r="H155" s="64" t="str">
        <f>INDEX(base_fish!E:E,MATCH(use_fish!B155,base_fish!A:A,0))&amp;_xlfn.IFNA("+"&amp;INDEX(activity!G:G,MATCH(use_fish!C155,activity!A:A,0)),"")</f>
        <v>河豚+临时活动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21</v>
      </c>
      <c r="H156" s="64" t="str">
        <f>INDEX(base_fish!E:E,MATCH(use_fish!B156,base_fish!A:A,0))&amp;_xlfn.IFNA("+"&amp;INDEX(activity!G:G,MATCH(use_fish!C156,activity!A:A,0)),"")</f>
        <v>海龟+临时活动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21</v>
      </c>
      <c r="H157" s="64" t="str">
        <f>INDEX(base_fish!E:E,MATCH(use_fish!B157,base_fish!A:A,0))&amp;_xlfn.IFNA("+"&amp;INDEX(activity!G:G,MATCH(use_fish!C157,activity!A:A,0)),"")</f>
        <v>魔鬼鱼+临时活动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21</v>
      </c>
      <c r="H158" s="64" t="str">
        <f>INDEX(base_fish!E:E,MATCH(use_fish!B158,base_fish!A:A,0))&amp;_xlfn.IFNA("+"&amp;INDEX(activity!G:G,MATCH(use_fish!C158,activity!A:A,0)),"")</f>
        <v>海豚+临时活动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21</v>
      </c>
      <c r="H159" s="64" t="str">
        <f>INDEX(base_fish!E:E,MATCH(use_fish!B159,base_fish!A:A,0))&amp;_xlfn.IFNA("+"&amp;INDEX(activity!G:G,MATCH(use_fish!C159,activity!A:A,0)),"")</f>
        <v>锤头鲨+临时活动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21</v>
      </c>
      <c r="H160" s="64" t="str">
        <f>INDEX(base_fish!E:E,MATCH(use_fish!B160,base_fish!A:A,0))&amp;_xlfn.IFNA("+"&amp;INDEX(activity!G:G,MATCH(use_fish!C160,activity!A:A,0)),"")</f>
        <v>鲸鱼+临时活动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21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21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21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2" customFormat="1" x14ac:dyDescent="0.2">
      <c r="A164" s="84">
        <v>163</v>
      </c>
      <c r="B164" s="85">
        <v>13</v>
      </c>
      <c r="C164" s="84">
        <v>85</v>
      </c>
      <c r="D164" s="84"/>
      <c r="E164" s="85">
        <f>LOOKUP(use_fish!B164,base_fish!A:A,base_fish!C:C)+_xlfn.IFNA(INDEX(activity!F:F,MATCH(use_fish!C164,activity!A:A,0)),0)</f>
        <v>30</v>
      </c>
      <c r="F164" s="85">
        <f t="shared" ref="F164:F173" si="27">1/E164</f>
        <v>3.3333333333333333E-2</v>
      </c>
      <c r="G164" s="85" t="s">
        <v>21</v>
      </c>
      <c r="H164" s="86" t="str">
        <f>INDEX(base_fish!E:E,MATCH(use_fish!B164,base_fish!A:A,0))&amp;_xlfn.IFNA("+"&amp;INDEX(activity!G:G,MATCH(use_fish!C164,activity!A:A,0)),"")</f>
        <v>河豚+临时活动</v>
      </c>
      <c r="I164" s="85">
        <f>LOOKUP(use_fish!B164,base_fish!A:A,base_fish!F:F)+_xlfn.IFNA(INDEX(activity!F:F,MATCH(use_fish!C164,activity!A:A,0)),0)</f>
        <v>30</v>
      </c>
      <c r="J164" s="82">
        <v>1</v>
      </c>
      <c r="K164" s="82">
        <f>LOOKUP(use_fish!B164,base_fish!A:A,base_fish!G:G)</f>
        <v>0</v>
      </c>
      <c r="L164" s="82">
        <f t="shared" ref="L164:L174" si="28">I164</f>
        <v>30</v>
      </c>
      <c r="M164" s="82">
        <v>1</v>
      </c>
      <c r="N164" s="82">
        <v>0</v>
      </c>
      <c r="O164" s="82">
        <v>1</v>
      </c>
    </row>
    <row r="165" spans="1:15" s="82" customFormat="1" x14ac:dyDescent="0.2">
      <c r="A165" s="84">
        <v>164</v>
      </c>
      <c r="B165" s="85">
        <v>14</v>
      </c>
      <c r="C165" s="84">
        <v>85</v>
      </c>
      <c r="D165" s="84"/>
      <c r="E165" s="85">
        <f>LOOKUP(use_fish!B165,base_fish!A:A,base_fish!C:C)+_xlfn.IFNA(INDEX(activity!F:F,MATCH(use_fish!C165,activity!A:A,0)),0)</f>
        <v>35</v>
      </c>
      <c r="F165" s="85">
        <f t="shared" si="27"/>
        <v>2.8571428571428571E-2</v>
      </c>
      <c r="G165" s="85" t="s">
        <v>21</v>
      </c>
      <c r="H165" s="86" t="str">
        <f>INDEX(base_fish!E:E,MATCH(use_fish!B165,base_fish!A:A,0))&amp;_xlfn.IFNA("+"&amp;INDEX(activity!G:G,MATCH(use_fish!C165,activity!A:A,0)),"")</f>
        <v>海龟+临时活动</v>
      </c>
      <c r="I165" s="85">
        <f>LOOKUP(use_fish!B165,base_fish!A:A,base_fish!F:F)+_xlfn.IFNA(INDEX(activity!F:F,MATCH(use_fish!C165,activity!A:A,0)),0)</f>
        <v>35</v>
      </c>
      <c r="J165" s="82">
        <v>1</v>
      </c>
      <c r="K165" s="82">
        <f>LOOKUP(use_fish!B165,base_fish!A:A,base_fish!G:G)</f>
        <v>0</v>
      </c>
      <c r="L165" s="82">
        <f t="shared" si="28"/>
        <v>35</v>
      </c>
      <c r="M165" s="82">
        <v>1</v>
      </c>
      <c r="N165" s="82">
        <v>0</v>
      </c>
      <c r="O165" s="82">
        <v>1</v>
      </c>
    </row>
    <row r="166" spans="1:15" s="82" customFormat="1" x14ac:dyDescent="0.2">
      <c r="A166" s="84">
        <v>165</v>
      </c>
      <c r="B166" s="85">
        <v>15</v>
      </c>
      <c r="C166" s="84">
        <v>85</v>
      </c>
      <c r="D166" s="84"/>
      <c r="E166" s="85">
        <f>LOOKUP(use_fish!B166,base_fish!A:A,base_fish!C:C)+_xlfn.IFNA(INDEX(activity!F:F,MATCH(use_fish!C166,activity!A:A,0)),0)</f>
        <v>40</v>
      </c>
      <c r="F166" s="85">
        <f t="shared" si="27"/>
        <v>2.5000000000000001E-2</v>
      </c>
      <c r="G166" s="85" t="s">
        <v>21</v>
      </c>
      <c r="H166" s="86" t="str">
        <f>INDEX(base_fish!E:E,MATCH(use_fish!B166,base_fish!A:A,0))&amp;_xlfn.IFNA("+"&amp;INDEX(activity!G:G,MATCH(use_fish!C166,activity!A:A,0)),"")</f>
        <v>魔鬼鱼+临时活动</v>
      </c>
      <c r="I166" s="85">
        <f>LOOKUP(use_fish!B166,base_fish!A:A,base_fish!F:F)+_xlfn.IFNA(INDEX(activity!F:F,MATCH(use_fish!C166,activity!A:A,0)),0)</f>
        <v>40</v>
      </c>
      <c r="J166" s="82">
        <v>1</v>
      </c>
      <c r="K166" s="82">
        <f>LOOKUP(use_fish!B166,base_fish!A:A,base_fish!G:G)</f>
        <v>0</v>
      </c>
      <c r="L166" s="82">
        <f t="shared" si="28"/>
        <v>40</v>
      </c>
      <c r="M166" s="82">
        <v>1</v>
      </c>
      <c r="N166" s="82">
        <v>0</v>
      </c>
      <c r="O166" s="82">
        <v>1</v>
      </c>
    </row>
    <row r="167" spans="1:15" s="82" customFormat="1" x14ac:dyDescent="0.2">
      <c r="A167" s="84">
        <v>166</v>
      </c>
      <c r="B167" s="85">
        <v>16</v>
      </c>
      <c r="C167" s="84">
        <v>85</v>
      </c>
      <c r="D167" s="84"/>
      <c r="E167" s="85">
        <f>LOOKUP(use_fish!B167,base_fish!A:A,base_fish!C:C)+_xlfn.IFNA(INDEX(activity!F:F,MATCH(use_fish!C167,activity!A:A,0)),0)</f>
        <v>45</v>
      </c>
      <c r="F167" s="85">
        <f t="shared" si="27"/>
        <v>2.2222222222222223E-2</v>
      </c>
      <c r="G167" s="85" t="s">
        <v>21</v>
      </c>
      <c r="H167" s="86" t="str">
        <f>INDEX(base_fish!E:E,MATCH(use_fish!B167,base_fish!A:A,0))&amp;_xlfn.IFNA("+"&amp;INDEX(activity!G:G,MATCH(use_fish!C167,activity!A:A,0)),"")</f>
        <v>海豚+临时活动</v>
      </c>
      <c r="I167" s="85">
        <f>LOOKUP(use_fish!B167,base_fish!A:A,base_fish!F:F)+_xlfn.IFNA(INDEX(activity!F:F,MATCH(use_fish!C167,activity!A:A,0)),0)</f>
        <v>45</v>
      </c>
      <c r="J167" s="82">
        <v>1</v>
      </c>
      <c r="K167" s="82">
        <f>LOOKUP(use_fish!B167,base_fish!A:A,base_fish!G:G)</f>
        <v>0</v>
      </c>
      <c r="L167" s="82">
        <f t="shared" si="28"/>
        <v>45</v>
      </c>
      <c r="M167" s="82">
        <v>1</v>
      </c>
      <c r="N167" s="82">
        <v>0</v>
      </c>
      <c r="O167" s="82">
        <v>1</v>
      </c>
    </row>
    <row r="168" spans="1:15" s="82" customFormat="1" x14ac:dyDescent="0.2">
      <c r="A168" s="84">
        <v>167</v>
      </c>
      <c r="B168" s="85">
        <v>17</v>
      </c>
      <c r="C168" s="84">
        <v>85</v>
      </c>
      <c r="D168" s="84"/>
      <c r="E168" s="85">
        <f>LOOKUP(use_fish!B168,base_fish!A:A,base_fish!C:C)+_xlfn.IFNA(INDEX(activity!F:F,MATCH(use_fish!C168,activity!A:A,0)),0)</f>
        <v>50</v>
      </c>
      <c r="F168" s="85">
        <f t="shared" si="27"/>
        <v>0.02</v>
      </c>
      <c r="G168" s="85" t="s">
        <v>21</v>
      </c>
      <c r="H168" s="86" t="str">
        <f>INDEX(base_fish!E:E,MATCH(use_fish!B168,base_fish!A:A,0))&amp;_xlfn.IFNA("+"&amp;INDEX(activity!G:G,MATCH(use_fish!C168,activity!A:A,0)),"")</f>
        <v>锤头鲨+临时活动</v>
      </c>
      <c r="I168" s="85">
        <f>LOOKUP(use_fish!B168,base_fish!A:A,base_fish!F:F)+_xlfn.IFNA(INDEX(activity!F:F,MATCH(use_fish!C168,activity!A:A,0)),0)</f>
        <v>50</v>
      </c>
      <c r="J168" s="82">
        <v>1</v>
      </c>
      <c r="K168" s="82">
        <f>LOOKUP(use_fish!B168,base_fish!A:A,base_fish!G:G)</f>
        <v>0</v>
      </c>
      <c r="L168" s="82">
        <f t="shared" si="28"/>
        <v>50</v>
      </c>
      <c r="M168" s="82">
        <v>1</v>
      </c>
      <c r="N168" s="82">
        <v>0</v>
      </c>
      <c r="O168" s="82">
        <v>1</v>
      </c>
    </row>
    <row r="169" spans="1:15" s="82" customFormat="1" x14ac:dyDescent="0.2">
      <c r="A169" s="84">
        <v>168</v>
      </c>
      <c r="B169" s="85">
        <v>18</v>
      </c>
      <c r="C169" s="84">
        <v>85</v>
      </c>
      <c r="D169" s="84"/>
      <c r="E169" s="85">
        <f>LOOKUP(use_fish!B169,base_fish!A:A,base_fish!C:C)+_xlfn.IFNA(INDEX(activity!F:F,MATCH(use_fish!C169,activity!A:A,0)),0)</f>
        <v>70</v>
      </c>
      <c r="F169" s="85">
        <f t="shared" si="27"/>
        <v>1.4285714285714285E-2</v>
      </c>
      <c r="G169" s="85" t="s">
        <v>21</v>
      </c>
      <c r="H169" s="86" t="str">
        <f>INDEX(base_fish!E:E,MATCH(use_fish!B169,base_fish!A:A,0))&amp;_xlfn.IFNA("+"&amp;INDEX(activity!G:G,MATCH(use_fish!C169,activity!A:A,0)),"")</f>
        <v>鲸鱼+临时活动</v>
      </c>
      <c r="I169" s="85">
        <f>LOOKUP(use_fish!B169,base_fish!A:A,base_fish!F:F)+_xlfn.IFNA(INDEX(activity!F:F,MATCH(use_fish!C169,activity!A:A,0)),0)</f>
        <v>70</v>
      </c>
      <c r="J169" s="82">
        <v>1</v>
      </c>
      <c r="K169" s="82">
        <f>LOOKUP(use_fish!B169,base_fish!A:A,base_fish!G:G)</f>
        <v>0</v>
      </c>
      <c r="L169" s="82">
        <f t="shared" si="28"/>
        <v>70</v>
      </c>
      <c r="M169" s="82">
        <v>1</v>
      </c>
      <c r="N169" s="82">
        <v>0</v>
      </c>
      <c r="O169" s="82">
        <v>1</v>
      </c>
    </row>
    <row r="170" spans="1:15" s="82" customFormat="1" x14ac:dyDescent="0.2">
      <c r="A170" s="84">
        <v>169</v>
      </c>
      <c r="B170" s="84">
        <v>61</v>
      </c>
      <c r="C170" s="84">
        <v>82</v>
      </c>
      <c r="D170" s="84"/>
      <c r="E170" s="85">
        <f>LOOKUP(use_fish!B170,base_fish!A:A,base_fish!C:C)+_xlfn.IFNA(INDEX(activity!F:F,MATCH(use_fish!C170,activity!A:A,0)),0)</f>
        <v>250</v>
      </c>
      <c r="F170" s="85">
        <f t="shared" si="27"/>
        <v>4.0000000000000001E-3</v>
      </c>
      <c r="G170" s="85" t="s">
        <v>21</v>
      </c>
      <c r="H170" s="86" t="str">
        <f>INDEX(base_fish!E:E,MATCH(use_fish!B170,base_fish!A:A,0))&amp;_xlfn.IFNA("+"&amp;INDEX(activity!G:G,MATCH(use_fish!C170,activity!A:A,0)),"")</f>
        <v>活动boss+临时活动</v>
      </c>
      <c r="I170" s="85">
        <f>LOOKUP(use_fish!B170,base_fish!A:A,base_fish!F:F)+_xlfn.IFNA(INDEX(activity!F:F,MATCH(use_fish!C170,activity!A:A,0)),0)</f>
        <v>250</v>
      </c>
      <c r="J170" s="82">
        <v>1</v>
      </c>
      <c r="K170" s="82">
        <f>LOOKUP(use_fish!B170,base_fish!A:A,base_fish!G:G)</f>
        <v>0</v>
      </c>
      <c r="L170" s="82">
        <f t="shared" si="28"/>
        <v>250</v>
      </c>
      <c r="M170" s="82">
        <v>1</v>
      </c>
      <c r="N170" s="82">
        <v>1</v>
      </c>
      <c r="O170" s="82">
        <v>1</v>
      </c>
    </row>
    <row r="171" spans="1:15" s="82" customFormat="1" x14ac:dyDescent="0.2">
      <c r="A171" s="84">
        <v>170</v>
      </c>
      <c r="B171" s="84">
        <v>61</v>
      </c>
      <c r="C171" s="84">
        <v>83</v>
      </c>
      <c r="D171" s="84"/>
      <c r="E171" s="85">
        <f>LOOKUP(use_fish!B171,base_fish!A:A,base_fish!C:C)+_xlfn.IFNA(INDEX(activity!F:F,MATCH(use_fish!C171,activity!A:A,0)),0)</f>
        <v>350</v>
      </c>
      <c r="F171" s="85">
        <f t="shared" si="27"/>
        <v>2.8571428571428571E-3</v>
      </c>
      <c r="G171" s="85" t="s">
        <v>21</v>
      </c>
      <c r="H171" s="86" t="str">
        <f>INDEX(base_fish!E:E,MATCH(use_fish!B171,base_fish!A:A,0))&amp;_xlfn.IFNA("+"&amp;INDEX(activity!G:G,MATCH(use_fish!C171,activity!A:A,0)),"")</f>
        <v>活动boss+临时活动</v>
      </c>
      <c r="I171" s="85">
        <f>LOOKUP(use_fish!B171,base_fish!A:A,base_fish!F:F)+_xlfn.IFNA(INDEX(activity!F:F,MATCH(use_fish!C171,activity!A:A,0)),0)</f>
        <v>350</v>
      </c>
      <c r="J171" s="82">
        <v>1</v>
      </c>
      <c r="K171" s="82">
        <f>LOOKUP(use_fish!B171,base_fish!A:A,base_fish!G:G)</f>
        <v>0</v>
      </c>
      <c r="L171" s="82">
        <f t="shared" si="28"/>
        <v>350</v>
      </c>
      <c r="M171" s="82">
        <v>1</v>
      </c>
      <c r="N171" s="82">
        <v>1</v>
      </c>
      <c r="O171" s="82">
        <v>1</v>
      </c>
    </row>
    <row r="172" spans="1:15" s="82" customFormat="1" x14ac:dyDescent="0.2">
      <c r="A172" s="84">
        <v>171</v>
      </c>
      <c r="B172" s="84">
        <v>61</v>
      </c>
      <c r="C172" s="84">
        <v>84</v>
      </c>
      <c r="D172" s="84"/>
      <c r="E172" s="85">
        <f>LOOKUP(use_fish!B172,base_fish!A:A,base_fish!C:C)+_xlfn.IFNA(INDEX(activity!F:F,MATCH(use_fish!C172,activity!A:A,0)),0)</f>
        <v>450</v>
      </c>
      <c r="F172" s="85">
        <f t="shared" si="27"/>
        <v>2.2222222222222222E-3</v>
      </c>
      <c r="G172" s="85" t="s">
        <v>21</v>
      </c>
      <c r="H172" s="86" t="str">
        <f>INDEX(base_fish!E:E,MATCH(use_fish!B172,base_fish!A:A,0))&amp;_xlfn.IFNA("+"&amp;INDEX(activity!G:G,MATCH(use_fish!C172,activity!A:A,0)),"")</f>
        <v>活动boss+临时活动</v>
      </c>
      <c r="I172" s="85">
        <f>LOOKUP(use_fish!B172,base_fish!A:A,base_fish!F:F)+_xlfn.IFNA(INDEX(activity!F:F,MATCH(use_fish!C172,activity!A:A,0)),0)</f>
        <v>450</v>
      </c>
      <c r="J172" s="82">
        <v>1</v>
      </c>
      <c r="K172" s="82">
        <f>LOOKUP(use_fish!B172,base_fish!A:A,base_fish!G:G)</f>
        <v>0</v>
      </c>
      <c r="L172" s="82">
        <f t="shared" si="28"/>
        <v>450</v>
      </c>
      <c r="M172" s="82">
        <v>1</v>
      </c>
      <c r="N172" s="82">
        <v>1</v>
      </c>
      <c r="O172" s="82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322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476</v>
      </c>
      <c r="E174" s="57">
        <v>0</v>
      </c>
      <c r="F174" s="67">
        <v>0</v>
      </c>
      <c r="G174" s="67" t="s">
        <v>322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19" customFormat="1" x14ac:dyDescent="0.2">
      <c r="A175" s="16">
        <v>174</v>
      </c>
      <c r="B175" s="16">
        <v>63</v>
      </c>
      <c r="C175" s="16"/>
      <c r="D175" s="16" t="s">
        <v>491</v>
      </c>
      <c r="E175" s="17">
        <v>126</v>
      </c>
      <c r="F175" s="17">
        <f>1/E175</f>
        <v>7.9365079365079361E-3</v>
      </c>
      <c r="G175" s="17" t="s">
        <v>21</v>
      </c>
      <c r="H175" s="18" t="s">
        <v>490</v>
      </c>
      <c r="I175" s="17">
        <v>120</v>
      </c>
      <c r="J175" s="19">
        <v>1</v>
      </c>
      <c r="K175" s="19">
        <v>0</v>
      </c>
      <c r="L175" s="19">
        <v>120</v>
      </c>
      <c r="M175" s="19">
        <v>1</v>
      </c>
      <c r="N175" s="19">
        <v>0</v>
      </c>
      <c r="O175" s="19">
        <v>2</v>
      </c>
    </row>
    <row r="176" spans="1:15" s="19" customFormat="1" x14ac:dyDescent="0.2">
      <c r="A176" s="16">
        <v>175</v>
      </c>
      <c r="B176" s="16">
        <v>64</v>
      </c>
      <c r="C176" s="16"/>
      <c r="D176" s="16" t="s">
        <v>492</v>
      </c>
      <c r="E176" s="17">
        <v>126</v>
      </c>
      <c r="F176" s="17">
        <f t="shared" ref="F176:F180" si="29">1/E176</f>
        <v>7.9365079365079361E-3</v>
      </c>
      <c r="G176" s="17" t="s">
        <v>21</v>
      </c>
      <c r="H176" s="18" t="s">
        <v>182</v>
      </c>
      <c r="I176" s="17">
        <v>120</v>
      </c>
      <c r="J176" s="19">
        <v>1</v>
      </c>
      <c r="K176" s="19">
        <v>0</v>
      </c>
      <c r="L176" s="19">
        <v>120</v>
      </c>
      <c r="M176" s="19">
        <v>1</v>
      </c>
      <c r="N176" s="19">
        <v>0</v>
      </c>
      <c r="O176" s="19">
        <v>2</v>
      </c>
    </row>
    <row r="177" spans="1:15" s="19" customFormat="1" x14ac:dyDescent="0.2">
      <c r="A177" s="16">
        <v>176</v>
      </c>
      <c r="B177" s="16">
        <v>65</v>
      </c>
      <c r="C177" s="16"/>
      <c r="D177" s="16" t="s">
        <v>493</v>
      </c>
      <c r="E177" s="17">
        <v>126</v>
      </c>
      <c r="F177" s="17">
        <f t="shared" si="29"/>
        <v>7.9365079365079361E-3</v>
      </c>
      <c r="G177" s="17" t="s">
        <v>21</v>
      </c>
      <c r="H177" s="18" t="s">
        <v>183</v>
      </c>
      <c r="I177" s="17">
        <v>120</v>
      </c>
      <c r="J177" s="19">
        <v>1</v>
      </c>
      <c r="K177" s="19">
        <v>0</v>
      </c>
      <c r="L177" s="19">
        <v>120</v>
      </c>
      <c r="M177" s="19">
        <v>1</v>
      </c>
      <c r="N177" s="19">
        <v>0</v>
      </c>
      <c r="O177" s="19">
        <v>2</v>
      </c>
    </row>
    <row r="178" spans="1:15" s="19" customFormat="1" x14ac:dyDescent="0.2">
      <c r="A178" s="16">
        <v>177</v>
      </c>
      <c r="B178" s="16">
        <v>66</v>
      </c>
      <c r="C178" s="16"/>
      <c r="D178" s="16" t="s">
        <v>494</v>
      </c>
      <c r="E178" s="17">
        <v>168</v>
      </c>
      <c r="F178" s="17">
        <f t="shared" si="29"/>
        <v>5.9523809523809521E-3</v>
      </c>
      <c r="G178" s="17" t="s">
        <v>21</v>
      </c>
      <c r="H178" s="18" t="s">
        <v>109</v>
      </c>
      <c r="I178" s="17">
        <v>160</v>
      </c>
      <c r="J178" s="19">
        <v>1</v>
      </c>
      <c r="K178" s="19">
        <v>0</v>
      </c>
      <c r="L178" s="19">
        <v>160</v>
      </c>
      <c r="M178" s="19">
        <v>1</v>
      </c>
      <c r="N178" s="19">
        <v>0</v>
      </c>
      <c r="O178" s="19">
        <v>2</v>
      </c>
    </row>
    <row r="179" spans="1:15" s="19" customFormat="1" x14ac:dyDescent="0.2">
      <c r="A179" s="16">
        <v>178</v>
      </c>
      <c r="B179" s="16">
        <v>67</v>
      </c>
      <c r="C179" s="16"/>
      <c r="D179" s="16" t="s">
        <v>495</v>
      </c>
      <c r="E179" s="17">
        <v>210</v>
      </c>
      <c r="F179" s="17">
        <f t="shared" si="29"/>
        <v>4.7619047619047623E-3</v>
      </c>
      <c r="G179" s="17" t="s">
        <v>21</v>
      </c>
      <c r="H179" s="18" t="s">
        <v>108</v>
      </c>
      <c r="I179" s="17">
        <v>200</v>
      </c>
      <c r="J179" s="19">
        <v>1</v>
      </c>
      <c r="K179" s="19">
        <v>0</v>
      </c>
      <c r="L179" s="19">
        <v>200</v>
      </c>
      <c r="M179" s="19">
        <v>1</v>
      </c>
      <c r="N179" s="19">
        <v>0</v>
      </c>
      <c r="O179" s="19">
        <v>2</v>
      </c>
    </row>
    <row r="180" spans="1:15" s="19" customFormat="1" x14ac:dyDescent="0.2">
      <c r="A180" s="16">
        <v>179</v>
      </c>
      <c r="B180" s="16">
        <v>68</v>
      </c>
      <c r="C180" s="16"/>
      <c r="D180" s="16" t="s">
        <v>492</v>
      </c>
      <c r="E180" s="17">
        <v>210</v>
      </c>
      <c r="F180" s="17">
        <f t="shared" si="29"/>
        <v>4.7619047619047623E-3</v>
      </c>
      <c r="G180" s="17" t="s">
        <v>21</v>
      </c>
      <c r="H180" s="18" t="s">
        <v>185</v>
      </c>
      <c r="I180" s="17">
        <v>200</v>
      </c>
      <c r="J180" s="19">
        <v>1</v>
      </c>
      <c r="K180" s="19">
        <v>0</v>
      </c>
      <c r="L180" s="19">
        <v>200</v>
      </c>
      <c r="M180" s="19">
        <v>1</v>
      </c>
      <c r="N180" s="19">
        <v>0</v>
      </c>
      <c r="O180" s="19">
        <v>2</v>
      </c>
    </row>
    <row r="181" spans="1:15" s="19" customFormat="1" x14ac:dyDescent="0.2">
      <c r="A181" s="16">
        <v>180</v>
      </c>
      <c r="B181" s="16">
        <v>20</v>
      </c>
      <c r="C181" s="16">
        <v>87</v>
      </c>
      <c r="D181" s="16" t="s">
        <v>231</v>
      </c>
      <c r="E181" s="17">
        <v>73</v>
      </c>
      <c r="F181" s="17">
        <v>1.5873015873015872E-2</v>
      </c>
      <c r="G181" s="17" t="s">
        <v>21</v>
      </c>
      <c r="H181" s="68" t="str">
        <f>INDEX(base_fish!E:E,MATCH(use_fish!B181,base_fish!A:A,0))&amp;_xlfn.IFNA("+"&amp;INDEX(activity!G:G,MATCH(use_fish!C181,activity!A:A,0)),"")</f>
        <v>黄金灯笼鱼+金龙币</v>
      </c>
      <c r="I181" s="17">
        <v>60</v>
      </c>
      <c r="J181" s="19">
        <v>1</v>
      </c>
      <c r="K181" s="19">
        <v>0</v>
      </c>
      <c r="L181" s="19">
        <v>60</v>
      </c>
      <c r="M181" s="19">
        <v>1</v>
      </c>
      <c r="N181" s="19">
        <v>0</v>
      </c>
      <c r="O181" s="19">
        <v>2</v>
      </c>
    </row>
    <row r="182" spans="1:15" s="19" customFormat="1" x14ac:dyDescent="0.2">
      <c r="A182" s="16">
        <v>181</v>
      </c>
      <c r="B182" s="16">
        <v>22</v>
      </c>
      <c r="C182" s="16">
        <v>87</v>
      </c>
      <c r="D182" s="16" t="s">
        <v>260</v>
      </c>
      <c r="E182" s="17">
        <v>73</v>
      </c>
      <c r="F182" s="17">
        <v>1.5873015873015872E-2</v>
      </c>
      <c r="G182" s="17" t="s">
        <v>21</v>
      </c>
      <c r="H182" s="68" t="str">
        <f>INDEX(base_fish!E:E,MATCH(use_fish!B182,base_fish!A:A,0))&amp;_xlfn.IFNA("+"&amp;INDEX(activity!G:G,MATCH(use_fish!C182,activity!A:A,0)),"")</f>
        <v>黄金狮子鱼+金龙币</v>
      </c>
      <c r="I182" s="17">
        <v>60</v>
      </c>
      <c r="J182" s="19">
        <v>1</v>
      </c>
      <c r="K182" s="19">
        <v>0</v>
      </c>
      <c r="L182" s="19">
        <v>60</v>
      </c>
      <c r="M182" s="19">
        <v>1</v>
      </c>
      <c r="N182" s="19">
        <v>0</v>
      </c>
      <c r="O182" s="19">
        <v>2</v>
      </c>
    </row>
    <row r="183" spans="1:15" s="19" customFormat="1" x14ac:dyDescent="0.2">
      <c r="A183" s="16">
        <v>182</v>
      </c>
      <c r="B183" s="16">
        <v>23</v>
      </c>
      <c r="C183" s="16">
        <v>87</v>
      </c>
      <c r="D183" s="16" t="s">
        <v>261</v>
      </c>
      <c r="E183" s="17">
        <v>73</v>
      </c>
      <c r="F183" s="17">
        <v>1.5873015873015872E-2</v>
      </c>
      <c r="G183" s="17" t="s">
        <v>21</v>
      </c>
      <c r="H183" s="68" t="str">
        <f>INDEX(base_fish!E:E,MATCH(use_fish!B183,base_fish!A:A,0))&amp;_xlfn.IFNA("+"&amp;INDEX(activity!G:G,MATCH(use_fish!C183,activity!A:A,0)),"")</f>
        <v>黄金海龟+金龙币</v>
      </c>
      <c r="I183" s="17">
        <v>60</v>
      </c>
      <c r="J183" s="19">
        <v>1</v>
      </c>
      <c r="K183" s="19">
        <v>0</v>
      </c>
      <c r="L183" s="19">
        <v>60</v>
      </c>
      <c r="M183" s="19">
        <v>1</v>
      </c>
      <c r="N183" s="19">
        <v>0</v>
      </c>
      <c r="O183" s="19">
        <v>2</v>
      </c>
    </row>
    <row r="184" spans="1:15" s="19" customFormat="1" x14ac:dyDescent="0.2">
      <c r="A184" s="16">
        <v>183</v>
      </c>
      <c r="B184" s="16">
        <v>25</v>
      </c>
      <c r="C184" s="16">
        <v>87</v>
      </c>
      <c r="D184" s="16" t="s">
        <v>231</v>
      </c>
      <c r="E184" s="17">
        <v>74</v>
      </c>
      <c r="F184" s="17">
        <v>1.1904761904761904E-2</v>
      </c>
      <c r="G184" s="17" t="s">
        <v>21</v>
      </c>
      <c r="H184" s="68" t="str">
        <f>INDEX(base_fish!E:E,MATCH(use_fish!B184,base_fish!A:A,0))&amp;_xlfn.IFNA("+"&amp;INDEX(activity!G:G,MATCH(use_fish!C184,activity!A:A,0)),"")</f>
        <v>金蟾+金龙币</v>
      </c>
      <c r="I184" s="17">
        <v>80</v>
      </c>
      <c r="J184" s="19">
        <v>1</v>
      </c>
      <c r="K184" s="19">
        <v>0</v>
      </c>
      <c r="L184" s="19">
        <v>80</v>
      </c>
      <c r="M184" s="19">
        <v>1</v>
      </c>
      <c r="N184" s="19">
        <v>0</v>
      </c>
      <c r="O184" s="19">
        <v>2</v>
      </c>
    </row>
    <row r="185" spans="1:15" s="19" customFormat="1" x14ac:dyDescent="0.2">
      <c r="A185" s="16">
        <v>184</v>
      </c>
      <c r="B185" s="16">
        <v>26</v>
      </c>
      <c r="C185" s="16">
        <v>87</v>
      </c>
      <c r="D185" s="16" t="s">
        <v>231</v>
      </c>
      <c r="E185" s="17">
        <v>115</v>
      </c>
      <c r="F185" s="17">
        <v>9.5238095238095247E-3</v>
      </c>
      <c r="G185" s="17" t="s">
        <v>21</v>
      </c>
      <c r="H185" s="68" t="str">
        <f>INDEX(base_fish!E:E,MATCH(use_fish!B185,base_fish!A:A,0))&amp;_xlfn.IFNA("+"&amp;INDEX(activity!G:G,MATCH(use_fish!C185,activity!A:A,0)),"")</f>
        <v>大金鲨+金龙币</v>
      </c>
      <c r="I185" s="17">
        <v>100</v>
      </c>
      <c r="J185" s="19">
        <v>1</v>
      </c>
      <c r="K185" s="19">
        <v>0</v>
      </c>
      <c r="L185" s="19">
        <v>100</v>
      </c>
      <c r="M185" s="19">
        <v>1</v>
      </c>
      <c r="N185" s="19">
        <v>0</v>
      </c>
      <c r="O185" s="19">
        <v>2</v>
      </c>
    </row>
    <row r="186" spans="1:15" s="19" customFormat="1" x14ac:dyDescent="0.2">
      <c r="A186" s="16">
        <v>185</v>
      </c>
      <c r="B186" s="16">
        <v>27</v>
      </c>
      <c r="C186" s="16">
        <v>87</v>
      </c>
      <c r="D186" s="16" t="s">
        <v>262</v>
      </c>
      <c r="E186" s="17">
        <v>115</v>
      </c>
      <c r="F186" s="17">
        <v>9.5238095238095247E-3</v>
      </c>
      <c r="G186" s="17" t="s">
        <v>21</v>
      </c>
      <c r="H186" s="68" t="str">
        <f>INDEX(base_fish!E:E,MATCH(use_fish!B186,base_fish!A:A,0))&amp;_xlfn.IFNA("+"&amp;INDEX(activity!G:G,MATCH(use_fish!C186,activity!A:A,0)),"")</f>
        <v>黄金锤头鲨+金龙币</v>
      </c>
      <c r="I186" s="17">
        <v>100</v>
      </c>
      <c r="J186" s="19">
        <v>1</v>
      </c>
      <c r="K186" s="19">
        <v>0</v>
      </c>
      <c r="L186" s="19">
        <v>100</v>
      </c>
      <c r="M186" s="19">
        <v>1</v>
      </c>
      <c r="N186" s="19">
        <v>0</v>
      </c>
      <c r="O186" s="19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2" activePane="bottomLeft" state="frozen"/>
      <selection pane="bottomLeft" activeCell="C75" sqref="C75:C76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 x14ac:dyDescent="0.2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 x14ac:dyDescent="0.2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 x14ac:dyDescent="0.2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 x14ac:dyDescent="0.2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 x14ac:dyDescent="0.2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 x14ac:dyDescent="0.2">
      <c r="A7">
        <v>6</v>
      </c>
      <c r="B7">
        <v>4</v>
      </c>
      <c r="C7" t="s">
        <v>133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 x14ac:dyDescent="0.2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 x14ac:dyDescent="0.2">
      <c r="A9">
        <v>8</v>
      </c>
      <c r="B9">
        <v>4</v>
      </c>
      <c r="C9" t="s">
        <v>253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 x14ac:dyDescent="0.2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 x14ac:dyDescent="0.2">
      <c r="A11">
        <v>10</v>
      </c>
      <c r="B11">
        <v>5</v>
      </c>
      <c r="C11" t="s">
        <v>204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230</v>
      </c>
    </row>
    <row r="12" spans="1:11" x14ac:dyDescent="0.2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 x14ac:dyDescent="0.2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 x14ac:dyDescent="0.2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 x14ac:dyDescent="0.2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 x14ac:dyDescent="0.2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159</v>
      </c>
    </row>
    <row r="17" spans="1:9" x14ac:dyDescent="0.2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160</v>
      </c>
    </row>
    <row r="18" spans="1:9" x14ac:dyDescent="0.2">
      <c r="A18">
        <v>17</v>
      </c>
      <c r="B18">
        <v>10</v>
      </c>
      <c r="C18" s="6" t="s">
        <v>228</v>
      </c>
      <c r="D18" s="4">
        <v>0</v>
      </c>
      <c r="E18" s="4">
        <v>0</v>
      </c>
      <c r="F18">
        <v>150</v>
      </c>
      <c r="G18" t="s">
        <v>229</v>
      </c>
      <c r="H18">
        <v>22</v>
      </c>
      <c r="I18" t="s">
        <v>162</v>
      </c>
    </row>
    <row r="19" spans="1:9" x14ac:dyDescent="0.2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241</v>
      </c>
    </row>
    <row r="20" spans="1:9" x14ac:dyDescent="0.2">
      <c r="A20">
        <v>19</v>
      </c>
      <c r="B20">
        <v>17</v>
      </c>
      <c r="C20" s="9" t="s">
        <v>242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278</v>
      </c>
    </row>
    <row r="21" spans="1:9" x14ac:dyDescent="0.2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166</v>
      </c>
    </row>
    <row r="22" spans="1:9" x14ac:dyDescent="0.2">
      <c r="A22">
        <v>21</v>
      </c>
      <c r="B22">
        <v>20</v>
      </c>
      <c r="C22" s="9" t="s">
        <v>163</v>
      </c>
      <c r="D22" s="4">
        <v>0</v>
      </c>
      <c r="E22" s="4">
        <v>0</v>
      </c>
      <c r="F22">
        <v>50</v>
      </c>
      <c r="G22" t="s">
        <v>175</v>
      </c>
      <c r="H22">
        <v>26</v>
      </c>
      <c r="I22" t="s">
        <v>172</v>
      </c>
    </row>
    <row r="23" spans="1:9" x14ac:dyDescent="0.2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176</v>
      </c>
      <c r="H23">
        <v>27</v>
      </c>
      <c r="I23" t="s">
        <v>276</v>
      </c>
    </row>
    <row r="24" spans="1:9" x14ac:dyDescent="0.2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177</v>
      </c>
      <c r="H24">
        <v>28</v>
      </c>
      <c r="I24" t="s">
        <v>277</v>
      </c>
    </row>
    <row r="25" spans="1:9" x14ac:dyDescent="0.2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178</v>
      </c>
      <c r="H25">
        <v>29</v>
      </c>
      <c r="I25" t="s">
        <v>171</v>
      </c>
    </row>
    <row r="26" spans="1:9" x14ac:dyDescent="0.2">
      <c r="A26">
        <v>25</v>
      </c>
      <c r="B26">
        <v>21</v>
      </c>
      <c r="C26" s="9" t="s">
        <v>280</v>
      </c>
      <c r="D26" s="4">
        <v>0</v>
      </c>
      <c r="E26" s="4">
        <v>1</v>
      </c>
      <c r="F26">
        <v>5</v>
      </c>
      <c r="G26" t="s">
        <v>281</v>
      </c>
      <c r="H26">
        <v>30</v>
      </c>
      <c r="I26" t="s">
        <v>224</v>
      </c>
    </row>
    <row r="27" spans="1:9" x14ac:dyDescent="0.2">
      <c r="A27">
        <v>26</v>
      </c>
      <c r="B27">
        <v>21</v>
      </c>
      <c r="C27" s="9" t="s">
        <v>283</v>
      </c>
      <c r="D27" s="4">
        <v>0</v>
      </c>
      <c r="E27" s="4">
        <v>1</v>
      </c>
      <c r="F27">
        <v>2</v>
      </c>
      <c r="G27" t="s">
        <v>282</v>
      </c>
      <c r="H27">
        <v>31</v>
      </c>
      <c r="I27" t="s">
        <v>234</v>
      </c>
    </row>
    <row r="28" spans="1:9" x14ac:dyDescent="0.2">
      <c r="A28">
        <v>27</v>
      </c>
      <c r="B28">
        <v>21</v>
      </c>
      <c r="C28" s="9" t="s">
        <v>285</v>
      </c>
      <c r="D28" s="4">
        <v>0</v>
      </c>
      <c r="E28" s="4">
        <v>1</v>
      </c>
      <c r="F28">
        <v>6</v>
      </c>
      <c r="G28" t="s">
        <v>284</v>
      </c>
      <c r="H28">
        <v>32</v>
      </c>
      <c r="I28" t="s">
        <v>235</v>
      </c>
    </row>
    <row r="29" spans="1:9" x14ac:dyDescent="0.2">
      <c r="A29">
        <v>28</v>
      </c>
      <c r="B29">
        <v>22</v>
      </c>
      <c r="C29" s="9" t="s">
        <v>165</v>
      </c>
      <c r="D29" s="4">
        <v>0</v>
      </c>
      <c r="E29" s="4">
        <v>0</v>
      </c>
      <c r="F29">
        <v>100</v>
      </c>
      <c r="G29" t="s">
        <v>164</v>
      </c>
      <c r="H29">
        <v>33</v>
      </c>
      <c r="I29" t="s">
        <v>236</v>
      </c>
    </row>
    <row r="30" spans="1:9" x14ac:dyDescent="0.2">
      <c r="A30">
        <v>29</v>
      </c>
      <c r="B30">
        <v>23</v>
      </c>
      <c r="C30" t="s">
        <v>174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244</v>
      </c>
    </row>
    <row r="31" spans="1:9" x14ac:dyDescent="0.2">
      <c r="A31">
        <v>30</v>
      </c>
      <c r="B31">
        <v>24</v>
      </c>
      <c r="C31" s="9" t="s">
        <v>267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246</v>
      </c>
    </row>
    <row r="32" spans="1:9" x14ac:dyDescent="0.2">
      <c r="A32">
        <v>31</v>
      </c>
      <c r="B32">
        <v>25</v>
      </c>
      <c r="C32" t="s">
        <v>225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364</v>
      </c>
    </row>
    <row r="33" spans="1:9" x14ac:dyDescent="0.2">
      <c r="A33">
        <v>32</v>
      </c>
      <c r="B33">
        <v>28</v>
      </c>
      <c r="C33" s="9" t="s">
        <v>279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365</v>
      </c>
    </row>
    <row r="34" spans="1:9" x14ac:dyDescent="0.2">
      <c r="A34">
        <v>33</v>
      </c>
      <c r="B34">
        <v>29</v>
      </c>
      <c r="C34" t="s">
        <v>248</v>
      </c>
      <c r="D34" s="4">
        <v>0</v>
      </c>
      <c r="E34" s="4">
        <v>0</v>
      </c>
      <c r="F34">
        <v>300</v>
      </c>
      <c r="G34" t="s">
        <v>171</v>
      </c>
      <c r="H34">
        <v>42</v>
      </c>
      <c r="I34" t="s">
        <v>372</v>
      </c>
    </row>
    <row r="35" spans="1:9" x14ac:dyDescent="0.2">
      <c r="A35">
        <v>34</v>
      </c>
      <c r="B35">
        <v>30</v>
      </c>
      <c r="C35" s="9" t="s">
        <v>273</v>
      </c>
      <c r="D35" s="4">
        <v>0</v>
      </c>
      <c r="E35" s="4">
        <v>0</v>
      </c>
      <c r="F35">
        <v>150</v>
      </c>
      <c r="G35" t="s">
        <v>226</v>
      </c>
      <c r="H35">
        <v>43</v>
      </c>
      <c r="I35" t="s">
        <v>368</v>
      </c>
    </row>
    <row r="36" spans="1:9" x14ac:dyDescent="0.2">
      <c r="A36">
        <v>35</v>
      </c>
      <c r="B36">
        <v>31</v>
      </c>
      <c r="C36" t="s">
        <v>271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369</v>
      </c>
    </row>
    <row r="37" spans="1:9" x14ac:dyDescent="0.2">
      <c r="A37">
        <v>36</v>
      </c>
      <c r="B37">
        <v>32</v>
      </c>
      <c r="C37" s="9" t="s">
        <v>272</v>
      </c>
      <c r="D37" s="4">
        <v>0</v>
      </c>
      <c r="E37" s="4">
        <v>0</v>
      </c>
      <c r="F37">
        <v>300</v>
      </c>
      <c r="G37" t="s">
        <v>237</v>
      </c>
      <c r="H37">
        <v>45</v>
      </c>
      <c r="I37" t="s">
        <v>370</v>
      </c>
    </row>
    <row r="38" spans="1:9" x14ac:dyDescent="0.2">
      <c r="A38">
        <v>37</v>
      </c>
      <c r="B38">
        <v>33</v>
      </c>
      <c r="C38" t="s">
        <v>124</v>
      </c>
      <c r="D38" s="4">
        <v>0</v>
      </c>
      <c r="E38" s="4">
        <v>0</v>
      </c>
      <c r="F38">
        <v>200</v>
      </c>
      <c r="G38" t="s">
        <v>238</v>
      </c>
      <c r="H38">
        <v>46</v>
      </c>
      <c r="I38" t="s">
        <v>373</v>
      </c>
    </row>
    <row r="39" spans="1:9" x14ac:dyDescent="0.2">
      <c r="A39">
        <v>38</v>
      </c>
      <c r="B39">
        <v>38</v>
      </c>
      <c r="C39" t="s">
        <v>243</v>
      </c>
      <c r="D39" s="4">
        <v>0</v>
      </c>
      <c r="E39" s="4">
        <v>0</v>
      </c>
      <c r="F39">
        <v>250</v>
      </c>
      <c r="G39" t="s">
        <v>245</v>
      </c>
      <c r="H39">
        <v>47</v>
      </c>
      <c r="I39" t="s">
        <v>374</v>
      </c>
    </row>
    <row r="40" spans="1:9" x14ac:dyDescent="0.2">
      <c r="A40">
        <v>39</v>
      </c>
      <c r="B40">
        <v>39</v>
      </c>
      <c r="C40" t="s">
        <v>243</v>
      </c>
      <c r="D40" s="4">
        <v>0</v>
      </c>
      <c r="E40" s="4">
        <v>0</v>
      </c>
      <c r="F40">
        <v>250</v>
      </c>
      <c r="G40" t="s">
        <v>247</v>
      </c>
    </row>
    <row r="41" spans="1:9" x14ac:dyDescent="0.2">
      <c r="A41">
        <v>40</v>
      </c>
      <c r="B41">
        <v>21</v>
      </c>
      <c r="C41" s="9" t="s">
        <v>288</v>
      </c>
      <c r="D41" s="4">
        <v>0</v>
      </c>
      <c r="E41" s="4">
        <v>1</v>
      </c>
      <c r="F41">
        <v>2</v>
      </c>
      <c r="G41" t="s">
        <v>286</v>
      </c>
    </row>
    <row r="42" spans="1:9" x14ac:dyDescent="0.2">
      <c r="A42">
        <v>41</v>
      </c>
      <c r="B42">
        <v>21</v>
      </c>
      <c r="C42" s="9" t="s">
        <v>289</v>
      </c>
      <c r="D42" s="4">
        <v>0</v>
      </c>
      <c r="E42" s="4">
        <v>1</v>
      </c>
      <c r="F42">
        <v>2</v>
      </c>
      <c r="G42" t="s">
        <v>287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290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291</v>
      </c>
    </row>
    <row r="45" spans="1:9" s="55" customFormat="1" x14ac:dyDescent="0.2">
      <c r="A45" s="55">
        <v>44</v>
      </c>
      <c r="B45" s="55">
        <v>9</v>
      </c>
      <c r="C45" s="55" t="s">
        <v>329</v>
      </c>
      <c r="D45" s="4" t="s">
        <v>371</v>
      </c>
      <c r="E45" s="4">
        <v>1</v>
      </c>
      <c r="F45" s="55">
        <v>200</v>
      </c>
      <c r="G45" s="55" t="s">
        <v>87</v>
      </c>
    </row>
    <row r="46" spans="1:9" s="55" customFormat="1" x14ac:dyDescent="0.2">
      <c r="A46" s="55">
        <v>45</v>
      </c>
      <c r="B46" s="55">
        <v>9</v>
      </c>
      <c r="C46" s="55" t="s">
        <v>330</v>
      </c>
      <c r="D46" s="4">
        <v>1</v>
      </c>
      <c r="E46" s="4">
        <v>1</v>
      </c>
      <c r="F46" s="55">
        <v>60</v>
      </c>
      <c r="G46" s="55" t="s">
        <v>87</v>
      </c>
    </row>
    <row r="47" spans="1:9" s="55" customFormat="1" x14ac:dyDescent="0.2">
      <c r="A47" s="55">
        <v>46</v>
      </c>
      <c r="B47" s="55">
        <v>9</v>
      </c>
      <c r="C47" s="55" t="s">
        <v>331</v>
      </c>
      <c r="D47" s="4">
        <v>1</v>
      </c>
      <c r="E47" s="4">
        <v>1</v>
      </c>
      <c r="F47" s="55">
        <v>40</v>
      </c>
      <c r="G47" s="55" t="s">
        <v>87</v>
      </c>
    </row>
    <row r="48" spans="1:9" s="55" customFormat="1" x14ac:dyDescent="0.2">
      <c r="A48" s="55">
        <v>47</v>
      </c>
      <c r="B48" s="55">
        <v>9</v>
      </c>
      <c r="C48" s="55" t="s">
        <v>333</v>
      </c>
      <c r="D48" s="4">
        <v>1</v>
      </c>
      <c r="E48" s="4">
        <v>1</v>
      </c>
      <c r="F48" s="55">
        <v>30</v>
      </c>
      <c r="G48" s="55" t="s">
        <v>87</v>
      </c>
    </row>
    <row r="49" spans="1:7" s="55" customFormat="1" x14ac:dyDescent="0.2">
      <c r="A49" s="55">
        <v>48</v>
      </c>
      <c r="B49" s="55">
        <v>9</v>
      </c>
      <c r="C49" s="55" t="s">
        <v>332</v>
      </c>
      <c r="D49" s="4">
        <v>1</v>
      </c>
      <c r="E49" s="4">
        <v>1</v>
      </c>
      <c r="F49" s="55">
        <v>20</v>
      </c>
      <c r="G49" s="55" t="s">
        <v>87</v>
      </c>
    </row>
    <row r="50" spans="1:7" x14ac:dyDescent="0.2">
      <c r="A50" s="55">
        <v>49</v>
      </c>
      <c r="B50" s="55">
        <v>9</v>
      </c>
      <c r="C50" s="55" t="s">
        <v>335</v>
      </c>
      <c r="D50" s="4">
        <v>0</v>
      </c>
      <c r="E50" s="4">
        <v>1</v>
      </c>
      <c r="F50" s="55">
        <v>75</v>
      </c>
      <c r="G50" s="55" t="s">
        <v>87</v>
      </c>
    </row>
    <row r="51" spans="1:7" x14ac:dyDescent="0.2">
      <c r="A51" s="55">
        <v>50</v>
      </c>
      <c r="B51" s="55">
        <v>9</v>
      </c>
      <c r="C51" s="55" t="s">
        <v>336</v>
      </c>
      <c r="D51" s="4">
        <v>0</v>
      </c>
      <c r="E51" s="4">
        <v>1</v>
      </c>
      <c r="F51" s="55">
        <v>150</v>
      </c>
      <c r="G51" s="55" t="s">
        <v>87</v>
      </c>
    </row>
    <row r="52" spans="1:7" x14ac:dyDescent="0.2">
      <c r="A52" s="55">
        <v>51</v>
      </c>
      <c r="B52" s="55">
        <v>9</v>
      </c>
      <c r="C52" s="55" t="s">
        <v>337</v>
      </c>
      <c r="D52" s="4">
        <v>0</v>
      </c>
      <c r="E52" s="4">
        <v>1</v>
      </c>
      <c r="F52" s="55">
        <v>250</v>
      </c>
      <c r="G52" s="55" t="s">
        <v>87</v>
      </c>
    </row>
    <row r="53" spans="1:7" x14ac:dyDescent="0.2">
      <c r="A53" s="55">
        <v>52</v>
      </c>
      <c r="B53" s="55">
        <v>9</v>
      </c>
      <c r="C53" s="55" t="s">
        <v>330</v>
      </c>
      <c r="D53" s="4">
        <v>1</v>
      </c>
      <c r="E53" s="4">
        <v>1</v>
      </c>
      <c r="F53" s="55">
        <v>60</v>
      </c>
      <c r="G53" s="55" t="s">
        <v>87</v>
      </c>
    </row>
    <row r="54" spans="1:7" x14ac:dyDescent="0.2">
      <c r="A54" s="55">
        <v>53</v>
      </c>
      <c r="B54" s="55">
        <v>9</v>
      </c>
      <c r="C54" s="55" t="s">
        <v>331</v>
      </c>
      <c r="D54" s="4">
        <v>1</v>
      </c>
      <c r="E54" s="4">
        <v>1</v>
      </c>
      <c r="F54" s="55">
        <v>40</v>
      </c>
      <c r="G54" s="55" t="s">
        <v>87</v>
      </c>
    </row>
    <row r="55" spans="1:7" x14ac:dyDescent="0.2">
      <c r="A55" s="55">
        <v>54</v>
      </c>
      <c r="B55" s="55">
        <v>9</v>
      </c>
      <c r="C55" s="55" t="s">
        <v>333</v>
      </c>
      <c r="D55" s="4">
        <v>1</v>
      </c>
      <c r="E55" s="4">
        <v>1</v>
      </c>
      <c r="F55" s="55">
        <v>30</v>
      </c>
      <c r="G55" s="55" t="s">
        <v>87</v>
      </c>
    </row>
    <row r="56" spans="1:7" x14ac:dyDescent="0.2">
      <c r="A56" s="55">
        <v>55</v>
      </c>
      <c r="B56" s="55">
        <v>9</v>
      </c>
      <c r="C56" s="55" t="s">
        <v>332</v>
      </c>
      <c r="D56" s="4">
        <v>1</v>
      </c>
      <c r="E56" s="4">
        <v>1</v>
      </c>
      <c r="F56" s="55">
        <v>20</v>
      </c>
      <c r="G56" s="55" t="s">
        <v>87</v>
      </c>
    </row>
    <row r="57" spans="1:7" x14ac:dyDescent="0.2">
      <c r="A57" s="59">
        <v>56</v>
      </c>
      <c r="B57" s="59">
        <v>9</v>
      </c>
      <c r="C57" s="59" t="s">
        <v>350</v>
      </c>
      <c r="D57" s="60">
        <v>0</v>
      </c>
      <c r="E57" s="60">
        <v>1</v>
      </c>
      <c r="F57" s="59">
        <v>75</v>
      </c>
      <c r="G57" s="59" t="s">
        <v>87</v>
      </c>
    </row>
    <row r="58" spans="1:7" x14ac:dyDescent="0.2">
      <c r="A58" s="59">
        <v>57</v>
      </c>
      <c r="B58" s="59">
        <v>9</v>
      </c>
      <c r="C58" s="59" t="s">
        <v>351</v>
      </c>
      <c r="D58" s="60">
        <v>0</v>
      </c>
      <c r="E58" s="60">
        <v>1</v>
      </c>
      <c r="F58" s="59">
        <v>150</v>
      </c>
      <c r="G58" s="59" t="s">
        <v>87</v>
      </c>
    </row>
    <row r="59" spans="1:7" x14ac:dyDescent="0.2">
      <c r="A59" s="59">
        <v>58</v>
      </c>
      <c r="B59" s="59">
        <v>9</v>
      </c>
      <c r="C59" s="59" t="s">
        <v>352</v>
      </c>
      <c r="D59" s="60">
        <v>0</v>
      </c>
      <c r="E59" s="60">
        <v>1</v>
      </c>
      <c r="F59" s="59">
        <v>250</v>
      </c>
      <c r="G59" s="59" t="s">
        <v>87</v>
      </c>
    </row>
    <row r="60" spans="1:7" x14ac:dyDescent="0.2">
      <c r="A60" s="59">
        <v>59</v>
      </c>
      <c r="B60" s="59">
        <v>9</v>
      </c>
      <c r="C60" s="59" t="s">
        <v>363</v>
      </c>
      <c r="D60" s="60">
        <v>1</v>
      </c>
      <c r="E60" s="60">
        <v>1</v>
      </c>
      <c r="F60" s="59">
        <v>10</v>
      </c>
      <c r="G60" s="59" t="s">
        <v>87</v>
      </c>
    </row>
    <row r="61" spans="1:7" x14ac:dyDescent="0.2">
      <c r="A61">
        <v>60</v>
      </c>
      <c r="B61">
        <v>40</v>
      </c>
      <c r="C61" s="9" t="s">
        <v>376</v>
      </c>
      <c r="D61" s="4">
        <v>0</v>
      </c>
      <c r="E61" s="4">
        <v>1</v>
      </c>
      <c r="F61">
        <v>1000000</v>
      </c>
      <c r="G61" t="s">
        <v>378</v>
      </c>
    </row>
    <row r="62" spans="1:7" x14ac:dyDescent="0.2">
      <c r="A62">
        <v>61</v>
      </c>
      <c r="B62">
        <v>41</v>
      </c>
      <c r="C62" s="9" t="s">
        <v>377</v>
      </c>
      <c r="D62" s="4">
        <v>0</v>
      </c>
      <c r="E62" s="4">
        <v>1</v>
      </c>
      <c r="F62">
        <v>5000000</v>
      </c>
      <c r="G62" t="s">
        <v>379</v>
      </c>
    </row>
    <row r="63" spans="1:7" x14ac:dyDescent="0.2">
      <c r="A63">
        <v>62</v>
      </c>
      <c r="B63">
        <v>42</v>
      </c>
      <c r="C63" s="9" t="s">
        <v>375</v>
      </c>
      <c r="D63" s="4">
        <v>0</v>
      </c>
      <c r="E63" s="4">
        <v>1</v>
      </c>
      <c r="F63">
        <v>10000000</v>
      </c>
      <c r="G63" t="s">
        <v>380</v>
      </c>
    </row>
    <row r="64" spans="1:7" x14ac:dyDescent="0.2">
      <c r="A64">
        <v>63</v>
      </c>
      <c r="B64">
        <v>46</v>
      </c>
      <c r="C64" s="9" t="s">
        <v>366</v>
      </c>
      <c r="D64" s="4">
        <v>0</v>
      </c>
      <c r="E64" s="4">
        <v>1</v>
      </c>
      <c r="F64">
        <v>50000000</v>
      </c>
      <c r="G64" t="s">
        <v>381</v>
      </c>
    </row>
    <row r="65" spans="1:7" x14ac:dyDescent="0.2">
      <c r="A65">
        <v>64</v>
      </c>
      <c r="B65">
        <v>47</v>
      </c>
      <c r="C65" s="9" t="s">
        <v>367</v>
      </c>
      <c r="D65" s="4">
        <v>0</v>
      </c>
      <c r="E65" s="4">
        <v>1</v>
      </c>
      <c r="F65">
        <v>100000000</v>
      </c>
      <c r="G65" t="s">
        <v>382</v>
      </c>
    </row>
    <row r="66" spans="1:7" s="62" customFormat="1" x14ac:dyDescent="0.2">
      <c r="A66" s="62">
        <v>65</v>
      </c>
      <c r="B66" s="59">
        <v>9</v>
      </c>
      <c r="C66" s="59" t="s">
        <v>396</v>
      </c>
      <c r="D66" s="60">
        <v>0</v>
      </c>
      <c r="E66" s="60">
        <v>1</v>
      </c>
      <c r="F66" s="59">
        <v>75</v>
      </c>
      <c r="G66" s="59" t="s">
        <v>87</v>
      </c>
    </row>
    <row r="67" spans="1:7" x14ac:dyDescent="0.2">
      <c r="A67">
        <v>66</v>
      </c>
      <c r="B67" s="59">
        <v>9</v>
      </c>
      <c r="C67" s="59" t="s">
        <v>397</v>
      </c>
      <c r="D67" s="60">
        <v>0</v>
      </c>
      <c r="E67" s="60">
        <v>1</v>
      </c>
      <c r="F67" s="59">
        <v>150</v>
      </c>
      <c r="G67" s="59" t="s">
        <v>87</v>
      </c>
    </row>
    <row r="68" spans="1:7" x14ac:dyDescent="0.2">
      <c r="A68">
        <v>67</v>
      </c>
      <c r="B68" s="59">
        <v>9</v>
      </c>
      <c r="C68" s="59" t="s">
        <v>398</v>
      </c>
      <c r="D68" s="60">
        <v>0</v>
      </c>
      <c r="E68" s="60">
        <v>1</v>
      </c>
      <c r="F68" s="59">
        <v>250</v>
      </c>
      <c r="G68" s="59" t="s">
        <v>87</v>
      </c>
    </row>
    <row r="69" spans="1:7" x14ac:dyDescent="0.2">
      <c r="A69">
        <v>68</v>
      </c>
      <c r="B69" s="59">
        <v>9</v>
      </c>
      <c r="C69" s="59" t="s">
        <v>399</v>
      </c>
      <c r="D69" s="60">
        <v>1</v>
      </c>
      <c r="E69" s="60">
        <v>1</v>
      </c>
      <c r="F69" s="59">
        <v>10</v>
      </c>
      <c r="G69" s="59" t="s">
        <v>87</v>
      </c>
    </row>
    <row r="70" spans="1:7" s="65" customFormat="1" x14ac:dyDescent="0.2">
      <c r="A70">
        <v>69</v>
      </c>
      <c r="B70" s="65">
        <v>9</v>
      </c>
      <c r="C70" s="65" t="s">
        <v>404</v>
      </c>
      <c r="D70" s="66">
        <v>1</v>
      </c>
      <c r="E70" s="66">
        <v>1</v>
      </c>
      <c r="F70" s="65">
        <v>75</v>
      </c>
      <c r="G70" s="65" t="s">
        <v>401</v>
      </c>
    </row>
    <row r="71" spans="1:7" s="69" customFormat="1" x14ac:dyDescent="0.2">
      <c r="A71">
        <v>70</v>
      </c>
      <c r="B71" s="69">
        <v>9</v>
      </c>
      <c r="C71" s="69" t="s">
        <v>406</v>
      </c>
      <c r="D71" s="70">
        <v>0</v>
      </c>
      <c r="E71" s="70">
        <v>1</v>
      </c>
      <c r="F71" s="69">
        <v>75</v>
      </c>
      <c r="G71" s="69" t="s">
        <v>87</v>
      </c>
    </row>
    <row r="72" spans="1:7" s="69" customFormat="1" x14ac:dyDescent="0.2">
      <c r="A72">
        <v>71</v>
      </c>
      <c r="B72" s="69">
        <v>9</v>
      </c>
      <c r="C72" s="69" t="s">
        <v>407</v>
      </c>
      <c r="D72" s="70">
        <v>0</v>
      </c>
      <c r="E72" s="70">
        <v>1</v>
      </c>
      <c r="F72" s="69">
        <v>150</v>
      </c>
      <c r="G72" s="69" t="s">
        <v>87</v>
      </c>
    </row>
    <row r="73" spans="1:7" s="69" customFormat="1" x14ac:dyDescent="0.2">
      <c r="A73">
        <v>72</v>
      </c>
      <c r="B73" s="69">
        <v>9</v>
      </c>
      <c r="C73" s="69" t="s">
        <v>408</v>
      </c>
      <c r="D73" s="70">
        <v>0</v>
      </c>
      <c r="E73" s="70">
        <v>1</v>
      </c>
      <c r="F73" s="69">
        <v>250</v>
      </c>
      <c r="G73" s="69" t="s">
        <v>87</v>
      </c>
    </row>
    <row r="74" spans="1:7" s="69" customFormat="1" x14ac:dyDescent="0.2">
      <c r="A74">
        <v>73</v>
      </c>
      <c r="B74" s="69">
        <v>9</v>
      </c>
      <c r="C74" s="69" t="s">
        <v>409</v>
      </c>
      <c r="D74" s="70">
        <v>1</v>
      </c>
      <c r="E74" s="70">
        <v>1</v>
      </c>
      <c r="F74" s="69">
        <v>10</v>
      </c>
      <c r="G74" s="69" t="s">
        <v>87</v>
      </c>
    </row>
    <row r="75" spans="1:7" x14ac:dyDescent="0.2">
      <c r="A75">
        <v>74</v>
      </c>
      <c r="B75" s="29">
        <v>9</v>
      </c>
      <c r="C75" s="29" t="s">
        <v>486</v>
      </c>
      <c r="D75" s="80">
        <v>0</v>
      </c>
      <c r="E75" s="80">
        <v>1</v>
      </c>
      <c r="F75" s="29">
        <v>250</v>
      </c>
      <c r="G75" s="29" t="s">
        <v>87</v>
      </c>
    </row>
    <row r="76" spans="1:7" x14ac:dyDescent="0.2">
      <c r="A76">
        <v>75</v>
      </c>
      <c r="B76" s="29">
        <v>9</v>
      </c>
      <c r="C76" s="29" t="s">
        <v>487</v>
      </c>
      <c r="D76" s="80">
        <v>0</v>
      </c>
      <c r="E76" s="80">
        <v>1</v>
      </c>
      <c r="F76" s="29">
        <v>350</v>
      </c>
      <c r="G76" s="29" t="s">
        <v>87</v>
      </c>
    </row>
    <row r="77" spans="1:7" x14ac:dyDescent="0.2">
      <c r="A77">
        <v>76</v>
      </c>
      <c r="B77" s="29">
        <v>9</v>
      </c>
      <c r="C77" s="29" t="s">
        <v>488</v>
      </c>
      <c r="D77" s="80">
        <v>0</v>
      </c>
      <c r="E77" s="80">
        <v>1</v>
      </c>
      <c r="F77" s="29">
        <v>450</v>
      </c>
      <c r="G77" s="29" t="s">
        <v>87</v>
      </c>
    </row>
    <row r="78" spans="1:7" x14ac:dyDescent="0.2">
      <c r="A78">
        <v>77</v>
      </c>
      <c r="B78" s="29">
        <v>9</v>
      </c>
      <c r="C78" s="29" t="s">
        <v>489</v>
      </c>
      <c r="D78" s="80">
        <v>1</v>
      </c>
      <c r="E78" s="80">
        <v>1</v>
      </c>
      <c r="F78" s="29">
        <v>10</v>
      </c>
      <c r="G78" s="29" t="s">
        <v>87</v>
      </c>
    </row>
    <row r="79" spans="1:7" s="55" customFormat="1" x14ac:dyDescent="0.2">
      <c r="A79">
        <v>78</v>
      </c>
      <c r="B79" s="62">
        <v>9</v>
      </c>
      <c r="C79" s="62" t="s">
        <v>478</v>
      </c>
      <c r="D79" s="81">
        <v>0</v>
      </c>
      <c r="E79" s="81">
        <v>1</v>
      </c>
      <c r="F79" s="62">
        <v>250</v>
      </c>
      <c r="G79" s="62" t="s">
        <v>87</v>
      </c>
    </row>
    <row r="80" spans="1:7" s="55" customFormat="1" x14ac:dyDescent="0.2">
      <c r="A80">
        <v>79</v>
      </c>
      <c r="B80" s="62">
        <v>9</v>
      </c>
      <c r="C80" s="62" t="s">
        <v>479</v>
      </c>
      <c r="D80" s="81">
        <v>0</v>
      </c>
      <c r="E80" s="81">
        <v>1</v>
      </c>
      <c r="F80" s="62">
        <v>350</v>
      </c>
      <c r="G80" s="62" t="s">
        <v>87</v>
      </c>
    </row>
    <row r="81" spans="1:7" s="55" customFormat="1" x14ac:dyDescent="0.2">
      <c r="A81">
        <v>80</v>
      </c>
      <c r="B81" s="62">
        <v>9</v>
      </c>
      <c r="C81" s="62" t="s">
        <v>480</v>
      </c>
      <c r="D81" s="81">
        <v>0</v>
      </c>
      <c r="E81" s="81">
        <v>1</v>
      </c>
      <c r="F81" s="62">
        <v>450</v>
      </c>
      <c r="G81" s="62" t="s">
        <v>87</v>
      </c>
    </row>
    <row r="82" spans="1:7" s="55" customFormat="1" x14ac:dyDescent="0.2">
      <c r="A82">
        <v>81</v>
      </c>
      <c r="B82" s="62">
        <v>9</v>
      </c>
      <c r="C82" s="62" t="s">
        <v>481</v>
      </c>
      <c r="D82" s="81">
        <v>1</v>
      </c>
      <c r="E82" s="81">
        <v>1</v>
      </c>
      <c r="F82" s="62">
        <v>10</v>
      </c>
      <c r="G82" s="62" t="s">
        <v>87</v>
      </c>
    </row>
    <row r="83" spans="1:7" s="55" customFormat="1" x14ac:dyDescent="0.2">
      <c r="A83">
        <v>82</v>
      </c>
      <c r="B83" s="82">
        <v>9</v>
      </c>
      <c r="C83" s="82" t="s">
        <v>482</v>
      </c>
      <c r="D83" s="83">
        <v>0</v>
      </c>
      <c r="E83" s="83">
        <v>1</v>
      </c>
      <c r="F83" s="82">
        <v>250</v>
      </c>
      <c r="G83" s="82" t="s">
        <v>87</v>
      </c>
    </row>
    <row r="84" spans="1:7" s="55" customFormat="1" x14ac:dyDescent="0.2">
      <c r="A84">
        <v>83</v>
      </c>
      <c r="B84" s="82">
        <v>9</v>
      </c>
      <c r="C84" s="82" t="s">
        <v>483</v>
      </c>
      <c r="D84" s="83">
        <v>0</v>
      </c>
      <c r="E84" s="83">
        <v>1</v>
      </c>
      <c r="F84" s="82">
        <v>350</v>
      </c>
      <c r="G84" s="82" t="s">
        <v>87</v>
      </c>
    </row>
    <row r="85" spans="1:7" s="55" customFormat="1" x14ac:dyDescent="0.2">
      <c r="A85">
        <v>84</v>
      </c>
      <c r="B85" s="82">
        <v>9</v>
      </c>
      <c r="C85" s="82" t="s">
        <v>484</v>
      </c>
      <c r="D85" s="83">
        <v>0</v>
      </c>
      <c r="E85" s="83">
        <v>1</v>
      </c>
      <c r="F85" s="82">
        <v>450</v>
      </c>
      <c r="G85" s="82" t="s">
        <v>87</v>
      </c>
    </row>
    <row r="86" spans="1:7" s="55" customFormat="1" x14ac:dyDescent="0.2">
      <c r="A86">
        <v>85</v>
      </c>
      <c r="B86" s="82">
        <v>9</v>
      </c>
      <c r="C86" s="82" t="s">
        <v>485</v>
      </c>
      <c r="D86" s="83">
        <v>1</v>
      </c>
      <c r="E86" s="83">
        <v>1</v>
      </c>
      <c r="F86" s="82">
        <v>10</v>
      </c>
      <c r="G86" s="82" t="s">
        <v>87</v>
      </c>
    </row>
    <row r="87" spans="1:7" s="65" customFormat="1" x14ac:dyDescent="0.2">
      <c r="A87">
        <v>86</v>
      </c>
      <c r="B87" s="65">
        <v>9</v>
      </c>
      <c r="C87" s="65" t="s">
        <v>477</v>
      </c>
      <c r="D87" s="66">
        <v>1</v>
      </c>
      <c r="E87" s="66">
        <v>1</v>
      </c>
      <c r="F87" s="65">
        <v>200</v>
      </c>
      <c r="G87" s="65" t="s">
        <v>473</v>
      </c>
    </row>
    <row r="88" spans="1:7" s="55" customFormat="1" x14ac:dyDescent="0.2">
      <c r="A88" s="55">
        <v>87</v>
      </c>
      <c r="B88" s="82">
        <v>9</v>
      </c>
      <c r="C88" s="65" t="s">
        <v>503</v>
      </c>
      <c r="D88" s="4">
        <v>0</v>
      </c>
      <c r="E88" s="4">
        <v>1</v>
      </c>
      <c r="F88" s="82">
        <v>10</v>
      </c>
      <c r="G88" s="82" t="s">
        <v>502</v>
      </c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88</v>
      </c>
      <c r="C1" s="1" t="s">
        <v>89</v>
      </c>
      <c r="D1" s="1" t="s">
        <v>90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9"/>
  <sheetViews>
    <sheetView zoomScaleNormal="100" workbookViewId="0">
      <pane ySplit="1" topLeftCell="A2" activePane="bottomLeft" state="frozen"/>
      <selection pane="bottomLeft" activeCell="D11" sqref="D1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5" t="s">
        <v>510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5" t="s">
        <v>511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5" t="s">
        <v>512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5" t="s">
        <v>513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07" t="s">
        <v>514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5" t="s">
        <v>515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5" t="s">
        <v>516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5" t="s">
        <v>517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5" t="s">
        <v>518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5" t="s">
        <v>519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5" t="s">
        <v>520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5" t="s">
        <v>521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522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48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523</v>
      </c>
      <c r="F17" s="13">
        <f t="shared" si="1"/>
        <v>35</v>
      </c>
      <c r="G17" s="13">
        <v>0</v>
      </c>
      <c r="H17" s="13" t="s">
        <v>167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524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525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107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199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181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182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183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197</v>
      </c>
      <c r="D25" s="13" t="s">
        <v>198</v>
      </c>
      <c r="E25" s="14" t="s">
        <v>184</v>
      </c>
      <c r="F25" s="13" t="s">
        <v>197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109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108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185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112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111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113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115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205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110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186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187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188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179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114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189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222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190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191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192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193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194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109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223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195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196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233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321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334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106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180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8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49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349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386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400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405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453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472</v>
      </c>
      <c r="F63" s="2">
        <v>0</v>
      </c>
      <c r="G63" s="2">
        <v>0</v>
      </c>
    </row>
    <row r="64" spans="1:7" s="13" customFormat="1" x14ac:dyDescent="0.2">
      <c r="A64" s="2">
        <v>63</v>
      </c>
      <c r="B64" s="13">
        <v>1</v>
      </c>
      <c r="C64" s="13">
        <v>120</v>
      </c>
      <c r="D64" s="13">
        <f>1/C64</f>
        <v>8.3333333333333332E-3</v>
      </c>
      <c r="E64" s="15" t="s">
        <v>199</v>
      </c>
      <c r="F64" s="13">
        <f>C64</f>
        <v>120</v>
      </c>
      <c r="G64" s="13">
        <v>0</v>
      </c>
    </row>
    <row r="65" spans="1:7" s="13" customFormat="1" x14ac:dyDescent="0.2">
      <c r="A65" s="2">
        <v>64</v>
      </c>
      <c r="B65" s="13">
        <v>1</v>
      </c>
      <c r="C65" s="13">
        <v>120</v>
      </c>
      <c r="D65" s="13">
        <f t="shared" ref="D65:D69" si="5">1/C65</f>
        <v>8.3333333333333332E-3</v>
      </c>
      <c r="E65" s="14" t="s">
        <v>182</v>
      </c>
      <c r="F65" s="13">
        <f t="shared" ref="F65:F69" si="6">C65</f>
        <v>120</v>
      </c>
      <c r="G65" s="13">
        <v>0</v>
      </c>
    </row>
    <row r="66" spans="1:7" s="13" customFormat="1" x14ac:dyDescent="0.2">
      <c r="A66" s="2">
        <v>65</v>
      </c>
      <c r="B66" s="13">
        <v>1</v>
      </c>
      <c r="C66" s="13">
        <v>120</v>
      </c>
      <c r="D66" s="13">
        <f t="shared" si="5"/>
        <v>8.3333333333333332E-3</v>
      </c>
      <c r="E66" s="14" t="s">
        <v>183</v>
      </c>
      <c r="F66" s="13">
        <f t="shared" si="6"/>
        <v>120</v>
      </c>
      <c r="G66" s="13">
        <v>0</v>
      </c>
    </row>
    <row r="67" spans="1:7" s="13" customFormat="1" x14ac:dyDescent="0.2">
      <c r="A67" s="2">
        <v>66</v>
      </c>
      <c r="B67" s="13">
        <v>1</v>
      </c>
      <c r="C67" s="13">
        <v>160</v>
      </c>
      <c r="D67" s="13">
        <f t="shared" si="5"/>
        <v>6.2500000000000003E-3</v>
      </c>
      <c r="E67" s="14" t="s">
        <v>109</v>
      </c>
      <c r="F67" s="13">
        <f t="shared" si="6"/>
        <v>160</v>
      </c>
      <c r="G67" s="13">
        <v>0</v>
      </c>
    </row>
    <row r="68" spans="1:7" s="13" customFormat="1" x14ac:dyDescent="0.2">
      <c r="A68" s="2">
        <v>67</v>
      </c>
      <c r="B68" s="13">
        <v>1</v>
      </c>
      <c r="C68" s="13">
        <v>200</v>
      </c>
      <c r="D68" s="13">
        <f t="shared" si="5"/>
        <v>5.0000000000000001E-3</v>
      </c>
      <c r="E68" s="14" t="s">
        <v>108</v>
      </c>
      <c r="F68" s="13">
        <f t="shared" si="6"/>
        <v>200</v>
      </c>
      <c r="G68" s="13">
        <v>0</v>
      </c>
    </row>
    <row r="69" spans="1:7" s="13" customFormat="1" x14ac:dyDescent="0.2">
      <c r="A69" s="2">
        <v>68</v>
      </c>
      <c r="B69" s="13">
        <v>1</v>
      </c>
      <c r="C69" s="13">
        <v>200</v>
      </c>
      <c r="D69" s="13">
        <f t="shared" si="5"/>
        <v>5.0000000000000001E-3</v>
      </c>
      <c r="E69" s="14" t="s">
        <v>185</v>
      </c>
      <c r="F69" s="13">
        <f t="shared" si="6"/>
        <v>200</v>
      </c>
      <c r="G69" s="13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41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 x14ac:dyDescent="0.2">
      <c r="A2">
        <v>1</v>
      </c>
      <c r="B2" t="s">
        <v>46</v>
      </c>
      <c r="C2">
        <v>10</v>
      </c>
      <c r="D2">
        <v>0</v>
      </c>
    </row>
    <row r="3" spans="1:4 16384:16384" x14ac:dyDescent="0.2">
      <c r="A3">
        <v>2</v>
      </c>
      <c r="B3" t="s">
        <v>47</v>
      </c>
      <c r="C3">
        <v>20</v>
      </c>
      <c r="D3">
        <v>0</v>
      </c>
    </row>
    <row r="4" spans="1:4 16384:16384" x14ac:dyDescent="0.2">
      <c r="A4">
        <v>3</v>
      </c>
      <c r="B4" t="s">
        <v>383</v>
      </c>
      <c r="C4">
        <v>15</v>
      </c>
      <c r="D4">
        <v>0</v>
      </c>
    </row>
    <row r="5" spans="1:4 16384:16384" x14ac:dyDescent="0.2">
      <c r="A5">
        <v>4</v>
      </c>
      <c r="B5" t="s">
        <v>384</v>
      </c>
      <c r="C5">
        <v>15</v>
      </c>
      <c r="D5">
        <v>0</v>
      </c>
    </row>
    <row r="6" spans="1:4 16384:16384" x14ac:dyDescent="0.2">
      <c r="A6">
        <v>5</v>
      </c>
      <c r="B6" t="s">
        <v>385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58</v>
      </c>
      <c r="C2" s="2"/>
    </row>
    <row r="3" spans="1:10 16384:16384" x14ac:dyDescent="0.2">
      <c r="A3" s="2">
        <v>2</v>
      </c>
      <c r="B3" s="2" t="s">
        <v>78</v>
      </c>
      <c r="C3" s="2" t="s">
        <v>59</v>
      </c>
    </row>
    <row r="4" spans="1:10 16384:16384" x14ac:dyDescent="0.2">
      <c r="A4" s="2">
        <v>3</v>
      </c>
      <c r="B4" s="2" t="s">
        <v>79</v>
      </c>
      <c r="C4" s="2" t="s">
        <v>60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 x14ac:dyDescent="0.2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 x14ac:dyDescent="0.2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94</v>
      </c>
      <c r="B1" s="1" t="s">
        <v>98</v>
      </c>
      <c r="C1" t="s">
        <v>99</v>
      </c>
    </row>
    <row r="2" spans="1:3" x14ac:dyDescent="0.2">
      <c r="A2">
        <v>1</v>
      </c>
      <c r="B2" t="s">
        <v>239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2021-05-07T01:47:34Z</dcterms:modified>
</cp:coreProperties>
</file>