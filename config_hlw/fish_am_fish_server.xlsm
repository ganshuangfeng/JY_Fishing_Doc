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<sst xmlns="http://schemas.openxmlformats.org/spreadsheetml/2006/main" count="693" uniqueCount="464">
  <si>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</si>
  <si>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</si>
  <si>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</si>
  <si>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</si>
  <si>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</si>
  <si>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</si>
  <si>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</si>
  <si>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</si>
  <si>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</si>
  <si>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</si>
  <si>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</si>
  <si>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</si>
  <si>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</si>
  <si>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</si>
  <si>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</si>
  <si>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</si>
  <si>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</si>
  <si>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</si>
  <si>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</si>
  <si>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</si>
  <si>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</si>
  <si>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</si>
  <si>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</si>
  <si>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</si>
  <si>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</si>
  <si>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</si>
  <si>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</si>
  <si>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</si>
  <si>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</si>
  <si>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</si>
  <si>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</si>
  <si>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</si>
  <si>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</si>
  <si>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</si>
  <si>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</si>
  <si>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</si>
  <si>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</si>
  <si>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</si>
  <si>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</si>
  <si>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</si>
  <si>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</si>
  <si>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</si>
  <si>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</si>
  <si>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</si>
  <si>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</si>
  <si>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</si>
  <si>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</si>
  <si>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</si>
  <si>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</si>
  <si>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</si>
  <si>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</si>
  <si>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</si>
  <si>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</si>
  <si>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</si>
  <si>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</si>
  <si>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</si>
  <si>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</si>
  <si>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</si>
  <si>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</si>
  <si>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</si>
  <si>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</si>
  <si>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</si>
  <si>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</si>
  <si>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</si>
  <si>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</si>
  <si>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</si>
  <si>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</si>
  <si>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</si>
  <si>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</si>
  <si>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</si>
  <si>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</si>
  <si>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</si>
  <si>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</si>
  <si>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</si>
  <si>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</si>
  <si>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</si>
  <si>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</si>
  <si>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</si>
  <si>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</si>
  <si>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</si>
  <si>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</si>
  <si>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</si>
  <si>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</si>
  <si>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</si>
  <si>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</si>
  <si>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</si>
  <si>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</si>
  <si>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</si>
  <si>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</si>
  <si>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</si>
  <si>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</si>
  <si>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</si>
  <si>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</si>
  <si>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</si>
  <si>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</si>
  <si>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</si>
  <si>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</si>
  <si>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</si>
  <si>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</si>
  <si>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</si>
  <si>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</si>
  <si>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</si>
  <si>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</si>
  <si>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</si>
  <si>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</si>
  <si>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</si>
  <si>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</si>
  <si>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</si>
  <si>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</si>
  <si>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</si>
  <si>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</si>
  <si>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</si>
  <si>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</si>
  <si>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</si>
  <si>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</si>
  <si>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</si>
  <si>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</si>
  <si>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</si>
  <si>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</si>
  <si>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</si>
  <si>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</si>
  <si>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</si>
  <si>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</si>
  <si>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</si>
  <si>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</si>
  <si>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</si>
  <si>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</si>
  <si>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</si>
  <si>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</si>
  <si>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</si>
  <si>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</si>
  <si>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</si>
  <si>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</si>
  <si>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</si>
  <si>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</si>
  <si>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</si>
  <si>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</si>
  <si>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</si>
  <si>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</si>
  <si>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</si>
  <si>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</si>
  <si>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</si>
  <si>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</si>
  <si>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</si>
  <si>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</si>
  <si>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</si>
  <si>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</si>
  <si>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</si>
  <si>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</si>
  <si>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</si>
  <si>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</si>
  <si>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</si>
  <si>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</si>
  <si>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</si>
  <si>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</si>
  <si>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</si>
  <si>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</si>
  <si>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</si>
  <si>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</si>
  <si>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</si>
  <si>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</si>
  <si>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</si>
  <si>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</si>
  <si>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</si>
  <si>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</si>
  <si>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</si>
  <si>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</si>
  <si>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</si>
  <si>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</si>
  <si>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</si>
  <si>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</si>
  <si>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</si>
  <si>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</si>
  <si>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</si>
  <si>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</si>
  <si>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</si>
  <si>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</si>
  <si>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</si>
  <si>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</si>
  <si>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</si>
  <si>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</si>
  <si>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</si>
  <si>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</si>
  <si>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</si>
  <si>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</si>
  <si>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</si>
  <si>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</si>
  <si>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</si>
  <si>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</si>
  <si>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</si>
  <si>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79,7,5,32,23,</t>
    <phoneticPr fontId="1" type="noConversion"/>
  </si>
  <si>
    <t>5,36,31,20,23,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</si>
  <si>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</si>
  <si>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</si>
  <si>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</si>
  <si>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</si>
  <si>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</si>
  <si>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</si>
  <si>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</si>
  <si>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</si>
  <si>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</si>
  <si>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</si>
  <si>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</si>
  <si>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</si>
  <si>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</si>
  <si>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</si>
  <si>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</si>
  <si>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</si>
  <si>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</si>
  <si>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</si>
  <si>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</si>
  <si>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</si>
  <si>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</si>
  <si>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</si>
  <si>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</si>
  <si>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</si>
  <si>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</si>
  <si>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</si>
  <si>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</si>
  <si>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</si>
  <si>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</si>
  <si>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</si>
  <si>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</si>
  <si>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</si>
  <si>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</si>
  <si>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</si>
  <si>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</si>
  <si>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</si>
  <si>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</si>
  <si>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</si>
  <si>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</si>
  <si>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</si>
  <si>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</si>
  <si>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</si>
  <si>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</si>
  <si>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</si>
  <si>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</si>
  <si>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</si>
  <si>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</si>
  <si>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</si>
  <si>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</si>
  <si>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</si>
  <si>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</si>
  <si>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</si>
  <si>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</si>
  <si>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</si>
  <si>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</si>
  <si>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</si>
  <si>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</si>
  <si>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</si>
  <si>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</si>
  <si>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</si>
  <si>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</si>
  <si>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</si>
  <si>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</si>
  <si>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</si>
  <si>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</si>
  <si>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</si>
  <si>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</si>
  <si>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</si>
  <si>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</si>
  <si>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</si>
  <si>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</si>
  <si>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</si>
  <si>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</si>
  <si>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</si>
  <si>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</si>
  <si>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</si>
  <si>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</si>
  <si>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</si>
  <si>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</si>
  <si>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</si>
  <si>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</si>
  <si>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</si>
  <si>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</si>
  <si>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</si>
  <si>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</si>
  <si>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</si>
  <si>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</si>
  <si>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</si>
  <si>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</si>
  <si>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</si>
  <si>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</si>
  <si>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</si>
  <si>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</si>
  <si>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</si>
  <si>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</si>
  <si>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</si>
  <si>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</si>
  <si>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</si>
  <si>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</si>
  <si>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</si>
  <si>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</si>
  <si>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</si>
  <si>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</si>
  <si>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</si>
  <si>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</si>
  <si>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</si>
  <si>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</si>
  <si>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</si>
  <si>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</si>
  <si>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</si>
  <si>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</si>
  <si>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</si>
  <si>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</si>
  <si>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</si>
  <si>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</si>
  <si>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</si>
  <si>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</si>
  <si>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</si>
  <si>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</si>
  <si>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</si>
  <si>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</si>
  <si>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</si>
  <si>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</si>
  <si>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</si>
  <si>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</si>
  <si>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</si>
  <si>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</si>
  <si>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</si>
  <si>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</si>
  <si>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</si>
  <si>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</si>
  <si>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</si>
  <si>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</si>
  <si>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</si>
  <si>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</si>
  <si>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</si>
  <si>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</si>
  <si>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</si>
  <si>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</si>
  <si>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</si>
  <si>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</si>
  <si>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</si>
  <si>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</si>
  <si>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</si>
  <si>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</si>
  <si>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</si>
  <si>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</si>
  <si>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</si>
  <si>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</si>
  <si>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</si>
  <si>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</si>
  <si>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</si>
  <si>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</si>
  <si>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</si>
  <si>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</si>
  <si>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</si>
  <si>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</si>
  <si>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</si>
  <si>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</si>
  <si>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</si>
  <si>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</si>
  <si>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</si>
  <si>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</si>
  <si>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</si>
  <si>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</si>
  <si>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</si>
  <si>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</si>
  <si>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</si>
  <si>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</si>
  <si>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</si>
  <si>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</si>
  <si>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</si>
  <si>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</si>
  <si>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</si>
  <si>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</si>
  <si>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</si>
  <si>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</si>
  <si>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</si>
  <si>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</si>
  <si>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</si>
  <si>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</si>
  <si>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</si>
  <si>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</si>
  <si>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</si>
  <si>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</si>
  <si>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</si>
  <si>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</si>
  <si>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</si>
  <si>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</si>
  <si>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</si>
  <si>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</si>
  <si>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</si>
  <si>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</si>
  <si>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</si>
  <si>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</si>
  <si>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</si>
  <si>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</si>
  <si>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</si>
  <si>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</si>
  <si>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</si>
  <si>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</si>
  <si>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</si>
  <si>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</si>
  <si>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</si>
  <si>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</si>
  <si>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</si>
  <si>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</si>
  <si>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</si>
  <si>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</si>
  <si>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</si>
  <si>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</si>
  <si>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</si>
  <si>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</si>
  <si>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</si>
  <si>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</si>
  <si>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</si>
  <si>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</si>
  <si>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</si>
  <si>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</si>
  <si>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</si>
  <si>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</si>
  <si>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</si>
  <si>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</si>
  <si>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</si>
  <si>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</si>
  <si>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</si>
  <si>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</si>
  <si>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</si>
  <si>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</si>
  <si>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</si>
  <si>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</si>
  <si>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</si>
  <si>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</si>
  <si>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</si>
  <si>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</si>
  <si>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</si>
  <si>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</si>
  <si>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</si>
  <si>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</si>
  <si>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</si>
  <si>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</si>
  <si>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</si>
  <si>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</si>
  <si>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</si>
  <si>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</si>
  <si>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</si>
  <si>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</si>
  <si>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</si>
  <si>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</si>
  <si>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</si>
  <si>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</si>
  <si>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</si>
  <si>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</si>
  <si>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</si>
  <si>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</si>
  <si>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</si>
  <si>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</si>
  <si>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</si>
  <si>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</si>
  <si>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</si>
  <si>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</si>
  <si>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</si>
  <si>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</si>
  <si>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8,8,8,8,8,</t>
    <phoneticPr fontId="1" type="noConversion"/>
  </si>
  <si>
    <t>11,11,11,11,11,</t>
    <phoneticPr fontId="1" type="noConversion"/>
  </si>
  <si>
    <t>2,</t>
    <phoneticPr fontId="1" type="noConversion"/>
  </si>
  <si>
    <t>11,4,4,</t>
    <phoneticPr fontId="1" type="noConversion"/>
  </si>
  <si>
    <t>11,8,8,</t>
    <phoneticPr fontId="1" type="noConversion"/>
  </si>
  <si>
    <t>12,3,3,</t>
    <phoneticPr fontId="1" type="noConversion"/>
  </si>
  <si>
    <t>12,6,6,</t>
    <phoneticPr fontId="1" type="noConversion"/>
  </si>
  <si>
    <t>12,11,11,</t>
    <phoneticPr fontId="1" type="noConversion"/>
  </si>
  <si>
    <t>8,6,4,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</si>
</sst>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11" activePane="bottomLeft" state="frozen"/>
      <selection pane="bottomLeft" activeCell="A18" sqref="A18"/>
    </sheetView>
  </sheetViews>
  <sheetFormatPr defaultColWidth="8.625" defaultRowHeight="14.25" outlineLevelCol="1"/>
  <cols>
    <col min="2" max="2" width="17.125" customWidth="1"/>
    <col min="3" max="3" width="17.875" bestFit="1" customWidth="1"/>
    <col min="4" max="5" width="7.5" bestFit="1" customWidth="1"/>
    <col min="6" max="6" width="7.375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178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175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457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173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162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163</v>
      </c>
      <c r="D6" s="26" t="s">
        <v>106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217</v>
      </c>
      <c r="G7" s="42" t="s">
        <v>218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219</v>
      </c>
      <c r="F8" s="26">
        <v>10</v>
      </c>
      <c r="G8" s="42" t="s">
        <v>220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189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177</v>
      </c>
      <c r="D10" s="26" t="s">
        <v>454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454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174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458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11</v>
      </c>
      <c r="R13" s="10">
        <v>4</v>
      </c>
      <c r="S13" s="10">
        <v>4</v>
      </c>
    </row>
    <row r="14" spans="1:23" s="10" customFormat="1">
      <c r="A14" s="10">
        <v>13</v>
      </c>
      <c r="B14" s="10">
        <v>3</v>
      </c>
      <c r="C14" s="10" t="s">
        <v>460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24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24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12</v>
      </c>
      <c r="R14" s="10">
        <v>3</v>
      </c>
      <c r="S14" s="10">
        <v>3</v>
      </c>
    </row>
    <row r="15" spans="1:23" s="10" customFormat="1">
      <c r="A15" s="10">
        <v>14</v>
      </c>
      <c r="B15" s="10">
        <v>3</v>
      </c>
      <c r="C15" s="10" t="s">
        <v>459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31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31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11</v>
      </c>
      <c r="R15" s="10">
        <v>8</v>
      </c>
      <c r="S15" s="10">
        <v>8</v>
      </c>
    </row>
    <row r="16" spans="1:23" s="10" customFormat="1">
      <c r="A16" s="10">
        <v>15</v>
      </c>
      <c r="B16" s="10">
        <v>3</v>
      </c>
      <c r="C16" s="10" t="s">
        <v>461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30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30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12</v>
      </c>
      <c r="R16" s="10">
        <v>6</v>
      </c>
      <c r="S16" s="10">
        <v>6</v>
      </c>
    </row>
    <row r="17" spans="1:20" s="10" customFormat="1">
      <c r="A17" s="10">
        <v>16</v>
      </c>
      <c r="B17" s="10">
        <v>3</v>
      </c>
      <c r="C17" s="10" t="s">
        <v>462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48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48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12</v>
      </c>
      <c r="R17" s="10">
        <v>11</v>
      </c>
      <c r="S17" s="10">
        <v>11</v>
      </c>
    </row>
    <row r="18" spans="1:20" s="10" customFormat="1">
      <c r="A18" s="10">
        <v>17</v>
      </c>
      <c r="B18" s="10">
        <v>3</v>
      </c>
      <c r="C18" s="10" t="s">
        <v>463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8</v>
      </c>
      <c r="R18" s="10">
        <v>6</v>
      </c>
      <c r="S18" s="10">
        <v>4</v>
      </c>
    </row>
    <row r="19" spans="1:20" s="38" customFormat="1">
      <c r="A19" s="38">
        <v>18</v>
      </c>
      <c r="B19" s="38">
        <v>4</v>
      </c>
      <c r="C19" s="38" t="s">
        <v>182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181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180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179</v>
      </c>
      <c r="G22" s="38" t="s">
        <v>159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183</v>
      </c>
      <c r="G23" s="18" t="s">
        <v>187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184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185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186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2</v>
      </c>
      <c r="C27" s="38" t="s">
        <v>456</v>
      </c>
      <c r="G27" s="38" t="s">
        <v>190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2</v>
      </c>
      <c r="C28" s="38" t="s">
        <v>455</v>
      </c>
      <c r="G28" s="38" t="s">
        <v>191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171</v>
      </c>
      <c r="I39" s="16" t="s">
        <v>172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188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373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374</v>
      </c>
      <c r="G66" s="42" t="s">
        <v>377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375</v>
      </c>
      <c r="G67" s="43" t="s">
        <v>376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254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255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256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257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258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259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260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261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262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263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264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265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266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267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268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269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270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271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272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273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274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275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276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277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278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279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280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281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349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350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351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352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353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354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355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356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291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292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293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294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357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358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359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360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361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362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363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364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365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366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323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324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325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326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367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368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369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370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371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388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389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398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399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400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401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402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403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404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405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406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14" activePane="bottomLeft" state="frozen"/>
      <selection pane="bottomLeft" activeCell="A24" sqref="A24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158</v>
      </c>
      <c r="C1" s="1" t="s">
        <v>15</v>
      </c>
      <c r="D1" s="1" t="s">
        <v>196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150</v>
      </c>
      <c r="O1" s="7" t="s">
        <v>157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391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393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392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222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223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236</v>
      </c>
      <c r="F25" s="16" t="s">
        <v>237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171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200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200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224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>
        <v>26</v>
      </c>
      <c r="D39" s="27" t="s">
        <v>208</v>
      </c>
      <c r="E39" s="29">
        <f>LOOKUP(use_fish!B39,base_fish!A:A,base_fish!C:C)+_xlfn.IFNA(INDEX(activity!F:F,MATCH(use_fish!C39,activity!A:A,0)),0)</f>
        <v>102</v>
      </c>
      <c r="F39" s="29">
        <f t="shared" si="7"/>
        <v>9.8039215686274508E-3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黄金巨龙+彩贝-场次1</v>
      </c>
      <c r="I39" s="29">
        <f>LOOKUP(use_fish!B39,base_fish!A:A,base_fish!F:F)+_xlfn.IFNA(INDEX(activity!F:F,MATCH(use_fish!C39,activity!A:A,0)),0)</f>
        <v>102</v>
      </c>
      <c r="J39" s="28">
        <v>1</v>
      </c>
      <c r="K39" s="28">
        <f>LOOKUP(use_fish!B39,base_fish!A:A,base_fish!G:G)</f>
        <v>0</v>
      </c>
      <c r="L39" s="28">
        <f t="shared" si="8"/>
        <v>102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>
        <v>25</v>
      </c>
      <c r="D40" s="27" t="s">
        <v>225</v>
      </c>
      <c r="E40" s="29">
        <f>LOOKUP(use_fish!B40,base_fish!A:A,base_fish!C:C)+_xlfn.IFNA(INDEX(activity!F:F,MATCH(use_fish!C40,activity!A:A,0)),0)</f>
        <v>105</v>
      </c>
      <c r="F40" s="29">
        <f t="shared" ref="F40:F44" si="9">1/E40</f>
        <v>9.5238095238095247E-3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霸王蟹+彩贝-试炼场</v>
      </c>
      <c r="I40" s="29">
        <f>LOOKUP(use_fish!B40,base_fish!A:A,base_fish!F:F)+_xlfn.IFNA(INDEX(activity!F:F,MATCH(use_fish!C40,activity!A:A,0)),0)</f>
        <v>105</v>
      </c>
      <c r="J40" s="28">
        <v>1</v>
      </c>
      <c r="K40" s="28">
        <f>LOOKUP(use_fish!B40,base_fish!A:A,base_fish!G:G)</f>
        <v>0</v>
      </c>
      <c r="L40" s="28">
        <f t="shared" ref="L40:L45" si="10">I40</f>
        <v>105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>
        <v>41</v>
      </c>
      <c r="D41" s="27" t="s">
        <v>226</v>
      </c>
      <c r="E41" s="29">
        <f>LOOKUP(use_fish!B41,base_fish!A:A,base_fish!C:C)+_xlfn.IFNA(INDEX(activity!F:F,MATCH(use_fish!C41,activity!A:A,0)),0)</f>
        <v>302</v>
      </c>
      <c r="F41" s="29">
        <f t="shared" si="9"/>
        <v>3.3112582781456954E-3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深海巨鲸+彩贝-场次4</v>
      </c>
      <c r="I41" s="29">
        <f>LOOKUP(use_fish!B41,base_fish!A:A,base_fish!F:F)+_xlfn.IFNA(INDEX(activity!F:F,MATCH(use_fish!C41,activity!A:A,0)),0)</f>
        <v>302</v>
      </c>
      <c r="J41" s="28">
        <v>1</v>
      </c>
      <c r="K41" s="28">
        <f>LOOKUP(use_fish!B41,base_fish!A:A,base_fish!G:G)</f>
        <v>0</v>
      </c>
      <c r="L41" s="28">
        <f t="shared" si="10"/>
        <v>302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>
        <v>27</v>
      </c>
      <c r="D42" s="27" t="s">
        <v>225</v>
      </c>
      <c r="E42" s="29">
        <f>LOOKUP(use_fish!B42,base_fish!A:A,base_fish!C:C)+_xlfn.IFNA(INDEX(activity!F:F,MATCH(use_fish!C42,activity!A:A,0)),0)</f>
        <v>206</v>
      </c>
      <c r="F42" s="29">
        <f t="shared" si="9"/>
        <v>4.8543689320388345E-3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鲨鱼将军+彩贝-场次2</v>
      </c>
      <c r="I42" s="29">
        <f>LOOKUP(use_fish!B42,base_fish!A:A,base_fish!F:F)+_xlfn.IFNA(INDEX(activity!F:F,MATCH(use_fish!C42,activity!A:A,0)),0)</f>
        <v>206</v>
      </c>
      <c r="J42" s="28">
        <v>1</v>
      </c>
      <c r="K42" s="28">
        <f>LOOKUP(use_fish!B42,base_fish!A:A,base_fish!G:G)</f>
        <v>0</v>
      </c>
      <c r="L42" s="28">
        <f t="shared" si="10"/>
        <v>206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>
        <v>40</v>
      </c>
      <c r="D44" s="27" t="s">
        <v>227</v>
      </c>
      <c r="E44" s="29">
        <f>LOOKUP(use_fish!B44,base_fish!A:A,base_fish!C:C)+_xlfn.IFNA(INDEX(activity!F:F,MATCH(use_fish!C44,activity!A:A,0)),0)</f>
        <v>202</v>
      </c>
      <c r="F44" s="29">
        <f t="shared" si="9"/>
        <v>4.9504950495049506E-3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远古龙龟+彩贝-场次3</v>
      </c>
      <c r="I44" s="29">
        <f>LOOKUP(use_fish!B44,base_fish!A:A,base_fish!F:F)+_xlfn.IFNA(INDEX(activity!F:F,MATCH(use_fish!C44,activity!A:A,0)),0)</f>
        <v>202</v>
      </c>
      <c r="J44" s="28">
        <v>1</v>
      </c>
      <c r="K44" s="28">
        <f>LOOKUP(use_fish!B44,base_fish!A:A,base_fish!G:G)</f>
        <v>0</v>
      </c>
      <c r="L44" s="28">
        <f t="shared" si="10"/>
        <v>202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228</v>
      </c>
      <c r="E47" s="33">
        <f>LOOKUP(use_fish!B47,base_fish!A:A,base_fish!C:C)+_xlfn.IFNA(INDEX(activity!F:F,MATCH(use_fish!C47,activity!A:A,0)),0)</f>
        <v>200</v>
      </c>
      <c r="F47" s="33">
        <f t="shared" ref="F47:F50" si="12">1/E47</f>
        <v>5.0000000000000001E-3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200</v>
      </c>
      <c r="J47" s="32">
        <v>1</v>
      </c>
      <c r="K47" s="32">
        <f>LOOKUP(use_fish!B47,base_fish!A:A,base_fish!G:G)</f>
        <v>0</v>
      </c>
      <c r="L47" s="32">
        <f t="shared" si="11"/>
        <v>200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230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231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232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201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200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222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223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200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200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222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200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222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223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200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200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222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282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339</v>
      </c>
      <c r="E81" s="52">
        <v>0</v>
      </c>
      <c r="F81" s="58">
        <v>0</v>
      </c>
      <c r="G81" s="58" t="s">
        <v>282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200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222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223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200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200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222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200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222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223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200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200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222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200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222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223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200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200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222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200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222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223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200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200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222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378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/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/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/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/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386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387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386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282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282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282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282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282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282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221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176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199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148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149</v>
      </c>
    </row>
    <row r="18" spans="1:9">
      <c r="A18">
        <v>17</v>
      </c>
      <c r="B18">
        <v>10</v>
      </c>
      <c r="C18" s="6" t="s">
        <v>197</v>
      </c>
      <c r="D18" s="4">
        <v>0</v>
      </c>
      <c r="E18" s="4">
        <v>0</v>
      </c>
      <c r="F18">
        <v>150</v>
      </c>
      <c r="G18" t="s">
        <v>198</v>
      </c>
      <c r="H18">
        <v>22</v>
      </c>
      <c r="I18" t="s">
        <v>151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209</v>
      </c>
    </row>
    <row r="20" spans="1:9">
      <c r="A20">
        <v>19</v>
      </c>
      <c r="B20">
        <v>17</v>
      </c>
      <c r="C20" s="9" t="s">
        <v>210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240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155</v>
      </c>
    </row>
    <row r="22" spans="1:9">
      <c r="A22">
        <v>21</v>
      </c>
      <c r="B22">
        <v>20</v>
      </c>
      <c r="C22" s="9" t="s">
        <v>152</v>
      </c>
      <c r="D22" s="4">
        <v>0</v>
      </c>
      <c r="E22" s="4">
        <v>0</v>
      </c>
      <c r="F22">
        <v>50</v>
      </c>
      <c r="G22" t="s">
        <v>165</v>
      </c>
      <c r="H22">
        <v>26</v>
      </c>
      <c r="I22" t="s">
        <v>161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166</v>
      </c>
      <c r="H23">
        <v>27</v>
      </c>
      <c r="I23" t="s">
        <v>238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167</v>
      </c>
      <c r="H24">
        <v>28</v>
      </c>
      <c r="I24" t="s">
        <v>239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168</v>
      </c>
      <c r="H25">
        <v>29</v>
      </c>
      <c r="I25" t="s">
        <v>160</v>
      </c>
    </row>
    <row r="26" spans="1:9">
      <c r="A26">
        <v>25</v>
      </c>
      <c r="B26">
        <v>21</v>
      </c>
      <c r="C26" s="9" t="s">
        <v>242</v>
      </c>
      <c r="D26" s="4">
        <v>0</v>
      </c>
      <c r="E26" s="4">
        <v>1</v>
      </c>
      <c r="F26">
        <v>5</v>
      </c>
      <c r="G26" t="s">
        <v>243</v>
      </c>
      <c r="H26">
        <v>30</v>
      </c>
      <c r="I26" t="s">
        <v>193</v>
      </c>
    </row>
    <row r="27" spans="1:9">
      <c r="A27">
        <v>26</v>
      </c>
      <c r="B27">
        <v>21</v>
      </c>
      <c r="C27" s="9" t="s">
        <v>245</v>
      </c>
      <c r="D27" s="4">
        <v>0</v>
      </c>
      <c r="E27" s="4">
        <v>1</v>
      </c>
      <c r="F27">
        <v>2</v>
      </c>
      <c r="G27" t="s">
        <v>244</v>
      </c>
      <c r="H27">
        <v>31</v>
      </c>
      <c r="I27" t="s">
        <v>202</v>
      </c>
    </row>
    <row r="28" spans="1:9">
      <c r="A28">
        <v>27</v>
      </c>
      <c r="B28">
        <v>21</v>
      </c>
      <c r="C28" s="9" t="s">
        <v>247</v>
      </c>
      <c r="D28" s="4">
        <v>0</v>
      </c>
      <c r="E28" s="4">
        <v>1</v>
      </c>
      <c r="F28">
        <v>6</v>
      </c>
      <c r="G28" t="s">
        <v>246</v>
      </c>
      <c r="H28">
        <v>32</v>
      </c>
      <c r="I28" t="s">
        <v>203</v>
      </c>
    </row>
    <row r="29" spans="1:9">
      <c r="A29">
        <v>28</v>
      </c>
      <c r="B29">
        <v>22</v>
      </c>
      <c r="C29" s="9" t="s">
        <v>154</v>
      </c>
      <c r="D29" s="4">
        <v>0</v>
      </c>
      <c r="E29" s="4">
        <v>0</v>
      </c>
      <c r="F29">
        <v>100</v>
      </c>
      <c r="G29" t="s">
        <v>153</v>
      </c>
      <c r="H29">
        <v>33</v>
      </c>
      <c r="I29" t="s">
        <v>204</v>
      </c>
    </row>
    <row r="30" spans="1:9">
      <c r="A30">
        <v>29</v>
      </c>
      <c r="B30">
        <v>23</v>
      </c>
      <c r="C30" t="s">
        <v>164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212</v>
      </c>
    </row>
    <row r="31" spans="1:9">
      <c r="A31">
        <v>30</v>
      </c>
      <c r="B31">
        <v>24</v>
      </c>
      <c r="C31" s="9" t="s">
        <v>229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214</v>
      </c>
    </row>
    <row r="32" spans="1:9">
      <c r="A32">
        <v>31</v>
      </c>
      <c r="B32">
        <v>25</v>
      </c>
      <c r="C32" t="s">
        <v>194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300</v>
      </c>
    </row>
    <row r="33" spans="1:9">
      <c r="A33">
        <v>32</v>
      </c>
      <c r="B33">
        <v>28</v>
      </c>
      <c r="C33" s="9" t="s">
        <v>241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301</v>
      </c>
    </row>
    <row r="34" spans="1:9">
      <c r="A34">
        <v>33</v>
      </c>
      <c r="B34">
        <v>29</v>
      </c>
      <c r="C34" t="s">
        <v>216</v>
      </c>
      <c r="D34" s="4">
        <v>0</v>
      </c>
      <c r="E34" s="4">
        <v>0</v>
      </c>
      <c r="F34">
        <v>300</v>
      </c>
      <c r="G34" t="s">
        <v>160</v>
      </c>
      <c r="H34">
        <v>42</v>
      </c>
      <c r="I34" t="s">
        <v>308</v>
      </c>
    </row>
    <row r="35" spans="1:9">
      <c r="A35">
        <v>34</v>
      </c>
      <c r="B35">
        <v>30</v>
      </c>
      <c r="C35" s="9" t="s">
        <v>235</v>
      </c>
      <c r="D35" s="4">
        <v>0</v>
      </c>
      <c r="E35" s="4">
        <v>0</v>
      </c>
      <c r="F35">
        <v>150</v>
      </c>
      <c r="G35" t="s">
        <v>195</v>
      </c>
      <c r="H35">
        <v>43</v>
      </c>
      <c r="I35" t="s">
        <v>304</v>
      </c>
    </row>
    <row r="36" spans="1:9">
      <c r="A36">
        <v>35</v>
      </c>
      <c r="B36">
        <v>31</v>
      </c>
      <c r="C36" t="s">
        <v>233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305</v>
      </c>
    </row>
    <row r="37" spans="1:9">
      <c r="A37">
        <v>36</v>
      </c>
      <c r="B37">
        <v>32</v>
      </c>
      <c r="C37" s="9" t="s">
        <v>234</v>
      </c>
      <c r="D37" s="4">
        <v>0</v>
      </c>
      <c r="E37" s="4">
        <v>0</v>
      </c>
      <c r="F37">
        <v>300</v>
      </c>
      <c r="G37" t="s">
        <v>205</v>
      </c>
      <c r="H37">
        <v>45</v>
      </c>
      <c r="I37" t="s">
        <v>306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206</v>
      </c>
      <c r="H38">
        <v>46</v>
      </c>
      <c r="I38" t="s">
        <v>309</v>
      </c>
    </row>
    <row r="39" spans="1:9">
      <c r="A39">
        <v>38</v>
      </c>
      <c r="B39">
        <v>38</v>
      </c>
      <c r="C39" t="s">
        <v>211</v>
      </c>
      <c r="D39" s="4">
        <v>0</v>
      </c>
      <c r="E39" s="4">
        <v>0</v>
      </c>
      <c r="F39">
        <v>250</v>
      </c>
      <c r="G39" t="s">
        <v>213</v>
      </c>
      <c r="H39">
        <v>47</v>
      </c>
      <c r="I39" t="s">
        <v>310</v>
      </c>
    </row>
    <row r="40" spans="1:9">
      <c r="A40">
        <v>39</v>
      </c>
      <c r="B40">
        <v>39</v>
      </c>
      <c r="C40" t="s">
        <v>211</v>
      </c>
      <c r="D40" s="4">
        <v>0</v>
      </c>
      <c r="E40" s="4">
        <v>0</v>
      </c>
      <c r="F40">
        <v>250</v>
      </c>
      <c r="G40" t="s">
        <v>215</v>
      </c>
    </row>
    <row r="41" spans="1:9">
      <c r="A41">
        <v>40</v>
      </c>
      <c r="B41">
        <v>21</v>
      </c>
      <c r="C41" s="9" t="s">
        <v>250</v>
      </c>
      <c r="D41" s="4">
        <v>0</v>
      </c>
      <c r="E41" s="4">
        <v>1</v>
      </c>
      <c r="F41">
        <v>2</v>
      </c>
      <c r="G41" t="s">
        <v>248</v>
      </c>
    </row>
    <row r="42" spans="1:9">
      <c r="A42">
        <v>41</v>
      </c>
      <c r="B42">
        <v>21</v>
      </c>
      <c r="C42" s="9" t="s">
        <v>251</v>
      </c>
      <c r="D42" s="4">
        <v>0</v>
      </c>
      <c r="E42" s="4">
        <v>1</v>
      </c>
      <c r="F42">
        <v>2</v>
      </c>
      <c r="G42" t="s">
        <v>249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252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253</v>
      </c>
    </row>
    <row r="45" spans="1:9" s="51" customFormat="1">
      <c r="A45" s="51">
        <v>44</v>
      </c>
      <c r="B45" s="51">
        <v>9</v>
      </c>
      <c r="C45" s="51" t="s">
        <v>283</v>
      </c>
      <c r="D45" s="4" t="s">
        <v>307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284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285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287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286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288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289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290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284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285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287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286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296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297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298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299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312</v>
      </c>
      <c r="D61" s="4">
        <v>0</v>
      </c>
      <c r="E61" s="4">
        <v>1</v>
      </c>
      <c r="F61">
        <v>1000000</v>
      </c>
      <c r="G61" t="s">
        <v>314</v>
      </c>
    </row>
    <row r="62" spans="1:7">
      <c r="A62">
        <v>61</v>
      </c>
      <c r="B62">
        <v>41</v>
      </c>
      <c r="C62" s="9" t="s">
        <v>313</v>
      </c>
      <c r="D62" s="4">
        <v>0</v>
      </c>
      <c r="E62" s="4">
        <v>1</v>
      </c>
      <c r="F62">
        <v>5000000</v>
      </c>
      <c r="G62" t="s">
        <v>315</v>
      </c>
    </row>
    <row r="63" spans="1:7">
      <c r="A63">
        <v>62</v>
      </c>
      <c r="B63">
        <v>42</v>
      </c>
      <c r="C63" s="9" t="s">
        <v>311</v>
      </c>
      <c r="D63" s="4">
        <v>0</v>
      </c>
      <c r="E63" s="4">
        <v>1</v>
      </c>
      <c r="F63">
        <v>10000000</v>
      </c>
      <c r="G63" t="s">
        <v>316</v>
      </c>
    </row>
    <row r="64" spans="1:7">
      <c r="A64">
        <v>63</v>
      </c>
      <c r="B64">
        <v>46</v>
      </c>
      <c r="C64" s="9" t="s">
        <v>302</v>
      </c>
      <c r="D64" s="4">
        <v>0</v>
      </c>
      <c r="E64" s="4">
        <v>1</v>
      </c>
      <c r="F64">
        <v>50000000</v>
      </c>
      <c r="G64" t="s">
        <v>317</v>
      </c>
    </row>
    <row r="65" spans="1:7">
      <c r="A65">
        <v>64</v>
      </c>
      <c r="B65">
        <v>47</v>
      </c>
      <c r="C65" s="9" t="s">
        <v>303</v>
      </c>
      <c r="D65" s="4">
        <v>0</v>
      </c>
      <c r="E65" s="4">
        <v>1</v>
      </c>
      <c r="F65">
        <v>100000000</v>
      </c>
      <c r="G65" t="s">
        <v>318</v>
      </c>
    </row>
    <row r="66" spans="1:7" s="55" customFormat="1">
      <c r="A66" s="55">
        <v>65</v>
      </c>
      <c r="B66" s="53">
        <v>9</v>
      </c>
      <c r="C66" s="53" t="s">
        <v>327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328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329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330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333</v>
      </c>
      <c r="D70" s="57">
        <v>1</v>
      </c>
      <c r="E70" s="57">
        <v>1</v>
      </c>
      <c r="F70" s="56">
        <v>75</v>
      </c>
      <c r="G70" s="56" t="s">
        <v>332</v>
      </c>
    </row>
    <row r="71" spans="1:7" s="60" customFormat="1">
      <c r="A71" s="60">
        <v>70</v>
      </c>
      <c r="B71" s="60">
        <v>9</v>
      </c>
      <c r="C71" s="60" t="s">
        <v>335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336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337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338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346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341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342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348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347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343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344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345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380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381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382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383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384</v>
      </c>
      <c r="D87" s="57">
        <v>1</v>
      </c>
      <c r="E87" s="57">
        <v>1</v>
      </c>
      <c r="F87" s="56">
        <v>200</v>
      </c>
      <c r="G87" s="56" t="s">
        <v>385</v>
      </c>
    </row>
    <row r="88" spans="1:7">
      <c r="A88">
        <v>87</v>
      </c>
      <c r="B88" s="28">
        <v>9</v>
      </c>
      <c r="C88" s="28" t="s">
        <v>394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395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396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397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E10" sqref="C10:E10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407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408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409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448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410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449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411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412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413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372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170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414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415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416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417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418</v>
      </c>
      <c r="F17" s="13">
        <f t="shared" si="1"/>
        <v>35</v>
      </c>
      <c r="G17" s="13">
        <v>0</v>
      </c>
      <c r="H17" s="13" t="s">
        <v>156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419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390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450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420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421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422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171</v>
      </c>
      <c r="D25" s="13" t="s">
        <v>172</v>
      </c>
      <c r="E25" s="85" t="s">
        <v>423</v>
      </c>
      <c r="F25" s="13" t="s">
        <v>171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424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425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426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427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428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429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430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451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431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204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432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203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169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433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434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89" t="s">
        <v>435</v>
      </c>
      <c r="F41" s="13">
        <f t="shared" si="4"/>
        <v>300</v>
      </c>
      <c r="G41" s="13">
        <v>0</v>
      </c>
    </row>
    <row r="42" spans="1:7" s="13" customFormat="1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90" t="s">
        <v>436</v>
      </c>
      <c r="F42" s="13">
        <f t="shared" si="4"/>
        <v>200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437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90" t="s">
        <v>438</v>
      </c>
      <c r="F44" s="13">
        <f t="shared" si="4"/>
        <v>200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452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439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90" t="s">
        <v>440</v>
      </c>
      <c r="F47" s="13">
        <f t="shared" si="4"/>
        <v>200</v>
      </c>
      <c r="G47" s="13">
        <v>0</v>
      </c>
    </row>
    <row r="48" spans="1:7" s="13" customFormat="1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92" t="s">
        <v>192</v>
      </c>
      <c r="F48" s="13">
        <f t="shared" si="4"/>
        <v>150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453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441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442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443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444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445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446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447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295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322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331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334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340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379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319</v>
      </c>
      <c r="C4">
        <v>15</v>
      </c>
      <c r="D4">
        <v>0</v>
      </c>
    </row>
    <row r="5" spans="1:4 16384:16384">
      <c r="A5">
        <v>4</v>
      </c>
      <c r="B5" t="s">
        <v>320</v>
      </c>
      <c r="C5">
        <v>15</v>
      </c>
      <c r="D5">
        <v>0</v>
      </c>
    </row>
    <row r="6" spans="1:4 16384:16384">
      <c r="A6">
        <v>5</v>
      </c>
      <c r="B6" t="s">
        <v>321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207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2021-05-12T12:30:52Z</dcterms:modified>
</cp:coreProperties>
</file>