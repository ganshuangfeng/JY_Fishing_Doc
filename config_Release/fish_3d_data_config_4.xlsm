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/>
  <c r="F27" i="14"/>
  <c r="F26" i="14"/>
  <c r="F24" i="14"/>
  <c r="F23" i="14"/>
  <c r="F22" i="14"/>
  <c r="F21" i="14"/>
  <c r="G36" i="5"/>
  <c r="G20" i="5"/>
  <c r="H23" i="14"/>
  <c r="H24" i="14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G30" i="5"/>
  <c r="G21" i="5"/>
  <c r="G19" i="5"/>
  <c r="H63" i="7"/>
  <c r="H64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8" i="7"/>
  <c r="H16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I16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<sst xmlns="http://schemas.openxmlformats.org/spreadsheetml/2006/main" count="482" uniqueCount="375">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</sst>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208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3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97</v>
      </c>
      <c r="I1" s="1" t="s">
        <v>263</v>
      </c>
      <c r="J1" s="9" t="s">
        <v>105</v>
      </c>
      <c r="K1" s="1" t="s">
        <v>264</v>
      </c>
      <c r="L1" s="1" t="s">
        <v>50</v>
      </c>
      <c r="Q1" s="1" t="s">
        <v>265</v>
      </c>
      <c r="R1" s="1" t="s">
        <v>265</v>
      </c>
      <c r="S1" s="1" t="s">
        <v>265</v>
      </c>
      <c r="T1" s="1" t="s">
        <v>265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266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247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267</v>
      </c>
      <c r="G7" s="45" t="s">
        <v>268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269</v>
      </c>
      <c r="G8" s="45" t="s">
        <v>270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271</v>
      </c>
      <c r="D10" s="29" t="s">
        <v>272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248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278</v>
      </c>
      <c r="G19" s="41" t="s">
        <v>279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280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281</v>
      </c>
      <c r="G21" s="41" t="s">
        <v>282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284</v>
      </c>
      <c r="G23" s="21" t="s">
        <v>252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285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286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287</v>
      </c>
      <c r="G26" s="21" t="s">
        <v>288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289</v>
      </c>
      <c r="G27" s="41" t="s">
        <v>290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291</v>
      </c>
      <c r="G28" s="41" t="s">
        <v>292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298</v>
      </c>
      <c r="H39" s="19" t="s">
        <v>244</v>
      </c>
      <c r="I39" s="19" t="s">
        <v>245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E23" sqref="E2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329</v>
      </c>
      <c r="E39" s="32">
        <f>LOOKUP(use_fish!B39,base_fish!A:A,base_fish!C:C)+_xlfn.IFNA(INDEX(activity!F:F,MATCH(use_fish!C39,activity!A:A,0)),0)</f>
        <v>102</v>
      </c>
      <c r="F39" s="32">
        <f t="shared" si="8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9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10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1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330</v>
      </c>
      <c r="E41" s="32">
        <f>LOOKUP(use_fish!B41,base_fish!A:A,base_fish!C:C)+_xlfn.IFNA(INDEX(activity!F:F,MATCH(use_fish!C41,activity!A:A,0)),0)</f>
        <v>302</v>
      </c>
      <c r="F41" s="32">
        <f t="shared" si="10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1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348</v>
      </c>
      <c r="E42" s="32">
        <f>LOOKUP(use_fish!B42,base_fish!A:A,base_fish!C:C)+_xlfn.IFNA(INDEX(activity!F:F,MATCH(use_fish!C42,activity!A:A,0)),0)</f>
        <v>206</v>
      </c>
      <c r="F42" s="32">
        <f t="shared" si="10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1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1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349</v>
      </c>
      <c r="E44" s="32">
        <f>LOOKUP(use_fish!B44,base_fish!A:A,base_fish!C:C)+_xlfn.IFNA(INDEX(activity!F:F,MATCH(use_fish!C44,activity!A:A,0)),0)</f>
        <v>202</v>
      </c>
      <c r="F44" s="32">
        <f t="shared" si="10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1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1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2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351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329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326</v>
      </c>
      <c r="D22" s="4">
        <v>0</v>
      </c>
      <c r="E22" s="4">
        <v>0</v>
      </c>
      <c r="F22">
        <v>50</v>
      </c>
      <c r="G22" t="s">
        <v>209</v>
      </c>
      <c r="H22">
        <v>26</v>
      </c>
      <c r="I22" t="s">
        <v>362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210</v>
      </c>
      <c r="H23">
        <v>27</v>
      </c>
      <c r="I23" t="s">
        <v>363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211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370</v>
      </c>
      <c r="D27" s="4">
        <v>0</v>
      </c>
      <c r="E27" s="4">
        <v>0</v>
      </c>
      <c r="F27">
        <v>2</v>
      </c>
      <c r="G27" t="s">
        <v>371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372</v>
      </c>
      <c r="D28" s="4">
        <v>0</v>
      </c>
      <c r="E28" s="4">
        <v>0</v>
      </c>
      <c r="F28">
        <v>6</v>
      </c>
      <c r="G28" t="s">
        <v>373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194</v>
      </c>
      <c r="D29" s="4">
        <v>0</v>
      </c>
      <c r="E29" s="4">
        <v>0</v>
      </c>
      <c r="F29">
        <v>100</v>
      </c>
      <c r="G29" t="s">
        <v>328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207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358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340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320</v>
      </c>
    </row>
    <row r="39" spans="1:7" x14ac:dyDescent="0.2">
      <c r="A39">
        <v>38</v>
      </c>
      <c r="B39">
        <v>38</v>
      </c>
      <c r="C39" t="s">
        <v>341</v>
      </c>
      <c r="D39" s="4">
        <v>0</v>
      </c>
      <c r="E39" s="4">
        <v>0</v>
      </c>
      <c r="F39">
        <v>250</v>
      </c>
      <c r="G39" t="s">
        <v>342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334</v>
      </c>
    </row>
    <row r="41" spans="1:7" x14ac:dyDescent="0.2">
      <c r="A41">
        <v>40</v>
      </c>
      <c r="B41">
        <v>21</v>
      </c>
      <c r="C41" s="11" t="s">
        <v>365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374</v>
      </c>
      <c r="D42" s="4">
        <v>0</v>
      </c>
      <c r="E42" s="4">
        <v>0</v>
      </c>
      <c r="F42">
        <v>2</v>
      </c>
      <c r="G42" t="s">
        <v>367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229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230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245</v>
      </c>
      <c r="E25" s="17" t="s">
        <v>231</v>
      </c>
      <c r="F25" s="15" t="s">
        <v>244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232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214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310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237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238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239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240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241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311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242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243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2020-06-30T09:41:03Z</dcterms:modified>
</cp:coreProperties>
</file>