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5" i="7" l="1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3" i="5"/>
  <c r="G32" i="5"/>
  <c r="G31" i="5"/>
  <c r="F28" i="14"/>
  <c r="F27" i="14"/>
  <c r="F26" i="14"/>
  <c r="F24" i="14"/>
  <c r="F23" i="14"/>
  <c r="F22" i="14"/>
  <c r="F21" i="14"/>
  <c r="G36" i="5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E49" i="14"/>
  <c r="H62" i="7"/>
  <c r="E50" i="14"/>
  <c r="H63" i="7"/>
  <c r="H64" i="7"/>
  <c r="H25" i="14"/>
  <c r="H26" i="14"/>
  <c r="H27" i="14"/>
  <c r="H28" i="14"/>
  <c r="J40" i="7"/>
  <c r="L25" i="14"/>
  <c r="J39" i="7"/>
  <c r="F26" i="1"/>
  <c r="I26" i="14"/>
  <c r="D26" i="1"/>
  <c r="H40" i="7"/>
  <c r="L26" i="14"/>
  <c r="I40" i="7"/>
  <c r="F51" i="1"/>
  <c r="D51" i="1"/>
  <c r="E47" i="14"/>
  <c r="H61" i="7"/>
  <c r="F7" i="1"/>
  <c r="D7" i="1"/>
  <c r="I7" i="14"/>
  <c r="L7" i="14"/>
  <c r="F7" i="14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I47" i="14"/>
  <c r="I61" i="7"/>
  <c r="F48" i="1"/>
  <c r="I48" i="14"/>
  <c r="F49" i="1"/>
  <c r="F50" i="1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50" i="14"/>
  <c r="I64" i="7"/>
  <c r="I62" i="7"/>
  <c r="I49" i="14"/>
  <c r="I63" i="7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/>
  <c r="H67" i="7"/>
  <c r="H16" i="7"/>
  <c r="H8" i="7"/>
  <c r="H15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/>
  <c r="I45" i="7"/>
  <c r="I32" i="14"/>
  <c r="I46" i="7"/>
  <c r="G20" i="5"/>
  <c r="G21" i="5"/>
  <c r="H48" i="14"/>
  <c r="G19" i="5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F13" i="1"/>
  <c r="F16" i="1"/>
  <c r="I16" i="14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L12" i="14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/>
  <c r="I20" i="14"/>
  <c r="I34" i="7"/>
  <c r="I41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<sst xmlns="http://schemas.openxmlformats.org/spreadsheetml/2006/main" count="550" uniqueCount="416">
  <si>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</si>
  <si>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</si>
  <si>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</si>
  <si>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</si>
  <si>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</si>
  <si>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</si>
  <si>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</si>
  <si>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</si>
  <si>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</si>
  <si>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</si>
  <si>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</si>
  <si>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</si>
  <si>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</si>
  <si>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</si>
  <si>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</si>
  <si>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</si>
  <si>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</si>
  <si>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</si>
  <si>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</si>
  <si>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</si>
  <si>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</si>
  <si>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</si>
  <si>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</si>
  <si>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</si>
  <si>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</si>
  <si>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</si>
  <si>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</si>
  <si>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</si>
  <si>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</si>
  <si>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</si>
  <si>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</si>
  <si>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</si>
  <si>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</si>
  <si>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</si>
  <si>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</si>
  <si>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</si>
  <si>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</si>
  <si>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</si>
  <si>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</si>
  <si>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</si>
  <si>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</si>
  <si>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</si>
  <si>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</si>
  <si>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</si>
  <si>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</si>
  <si>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</si>
  <si>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</si>
  <si>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</si>
  <si>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</si>
  <si>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</si>
  <si>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</si>
  <si>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</si>
  <si>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</si>
  <si>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</si>
  <si>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</si>
  <si>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</si>
  <si>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</si>
  <si>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</si>
  <si>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</si>
  <si>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</si>
  <si>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</si>
  <si>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</si>
  <si>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</si>
  <si>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</si>
  <si>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</si>
  <si>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</si>
  <si>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</si>
  <si>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</si>
  <si>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</si>
  <si>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</si>
  <si>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</si>
  <si>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</si>
  <si>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</si>
  <si>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</si>
  <si>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</si>
  <si>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</si>
  <si>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</si>
  <si>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</si>
  <si>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</si>
  <si>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</si>
  <si>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</si>
  <si>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</si>
  <si>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</si>
  <si>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</si>
  <si>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</si>
  <si>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</si>
  <si>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</si>
  <si>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</si>
  <si>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</si>
  <si>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</si>
  <si>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</si>
  <si>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</si>
  <si>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</si>
  <si>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</si>
  <si>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</si>
  <si>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</si>
  <si>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</si>
  <si>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</si>
  <si>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</si>
  <si>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</si>
  <si>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</si>
  <si>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</si>
  <si>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</si>
  <si>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</si>
  <si>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</si>
  <si>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</si>
  <si>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</si>
  <si>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</si>
  <si>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</si>
  <si>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</si>
  <si>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</si>
  <si>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</si>
  <si>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</si>
  <si>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</si>
  <si>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</si>
  <si>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</si>
  <si>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</si>
  <si>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</si>
  <si>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</si>
  <si>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</si>
  <si>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</si>
  <si>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</si>
  <si>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</si>
  <si>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</si>
  <si>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</si>
  <si>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</si>
  <si>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</si>
  <si>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</si>
  <si>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</si>
  <si>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</si>
  <si>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</si>
  <si>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</si>
  <si>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</si>
  <si>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</si>
  <si>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</si>
  <si>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</si>
  <si>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</si>
  <si>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</si>
  <si>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</si>
  <si>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</si>
  <si>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</si>
  <si>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</si>
  <si>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</si>
  <si>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</si>
  <si>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</si>
  <si>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</si>
  <si>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</si>
  <si>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</si>
  <si>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</si>
  <si>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</si>
  <si>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</si>
  <si>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</si>
  <si>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</si>
  <si>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</si>
  <si>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</si>
  <si>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</si>
  <si>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</si>
  <si>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</si>
  <si>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</si>
  <si>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</si>
  <si>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</si>
  <si>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</si>
  <si>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</si>
  <si>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</si>
  <si>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</si>
  <si>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</si>
  <si>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</si>
  <si>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</si>
  <si>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</si>
  <si>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</si>
  <si>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</si>
  <si>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</si>
  <si>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</si>
  <si>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</si>
  <si>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</si>
  <si>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</si>
  <si>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</si>
  <si>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</si>
  <si>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</si>
  <si>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</si>
  <si>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</si>
  <si>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</si>
  <si>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</si>
  <si>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</si>
  <si>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</si>
  <si>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</si>
  <si>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</si>
  <si>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</si>
  <si>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</si>
  <si>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</si>
  <si>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</si>
  <si>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</si>
  <si>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</si>
  <si>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</si>
  <si>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</si>
  <si>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</si>
  <si>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</si>
  <si>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</si>
  <si>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</si>
  <si>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</si>
  <si>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</si>
  <si>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</si>
  <si>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</si>
  <si>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</si>
  <si>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</si>
  <si>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</si>
  <si>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</si>
  <si>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</si>
  <si>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</si>
  <si>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</si>
  <si>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</si>
  <si>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</si>
  <si>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</si>
  <si>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</si>
  <si>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</si>
  <si>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</si>
  <si>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</si>
  <si>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</si>
  <si>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</si>
  <si>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</si>
  <si>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</si>
  <si>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</si>
  <si>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</si>
  <si>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</si>
  <si>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</si>
  <si>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</si>
  <si>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</si>
  <si>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</si>
  <si>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</si>
  <si>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</si>
  <si>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</si>
  <si>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</si>
  <si>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</si>
  <si>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</si>
  <si>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</si>
  <si>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</si>
  <si>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</si>
  <si>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</si>
  <si>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</si>
  <si>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</si>
  <si>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</si>
  <si>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</si>
  <si>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</si>
  <si>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</si>
  <si>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</si>
  <si>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</si>
  <si>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</si>
  <si>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</si>
  <si>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</si>
  <si>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</si>
  <si>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</si>
  <si>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</si>
  <si>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</si>
  <si>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</si>
  <si>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</si>
  <si>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</si>
  <si>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</si>
  <si>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</si>
  <si>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</si>
  <si>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</si>
  <si>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</si>
  <si>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</si>
  <si>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</si>
  <si>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</si>
  <si>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</si>
  <si>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</si>
  <si>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</si>
  <si>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</si>
  <si>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</si>
  <si>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</si>
  <si>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</si>
  <si>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</si>
  <si>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</si>
  <si>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</si>
  <si>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</si>
  <si>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</si>
  <si>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</si>
  <si>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</si>
  <si>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</si>
  <si>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</si>
  <si>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</si>
  <si>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</si>
  <si>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</si>
  <si>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</si>
  <si>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</si>
  <si>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</si>
  <si>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</si>
  <si>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</si>
  <si>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</si>
  <si>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</si>
  <si>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</si>
  <si>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</si>
  <si>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</si>
  <si>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</si>
  <si>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</si>
  <si>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</si>
  <si>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</si>
  <si>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</si>
  <si>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</si>
  <si>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</si>
  <si>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</si>
  <si>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</si>
  <si>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</si>
  <si>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</si>
  <si>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</si>
  <si>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</si>
  <si>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</si>
  <si>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</si>
  <si>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</si>
  <si>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</si>
  <si>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</si>
  <si>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</si>
  <si>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</si>
  <si>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</si>
  <si>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</si>
  <si>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</si>
  <si>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</si>
  <si>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</si>
  <si>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</si>
  <si>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</si>
  <si>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</si>
  <si>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</si>
  <si>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</si>
  <si>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</si>
  <si>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</si>
  <si>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</si>
  <si>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</si>
  <si>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</si>
  <si>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</si>
  <si>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</si>
  <si>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</si>
  <si>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</si>
  <si>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</si>
  <si>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</si>
  <si>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</si>
  <si>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</si>
  <si>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</si>
  <si>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</si>
  <si>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</si>
  <si>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</si>
  <si>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</si>
  <si>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</si>
  <si>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</si>
  <si>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</si>
  <si>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</si>
  <si>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</si>
  <si>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</si>
  <si>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</si>
  <si>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</si>
  <si>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</si>
  <si>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</si>
  <si>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</si>
  <si>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</si>
  <si>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</si>
  <si>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</si>
  <si>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</si>
  <si>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</si>
  <si>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</si>
  <si>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</si>
  <si>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</si>
  <si>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</si>
  <si>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</si>
  <si>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</si>
  <si>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</si>
  <si>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</si>
  <si>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</si>
  <si>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</si>
  <si>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</si>
  <si>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</si>
  <si>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</si>
  <si>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</si>
  <si>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</si>
  <si>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</si>
  <si>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</si>
  <si>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</si>
  <si>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</si>
  <si>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</si>
  <si>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</si>
  <si>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</si>
  <si>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</si>
  <si>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</si>
  <si>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</si>
  <si>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</si>
  <si>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0,60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</si>
  <si>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</si>
  <si>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</si>
  <si>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</si>
  <si>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0,40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</si>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</sst>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debug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E1" t="str">
            <v>life|生命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30</v>
          </cell>
          <cell r="I20">
            <v>30</v>
          </cell>
          <cell r="K20">
            <v>0</v>
          </cell>
        </row>
        <row r="21">
          <cell r="A21">
            <v>20</v>
          </cell>
          <cell r="E21">
            <v>63</v>
          </cell>
          <cell r="I21">
            <v>60</v>
          </cell>
          <cell r="K21">
            <v>0</v>
          </cell>
        </row>
        <row r="22">
          <cell r="A22">
            <v>21</v>
          </cell>
          <cell r="E22">
            <v>80</v>
          </cell>
          <cell r="I22">
            <v>80</v>
          </cell>
          <cell r="K22">
            <v>0</v>
          </cell>
        </row>
        <row r="23">
          <cell r="A23">
            <v>22</v>
          </cell>
          <cell r="E23">
            <v>63</v>
          </cell>
          <cell r="I23">
            <v>60</v>
          </cell>
          <cell r="K23">
            <v>0</v>
          </cell>
        </row>
        <row r="24">
          <cell r="A24">
            <v>23</v>
          </cell>
          <cell r="E24">
            <v>105</v>
          </cell>
          <cell r="I24">
            <v>60</v>
          </cell>
          <cell r="K24">
            <v>0</v>
          </cell>
        </row>
        <row r="25">
          <cell r="A25">
            <v>24</v>
          </cell>
          <cell r="E25" t="str">
            <v>53,53,53,53,103,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E26">
            <v>84</v>
          </cell>
          <cell r="I26">
            <v>80</v>
          </cell>
          <cell r="K26">
            <v>0</v>
          </cell>
        </row>
        <row r="27">
          <cell r="A27">
            <v>26</v>
          </cell>
          <cell r="E27">
            <v>105</v>
          </cell>
          <cell r="I27">
            <v>100</v>
          </cell>
          <cell r="K27">
            <v>0</v>
          </cell>
        </row>
        <row r="28">
          <cell r="A28">
            <v>27</v>
          </cell>
          <cell r="E28">
            <v>105</v>
          </cell>
          <cell r="I28">
            <v>100</v>
          </cell>
          <cell r="K28">
            <v>0</v>
          </cell>
        </row>
        <row r="29">
          <cell r="A29">
            <v>28</v>
          </cell>
          <cell r="E29">
            <v>100</v>
          </cell>
          <cell r="I29">
            <v>100</v>
          </cell>
          <cell r="K29">
            <v>0</v>
          </cell>
        </row>
        <row r="30">
          <cell r="A30">
            <v>29</v>
          </cell>
          <cell r="E30">
            <v>300</v>
          </cell>
          <cell r="I30">
            <v>300</v>
          </cell>
          <cell r="K30">
            <v>0</v>
          </cell>
        </row>
        <row r="31">
          <cell r="A31">
            <v>30</v>
          </cell>
          <cell r="E31">
            <v>200</v>
          </cell>
          <cell r="I31">
            <v>200</v>
          </cell>
          <cell r="K31">
            <v>0</v>
          </cell>
        </row>
        <row r="32">
          <cell r="A32">
            <v>31</v>
          </cell>
          <cell r="E32">
            <v>250</v>
          </cell>
          <cell r="I32">
            <v>250</v>
          </cell>
          <cell r="K32">
            <v>0</v>
          </cell>
        </row>
        <row r="33">
          <cell r="A33">
            <v>32</v>
          </cell>
          <cell r="E33">
            <v>200</v>
          </cell>
          <cell r="I33">
            <v>200</v>
          </cell>
          <cell r="K33">
            <v>0</v>
          </cell>
        </row>
        <row r="34">
          <cell r="A34">
            <v>33</v>
          </cell>
          <cell r="E34">
            <v>300</v>
          </cell>
          <cell r="I34">
            <v>300</v>
          </cell>
          <cell r="K34">
            <v>0</v>
          </cell>
        </row>
        <row r="35">
          <cell r="A35">
            <v>34</v>
          </cell>
          <cell r="E35">
            <v>200</v>
          </cell>
          <cell r="I35">
            <v>20</v>
          </cell>
          <cell r="K35">
            <v>0</v>
          </cell>
        </row>
        <row r="36">
          <cell r="A36">
            <v>35</v>
          </cell>
          <cell r="E36">
            <v>300</v>
          </cell>
          <cell r="I36">
            <v>300</v>
          </cell>
          <cell r="K36">
            <v>0</v>
          </cell>
        </row>
        <row r="37">
          <cell r="A37">
            <v>36</v>
          </cell>
          <cell r="E37">
            <v>300</v>
          </cell>
          <cell r="I37">
            <v>300</v>
          </cell>
          <cell r="K37">
            <v>0</v>
          </cell>
        </row>
        <row r="38">
          <cell r="A38">
            <v>37</v>
          </cell>
          <cell r="E38">
            <v>0</v>
          </cell>
          <cell r="I38">
            <v>0</v>
          </cell>
          <cell r="K38">
            <v>0</v>
          </cell>
        </row>
        <row r="39">
          <cell r="A39">
            <v>38</v>
          </cell>
          <cell r="E39">
            <v>102</v>
          </cell>
          <cell r="I39">
            <v>102</v>
          </cell>
          <cell r="K39">
            <v>0</v>
          </cell>
        </row>
        <row r="40">
          <cell r="A40">
            <v>39</v>
          </cell>
          <cell r="E40">
            <v>105</v>
          </cell>
          <cell r="I40">
            <v>105</v>
          </cell>
          <cell r="K40">
            <v>0</v>
          </cell>
        </row>
        <row r="41">
          <cell r="A41">
            <v>40</v>
          </cell>
          <cell r="E41">
            <v>302</v>
          </cell>
          <cell r="I41">
            <v>302</v>
          </cell>
          <cell r="K41">
            <v>0</v>
          </cell>
        </row>
        <row r="42">
          <cell r="A42">
            <v>41</v>
          </cell>
          <cell r="E42">
            <v>206</v>
          </cell>
          <cell r="I42">
            <v>206</v>
          </cell>
          <cell r="K42">
            <v>0</v>
          </cell>
        </row>
        <row r="43">
          <cell r="A43">
            <v>42</v>
          </cell>
          <cell r="E43">
            <v>0</v>
          </cell>
          <cell r="I43">
            <v>0</v>
          </cell>
          <cell r="K43">
            <v>0</v>
          </cell>
        </row>
        <row r="44">
          <cell r="A44">
            <v>43</v>
          </cell>
          <cell r="E44">
            <v>202</v>
          </cell>
          <cell r="I44">
            <v>202</v>
          </cell>
          <cell r="K44">
            <v>0</v>
          </cell>
        </row>
        <row r="45">
          <cell r="A45">
            <v>44</v>
          </cell>
          <cell r="E45">
            <v>0</v>
          </cell>
          <cell r="I45">
            <v>0</v>
          </cell>
          <cell r="K45">
            <v>0</v>
          </cell>
        </row>
        <row r="46">
          <cell r="A46">
            <v>45</v>
          </cell>
          <cell r="E46">
            <v>0</v>
          </cell>
          <cell r="I46">
            <v>0</v>
          </cell>
          <cell r="K46">
            <v>0</v>
          </cell>
        </row>
        <row r="47">
          <cell r="A47">
            <v>46</v>
          </cell>
          <cell r="E47">
            <v>200</v>
          </cell>
          <cell r="I47">
            <v>200</v>
          </cell>
          <cell r="K47">
            <v>0</v>
          </cell>
        </row>
        <row r="48">
          <cell r="A48">
            <v>47</v>
          </cell>
          <cell r="E48">
            <v>300</v>
          </cell>
          <cell r="I48">
            <v>300</v>
          </cell>
          <cell r="K48">
            <v>0</v>
          </cell>
        </row>
        <row r="49">
          <cell r="A49">
            <v>48</v>
          </cell>
          <cell r="E49">
            <v>400</v>
          </cell>
          <cell r="I49">
            <v>400</v>
          </cell>
          <cell r="K49">
            <v>0</v>
          </cell>
        </row>
        <row r="50">
          <cell r="A50">
            <v>49</v>
          </cell>
          <cell r="E50">
            <v>400</v>
          </cell>
          <cell r="I50">
            <v>400</v>
          </cell>
          <cell r="K50">
            <v>0</v>
          </cell>
        </row>
        <row r="51">
          <cell r="A51">
            <v>50</v>
          </cell>
          <cell r="E51">
            <v>0</v>
          </cell>
          <cell r="I51">
            <v>0</v>
          </cell>
          <cell r="K51">
            <v>0</v>
          </cell>
        </row>
        <row r="52">
          <cell r="A52">
            <v>51</v>
          </cell>
          <cell r="B52">
            <v>11</v>
          </cell>
          <cell r="C52">
            <v>42</v>
          </cell>
          <cell r="E52">
            <v>45</v>
          </cell>
          <cell r="I52">
            <v>45</v>
          </cell>
          <cell r="K52">
            <v>0</v>
          </cell>
        </row>
        <row r="53">
          <cell r="A53">
            <v>52</v>
          </cell>
          <cell r="B53">
            <v>12</v>
          </cell>
          <cell r="C53">
            <v>42</v>
          </cell>
          <cell r="E53">
            <v>48</v>
          </cell>
          <cell r="I53">
            <v>48</v>
          </cell>
          <cell r="K53">
            <v>0</v>
          </cell>
        </row>
        <row r="54">
          <cell r="A54">
            <v>53</v>
          </cell>
          <cell r="B54">
            <v>13</v>
          </cell>
          <cell r="C54">
            <v>42</v>
          </cell>
          <cell r="E54">
            <v>50</v>
          </cell>
          <cell r="I54">
            <v>50</v>
          </cell>
          <cell r="K54">
            <v>0</v>
          </cell>
        </row>
        <row r="55">
          <cell r="A55">
            <v>54</v>
          </cell>
          <cell r="B55">
            <v>14</v>
          </cell>
          <cell r="C55">
            <v>42</v>
          </cell>
          <cell r="E55">
            <v>55</v>
          </cell>
          <cell r="I55">
            <v>55</v>
          </cell>
          <cell r="K55">
            <v>0</v>
          </cell>
        </row>
        <row r="56">
          <cell r="A56">
            <v>55</v>
          </cell>
          <cell r="B56">
            <v>15</v>
          </cell>
          <cell r="C56">
            <v>42</v>
          </cell>
          <cell r="E56">
            <v>60</v>
          </cell>
          <cell r="I56">
            <v>60</v>
          </cell>
          <cell r="K56">
            <v>0</v>
          </cell>
        </row>
        <row r="57">
          <cell r="A57">
            <v>56</v>
          </cell>
          <cell r="B57">
            <v>16</v>
          </cell>
          <cell r="C57">
            <v>42</v>
          </cell>
          <cell r="E57">
            <v>65</v>
          </cell>
          <cell r="I57">
            <v>65</v>
          </cell>
          <cell r="K57">
            <v>0</v>
          </cell>
        </row>
        <row r="58">
          <cell r="A58">
            <v>57</v>
          </cell>
          <cell r="B58">
            <v>17</v>
          </cell>
          <cell r="C58">
            <v>42</v>
          </cell>
          <cell r="E58">
            <v>70</v>
          </cell>
          <cell r="I58">
            <v>70</v>
          </cell>
          <cell r="K58">
            <v>0</v>
          </cell>
        </row>
        <row r="59">
          <cell r="A59">
            <v>58</v>
          </cell>
          <cell r="B59">
            <v>18</v>
          </cell>
          <cell r="C59">
            <v>42</v>
          </cell>
          <cell r="E59">
            <v>90</v>
          </cell>
          <cell r="I59">
            <v>90</v>
          </cell>
          <cell r="K59">
            <v>0</v>
          </cell>
        </row>
        <row r="60">
          <cell r="A60">
            <v>59</v>
          </cell>
          <cell r="B60">
            <v>20</v>
          </cell>
          <cell r="C60">
            <v>42</v>
          </cell>
          <cell r="E60">
            <v>93</v>
          </cell>
          <cell r="I60">
            <v>90</v>
          </cell>
          <cell r="K60">
            <v>0</v>
          </cell>
        </row>
        <row r="61">
          <cell r="A61">
            <v>60</v>
          </cell>
          <cell r="B61">
            <v>22</v>
          </cell>
          <cell r="C61">
            <v>42</v>
          </cell>
          <cell r="E61">
            <v>93</v>
          </cell>
          <cell r="I61">
            <v>90</v>
          </cell>
          <cell r="K61">
            <v>0</v>
          </cell>
        </row>
        <row r="62">
          <cell r="A62">
            <v>61</v>
          </cell>
          <cell r="B62">
            <v>23</v>
          </cell>
          <cell r="C62">
            <v>42</v>
          </cell>
          <cell r="E62">
            <v>135</v>
          </cell>
          <cell r="I62">
            <v>90</v>
          </cell>
          <cell r="K62">
            <v>0</v>
          </cell>
        </row>
        <row r="63">
          <cell r="A63">
            <v>62</v>
          </cell>
          <cell r="B63">
            <v>25</v>
          </cell>
          <cell r="C63">
            <v>42</v>
          </cell>
          <cell r="E63">
            <v>114</v>
          </cell>
          <cell r="I63">
            <v>110</v>
          </cell>
          <cell r="K63">
            <v>0</v>
          </cell>
        </row>
        <row r="64">
          <cell r="A64">
            <v>63</v>
          </cell>
          <cell r="B64">
            <v>26</v>
          </cell>
          <cell r="C64">
            <v>42</v>
          </cell>
          <cell r="E64">
            <v>135</v>
          </cell>
          <cell r="I64">
            <v>130</v>
          </cell>
          <cell r="K64">
            <v>0</v>
          </cell>
        </row>
        <row r="65">
          <cell r="A65">
            <v>64</v>
          </cell>
          <cell r="B65">
            <v>27</v>
          </cell>
          <cell r="C65">
            <v>42</v>
          </cell>
          <cell r="E65">
            <v>135</v>
          </cell>
          <cell r="I65">
            <v>130</v>
          </cell>
          <cell r="K65">
            <v>0</v>
          </cell>
        </row>
        <row r="66">
          <cell r="A66">
            <v>65</v>
          </cell>
          <cell r="B66">
            <v>11</v>
          </cell>
          <cell r="C66">
            <v>43</v>
          </cell>
          <cell r="E66">
            <v>65</v>
          </cell>
          <cell r="I66">
            <v>65</v>
          </cell>
          <cell r="K66">
            <v>0</v>
          </cell>
        </row>
        <row r="67">
          <cell r="A67">
            <v>66</v>
          </cell>
          <cell r="B67">
            <v>12</v>
          </cell>
          <cell r="C67">
            <v>43</v>
          </cell>
          <cell r="E67">
            <v>68</v>
          </cell>
          <cell r="I67">
            <v>68</v>
          </cell>
          <cell r="K67">
            <v>0</v>
          </cell>
        </row>
        <row r="68">
          <cell r="A68">
            <v>67</v>
          </cell>
          <cell r="B68">
            <v>13</v>
          </cell>
          <cell r="C68">
            <v>43</v>
          </cell>
          <cell r="E68">
            <v>70</v>
          </cell>
          <cell r="I68">
            <v>70</v>
          </cell>
          <cell r="K68">
            <v>0</v>
          </cell>
        </row>
        <row r="69">
          <cell r="A69">
            <v>68</v>
          </cell>
          <cell r="B69">
            <v>14</v>
          </cell>
          <cell r="C69">
            <v>43</v>
          </cell>
          <cell r="E69">
            <v>75</v>
          </cell>
          <cell r="I69">
            <v>75</v>
          </cell>
          <cell r="K69">
            <v>0</v>
          </cell>
        </row>
        <row r="70">
          <cell r="A70">
            <v>69</v>
          </cell>
          <cell r="B70">
            <v>15</v>
          </cell>
          <cell r="C70">
            <v>43</v>
          </cell>
          <cell r="E70">
            <v>80</v>
          </cell>
          <cell r="I70">
            <v>80</v>
          </cell>
          <cell r="K70">
            <v>0</v>
          </cell>
        </row>
        <row r="71">
          <cell r="A71">
            <v>70</v>
          </cell>
          <cell r="B71">
            <v>16</v>
          </cell>
          <cell r="C71">
            <v>43</v>
          </cell>
          <cell r="E71">
            <v>85</v>
          </cell>
          <cell r="I71">
            <v>85</v>
          </cell>
          <cell r="K71">
            <v>0</v>
          </cell>
        </row>
        <row r="72">
          <cell r="A72">
            <v>71</v>
          </cell>
          <cell r="B72">
            <v>17</v>
          </cell>
          <cell r="C72">
            <v>43</v>
          </cell>
          <cell r="E72">
            <v>90</v>
          </cell>
          <cell r="I72">
            <v>90</v>
          </cell>
          <cell r="K72">
            <v>0</v>
          </cell>
        </row>
        <row r="73">
          <cell r="A73">
            <v>72</v>
          </cell>
          <cell r="B73">
            <v>18</v>
          </cell>
          <cell r="C73">
            <v>43</v>
          </cell>
          <cell r="E73">
            <v>110</v>
          </cell>
          <cell r="I73">
            <v>110</v>
          </cell>
          <cell r="K73">
            <v>0</v>
          </cell>
        </row>
        <row r="74">
          <cell r="A74">
            <v>73</v>
          </cell>
          <cell r="B74">
            <v>20</v>
          </cell>
          <cell r="C74">
            <v>43</v>
          </cell>
          <cell r="E74">
            <v>113</v>
          </cell>
          <cell r="I74">
            <v>110</v>
          </cell>
          <cell r="K74">
            <v>0</v>
          </cell>
        </row>
        <row r="75">
          <cell r="A75">
            <v>74</v>
          </cell>
          <cell r="B75">
            <v>22</v>
          </cell>
          <cell r="C75">
            <v>43</v>
          </cell>
          <cell r="E75">
            <v>113</v>
          </cell>
          <cell r="I75">
            <v>110</v>
          </cell>
          <cell r="K75">
            <v>0</v>
          </cell>
        </row>
        <row r="76">
          <cell r="A76">
            <v>75</v>
          </cell>
          <cell r="B76">
            <v>23</v>
          </cell>
          <cell r="C76">
            <v>43</v>
          </cell>
          <cell r="E76">
            <v>155</v>
          </cell>
          <cell r="I76">
            <v>110</v>
          </cell>
          <cell r="K76">
            <v>0</v>
          </cell>
        </row>
        <row r="77">
          <cell r="A77">
            <v>76</v>
          </cell>
          <cell r="B77">
            <v>25</v>
          </cell>
          <cell r="C77">
            <v>43</v>
          </cell>
          <cell r="E77">
            <v>134</v>
          </cell>
          <cell r="I77">
            <v>130</v>
          </cell>
          <cell r="K77">
            <v>0</v>
          </cell>
        </row>
        <row r="78">
          <cell r="A78">
            <v>77</v>
          </cell>
          <cell r="B78">
            <v>26</v>
          </cell>
          <cell r="C78">
            <v>43</v>
          </cell>
          <cell r="E78">
            <v>155</v>
          </cell>
          <cell r="I78">
            <v>150</v>
          </cell>
          <cell r="K78">
            <v>0</v>
          </cell>
        </row>
        <row r="79">
          <cell r="A79">
            <v>78</v>
          </cell>
          <cell r="B79">
            <v>27</v>
          </cell>
          <cell r="C79">
            <v>43</v>
          </cell>
          <cell r="E79">
            <v>155</v>
          </cell>
          <cell r="I79">
            <v>150</v>
          </cell>
          <cell r="K79">
            <v>0</v>
          </cell>
        </row>
      </sheetData>
      <sheetData sheetId="7">
        <row r="1">
          <cell r="A1" t="str">
            <v>id|编号</v>
          </cell>
          <cell r="F1" t="str">
            <v>value|价值</v>
          </cell>
          <cell r="G1" t="str">
            <v>|活动名</v>
          </cell>
        </row>
        <row r="2">
          <cell r="A2">
            <v>1</v>
          </cell>
          <cell r="F2">
            <v>63</v>
          </cell>
          <cell r="G2" t="str">
            <v>免费子弹</v>
          </cell>
        </row>
        <row r="3">
          <cell r="A3">
            <v>2</v>
          </cell>
          <cell r="F3">
            <v>63</v>
          </cell>
          <cell r="G3" t="str">
            <v>威力提升</v>
          </cell>
        </row>
        <row r="4">
          <cell r="A4">
            <v>3</v>
          </cell>
          <cell r="F4">
            <v>63</v>
          </cell>
          <cell r="G4" t="str">
            <v>暴击时刻</v>
          </cell>
        </row>
        <row r="5">
          <cell r="A5">
            <v>4</v>
          </cell>
          <cell r="F5">
            <v>30</v>
          </cell>
          <cell r="G5" t="str">
            <v>炸弹</v>
          </cell>
        </row>
        <row r="6">
          <cell r="A6">
            <v>5</v>
          </cell>
          <cell r="F6">
            <v>50</v>
          </cell>
          <cell r="G6" t="str">
            <v>闪电</v>
          </cell>
        </row>
        <row r="7">
          <cell r="A7">
            <v>6</v>
          </cell>
          <cell r="F7">
            <v>30</v>
          </cell>
          <cell r="G7" t="str">
            <v>炸弹</v>
          </cell>
        </row>
        <row r="8">
          <cell r="A8">
            <v>7</v>
          </cell>
          <cell r="F8">
            <v>50</v>
          </cell>
          <cell r="G8" t="str">
            <v>免费子弹</v>
          </cell>
        </row>
        <row r="9">
          <cell r="A9">
            <v>8</v>
          </cell>
          <cell r="F9">
            <v>80</v>
          </cell>
          <cell r="G9" t="str">
            <v>炸弹</v>
          </cell>
        </row>
        <row r="10">
          <cell r="A10">
            <v>9</v>
          </cell>
          <cell r="F10">
            <v>63</v>
          </cell>
          <cell r="G10" t="str">
            <v>闪电</v>
          </cell>
        </row>
        <row r="11">
          <cell r="A11">
            <v>10</v>
          </cell>
          <cell r="F11">
            <v>100</v>
          </cell>
          <cell r="G11" t="str">
            <v>闪电</v>
          </cell>
        </row>
        <row r="12">
          <cell r="A12">
            <v>11</v>
          </cell>
          <cell r="F12">
            <v>0</v>
          </cell>
          <cell r="G12" t="str">
            <v>锁定卡</v>
          </cell>
        </row>
        <row r="13">
          <cell r="A13">
            <v>12</v>
          </cell>
          <cell r="F13">
            <v>0</v>
          </cell>
          <cell r="G13" t="str">
            <v>锁定卡</v>
          </cell>
        </row>
        <row r="14">
          <cell r="A14">
            <v>13</v>
          </cell>
          <cell r="F14">
            <v>0</v>
          </cell>
          <cell r="G14" t="str">
            <v>冰冻卡</v>
          </cell>
        </row>
        <row r="15">
          <cell r="A15">
            <v>14</v>
          </cell>
          <cell r="F15">
            <v>0</v>
          </cell>
          <cell r="G15" t="str">
            <v>冰冻卡</v>
          </cell>
        </row>
        <row r="16">
          <cell r="A16">
            <v>15</v>
          </cell>
          <cell r="F16">
            <v>1</v>
          </cell>
          <cell r="G16" t="str">
            <v>临时活动</v>
          </cell>
        </row>
        <row r="17">
          <cell r="A17">
            <v>16</v>
          </cell>
          <cell r="F17">
            <v>1</v>
          </cell>
          <cell r="G17" t="str">
            <v>临时活动</v>
          </cell>
        </row>
        <row r="18">
          <cell r="A18">
            <v>17</v>
          </cell>
          <cell r="F18">
            <v>150</v>
          </cell>
          <cell r="G18" t="str">
            <v>宝箱</v>
          </cell>
        </row>
        <row r="19">
          <cell r="A19">
            <v>18</v>
          </cell>
          <cell r="F19">
            <v>63</v>
          </cell>
          <cell r="G19" t="str">
            <v>穿透钢弹</v>
          </cell>
        </row>
        <row r="20">
          <cell r="A20">
            <v>19</v>
          </cell>
          <cell r="F20">
            <v>300</v>
          </cell>
          <cell r="G20" t="str">
            <v>钻头弹</v>
          </cell>
        </row>
        <row r="21">
          <cell r="A21">
            <v>20</v>
          </cell>
          <cell r="F21">
            <v>0</v>
          </cell>
          <cell r="G21" t="str">
            <v>神灯</v>
          </cell>
        </row>
        <row r="22">
          <cell r="A22">
            <v>21</v>
          </cell>
          <cell r="F22">
            <v>50</v>
          </cell>
          <cell r="G22" t="str">
            <v>财神-50</v>
          </cell>
        </row>
        <row r="23">
          <cell r="A23">
            <v>22</v>
          </cell>
          <cell r="F23">
            <v>150</v>
          </cell>
          <cell r="G23" t="str">
            <v>财神-150</v>
          </cell>
        </row>
        <row r="24">
          <cell r="A24">
            <v>23</v>
          </cell>
          <cell r="F24">
            <v>250</v>
          </cell>
          <cell r="G24" t="str">
            <v>财神-250</v>
          </cell>
        </row>
        <row r="25">
          <cell r="A25">
            <v>24</v>
          </cell>
          <cell r="F25">
            <v>450</v>
          </cell>
          <cell r="G25" t="str">
            <v>财神-450</v>
          </cell>
        </row>
        <row r="26">
          <cell r="A26">
            <v>25</v>
          </cell>
          <cell r="F26">
            <v>5</v>
          </cell>
          <cell r="G26" t="str">
            <v>彩贝-试炼场</v>
          </cell>
        </row>
        <row r="27">
          <cell r="A27">
            <v>26</v>
          </cell>
          <cell r="F27">
            <v>2</v>
          </cell>
          <cell r="G27" t="str">
            <v>彩贝-场次1</v>
          </cell>
        </row>
        <row r="28">
          <cell r="A28">
            <v>27</v>
          </cell>
          <cell r="F28">
            <v>6</v>
          </cell>
          <cell r="G28" t="str">
            <v>彩贝-场次2</v>
          </cell>
        </row>
        <row r="29">
          <cell r="A29">
            <v>28</v>
          </cell>
          <cell r="F29">
            <v>100</v>
          </cell>
          <cell r="G29" t="str">
            <v>100倍金币爆发</v>
          </cell>
        </row>
        <row r="30">
          <cell r="A30">
            <v>29</v>
          </cell>
          <cell r="F30">
            <v>125</v>
          </cell>
          <cell r="G30" t="str">
            <v>时限免费超级活力子弹</v>
          </cell>
        </row>
        <row r="31">
          <cell r="A31">
            <v>30</v>
          </cell>
          <cell r="F31">
            <v>300</v>
          </cell>
          <cell r="G31" t="str">
            <v>连环转盘</v>
          </cell>
        </row>
        <row r="32">
          <cell r="A32">
            <v>31</v>
          </cell>
          <cell r="F32">
            <v>200</v>
          </cell>
          <cell r="G32" t="str">
            <v>电磁弹</v>
          </cell>
        </row>
        <row r="33">
          <cell r="A33">
            <v>32</v>
          </cell>
          <cell r="F33">
            <v>200</v>
          </cell>
          <cell r="G33" t="str">
            <v>金币转盘</v>
          </cell>
        </row>
        <row r="34">
          <cell r="A34">
            <v>33</v>
          </cell>
          <cell r="F34">
            <v>300</v>
          </cell>
          <cell r="G34" t="str">
            <v>疯狂6选一</v>
          </cell>
        </row>
        <row r="35">
          <cell r="A35">
            <v>34</v>
          </cell>
          <cell r="F35">
            <v>150</v>
          </cell>
          <cell r="G35" t="str">
            <v>吞噬天下</v>
          </cell>
        </row>
        <row r="36">
          <cell r="A36">
            <v>35</v>
          </cell>
          <cell r="F36">
            <v>200</v>
          </cell>
          <cell r="G36" t="str">
            <v>连环炸弹</v>
          </cell>
        </row>
        <row r="37">
          <cell r="A37">
            <v>36</v>
          </cell>
          <cell r="F37">
            <v>300</v>
          </cell>
          <cell r="G37" t="str">
            <v>炽火龙王</v>
          </cell>
        </row>
        <row r="38">
          <cell r="A38">
            <v>37</v>
          </cell>
          <cell r="F38">
            <v>200</v>
          </cell>
          <cell r="G38" t="str">
            <v>骰子龟</v>
          </cell>
        </row>
        <row r="39">
          <cell r="A39">
            <v>38</v>
          </cell>
          <cell r="F39">
            <v>250</v>
          </cell>
          <cell r="G39" t="str">
            <v>强击弹</v>
          </cell>
        </row>
        <row r="40">
          <cell r="A40">
            <v>39</v>
          </cell>
          <cell r="F40">
            <v>250</v>
          </cell>
          <cell r="G40" t="str">
            <v>强击弹（双倍）</v>
          </cell>
        </row>
        <row r="41">
          <cell r="A41">
            <v>40</v>
          </cell>
          <cell r="F41">
            <v>2</v>
          </cell>
          <cell r="G41" t="str">
            <v>彩贝-场次3</v>
          </cell>
        </row>
        <row r="42">
          <cell r="A42">
            <v>41</v>
          </cell>
          <cell r="F42">
            <v>2</v>
          </cell>
          <cell r="G42" t="str">
            <v>彩贝-场次4</v>
          </cell>
        </row>
        <row r="43">
          <cell r="A43">
            <v>42</v>
          </cell>
          <cell r="F43">
            <v>30</v>
          </cell>
          <cell r="G43" t="str">
            <v>炸弹</v>
          </cell>
        </row>
        <row r="44">
          <cell r="A44">
            <v>43</v>
          </cell>
          <cell r="F44">
            <v>50</v>
          </cell>
          <cell r="G44" t="str">
            <v>闪电</v>
          </cell>
        </row>
      </sheetData>
      <sheetData sheetId="8"/>
      <sheetData sheetId="9">
        <row r="1">
          <cell r="A1" t="str">
            <v>id|基础鱼的ID</v>
          </cell>
          <cell r="C1" t="str">
            <v>life|生命</v>
          </cell>
          <cell r="E1" t="str">
            <v>|鱼名</v>
          </cell>
          <cell r="F1" t="str">
            <v>rate|倍数</v>
          </cell>
          <cell r="G1" t="str">
            <v>gd_award|固定奖励</v>
          </cell>
        </row>
        <row r="2">
          <cell r="A2">
            <v>1</v>
          </cell>
          <cell r="C2">
            <v>2</v>
          </cell>
          <cell r="E2" t="str">
            <v>小牛角</v>
          </cell>
          <cell r="F2">
            <v>2</v>
          </cell>
          <cell r="G2">
            <v>0</v>
          </cell>
        </row>
        <row r="3">
          <cell r="A3">
            <v>2</v>
          </cell>
          <cell r="C3">
            <v>2</v>
          </cell>
          <cell r="E3" t="str">
            <v>小气泡</v>
          </cell>
          <cell r="F3">
            <v>2</v>
          </cell>
          <cell r="G3">
            <v>0</v>
          </cell>
        </row>
        <row r="4">
          <cell r="A4">
            <v>3</v>
          </cell>
          <cell r="C4">
            <v>3</v>
          </cell>
          <cell r="E4" t="str">
            <v>小丑鱼</v>
          </cell>
          <cell r="F4">
            <v>3</v>
          </cell>
          <cell r="G4">
            <v>0</v>
          </cell>
        </row>
        <row r="5">
          <cell r="A5">
            <v>4</v>
          </cell>
          <cell r="C5">
            <v>4</v>
          </cell>
          <cell r="E5" t="str">
            <v>小燕鱼</v>
          </cell>
          <cell r="F5">
            <v>4</v>
          </cell>
          <cell r="G5">
            <v>0</v>
          </cell>
        </row>
        <row r="6">
          <cell r="A6">
            <v>5</v>
          </cell>
          <cell r="C6">
            <v>5</v>
          </cell>
          <cell r="E6" t="str">
            <v>小黄鳍</v>
          </cell>
          <cell r="F6">
            <v>5</v>
          </cell>
          <cell r="G6">
            <v>0</v>
          </cell>
        </row>
        <row r="7">
          <cell r="A7">
            <v>6</v>
          </cell>
          <cell r="C7">
            <v>6</v>
          </cell>
          <cell r="E7" t="str">
            <v>河豚</v>
          </cell>
          <cell r="F7">
            <v>6</v>
          </cell>
          <cell r="G7">
            <v>0</v>
          </cell>
        </row>
        <row r="8">
          <cell r="A8">
            <v>7</v>
          </cell>
          <cell r="C8">
            <v>7</v>
          </cell>
          <cell r="E8" t="str">
            <v>小灯笼</v>
          </cell>
          <cell r="F8">
            <v>7</v>
          </cell>
          <cell r="G8">
            <v>0</v>
          </cell>
        </row>
        <row r="9">
          <cell r="A9">
            <v>8</v>
          </cell>
          <cell r="C9">
            <v>8</v>
          </cell>
          <cell r="E9" t="str">
            <v>小旗鱼</v>
          </cell>
          <cell r="F9">
            <v>8</v>
          </cell>
          <cell r="G9">
            <v>0</v>
          </cell>
        </row>
        <row r="10">
          <cell r="A10">
            <v>9</v>
          </cell>
          <cell r="C10">
            <v>10</v>
          </cell>
          <cell r="E10" t="str">
            <v>小水母</v>
          </cell>
          <cell r="F10">
            <v>10</v>
          </cell>
          <cell r="G10">
            <v>0</v>
          </cell>
        </row>
        <row r="11">
          <cell r="A11">
            <v>10</v>
          </cell>
          <cell r="C11">
            <v>12</v>
          </cell>
          <cell r="E11" t="str">
            <v>小章鱼</v>
          </cell>
          <cell r="F11">
            <v>12</v>
          </cell>
          <cell r="G11">
            <v>0</v>
          </cell>
        </row>
        <row r="12">
          <cell r="A12">
            <v>11</v>
          </cell>
          <cell r="C12">
            <v>15</v>
          </cell>
          <cell r="E12" t="str">
            <v>小海龟</v>
          </cell>
          <cell r="F12">
            <v>15</v>
          </cell>
          <cell r="G12">
            <v>0</v>
          </cell>
        </row>
        <row r="13">
          <cell r="A13">
            <v>12</v>
          </cell>
          <cell r="C13">
            <v>18</v>
          </cell>
          <cell r="E13" t="str">
            <v>狮子鱼</v>
          </cell>
          <cell r="F13">
            <v>18</v>
          </cell>
          <cell r="G13">
            <v>0</v>
          </cell>
        </row>
        <row r="14">
          <cell r="A14">
            <v>13</v>
          </cell>
          <cell r="C14">
            <v>20</v>
          </cell>
          <cell r="E14" t="str">
            <v>蝴蝶鱼</v>
          </cell>
          <cell r="F14">
            <v>20</v>
          </cell>
          <cell r="G14">
            <v>0</v>
          </cell>
        </row>
        <row r="15">
          <cell r="A15">
            <v>14</v>
          </cell>
          <cell r="C15">
            <v>25</v>
          </cell>
          <cell r="E15" t="str">
            <v>巨大小丑鱼</v>
          </cell>
          <cell r="F15">
            <v>25</v>
          </cell>
          <cell r="G15">
            <v>0</v>
          </cell>
        </row>
        <row r="16">
          <cell r="A16">
            <v>15</v>
          </cell>
          <cell r="C16">
            <v>30</v>
          </cell>
          <cell r="E16" t="str">
            <v>巨大灯笼鱼</v>
          </cell>
          <cell r="F16">
            <v>30</v>
          </cell>
          <cell r="G16">
            <v>0</v>
          </cell>
        </row>
        <row r="17">
          <cell r="A17">
            <v>16</v>
          </cell>
          <cell r="C17">
            <v>35</v>
          </cell>
          <cell r="E17" t="str">
            <v>巨大燕鱼</v>
          </cell>
          <cell r="F17">
            <v>35</v>
          </cell>
          <cell r="G17">
            <v>0</v>
          </cell>
        </row>
        <row r="18">
          <cell r="A18">
            <v>17</v>
          </cell>
          <cell r="C18">
            <v>40</v>
          </cell>
          <cell r="E18" t="str">
            <v>魔鬼鱼</v>
          </cell>
          <cell r="F18">
            <v>40</v>
          </cell>
          <cell r="G18">
            <v>0</v>
          </cell>
        </row>
        <row r="19">
          <cell r="A19">
            <v>18</v>
          </cell>
          <cell r="C19">
            <v>60</v>
          </cell>
          <cell r="E19" t="str">
            <v>虎鲸</v>
          </cell>
          <cell r="F19">
            <v>60</v>
          </cell>
          <cell r="G19">
            <v>0</v>
          </cell>
        </row>
        <row r="20">
          <cell r="A20">
            <v>19</v>
          </cell>
          <cell r="C20">
            <v>0</v>
          </cell>
          <cell r="E20" t="str">
            <v>炸弹鱼</v>
          </cell>
          <cell r="F20">
            <v>0</v>
          </cell>
          <cell r="G20">
            <v>0</v>
          </cell>
        </row>
        <row r="21">
          <cell r="A21">
            <v>20</v>
          </cell>
          <cell r="C21">
            <v>60</v>
          </cell>
          <cell r="E21" t="str">
            <v>黄金灯笼鱼</v>
          </cell>
          <cell r="F21">
            <v>60</v>
          </cell>
          <cell r="G21">
            <v>0</v>
          </cell>
        </row>
        <row r="22">
          <cell r="A22">
            <v>21</v>
          </cell>
          <cell r="C22">
            <v>0</v>
          </cell>
          <cell r="E22" t="str">
            <v>黄金炸弹鱼</v>
          </cell>
          <cell r="F22">
            <v>0</v>
          </cell>
          <cell r="G22">
            <v>0</v>
          </cell>
        </row>
        <row r="23">
          <cell r="A23">
            <v>22</v>
          </cell>
          <cell r="C23">
            <v>60</v>
          </cell>
          <cell r="E23" t="str">
            <v>黄金狮子鱼</v>
          </cell>
          <cell r="F23">
            <v>60</v>
          </cell>
          <cell r="G23">
            <v>0</v>
          </cell>
        </row>
        <row r="24">
          <cell r="A24">
            <v>23</v>
          </cell>
          <cell r="C24">
            <v>60</v>
          </cell>
          <cell r="E24" t="str">
            <v>黄金海龟</v>
          </cell>
          <cell r="F24">
            <v>60</v>
          </cell>
          <cell r="G24">
            <v>0</v>
          </cell>
        </row>
        <row r="25">
          <cell r="A25">
            <v>24</v>
          </cell>
          <cell r="C25" t="str">
            <v>50,50,50,50,100,</v>
          </cell>
          <cell r="E25" t="str">
            <v>黄金河豚</v>
          </cell>
          <cell r="F25" t="str">
            <v>50,50,50,50,100,</v>
          </cell>
          <cell r="G25">
            <v>0</v>
          </cell>
        </row>
        <row r="26">
          <cell r="A26">
            <v>25</v>
          </cell>
          <cell r="C26">
            <v>80</v>
          </cell>
          <cell r="E26" t="str">
            <v>金蟾</v>
          </cell>
          <cell r="F26">
            <v>80</v>
          </cell>
          <cell r="G26">
            <v>0</v>
          </cell>
        </row>
        <row r="27">
          <cell r="A27">
            <v>26</v>
          </cell>
          <cell r="C27">
            <v>100</v>
          </cell>
          <cell r="E27" t="str">
            <v>大金鲨</v>
          </cell>
          <cell r="F27">
            <v>100</v>
          </cell>
          <cell r="G27">
            <v>0</v>
          </cell>
        </row>
        <row r="28">
          <cell r="A28">
            <v>27</v>
          </cell>
          <cell r="C28">
            <v>100</v>
          </cell>
          <cell r="E28" t="str">
            <v>黄金锤头鲨</v>
          </cell>
          <cell r="F28">
            <v>100</v>
          </cell>
          <cell r="G28">
            <v>0</v>
          </cell>
        </row>
        <row r="29">
          <cell r="A29">
            <v>28</v>
          </cell>
          <cell r="C29">
            <v>0</v>
          </cell>
          <cell r="E29" t="str">
            <v>闪电海鳗</v>
          </cell>
          <cell r="F29">
            <v>0</v>
          </cell>
          <cell r="G29">
            <v>0</v>
          </cell>
        </row>
        <row r="30">
          <cell r="A30">
            <v>29</v>
          </cell>
          <cell r="C30">
            <v>0</v>
          </cell>
          <cell r="E30" t="str">
            <v>穿云蟹</v>
          </cell>
          <cell r="F30">
            <v>0</v>
          </cell>
          <cell r="G30">
            <v>0</v>
          </cell>
        </row>
        <row r="31">
          <cell r="A31">
            <v>30</v>
          </cell>
          <cell r="C31">
            <v>0</v>
          </cell>
          <cell r="E31" t="str">
            <v>电磁蟹</v>
          </cell>
          <cell r="F31">
            <v>0</v>
          </cell>
          <cell r="G31">
            <v>0</v>
          </cell>
        </row>
        <row r="32">
          <cell r="A32">
            <v>31</v>
          </cell>
          <cell r="C32">
            <v>0</v>
          </cell>
          <cell r="E32" t="str">
            <v>奇遇蟹</v>
          </cell>
          <cell r="F32">
            <v>0</v>
          </cell>
          <cell r="G32">
            <v>0</v>
          </cell>
        </row>
        <row r="33">
          <cell r="A33">
            <v>32</v>
          </cell>
          <cell r="C33">
            <v>0</v>
          </cell>
          <cell r="E33" t="str">
            <v>宝藏章鱼</v>
          </cell>
          <cell r="F33">
            <v>0</v>
          </cell>
          <cell r="G33">
            <v>0</v>
          </cell>
        </row>
        <row r="34">
          <cell r="A34">
            <v>33</v>
          </cell>
          <cell r="C34">
            <v>0</v>
          </cell>
          <cell r="E34" t="str">
            <v>美人鱼</v>
          </cell>
          <cell r="F34">
            <v>0</v>
          </cell>
          <cell r="G34">
            <v>0</v>
          </cell>
        </row>
        <row r="35">
          <cell r="A35">
            <v>34</v>
          </cell>
          <cell r="C35">
            <v>0</v>
          </cell>
          <cell r="E35" t="str">
            <v>骰子龟</v>
          </cell>
          <cell r="F35">
            <v>0</v>
          </cell>
          <cell r="G35">
            <v>0</v>
          </cell>
        </row>
        <row r="36">
          <cell r="A36">
            <v>35</v>
          </cell>
          <cell r="C36">
            <v>0</v>
          </cell>
          <cell r="E36" t="str">
            <v>金龙转盘</v>
          </cell>
          <cell r="F36">
            <v>0</v>
          </cell>
          <cell r="G36">
            <v>0</v>
          </cell>
        </row>
        <row r="37">
          <cell r="A37">
            <v>36</v>
          </cell>
          <cell r="C37">
            <v>0</v>
          </cell>
          <cell r="E37" t="str">
            <v>炽火龙王</v>
          </cell>
          <cell r="F37">
            <v>0</v>
          </cell>
          <cell r="G37">
            <v>0</v>
          </cell>
        </row>
        <row r="38">
          <cell r="A38">
            <v>37</v>
          </cell>
          <cell r="C38">
            <v>0</v>
          </cell>
          <cell r="E38" t="str">
            <v>财神</v>
          </cell>
          <cell r="F38">
            <v>0</v>
          </cell>
          <cell r="G38">
            <v>0</v>
          </cell>
        </row>
        <row r="39">
          <cell r="A39">
            <v>38</v>
          </cell>
          <cell r="C39">
            <v>100</v>
          </cell>
          <cell r="E39" t="str">
            <v>黄金巨龙</v>
          </cell>
          <cell r="F39">
            <v>100</v>
          </cell>
          <cell r="G39">
            <v>0</v>
          </cell>
        </row>
        <row r="40">
          <cell r="A40">
            <v>39</v>
          </cell>
          <cell r="C40">
            <v>100</v>
          </cell>
          <cell r="E40" t="str">
            <v>霸王蟹</v>
          </cell>
          <cell r="F40">
            <v>100</v>
          </cell>
          <cell r="G40">
            <v>0</v>
          </cell>
        </row>
        <row r="41">
          <cell r="A41">
            <v>40</v>
          </cell>
          <cell r="C41">
            <v>300</v>
          </cell>
          <cell r="E41" t="str">
            <v>深海鲸</v>
          </cell>
          <cell r="F41">
            <v>300</v>
          </cell>
          <cell r="G41">
            <v>0</v>
          </cell>
        </row>
        <row r="42">
          <cell r="A42">
            <v>41</v>
          </cell>
          <cell r="C42">
            <v>200</v>
          </cell>
          <cell r="E42" t="str">
            <v>鲨鱼武士</v>
          </cell>
          <cell r="F42">
            <v>200</v>
          </cell>
          <cell r="G42">
            <v>0</v>
          </cell>
        </row>
        <row r="43">
          <cell r="A43">
            <v>42</v>
          </cell>
          <cell r="C43">
            <v>0</v>
          </cell>
          <cell r="E43" t="str">
            <v>荧光女皇</v>
          </cell>
          <cell r="F43">
            <v>0</v>
          </cell>
          <cell r="G43">
            <v>0</v>
          </cell>
        </row>
        <row r="44">
          <cell r="A44">
            <v>43</v>
          </cell>
          <cell r="C44">
            <v>200</v>
          </cell>
          <cell r="E44" t="str">
            <v>龙龟</v>
          </cell>
          <cell r="F44">
            <v>200</v>
          </cell>
          <cell r="G44">
            <v>0</v>
          </cell>
        </row>
        <row r="45">
          <cell r="A45">
            <v>44</v>
          </cell>
          <cell r="C45">
            <v>0</v>
          </cell>
          <cell r="E45" t="str">
            <v>麒麟兽</v>
          </cell>
          <cell r="F45">
            <v>0</v>
          </cell>
          <cell r="G45">
            <v>0</v>
          </cell>
        </row>
        <row r="46">
          <cell r="A46">
            <v>45</v>
          </cell>
          <cell r="C46">
            <v>0</v>
          </cell>
          <cell r="E46" t="str">
            <v>海盗船</v>
          </cell>
          <cell r="F46">
            <v>0</v>
          </cell>
          <cell r="G46">
            <v>0</v>
          </cell>
        </row>
        <row r="47">
          <cell r="A47">
            <v>46</v>
          </cell>
          <cell r="C47">
            <v>200</v>
          </cell>
          <cell r="E47" t="str">
            <v>金蟾</v>
          </cell>
          <cell r="F47">
            <v>200</v>
          </cell>
          <cell r="G47">
            <v>0</v>
          </cell>
        </row>
        <row r="48">
          <cell r="A48">
            <v>47</v>
          </cell>
          <cell r="C48">
            <v>150</v>
          </cell>
          <cell r="E48" t="str">
            <v>深海狂鲨</v>
          </cell>
          <cell r="F48">
            <v>150</v>
          </cell>
          <cell r="G48">
            <v>0</v>
          </cell>
        </row>
        <row r="49">
          <cell r="A49">
            <v>48</v>
          </cell>
          <cell r="C49">
            <v>250</v>
          </cell>
          <cell r="E49" t="str">
            <v>鳄鱼</v>
          </cell>
          <cell r="F49">
            <v>250</v>
          </cell>
          <cell r="G49">
            <v>0</v>
          </cell>
        </row>
        <row r="50">
          <cell r="A50">
            <v>49</v>
          </cell>
          <cell r="C50">
            <v>200</v>
          </cell>
          <cell r="E50" t="str">
            <v>大王乌贼</v>
          </cell>
          <cell r="F50">
            <v>200</v>
          </cell>
          <cell r="G50">
            <v>0</v>
          </cell>
        </row>
        <row r="51">
          <cell r="A51">
            <v>50</v>
          </cell>
          <cell r="C51">
            <v>0</v>
          </cell>
          <cell r="E51" t="str">
            <v>贝壳鱼</v>
          </cell>
          <cell r="F51">
            <v>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216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201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203</v>
      </c>
      <c r="M1" s="8" t="s">
        <v>211</v>
      </c>
    </row>
    <row r="2" spans="1:13" x14ac:dyDescent="0.2">
      <c r="A2" s="2">
        <v>1</v>
      </c>
      <c r="B2" s="2" t="s">
        <v>256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204</v>
      </c>
      <c r="C3" s="2">
        <v>1</v>
      </c>
      <c r="D3" t="s">
        <v>202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204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204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204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204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204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308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1</v>
      </c>
      <c r="D10" t="s">
        <v>216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303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workbookViewId="0">
      <pane ySplit="1" topLeftCell="A62" activePane="bottomLeft" state="frozen"/>
      <selection pane="bottomLeft" activeCell="L73" sqref="L7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257</v>
      </c>
      <c r="B1" s="1" t="s">
        <v>258</v>
      </c>
      <c r="C1" s="1" t="s">
        <v>259</v>
      </c>
      <c r="D1" s="1" t="s">
        <v>260</v>
      </c>
      <c r="E1" s="1" t="s">
        <v>261</v>
      </c>
      <c r="F1" s="1" t="s">
        <v>262</v>
      </c>
      <c r="G1" s="1" t="s">
        <v>263</v>
      </c>
      <c r="H1" s="1" t="s">
        <v>97</v>
      </c>
      <c r="I1" s="1" t="s">
        <v>264</v>
      </c>
      <c r="J1" s="9" t="s">
        <v>105</v>
      </c>
      <c r="K1" s="1" t="s">
        <v>265</v>
      </c>
      <c r="L1" s="1" t="s">
        <v>50</v>
      </c>
      <c r="Q1" s="1" t="s">
        <v>266</v>
      </c>
      <c r="R1" s="1" t="s">
        <v>266</v>
      </c>
      <c r="S1" s="1" t="s">
        <v>266</v>
      </c>
      <c r="T1" s="1" t="s">
        <v>266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267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249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327</v>
      </c>
      <c r="G7" s="45" t="s">
        <v>328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326</v>
      </c>
      <c r="G8" s="45" t="s">
        <v>329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250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254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297</v>
      </c>
      <c r="I39" s="19" t="s">
        <v>247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330</v>
      </c>
      <c r="G65" s="45" t="s">
        <v>331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332</v>
      </c>
      <c r="G66" s="45" t="s">
        <v>333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334</v>
      </c>
      <c r="G67" s="46" t="s">
        <v>335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  <row r="68" spans="1:17" s="31" customFormat="1" x14ac:dyDescent="0.2">
      <c r="A68" s="31">
        <v>67</v>
      </c>
      <c r="B68" s="31">
        <v>1</v>
      </c>
      <c r="C68" s="31" t="s">
        <v>388</v>
      </c>
      <c r="H68" s="31">
        <f>SUM(_xlfn.IFNA(LOOKUP(Q68,[1]use_fish!A:A,[1]use_fish!E:E),0),_xlfn.IFNA(LOOKUP(R68,[1]use_fish!A:A,[1]use_fish!E:E),0),_xlfn.IFNA(LOOKUP(S68,[1]use_fish!A:A,[1]use_fish!E:E),0),_xlfn.IFNA(LOOKUP(T68,[1]use_fish!A:A,[1]use_fish!E:E),0),_xlfn.IFNA(LOOKUP(U68,[1]use_fish!A:A,[1]use_fish!E:E),0),_xlfn.IFNA(LOOKUP(V68,[1]use_fish!A:A,[1]use_fish!E:E),0),_xlfn.IFNA(LOOKUP(W68,[1]use_fish!A:A,[1]use_fish!E:E),0),)</f>
        <v>45</v>
      </c>
      <c r="I68" s="31">
        <f>SUM(_xlfn.IFNA(LOOKUP(Q68,[1]use_fish!A:A,[1]use_fish!I:I),0),_xlfn.IFNA(LOOKUP(R68,[1]use_fish!A:A,[1]use_fish!I:I),0),_xlfn.IFNA(LOOKUP(S68,[1]use_fish!A:A,[1]use_fish!I:I),0),_xlfn.IFNA(LOOKUP(T68,[1]use_fish!A:A,[1]use_fish!I:I),0),_xlfn.IFNA(LOOKUP(U68,[1]use_fish!A:A,[1]use_fish!I:I),0),_xlfn.IFNA(LOOKUP(V68,[1]use_fish!A:A,[1]use_fish!I:I),0),_xlfn.IFNA(LOOKUP(W68,[1]use_fish!A:A,[1]use_fish!I:I),0),)</f>
        <v>45</v>
      </c>
      <c r="J68" s="32">
        <f>SUM(_xlfn.IFNA(LOOKUP(Q68,[1]use_fish!A:A,[1]use_fish!K:K),0),_xlfn.IFNA(LOOKUP(R68,[1]use_fish!A:A,[1]use_fish!K:K),0),_xlfn.IFNA(LOOKUP(S68,[1]use_fish!A:A,[1]use_fish!K:K),0),_xlfn.IFNA(LOOKUP(T68,[1]use_fish!A:A,[1]use_fish!K:K),0),_xlfn.IFNA(LOOKUP(U68,[1]use_fish!A:A,[1]use_fish!K:K),0),_xlfn.IFNA(LOOKUP(V68,[1]use_fish!A:A,[1]use_fish!K:K),0),_xlfn.IFNA(LOOKUP(W68,[1]use_fish!A:A,[1]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389</v>
      </c>
      <c r="H69" s="31">
        <f>SUM(_xlfn.IFNA(LOOKUP(Q69,[1]use_fish!A:A,[1]use_fish!E:E),0),_xlfn.IFNA(LOOKUP(R69,[1]use_fish!A:A,[1]use_fish!E:E),0),_xlfn.IFNA(LOOKUP(S69,[1]use_fish!A:A,[1]use_fish!E:E),0),_xlfn.IFNA(LOOKUP(T69,[1]use_fish!A:A,[1]use_fish!E:E),0),_xlfn.IFNA(LOOKUP(U69,[1]use_fish!A:A,[1]use_fish!E:E),0),_xlfn.IFNA(LOOKUP(V69,[1]use_fish!A:A,[1]use_fish!E:E),0),_xlfn.IFNA(LOOKUP(W69,[1]use_fish!A:A,[1]use_fish!E:E),0),)</f>
        <v>48</v>
      </c>
      <c r="I69" s="31">
        <f>SUM(_xlfn.IFNA(LOOKUP(Q69,[1]use_fish!A:A,[1]use_fish!I:I),0),_xlfn.IFNA(LOOKUP(R69,[1]use_fish!A:A,[1]use_fish!I:I),0),_xlfn.IFNA(LOOKUP(S69,[1]use_fish!A:A,[1]use_fish!I:I),0),_xlfn.IFNA(LOOKUP(T69,[1]use_fish!A:A,[1]use_fish!I:I),0),_xlfn.IFNA(LOOKUP(U69,[1]use_fish!A:A,[1]use_fish!I:I),0),_xlfn.IFNA(LOOKUP(V69,[1]use_fish!A:A,[1]use_fish!I:I),0),_xlfn.IFNA(LOOKUP(W69,[1]use_fish!A:A,[1]use_fish!I:I),0),)</f>
        <v>48</v>
      </c>
      <c r="J69" s="32">
        <f>SUM(_xlfn.IFNA(LOOKUP(Q69,[1]use_fish!A:A,[1]use_fish!K:K),0),_xlfn.IFNA(LOOKUP(R69,[1]use_fish!A:A,[1]use_fish!K:K),0),_xlfn.IFNA(LOOKUP(S69,[1]use_fish!A:A,[1]use_fish!K:K),0),_xlfn.IFNA(LOOKUP(T69,[1]use_fish!A:A,[1]use_fish!K:K),0),_xlfn.IFNA(LOOKUP(U69,[1]use_fish!A:A,[1]use_fish!K:K),0),_xlfn.IFNA(LOOKUP(V69,[1]use_fish!A:A,[1]use_fish!K:K),0),_xlfn.IFNA(LOOKUP(W69,[1]use_fish!A:A,[1]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390</v>
      </c>
      <c r="H70" s="31">
        <f>SUM(_xlfn.IFNA(LOOKUP(Q70,[1]use_fish!A:A,[1]use_fish!E:E),0),_xlfn.IFNA(LOOKUP(R70,[1]use_fish!A:A,[1]use_fish!E:E),0),_xlfn.IFNA(LOOKUP(S70,[1]use_fish!A:A,[1]use_fish!E:E),0),_xlfn.IFNA(LOOKUP(T70,[1]use_fish!A:A,[1]use_fish!E:E),0),_xlfn.IFNA(LOOKUP(U70,[1]use_fish!A:A,[1]use_fish!E:E),0),_xlfn.IFNA(LOOKUP(V70,[1]use_fish!A:A,[1]use_fish!E:E),0),_xlfn.IFNA(LOOKUP(W70,[1]use_fish!A:A,[1]use_fish!E:E),0),)</f>
        <v>50</v>
      </c>
      <c r="I70" s="31">
        <f>SUM(_xlfn.IFNA(LOOKUP(Q70,[1]use_fish!A:A,[1]use_fish!I:I),0),_xlfn.IFNA(LOOKUP(R70,[1]use_fish!A:A,[1]use_fish!I:I),0),_xlfn.IFNA(LOOKUP(S70,[1]use_fish!A:A,[1]use_fish!I:I),0),_xlfn.IFNA(LOOKUP(T70,[1]use_fish!A:A,[1]use_fish!I:I),0),_xlfn.IFNA(LOOKUP(U70,[1]use_fish!A:A,[1]use_fish!I:I),0),_xlfn.IFNA(LOOKUP(V70,[1]use_fish!A:A,[1]use_fish!I:I),0),_xlfn.IFNA(LOOKUP(W70,[1]use_fish!A:A,[1]use_fish!I:I),0),)</f>
        <v>50</v>
      </c>
      <c r="J70" s="32">
        <f>SUM(_xlfn.IFNA(LOOKUP(Q70,[1]use_fish!A:A,[1]use_fish!K:K),0),_xlfn.IFNA(LOOKUP(R70,[1]use_fish!A:A,[1]use_fish!K:K),0),_xlfn.IFNA(LOOKUP(S70,[1]use_fish!A:A,[1]use_fish!K:K),0),_xlfn.IFNA(LOOKUP(T70,[1]use_fish!A:A,[1]use_fish!K:K),0),_xlfn.IFNA(LOOKUP(U70,[1]use_fish!A:A,[1]use_fish!K:K),0),_xlfn.IFNA(LOOKUP(V70,[1]use_fish!A:A,[1]use_fish!K:K),0),_xlfn.IFNA(LOOKUP(W70,[1]use_fish!A:A,[1]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391</v>
      </c>
      <c r="H71" s="31">
        <f>SUM(_xlfn.IFNA(LOOKUP(Q71,[1]use_fish!A:A,[1]use_fish!E:E),0),_xlfn.IFNA(LOOKUP(R71,[1]use_fish!A:A,[1]use_fish!E:E),0),_xlfn.IFNA(LOOKUP(S71,[1]use_fish!A:A,[1]use_fish!E:E),0),_xlfn.IFNA(LOOKUP(T71,[1]use_fish!A:A,[1]use_fish!E:E),0),_xlfn.IFNA(LOOKUP(U71,[1]use_fish!A:A,[1]use_fish!E:E),0),_xlfn.IFNA(LOOKUP(V71,[1]use_fish!A:A,[1]use_fish!E:E),0),_xlfn.IFNA(LOOKUP(W71,[1]use_fish!A:A,[1]use_fish!E:E),0),)</f>
        <v>55</v>
      </c>
      <c r="I71" s="31">
        <f>SUM(_xlfn.IFNA(LOOKUP(Q71,[1]use_fish!A:A,[1]use_fish!I:I),0),_xlfn.IFNA(LOOKUP(R71,[1]use_fish!A:A,[1]use_fish!I:I),0),_xlfn.IFNA(LOOKUP(S71,[1]use_fish!A:A,[1]use_fish!I:I),0),_xlfn.IFNA(LOOKUP(T71,[1]use_fish!A:A,[1]use_fish!I:I),0),_xlfn.IFNA(LOOKUP(U71,[1]use_fish!A:A,[1]use_fish!I:I),0),_xlfn.IFNA(LOOKUP(V71,[1]use_fish!A:A,[1]use_fish!I:I),0),_xlfn.IFNA(LOOKUP(W71,[1]use_fish!A:A,[1]use_fish!I:I),0),)</f>
        <v>55</v>
      </c>
      <c r="J71" s="32">
        <f>SUM(_xlfn.IFNA(LOOKUP(Q71,[1]use_fish!A:A,[1]use_fish!K:K),0),_xlfn.IFNA(LOOKUP(R71,[1]use_fish!A:A,[1]use_fish!K:K),0),_xlfn.IFNA(LOOKUP(S71,[1]use_fish!A:A,[1]use_fish!K:K),0),_xlfn.IFNA(LOOKUP(T71,[1]use_fish!A:A,[1]use_fish!K:K),0),_xlfn.IFNA(LOOKUP(U71,[1]use_fish!A:A,[1]use_fish!K:K),0),_xlfn.IFNA(LOOKUP(V71,[1]use_fish!A:A,[1]use_fish!K:K),0),_xlfn.IFNA(LOOKUP(W71,[1]use_fish!A:A,[1]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392</v>
      </c>
      <c r="H72" s="31">
        <f>SUM(_xlfn.IFNA(LOOKUP(Q72,[1]use_fish!A:A,[1]use_fish!E:E),0),_xlfn.IFNA(LOOKUP(R72,[1]use_fish!A:A,[1]use_fish!E:E),0),_xlfn.IFNA(LOOKUP(S72,[1]use_fish!A:A,[1]use_fish!E:E),0),_xlfn.IFNA(LOOKUP(T72,[1]use_fish!A:A,[1]use_fish!E:E),0),_xlfn.IFNA(LOOKUP(U72,[1]use_fish!A:A,[1]use_fish!E:E),0),_xlfn.IFNA(LOOKUP(V72,[1]use_fish!A:A,[1]use_fish!E:E),0),_xlfn.IFNA(LOOKUP(W72,[1]use_fish!A:A,[1]use_fish!E:E),0),)</f>
        <v>60</v>
      </c>
      <c r="I72" s="31">
        <f>SUM(_xlfn.IFNA(LOOKUP(Q72,[1]use_fish!A:A,[1]use_fish!I:I),0),_xlfn.IFNA(LOOKUP(R72,[1]use_fish!A:A,[1]use_fish!I:I),0),_xlfn.IFNA(LOOKUP(S72,[1]use_fish!A:A,[1]use_fish!I:I),0),_xlfn.IFNA(LOOKUP(T72,[1]use_fish!A:A,[1]use_fish!I:I),0),_xlfn.IFNA(LOOKUP(U72,[1]use_fish!A:A,[1]use_fish!I:I),0),_xlfn.IFNA(LOOKUP(V72,[1]use_fish!A:A,[1]use_fish!I:I),0),_xlfn.IFNA(LOOKUP(W72,[1]use_fish!A:A,[1]use_fish!I:I),0),)</f>
        <v>60</v>
      </c>
      <c r="J72" s="32">
        <f>SUM(_xlfn.IFNA(LOOKUP(Q72,[1]use_fish!A:A,[1]use_fish!K:K),0),_xlfn.IFNA(LOOKUP(R72,[1]use_fish!A:A,[1]use_fish!K:K),0),_xlfn.IFNA(LOOKUP(S72,[1]use_fish!A:A,[1]use_fish!K:K),0),_xlfn.IFNA(LOOKUP(T72,[1]use_fish!A:A,[1]use_fish!K:K),0),_xlfn.IFNA(LOOKUP(U72,[1]use_fish!A:A,[1]use_fish!K:K),0),_xlfn.IFNA(LOOKUP(V72,[1]use_fish!A:A,[1]use_fish!K:K),0),_xlfn.IFNA(LOOKUP(W72,[1]use_fish!A:A,[1]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393</v>
      </c>
      <c r="H73" s="31">
        <f>SUM(_xlfn.IFNA(LOOKUP(Q73,[1]use_fish!A:A,[1]use_fish!E:E),0),_xlfn.IFNA(LOOKUP(R73,[1]use_fish!A:A,[1]use_fish!E:E),0),_xlfn.IFNA(LOOKUP(S73,[1]use_fish!A:A,[1]use_fish!E:E),0),_xlfn.IFNA(LOOKUP(T73,[1]use_fish!A:A,[1]use_fish!E:E),0),_xlfn.IFNA(LOOKUP(U73,[1]use_fish!A:A,[1]use_fish!E:E),0),_xlfn.IFNA(LOOKUP(V73,[1]use_fish!A:A,[1]use_fish!E:E),0),_xlfn.IFNA(LOOKUP(W73,[1]use_fish!A:A,[1]use_fish!E:E),0),)</f>
        <v>65</v>
      </c>
      <c r="I73" s="31">
        <f>SUM(_xlfn.IFNA(LOOKUP(Q73,[1]use_fish!A:A,[1]use_fish!I:I),0),_xlfn.IFNA(LOOKUP(R73,[1]use_fish!A:A,[1]use_fish!I:I),0),_xlfn.IFNA(LOOKUP(S73,[1]use_fish!A:A,[1]use_fish!I:I),0),_xlfn.IFNA(LOOKUP(T73,[1]use_fish!A:A,[1]use_fish!I:I),0),_xlfn.IFNA(LOOKUP(U73,[1]use_fish!A:A,[1]use_fish!I:I),0),_xlfn.IFNA(LOOKUP(V73,[1]use_fish!A:A,[1]use_fish!I:I),0),_xlfn.IFNA(LOOKUP(W73,[1]use_fish!A:A,[1]use_fish!I:I),0),)</f>
        <v>65</v>
      </c>
      <c r="J73" s="32">
        <f>SUM(_xlfn.IFNA(LOOKUP(Q73,[1]use_fish!A:A,[1]use_fish!K:K),0),_xlfn.IFNA(LOOKUP(R73,[1]use_fish!A:A,[1]use_fish!K:K),0),_xlfn.IFNA(LOOKUP(S73,[1]use_fish!A:A,[1]use_fish!K:K),0),_xlfn.IFNA(LOOKUP(T73,[1]use_fish!A:A,[1]use_fish!K:K),0),_xlfn.IFNA(LOOKUP(U73,[1]use_fish!A:A,[1]use_fish!K:K),0),_xlfn.IFNA(LOOKUP(V73,[1]use_fish!A:A,[1]use_fish!K:K),0),_xlfn.IFNA(LOOKUP(W73,[1]use_fish!A:A,[1]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394</v>
      </c>
      <c r="H74" s="31">
        <f>SUM(_xlfn.IFNA(LOOKUP(Q74,[1]use_fish!A:A,[1]use_fish!E:E),0),_xlfn.IFNA(LOOKUP(R74,[1]use_fish!A:A,[1]use_fish!E:E),0),_xlfn.IFNA(LOOKUP(S74,[1]use_fish!A:A,[1]use_fish!E:E),0),_xlfn.IFNA(LOOKUP(T74,[1]use_fish!A:A,[1]use_fish!E:E),0),_xlfn.IFNA(LOOKUP(U74,[1]use_fish!A:A,[1]use_fish!E:E),0),_xlfn.IFNA(LOOKUP(V74,[1]use_fish!A:A,[1]use_fish!E:E),0),_xlfn.IFNA(LOOKUP(W74,[1]use_fish!A:A,[1]use_fish!E:E),0),)</f>
        <v>70</v>
      </c>
      <c r="I74" s="31">
        <f>SUM(_xlfn.IFNA(LOOKUP(Q74,[1]use_fish!A:A,[1]use_fish!I:I),0),_xlfn.IFNA(LOOKUP(R74,[1]use_fish!A:A,[1]use_fish!I:I),0),_xlfn.IFNA(LOOKUP(S74,[1]use_fish!A:A,[1]use_fish!I:I),0),_xlfn.IFNA(LOOKUP(T74,[1]use_fish!A:A,[1]use_fish!I:I),0),_xlfn.IFNA(LOOKUP(U74,[1]use_fish!A:A,[1]use_fish!I:I),0),_xlfn.IFNA(LOOKUP(V74,[1]use_fish!A:A,[1]use_fish!I:I),0),_xlfn.IFNA(LOOKUP(W74,[1]use_fish!A:A,[1]use_fish!I:I),0),)</f>
        <v>70</v>
      </c>
      <c r="J74" s="32">
        <f>SUM(_xlfn.IFNA(LOOKUP(Q74,[1]use_fish!A:A,[1]use_fish!K:K),0),_xlfn.IFNA(LOOKUP(R74,[1]use_fish!A:A,[1]use_fish!K:K),0),_xlfn.IFNA(LOOKUP(S74,[1]use_fish!A:A,[1]use_fish!K:K),0),_xlfn.IFNA(LOOKUP(T74,[1]use_fish!A:A,[1]use_fish!K:K),0),_xlfn.IFNA(LOOKUP(U74,[1]use_fish!A:A,[1]use_fish!K:K),0),_xlfn.IFNA(LOOKUP(V74,[1]use_fish!A:A,[1]use_fish!K:K),0),_xlfn.IFNA(LOOKUP(W74,[1]use_fish!A:A,[1]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395</v>
      </c>
      <c r="H75" s="31">
        <f>SUM(_xlfn.IFNA(LOOKUP(Q75,[1]use_fish!A:A,[1]use_fish!E:E),0),_xlfn.IFNA(LOOKUP(R75,[1]use_fish!A:A,[1]use_fish!E:E),0),_xlfn.IFNA(LOOKUP(S75,[1]use_fish!A:A,[1]use_fish!E:E),0),_xlfn.IFNA(LOOKUP(T75,[1]use_fish!A:A,[1]use_fish!E:E),0),_xlfn.IFNA(LOOKUP(U75,[1]use_fish!A:A,[1]use_fish!E:E),0),_xlfn.IFNA(LOOKUP(V75,[1]use_fish!A:A,[1]use_fish!E:E),0),_xlfn.IFNA(LOOKUP(W75,[1]use_fish!A:A,[1]use_fish!E:E),0),)</f>
        <v>90</v>
      </c>
      <c r="I75" s="31">
        <f>SUM(_xlfn.IFNA(LOOKUP(Q75,[1]use_fish!A:A,[1]use_fish!I:I),0),_xlfn.IFNA(LOOKUP(R75,[1]use_fish!A:A,[1]use_fish!I:I),0),_xlfn.IFNA(LOOKUP(S75,[1]use_fish!A:A,[1]use_fish!I:I),0),_xlfn.IFNA(LOOKUP(T75,[1]use_fish!A:A,[1]use_fish!I:I),0),_xlfn.IFNA(LOOKUP(U75,[1]use_fish!A:A,[1]use_fish!I:I),0),_xlfn.IFNA(LOOKUP(V75,[1]use_fish!A:A,[1]use_fish!I:I),0),_xlfn.IFNA(LOOKUP(W75,[1]use_fish!A:A,[1]use_fish!I:I),0),)</f>
        <v>90</v>
      </c>
      <c r="J75" s="32">
        <f>SUM(_xlfn.IFNA(LOOKUP(Q75,[1]use_fish!A:A,[1]use_fish!K:K),0),_xlfn.IFNA(LOOKUP(R75,[1]use_fish!A:A,[1]use_fish!K:K),0),_xlfn.IFNA(LOOKUP(S75,[1]use_fish!A:A,[1]use_fish!K:K),0),_xlfn.IFNA(LOOKUP(T75,[1]use_fish!A:A,[1]use_fish!K:K),0),_xlfn.IFNA(LOOKUP(U75,[1]use_fish!A:A,[1]use_fish!K:K),0),_xlfn.IFNA(LOOKUP(V75,[1]use_fish!A:A,[1]use_fish!K:K),0),_xlfn.IFNA(LOOKUP(W75,[1]use_fish!A:A,[1]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396</v>
      </c>
      <c r="H76" s="31">
        <f>SUM(_xlfn.IFNA(LOOKUP(Q76,[1]use_fish!A:A,[1]use_fish!E:E),0),_xlfn.IFNA(LOOKUP(R76,[1]use_fish!A:A,[1]use_fish!E:E),0),_xlfn.IFNA(LOOKUP(S76,[1]use_fish!A:A,[1]use_fish!E:E),0),_xlfn.IFNA(LOOKUP(T76,[1]use_fish!A:A,[1]use_fish!E:E),0),_xlfn.IFNA(LOOKUP(U76,[1]use_fish!A:A,[1]use_fish!E:E),0),_xlfn.IFNA(LOOKUP(V76,[1]use_fish!A:A,[1]use_fish!E:E),0),_xlfn.IFNA(LOOKUP(W76,[1]use_fish!A:A,[1]use_fish!E:E),0),)</f>
        <v>93</v>
      </c>
      <c r="I76" s="31">
        <f>SUM(_xlfn.IFNA(LOOKUP(Q76,[1]use_fish!A:A,[1]use_fish!I:I),0),_xlfn.IFNA(LOOKUP(R76,[1]use_fish!A:A,[1]use_fish!I:I),0),_xlfn.IFNA(LOOKUP(S76,[1]use_fish!A:A,[1]use_fish!I:I),0),_xlfn.IFNA(LOOKUP(T76,[1]use_fish!A:A,[1]use_fish!I:I),0),_xlfn.IFNA(LOOKUP(U76,[1]use_fish!A:A,[1]use_fish!I:I),0),_xlfn.IFNA(LOOKUP(V76,[1]use_fish!A:A,[1]use_fish!I:I),0),_xlfn.IFNA(LOOKUP(W76,[1]use_fish!A:A,[1]use_fish!I:I),0),)</f>
        <v>90</v>
      </c>
      <c r="J76" s="32">
        <f>SUM(_xlfn.IFNA(LOOKUP(Q76,[1]use_fish!A:A,[1]use_fish!K:K),0),_xlfn.IFNA(LOOKUP(R76,[1]use_fish!A:A,[1]use_fish!K:K),0),_xlfn.IFNA(LOOKUP(S76,[1]use_fish!A:A,[1]use_fish!K:K),0),_xlfn.IFNA(LOOKUP(T76,[1]use_fish!A:A,[1]use_fish!K:K),0),_xlfn.IFNA(LOOKUP(U76,[1]use_fish!A:A,[1]use_fish!K:K),0),_xlfn.IFNA(LOOKUP(V76,[1]use_fish!A:A,[1]use_fish!K:K),0),_xlfn.IFNA(LOOKUP(W76,[1]use_fish!A:A,[1]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397</v>
      </c>
      <c r="H77" s="31">
        <f>SUM(_xlfn.IFNA(LOOKUP(Q77,[1]use_fish!A:A,[1]use_fish!E:E),0),_xlfn.IFNA(LOOKUP(R77,[1]use_fish!A:A,[1]use_fish!E:E),0),_xlfn.IFNA(LOOKUP(S77,[1]use_fish!A:A,[1]use_fish!E:E),0),_xlfn.IFNA(LOOKUP(T77,[1]use_fish!A:A,[1]use_fish!E:E),0),_xlfn.IFNA(LOOKUP(U77,[1]use_fish!A:A,[1]use_fish!E:E),0),_xlfn.IFNA(LOOKUP(V77,[1]use_fish!A:A,[1]use_fish!E:E),0),_xlfn.IFNA(LOOKUP(W77,[1]use_fish!A:A,[1]use_fish!E:E),0),)</f>
        <v>93</v>
      </c>
      <c r="I77" s="31">
        <f>SUM(_xlfn.IFNA(LOOKUP(Q77,[1]use_fish!A:A,[1]use_fish!I:I),0),_xlfn.IFNA(LOOKUP(R77,[1]use_fish!A:A,[1]use_fish!I:I),0),_xlfn.IFNA(LOOKUP(S77,[1]use_fish!A:A,[1]use_fish!I:I),0),_xlfn.IFNA(LOOKUP(T77,[1]use_fish!A:A,[1]use_fish!I:I),0),_xlfn.IFNA(LOOKUP(U77,[1]use_fish!A:A,[1]use_fish!I:I),0),_xlfn.IFNA(LOOKUP(V77,[1]use_fish!A:A,[1]use_fish!I:I),0),_xlfn.IFNA(LOOKUP(W77,[1]use_fish!A:A,[1]use_fish!I:I),0),)</f>
        <v>90</v>
      </c>
      <c r="J77" s="32">
        <f>SUM(_xlfn.IFNA(LOOKUP(Q77,[1]use_fish!A:A,[1]use_fish!K:K),0),_xlfn.IFNA(LOOKUP(R77,[1]use_fish!A:A,[1]use_fish!K:K),0),_xlfn.IFNA(LOOKUP(S77,[1]use_fish!A:A,[1]use_fish!K:K),0),_xlfn.IFNA(LOOKUP(T77,[1]use_fish!A:A,[1]use_fish!K:K),0),_xlfn.IFNA(LOOKUP(U77,[1]use_fish!A:A,[1]use_fish!K:K),0),_xlfn.IFNA(LOOKUP(V77,[1]use_fish!A:A,[1]use_fish!K:K),0),_xlfn.IFNA(LOOKUP(W77,[1]use_fish!A:A,[1]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398</v>
      </c>
      <c r="H78" s="31">
        <f>SUM(_xlfn.IFNA(LOOKUP(Q78,[1]use_fish!A:A,[1]use_fish!E:E),0),_xlfn.IFNA(LOOKUP(R78,[1]use_fish!A:A,[1]use_fish!E:E),0),_xlfn.IFNA(LOOKUP(S78,[1]use_fish!A:A,[1]use_fish!E:E),0),_xlfn.IFNA(LOOKUP(T78,[1]use_fish!A:A,[1]use_fish!E:E),0),_xlfn.IFNA(LOOKUP(U78,[1]use_fish!A:A,[1]use_fish!E:E),0),_xlfn.IFNA(LOOKUP(V78,[1]use_fish!A:A,[1]use_fish!E:E),0),_xlfn.IFNA(LOOKUP(W78,[1]use_fish!A:A,[1]use_fish!E:E),0),)</f>
        <v>135</v>
      </c>
      <c r="I78" s="31">
        <f>SUM(_xlfn.IFNA(LOOKUP(Q78,[1]use_fish!A:A,[1]use_fish!I:I),0),_xlfn.IFNA(LOOKUP(R78,[1]use_fish!A:A,[1]use_fish!I:I),0),_xlfn.IFNA(LOOKUP(S78,[1]use_fish!A:A,[1]use_fish!I:I),0),_xlfn.IFNA(LOOKUP(T78,[1]use_fish!A:A,[1]use_fish!I:I),0),_xlfn.IFNA(LOOKUP(U78,[1]use_fish!A:A,[1]use_fish!I:I),0),_xlfn.IFNA(LOOKUP(V78,[1]use_fish!A:A,[1]use_fish!I:I),0),_xlfn.IFNA(LOOKUP(W78,[1]use_fish!A:A,[1]use_fish!I:I),0),)</f>
        <v>90</v>
      </c>
      <c r="J78" s="32">
        <f>SUM(_xlfn.IFNA(LOOKUP(Q78,[1]use_fish!A:A,[1]use_fish!K:K),0),_xlfn.IFNA(LOOKUP(R78,[1]use_fish!A:A,[1]use_fish!K:K),0),_xlfn.IFNA(LOOKUP(S78,[1]use_fish!A:A,[1]use_fish!K:K),0),_xlfn.IFNA(LOOKUP(T78,[1]use_fish!A:A,[1]use_fish!K:K),0),_xlfn.IFNA(LOOKUP(U78,[1]use_fish!A:A,[1]use_fish!K:K),0),_xlfn.IFNA(LOOKUP(V78,[1]use_fish!A:A,[1]use_fish!K:K),0),_xlfn.IFNA(LOOKUP(W78,[1]use_fish!A:A,[1]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399</v>
      </c>
      <c r="H79" s="31">
        <f>SUM(_xlfn.IFNA(LOOKUP(Q79,[1]use_fish!A:A,[1]use_fish!E:E),0),_xlfn.IFNA(LOOKUP(R79,[1]use_fish!A:A,[1]use_fish!E:E),0),_xlfn.IFNA(LOOKUP(S79,[1]use_fish!A:A,[1]use_fish!E:E),0),_xlfn.IFNA(LOOKUP(T79,[1]use_fish!A:A,[1]use_fish!E:E),0),_xlfn.IFNA(LOOKUP(U79,[1]use_fish!A:A,[1]use_fish!E:E),0),_xlfn.IFNA(LOOKUP(V79,[1]use_fish!A:A,[1]use_fish!E:E),0),_xlfn.IFNA(LOOKUP(W79,[1]use_fish!A:A,[1]use_fish!E:E),0),)</f>
        <v>114</v>
      </c>
      <c r="I79" s="31">
        <f>SUM(_xlfn.IFNA(LOOKUP(Q79,[1]use_fish!A:A,[1]use_fish!I:I),0),_xlfn.IFNA(LOOKUP(R79,[1]use_fish!A:A,[1]use_fish!I:I),0),_xlfn.IFNA(LOOKUP(S79,[1]use_fish!A:A,[1]use_fish!I:I),0),_xlfn.IFNA(LOOKUP(T79,[1]use_fish!A:A,[1]use_fish!I:I),0),_xlfn.IFNA(LOOKUP(U79,[1]use_fish!A:A,[1]use_fish!I:I),0),_xlfn.IFNA(LOOKUP(V79,[1]use_fish!A:A,[1]use_fish!I:I),0),_xlfn.IFNA(LOOKUP(W79,[1]use_fish!A:A,[1]use_fish!I:I),0),)</f>
        <v>110</v>
      </c>
      <c r="J79" s="32">
        <f>SUM(_xlfn.IFNA(LOOKUP(Q79,[1]use_fish!A:A,[1]use_fish!K:K),0),_xlfn.IFNA(LOOKUP(R79,[1]use_fish!A:A,[1]use_fish!K:K),0),_xlfn.IFNA(LOOKUP(S79,[1]use_fish!A:A,[1]use_fish!K:K),0),_xlfn.IFNA(LOOKUP(T79,[1]use_fish!A:A,[1]use_fish!K:K),0),_xlfn.IFNA(LOOKUP(U79,[1]use_fish!A:A,[1]use_fish!K:K),0),_xlfn.IFNA(LOOKUP(V79,[1]use_fish!A:A,[1]use_fish!K:K),0),_xlfn.IFNA(LOOKUP(W79,[1]use_fish!A:A,[1]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400</v>
      </c>
      <c r="H80" s="31">
        <f>SUM(_xlfn.IFNA(LOOKUP(Q80,[1]use_fish!A:A,[1]use_fish!E:E),0),_xlfn.IFNA(LOOKUP(R80,[1]use_fish!A:A,[1]use_fish!E:E),0),_xlfn.IFNA(LOOKUP(S80,[1]use_fish!A:A,[1]use_fish!E:E),0),_xlfn.IFNA(LOOKUP(T80,[1]use_fish!A:A,[1]use_fish!E:E),0),_xlfn.IFNA(LOOKUP(U80,[1]use_fish!A:A,[1]use_fish!E:E),0),_xlfn.IFNA(LOOKUP(V80,[1]use_fish!A:A,[1]use_fish!E:E),0),_xlfn.IFNA(LOOKUP(W80,[1]use_fish!A:A,[1]use_fish!E:E),0),)</f>
        <v>135</v>
      </c>
      <c r="I80" s="31">
        <f>SUM(_xlfn.IFNA(LOOKUP(Q80,[1]use_fish!A:A,[1]use_fish!I:I),0),_xlfn.IFNA(LOOKUP(R80,[1]use_fish!A:A,[1]use_fish!I:I),0),_xlfn.IFNA(LOOKUP(S80,[1]use_fish!A:A,[1]use_fish!I:I),0),_xlfn.IFNA(LOOKUP(T80,[1]use_fish!A:A,[1]use_fish!I:I),0),_xlfn.IFNA(LOOKUP(U80,[1]use_fish!A:A,[1]use_fish!I:I),0),_xlfn.IFNA(LOOKUP(V80,[1]use_fish!A:A,[1]use_fish!I:I),0),_xlfn.IFNA(LOOKUP(W80,[1]use_fish!A:A,[1]use_fish!I:I),0),)</f>
        <v>130</v>
      </c>
      <c r="J80" s="32">
        <f>SUM(_xlfn.IFNA(LOOKUP(Q80,[1]use_fish!A:A,[1]use_fish!K:K),0),_xlfn.IFNA(LOOKUP(R80,[1]use_fish!A:A,[1]use_fish!K:K),0),_xlfn.IFNA(LOOKUP(S80,[1]use_fish!A:A,[1]use_fish!K:K),0),_xlfn.IFNA(LOOKUP(T80,[1]use_fish!A:A,[1]use_fish!K:K),0),_xlfn.IFNA(LOOKUP(U80,[1]use_fish!A:A,[1]use_fish!K:K),0),_xlfn.IFNA(LOOKUP(V80,[1]use_fish!A:A,[1]use_fish!K:K),0),_xlfn.IFNA(LOOKUP(W80,[1]use_fish!A:A,[1]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401</v>
      </c>
      <c r="H81" s="31">
        <f>SUM(_xlfn.IFNA(LOOKUP(Q81,[1]use_fish!A:A,[1]use_fish!E:E),0),_xlfn.IFNA(LOOKUP(R81,[1]use_fish!A:A,[1]use_fish!E:E),0),_xlfn.IFNA(LOOKUP(S81,[1]use_fish!A:A,[1]use_fish!E:E),0),_xlfn.IFNA(LOOKUP(T81,[1]use_fish!A:A,[1]use_fish!E:E),0),_xlfn.IFNA(LOOKUP(U81,[1]use_fish!A:A,[1]use_fish!E:E),0),_xlfn.IFNA(LOOKUP(V81,[1]use_fish!A:A,[1]use_fish!E:E),0),_xlfn.IFNA(LOOKUP(W81,[1]use_fish!A:A,[1]use_fish!E:E),0),)</f>
        <v>135</v>
      </c>
      <c r="I81" s="31">
        <f>SUM(_xlfn.IFNA(LOOKUP(Q81,[1]use_fish!A:A,[1]use_fish!I:I),0),_xlfn.IFNA(LOOKUP(R81,[1]use_fish!A:A,[1]use_fish!I:I),0),_xlfn.IFNA(LOOKUP(S81,[1]use_fish!A:A,[1]use_fish!I:I),0),_xlfn.IFNA(LOOKUP(T81,[1]use_fish!A:A,[1]use_fish!I:I),0),_xlfn.IFNA(LOOKUP(U81,[1]use_fish!A:A,[1]use_fish!I:I),0),_xlfn.IFNA(LOOKUP(V81,[1]use_fish!A:A,[1]use_fish!I:I),0),_xlfn.IFNA(LOOKUP(W81,[1]use_fish!A:A,[1]use_fish!I:I),0),)</f>
        <v>130</v>
      </c>
      <c r="J81" s="32">
        <f>SUM(_xlfn.IFNA(LOOKUP(Q81,[1]use_fish!A:A,[1]use_fish!K:K),0),_xlfn.IFNA(LOOKUP(R81,[1]use_fish!A:A,[1]use_fish!K:K),0),_xlfn.IFNA(LOOKUP(S81,[1]use_fish!A:A,[1]use_fish!K:K),0),_xlfn.IFNA(LOOKUP(T81,[1]use_fish!A:A,[1]use_fish!K:K),0),_xlfn.IFNA(LOOKUP(U81,[1]use_fish!A:A,[1]use_fish!K:K),0),_xlfn.IFNA(LOOKUP(V81,[1]use_fish!A:A,[1]use_fish!K:K),0),_xlfn.IFNA(LOOKUP(W81,[1]use_fish!A:A,[1]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402</v>
      </c>
      <c r="H82" s="31">
        <f>SUM(_xlfn.IFNA(LOOKUP(Q82,[1]use_fish!A:A,[1]use_fish!E:E),0),_xlfn.IFNA(LOOKUP(R82,[1]use_fish!A:A,[1]use_fish!E:E),0),_xlfn.IFNA(LOOKUP(S82,[1]use_fish!A:A,[1]use_fish!E:E),0),_xlfn.IFNA(LOOKUP(T82,[1]use_fish!A:A,[1]use_fish!E:E),0),_xlfn.IFNA(LOOKUP(U82,[1]use_fish!A:A,[1]use_fish!E:E),0),_xlfn.IFNA(LOOKUP(V82,[1]use_fish!A:A,[1]use_fish!E:E),0),_xlfn.IFNA(LOOKUP(W82,[1]use_fish!A:A,[1]use_fish!E:E),0),)</f>
        <v>65</v>
      </c>
      <c r="I82" s="31">
        <f>SUM(_xlfn.IFNA(LOOKUP(Q82,[1]use_fish!A:A,[1]use_fish!I:I),0),_xlfn.IFNA(LOOKUP(R82,[1]use_fish!A:A,[1]use_fish!I:I),0),_xlfn.IFNA(LOOKUP(S82,[1]use_fish!A:A,[1]use_fish!I:I),0),_xlfn.IFNA(LOOKUP(T82,[1]use_fish!A:A,[1]use_fish!I:I),0),_xlfn.IFNA(LOOKUP(U82,[1]use_fish!A:A,[1]use_fish!I:I),0),_xlfn.IFNA(LOOKUP(V82,[1]use_fish!A:A,[1]use_fish!I:I),0),_xlfn.IFNA(LOOKUP(W82,[1]use_fish!A:A,[1]use_fish!I:I),0),)</f>
        <v>65</v>
      </c>
      <c r="J82" s="32">
        <f>SUM(_xlfn.IFNA(LOOKUP(Q82,[1]use_fish!A:A,[1]use_fish!K:K),0),_xlfn.IFNA(LOOKUP(R82,[1]use_fish!A:A,[1]use_fish!K:K),0),_xlfn.IFNA(LOOKUP(S82,[1]use_fish!A:A,[1]use_fish!K:K),0),_xlfn.IFNA(LOOKUP(T82,[1]use_fish!A:A,[1]use_fish!K:K),0),_xlfn.IFNA(LOOKUP(U82,[1]use_fish!A:A,[1]use_fish!K:K),0),_xlfn.IFNA(LOOKUP(V82,[1]use_fish!A:A,[1]use_fish!K:K),0),_xlfn.IFNA(LOOKUP(W82,[1]use_fish!A:A,[1]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403</v>
      </c>
      <c r="H83" s="31">
        <f>SUM(_xlfn.IFNA(LOOKUP(Q83,[1]use_fish!A:A,[1]use_fish!E:E),0),_xlfn.IFNA(LOOKUP(R83,[1]use_fish!A:A,[1]use_fish!E:E),0),_xlfn.IFNA(LOOKUP(S83,[1]use_fish!A:A,[1]use_fish!E:E),0),_xlfn.IFNA(LOOKUP(T83,[1]use_fish!A:A,[1]use_fish!E:E),0),_xlfn.IFNA(LOOKUP(U83,[1]use_fish!A:A,[1]use_fish!E:E),0),_xlfn.IFNA(LOOKUP(V83,[1]use_fish!A:A,[1]use_fish!E:E),0),_xlfn.IFNA(LOOKUP(W83,[1]use_fish!A:A,[1]use_fish!E:E),0),)</f>
        <v>68</v>
      </c>
      <c r="I83" s="31">
        <f>SUM(_xlfn.IFNA(LOOKUP(Q83,[1]use_fish!A:A,[1]use_fish!I:I),0),_xlfn.IFNA(LOOKUP(R83,[1]use_fish!A:A,[1]use_fish!I:I),0),_xlfn.IFNA(LOOKUP(S83,[1]use_fish!A:A,[1]use_fish!I:I),0),_xlfn.IFNA(LOOKUP(T83,[1]use_fish!A:A,[1]use_fish!I:I),0),_xlfn.IFNA(LOOKUP(U83,[1]use_fish!A:A,[1]use_fish!I:I),0),_xlfn.IFNA(LOOKUP(V83,[1]use_fish!A:A,[1]use_fish!I:I),0),_xlfn.IFNA(LOOKUP(W83,[1]use_fish!A:A,[1]use_fish!I:I),0),)</f>
        <v>68</v>
      </c>
      <c r="J83" s="32">
        <f>SUM(_xlfn.IFNA(LOOKUP(Q83,[1]use_fish!A:A,[1]use_fish!K:K),0),_xlfn.IFNA(LOOKUP(R83,[1]use_fish!A:A,[1]use_fish!K:K),0),_xlfn.IFNA(LOOKUP(S83,[1]use_fish!A:A,[1]use_fish!K:K),0),_xlfn.IFNA(LOOKUP(T83,[1]use_fish!A:A,[1]use_fish!K:K),0),_xlfn.IFNA(LOOKUP(U83,[1]use_fish!A:A,[1]use_fish!K:K),0),_xlfn.IFNA(LOOKUP(V83,[1]use_fish!A:A,[1]use_fish!K:K),0),_xlfn.IFNA(LOOKUP(W83,[1]use_fish!A:A,[1]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404</v>
      </c>
      <c r="H84" s="31">
        <f>SUM(_xlfn.IFNA(LOOKUP(Q84,[1]use_fish!A:A,[1]use_fish!E:E),0),_xlfn.IFNA(LOOKUP(R84,[1]use_fish!A:A,[1]use_fish!E:E),0),_xlfn.IFNA(LOOKUP(S84,[1]use_fish!A:A,[1]use_fish!E:E),0),_xlfn.IFNA(LOOKUP(T84,[1]use_fish!A:A,[1]use_fish!E:E),0),_xlfn.IFNA(LOOKUP(U84,[1]use_fish!A:A,[1]use_fish!E:E),0),_xlfn.IFNA(LOOKUP(V84,[1]use_fish!A:A,[1]use_fish!E:E),0),_xlfn.IFNA(LOOKUP(W84,[1]use_fish!A:A,[1]use_fish!E:E),0),)</f>
        <v>70</v>
      </c>
      <c r="I84" s="31">
        <f>SUM(_xlfn.IFNA(LOOKUP(Q84,[1]use_fish!A:A,[1]use_fish!I:I),0),_xlfn.IFNA(LOOKUP(R84,[1]use_fish!A:A,[1]use_fish!I:I),0),_xlfn.IFNA(LOOKUP(S84,[1]use_fish!A:A,[1]use_fish!I:I),0),_xlfn.IFNA(LOOKUP(T84,[1]use_fish!A:A,[1]use_fish!I:I),0),_xlfn.IFNA(LOOKUP(U84,[1]use_fish!A:A,[1]use_fish!I:I),0),_xlfn.IFNA(LOOKUP(V84,[1]use_fish!A:A,[1]use_fish!I:I),0),_xlfn.IFNA(LOOKUP(W84,[1]use_fish!A:A,[1]use_fish!I:I),0),)</f>
        <v>70</v>
      </c>
      <c r="J84" s="32">
        <f>SUM(_xlfn.IFNA(LOOKUP(Q84,[1]use_fish!A:A,[1]use_fish!K:K),0),_xlfn.IFNA(LOOKUP(R84,[1]use_fish!A:A,[1]use_fish!K:K),0),_xlfn.IFNA(LOOKUP(S84,[1]use_fish!A:A,[1]use_fish!K:K),0),_xlfn.IFNA(LOOKUP(T84,[1]use_fish!A:A,[1]use_fish!K:K),0),_xlfn.IFNA(LOOKUP(U84,[1]use_fish!A:A,[1]use_fish!K:K),0),_xlfn.IFNA(LOOKUP(V84,[1]use_fish!A:A,[1]use_fish!K:K),0),_xlfn.IFNA(LOOKUP(W84,[1]use_fish!A:A,[1]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405</v>
      </c>
      <c r="H85" s="31">
        <f>SUM(_xlfn.IFNA(LOOKUP(Q85,[1]use_fish!A:A,[1]use_fish!E:E),0),_xlfn.IFNA(LOOKUP(R85,[1]use_fish!A:A,[1]use_fish!E:E),0),_xlfn.IFNA(LOOKUP(S85,[1]use_fish!A:A,[1]use_fish!E:E),0),_xlfn.IFNA(LOOKUP(T85,[1]use_fish!A:A,[1]use_fish!E:E),0),_xlfn.IFNA(LOOKUP(U85,[1]use_fish!A:A,[1]use_fish!E:E),0),_xlfn.IFNA(LOOKUP(V85,[1]use_fish!A:A,[1]use_fish!E:E),0),_xlfn.IFNA(LOOKUP(W85,[1]use_fish!A:A,[1]use_fish!E:E),0),)</f>
        <v>75</v>
      </c>
      <c r="I85" s="31">
        <f>SUM(_xlfn.IFNA(LOOKUP(Q85,[1]use_fish!A:A,[1]use_fish!I:I),0),_xlfn.IFNA(LOOKUP(R85,[1]use_fish!A:A,[1]use_fish!I:I),0),_xlfn.IFNA(LOOKUP(S85,[1]use_fish!A:A,[1]use_fish!I:I),0),_xlfn.IFNA(LOOKUP(T85,[1]use_fish!A:A,[1]use_fish!I:I),0),_xlfn.IFNA(LOOKUP(U85,[1]use_fish!A:A,[1]use_fish!I:I),0),_xlfn.IFNA(LOOKUP(V85,[1]use_fish!A:A,[1]use_fish!I:I),0),_xlfn.IFNA(LOOKUP(W85,[1]use_fish!A:A,[1]use_fish!I:I),0),)</f>
        <v>75</v>
      </c>
      <c r="J85" s="32">
        <f>SUM(_xlfn.IFNA(LOOKUP(Q85,[1]use_fish!A:A,[1]use_fish!K:K),0),_xlfn.IFNA(LOOKUP(R85,[1]use_fish!A:A,[1]use_fish!K:K),0),_xlfn.IFNA(LOOKUP(S85,[1]use_fish!A:A,[1]use_fish!K:K),0),_xlfn.IFNA(LOOKUP(T85,[1]use_fish!A:A,[1]use_fish!K:K),0),_xlfn.IFNA(LOOKUP(U85,[1]use_fish!A:A,[1]use_fish!K:K),0),_xlfn.IFNA(LOOKUP(V85,[1]use_fish!A:A,[1]use_fish!K:K),0),_xlfn.IFNA(LOOKUP(W85,[1]use_fish!A:A,[1]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406</v>
      </c>
      <c r="H86" s="31">
        <f>SUM(_xlfn.IFNA(LOOKUP(Q86,[1]use_fish!A:A,[1]use_fish!E:E),0),_xlfn.IFNA(LOOKUP(R86,[1]use_fish!A:A,[1]use_fish!E:E),0),_xlfn.IFNA(LOOKUP(S86,[1]use_fish!A:A,[1]use_fish!E:E),0),_xlfn.IFNA(LOOKUP(T86,[1]use_fish!A:A,[1]use_fish!E:E),0),_xlfn.IFNA(LOOKUP(U86,[1]use_fish!A:A,[1]use_fish!E:E),0),_xlfn.IFNA(LOOKUP(V86,[1]use_fish!A:A,[1]use_fish!E:E),0),_xlfn.IFNA(LOOKUP(W86,[1]use_fish!A:A,[1]use_fish!E:E),0),)</f>
        <v>80</v>
      </c>
      <c r="I86" s="31">
        <f>SUM(_xlfn.IFNA(LOOKUP(Q86,[1]use_fish!A:A,[1]use_fish!I:I),0),_xlfn.IFNA(LOOKUP(R86,[1]use_fish!A:A,[1]use_fish!I:I),0),_xlfn.IFNA(LOOKUP(S86,[1]use_fish!A:A,[1]use_fish!I:I),0),_xlfn.IFNA(LOOKUP(T86,[1]use_fish!A:A,[1]use_fish!I:I),0),_xlfn.IFNA(LOOKUP(U86,[1]use_fish!A:A,[1]use_fish!I:I),0),_xlfn.IFNA(LOOKUP(V86,[1]use_fish!A:A,[1]use_fish!I:I),0),_xlfn.IFNA(LOOKUP(W86,[1]use_fish!A:A,[1]use_fish!I:I),0),)</f>
        <v>80</v>
      </c>
      <c r="J86" s="32">
        <f>SUM(_xlfn.IFNA(LOOKUP(Q86,[1]use_fish!A:A,[1]use_fish!K:K),0),_xlfn.IFNA(LOOKUP(R86,[1]use_fish!A:A,[1]use_fish!K:K),0),_xlfn.IFNA(LOOKUP(S86,[1]use_fish!A:A,[1]use_fish!K:K),0),_xlfn.IFNA(LOOKUP(T86,[1]use_fish!A:A,[1]use_fish!K:K),0),_xlfn.IFNA(LOOKUP(U86,[1]use_fish!A:A,[1]use_fish!K:K),0),_xlfn.IFNA(LOOKUP(V86,[1]use_fish!A:A,[1]use_fish!K:K),0),_xlfn.IFNA(LOOKUP(W86,[1]use_fish!A:A,[1]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407</v>
      </c>
      <c r="H87" s="31">
        <f>SUM(_xlfn.IFNA(LOOKUP(Q87,[1]use_fish!A:A,[1]use_fish!E:E),0),_xlfn.IFNA(LOOKUP(R87,[1]use_fish!A:A,[1]use_fish!E:E),0),_xlfn.IFNA(LOOKUP(S87,[1]use_fish!A:A,[1]use_fish!E:E),0),_xlfn.IFNA(LOOKUP(T87,[1]use_fish!A:A,[1]use_fish!E:E),0),_xlfn.IFNA(LOOKUP(U87,[1]use_fish!A:A,[1]use_fish!E:E),0),_xlfn.IFNA(LOOKUP(V87,[1]use_fish!A:A,[1]use_fish!E:E),0),_xlfn.IFNA(LOOKUP(W87,[1]use_fish!A:A,[1]use_fish!E:E),0),)</f>
        <v>85</v>
      </c>
      <c r="I87" s="31">
        <f>SUM(_xlfn.IFNA(LOOKUP(Q87,[1]use_fish!A:A,[1]use_fish!I:I),0),_xlfn.IFNA(LOOKUP(R87,[1]use_fish!A:A,[1]use_fish!I:I),0),_xlfn.IFNA(LOOKUP(S87,[1]use_fish!A:A,[1]use_fish!I:I),0),_xlfn.IFNA(LOOKUP(T87,[1]use_fish!A:A,[1]use_fish!I:I),0),_xlfn.IFNA(LOOKUP(U87,[1]use_fish!A:A,[1]use_fish!I:I),0),_xlfn.IFNA(LOOKUP(V87,[1]use_fish!A:A,[1]use_fish!I:I),0),_xlfn.IFNA(LOOKUP(W87,[1]use_fish!A:A,[1]use_fish!I:I),0),)</f>
        <v>85</v>
      </c>
      <c r="J87" s="32">
        <f>SUM(_xlfn.IFNA(LOOKUP(Q87,[1]use_fish!A:A,[1]use_fish!K:K),0),_xlfn.IFNA(LOOKUP(R87,[1]use_fish!A:A,[1]use_fish!K:K),0),_xlfn.IFNA(LOOKUP(S87,[1]use_fish!A:A,[1]use_fish!K:K),0),_xlfn.IFNA(LOOKUP(T87,[1]use_fish!A:A,[1]use_fish!K:K),0),_xlfn.IFNA(LOOKUP(U87,[1]use_fish!A:A,[1]use_fish!K:K),0),_xlfn.IFNA(LOOKUP(V87,[1]use_fish!A:A,[1]use_fish!K:K),0),_xlfn.IFNA(LOOKUP(W87,[1]use_fish!A:A,[1]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408</v>
      </c>
      <c r="H88" s="31">
        <f>SUM(_xlfn.IFNA(LOOKUP(Q88,[1]use_fish!A:A,[1]use_fish!E:E),0),_xlfn.IFNA(LOOKUP(R88,[1]use_fish!A:A,[1]use_fish!E:E),0),_xlfn.IFNA(LOOKUP(S88,[1]use_fish!A:A,[1]use_fish!E:E),0),_xlfn.IFNA(LOOKUP(T88,[1]use_fish!A:A,[1]use_fish!E:E),0),_xlfn.IFNA(LOOKUP(U88,[1]use_fish!A:A,[1]use_fish!E:E),0),_xlfn.IFNA(LOOKUP(V88,[1]use_fish!A:A,[1]use_fish!E:E),0),_xlfn.IFNA(LOOKUP(W88,[1]use_fish!A:A,[1]use_fish!E:E),0),)</f>
        <v>90</v>
      </c>
      <c r="I88" s="31">
        <f>SUM(_xlfn.IFNA(LOOKUP(Q88,[1]use_fish!A:A,[1]use_fish!I:I),0),_xlfn.IFNA(LOOKUP(R88,[1]use_fish!A:A,[1]use_fish!I:I),0),_xlfn.IFNA(LOOKUP(S88,[1]use_fish!A:A,[1]use_fish!I:I),0),_xlfn.IFNA(LOOKUP(T88,[1]use_fish!A:A,[1]use_fish!I:I),0),_xlfn.IFNA(LOOKUP(U88,[1]use_fish!A:A,[1]use_fish!I:I),0),_xlfn.IFNA(LOOKUP(V88,[1]use_fish!A:A,[1]use_fish!I:I),0),_xlfn.IFNA(LOOKUP(W88,[1]use_fish!A:A,[1]use_fish!I:I),0),)</f>
        <v>90</v>
      </c>
      <c r="J88" s="32">
        <f>SUM(_xlfn.IFNA(LOOKUP(Q88,[1]use_fish!A:A,[1]use_fish!K:K),0),_xlfn.IFNA(LOOKUP(R88,[1]use_fish!A:A,[1]use_fish!K:K),0),_xlfn.IFNA(LOOKUP(S88,[1]use_fish!A:A,[1]use_fish!K:K),0),_xlfn.IFNA(LOOKUP(T88,[1]use_fish!A:A,[1]use_fish!K:K),0),_xlfn.IFNA(LOOKUP(U88,[1]use_fish!A:A,[1]use_fish!K:K),0),_xlfn.IFNA(LOOKUP(V88,[1]use_fish!A:A,[1]use_fish!K:K),0),_xlfn.IFNA(LOOKUP(W88,[1]use_fish!A:A,[1]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409</v>
      </c>
      <c r="H89" s="31">
        <f>SUM(_xlfn.IFNA(LOOKUP(Q89,[1]use_fish!A:A,[1]use_fish!E:E),0),_xlfn.IFNA(LOOKUP(R89,[1]use_fish!A:A,[1]use_fish!E:E),0),_xlfn.IFNA(LOOKUP(S89,[1]use_fish!A:A,[1]use_fish!E:E),0),_xlfn.IFNA(LOOKUP(T89,[1]use_fish!A:A,[1]use_fish!E:E),0),_xlfn.IFNA(LOOKUP(U89,[1]use_fish!A:A,[1]use_fish!E:E),0),_xlfn.IFNA(LOOKUP(V89,[1]use_fish!A:A,[1]use_fish!E:E),0),_xlfn.IFNA(LOOKUP(W89,[1]use_fish!A:A,[1]use_fish!E:E),0),)</f>
        <v>110</v>
      </c>
      <c r="I89" s="31">
        <f>SUM(_xlfn.IFNA(LOOKUP(Q89,[1]use_fish!A:A,[1]use_fish!I:I),0),_xlfn.IFNA(LOOKUP(R89,[1]use_fish!A:A,[1]use_fish!I:I),0),_xlfn.IFNA(LOOKUP(S89,[1]use_fish!A:A,[1]use_fish!I:I),0),_xlfn.IFNA(LOOKUP(T89,[1]use_fish!A:A,[1]use_fish!I:I),0),_xlfn.IFNA(LOOKUP(U89,[1]use_fish!A:A,[1]use_fish!I:I),0),_xlfn.IFNA(LOOKUP(V89,[1]use_fish!A:A,[1]use_fish!I:I),0),_xlfn.IFNA(LOOKUP(W89,[1]use_fish!A:A,[1]use_fish!I:I),0),)</f>
        <v>110</v>
      </c>
      <c r="J89" s="32">
        <f>SUM(_xlfn.IFNA(LOOKUP(Q89,[1]use_fish!A:A,[1]use_fish!K:K),0),_xlfn.IFNA(LOOKUP(R89,[1]use_fish!A:A,[1]use_fish!K:K),0),_xlfn.IFNA(LOOKUP(S89,[1]use_fish!A:A,[1]use_fish!K:K),0),_xlfn.IFNA(LOOKUP(T89,[1]use_fish!A:A,[1]use_fish!K:K),0),_xlfn.IFNA(LOOKUP(U89,[1]use_fish!A:A,[1]use_fish!K:K),0),_xlfn.IFNA(LOOKUP(V89,[1]use_fish!A:A,[1]use_fish!K:K),0),_xlfn.IFNA(LOOKUP(W89,[1]use_fish!A:A,[1]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410</v>
      </c>
      <c r="H90" s="31">
        <f>SUM(_xlfn.IFNA(LOOKUP(Q90,[1]use_fish!A:A,[1]use_fish!E:E),0),_xlfn.IFNA(LOOKUP(R90,[1]use_fish!A:A,[1]use_fish!E:E),0),_xlfn.IFNA(LOOKUP(S90,[1]use_fish!A:A,[1]use_fish!E:E),0),_xlfn.IFNA(LOOKUP(T90,[1]use_fish!A:A,[1]use_fish!E:E),0),_xlfn.IFNA(LOOKUP(U90,[1]use_fish!A:A,[1]use_fish!E:E),0),_xlfn.IFNA(LOOKUP(V90,[1]use_fish!A:A,[1]use_fish!E:E),0),_xlfn.IFNA(LOOKUP(W90,[1]use_fish!A:A,[1]use_fish!E:E),0),)</f>
        <v>113</v>
      </c>
      <c r="I90" s="31">
        <f>SUM(_xlfn.IFNA(LOOKUP(Q90,[1]use_fish!A:A,[1]use_fish!I:I),0),_xlfn.IFNA(LOOKUP(R90,[1]use_fish!A:A,[1]use_fish!I:I),0),_xlfn.IFNA(LOOKUP(S90,[1]use_fish!A:A,[1]use_fish!I:I),0),_xlfn.IFNA(LOOKUP(T90,[1]use_fish!A:A,[1]use_fish!I:I),0),_xlfn.IFNA(LOOKUP(U90,[1]use_fish!A:A,[1]use_fish!I:I),0),_xlfn.IFNA(LOOKUP(V90,[1]use_fish!A:A,[1]use_fish!I:I),0),_xlfn.IFNA(LOOKUP(W90,[1]use_fish!A:A,[1]use_fish!I:I),0),)</f>
        <v>110</v>
      </c>
      <c r="J90" s="32">
        <f>SUM(_xlfn.IFNA(LOOKUP(Q90,[1]use_fish!A:A,[1]use_fish!K:K),0),_xlfn.IFNA(LOOKUP(R90,[1]use_fish!A:A,[1]use_fish!K:K),0),_xlfn.IFNA(LOOKUP(S90,[1]use_fish!A:A,[1]use_fish!K:K),0),_xlfn.IFNA(LOOKUP(T90,[1]use_fish!A:A,[1]use_fish!K:K),0),_xlfn.IFNA(LOOKUP(U90,[1]use_fish!A:A,[1]use_fish!K:K),0),_xlfn.IFNA(LOOKUP(V90,[1]use_fish!A:A,[1]use_fish!K:K),0),_xlfn.IFNA(LOOKUP(W90,[1]use_fish!A:A,[1]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411</v>
      </c>
      <c r="H91" s="31">
        <f>SUM(_xlfn.IFNA(LOOKUP(Q91,[1]use_fish!A:A,[1]use_fish!E:E),0),_xlfn.IFNA(LOOKUP(R91,[1]use_fish!A:A,[1]use_fish!E:E),0),_xlfn.IFNA(LOOKUP(S91,[1]use_fish!A:A,[1]use_fish!E:E),0),_xlfn.IFNA(LOOKUP(T91,[1]use_fish!A:A,[1]use_fish!E:E),0),_xlfn.IFNA(LOOKUP(U91,[1]use_fish!A:A,[1]use_fish!E:E),0),_xlfn.IFNA(LOOKUP(V91,[1]use_fish!A:A,[1]use_fish!E:E),0),_xlfn.IFNA(LOOKUP(W91,[1]use_fish!A:A,[1]use_fish!E:E),0),)</f>
        <v>113</v>
      </c>
      <c r="I91" s="31">
        <f>SUM(_xlfn.IFNA(LOOKUP(Q91,[1]use_fish!A:A,[1]use_fish!I:I),0),_xlfn.IFNA(LOOKUP(R91,[1]use_fish!A:A,[1]use_fish!I:I),0),_xlfn.IFNA(LOOKUP(S91,[1]use_fish!A:A,[1]use_fish!I:I),0),_xlfn.IFNA(LOOKUP(T91,[1]use_fish!A:A,[1]use_fish!I:I),0),_xlfn.IFNA(LOOKUP(U91,[1]use_fish!A:A,[1]use_fish!I:I),0),_xlfn.IFNA(LOOKUP(V91,[1]use_fish!A:A,[1]use_fish!I:I),0),_xlfn.IFNA(LOOKUP(W91,[1]use_fish!A:A,[1]use_fish!I:I),0),)</f>
        <v>110</v>
      </c>
      <c r="J91" s="32">
        <f>SUM(_xlfn.IFNA(LOOKUP(Q91,[1]use_fish!A:A,[1]use_fish!K:K),0),_xlfn.IFNA(LOOKUP(R91,[1]use_fish!A:A,[1]use_fish!K:K),0),_xlfn.IFNA(LOOKUP(S91,[1]use_fish!A:A,[1]use_fish!K:K),0),_xlfn.IFNA(LOOKUP(T91,[1]use_fish!A:A,[1]use_fish!K:K),0),_xlfn.IFNA(LOOKUP(U91,[1]use_fish!A:A,[1]use_fish!K:K),0),_xlfn.IFNA(LOOKUP(V91,[1]use_fish!A:A,[1]use_fish!K:K),0),_xlfn.IFNA(LOOKUP(W91,[1]use_fish!A:A,[1]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412</v>
      </c>
      <c r="H92" s="31">
        <f>SUM(_xlfn.IFNA(LOOKUP(Q92,[1]use_fish!A:A,[1]use_fish!E:E),0),_xlfn.IFNA(LOOKUP(R92,[1]use_fish!A:A,[1]use_fish!E:E),0),_xlfn.IFNA(LOOKUP(S92,[1]use_fish!A:A,[1]use_fish!E:E),0),_xlfn.IFNA(LOOKUP(T92,[1]use_fish!A:A,[1]use_fish!E:E),0),_xlfn.IFNA(LOOKUP(U92,[1]use_fish!A:A,[1]use_fish!E:E),0),_xlfn.IFNA(LOOKUP(V92,[1]use_fish!A:A,[1]use_fish!E:E),0),_xlfn.IFNA(LOOKUP(W92,[1]use_fish!A:A,[1]use_fish!E:E),0),)</f>
        <v>155</v>
      </c>
      <c r="I92" s="31">
        <f>SUM(_xlfn.IFNA(LOOKUP(Q92,[1]use_fish!A:A,[1]use_fish!I:I),0),_xlfn.IFNA(LOOKUP(R92,[1]use_fish!A:A,[1]use_fish!I:I),0),_xlfn.IFNA(LOOKUP(S92,[1]use_fish!A:A,[1]use_fish!I:I),0),_xlfn.IFNA(LOOKUP(T92,[1]use_fish!A:A,[1]use_fish!I:I),0),_xlfn.IFNA(LOOKUP(U92,[1]use_fish!A:A,[1]use_fish!I:I),0),_xlfn.IFNA(LOOKUP(V92,[1]use_fish!A:A,[1]use_fish!I:I),0),_xlfn.IFNA(LOOKUP(W92,[1]use_fish!A:A,[1]use_fish!I:I),0),)</f>
        <v>110</v>
      </c>
      <c r="J92" s="32">
        <f>SUM(_xlfn.IFNA(LOOKUP(Q92,[1]use_fish!A:A,[1]use_fish!K:K),0),_xlfn.IFNA(LOOKUP(R92,[1]use_fish!A:A,[1]use_fish!K:K),0),_xlfn.IFNA(LOOKUP(S92,[1]use_fish!A:A,[1]use_fish!K:K),0),_xlfn.IFNA(LOOKUP(T92,[1]use_fish!A:A,[1]use_fish!K:K),0),_xlfn.IFNA(LOOKUP(U92,[1]use_fish!A:A,[1]use_fish!K:K),0),_xlfn.IFNA(LOOKUP(V92,[1]use_fish!A:A,[1]use_fish!K:K),0),_xlfn.IFNA(LOOKUP(W92,[1]use_fish!A:A,[1]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413</v>
      </c>
      <c r="H93" s="31">
        <f>SUM(_xlfn.IFNA(LOOKUP(Q93,[1]use_fish!A:A,[1]use_fish!E:E),0),_xlfn.IFNA(LOOKUP(R93,[1]use_fish!A:A,[1]use_fish!E:E),0),_xlfn.IFNA(LOOKUP(S93,[1]use_fish!A:A,[1]use_fish!E:E),0),_xlfn.IFNA(LOOKUP(T93,[1]use_fish!A:A,[1]use_fish!E:E),0),_xlfn.IFNA(LOOKUP(U93,[1]use_fish!A:A,[1]use_fish!E:E),0),_xlfn.IFNA(LOOKUP(V93,[1]use_fish!A:A,[1]use_fish!E:E),0),_xlfn.IFNA(LOOKUP(W93,[1]use_fish!A:A,[1]use_fish!E:E),0),)</f>
        <v>134</v>
      </c>
      <c r="I93" s="31">
        <f>SUM(_xlfn.IFNA(LOOKUP(Q93,[1]use_fish!A:A,[1]use_fish!I:I),0),_xlfn.IFNA(LOOKUP(R93,[1]use_fish!A:A,[1]use_fish!I:I),0),_xlfn.IFNA(LOOKUP(S93,[1]use_fish!A:A,[1]use_fish!I:I),0),_xlfn.IFNA(LOOKUP(T93,[1]use_fish!A:A,[1]use_fish!I:I),0),_xlfn.IFNA(LOOKUP(U93,[1]use_fish!A:A,[1]use_fish!I:I),0),_xlfn.IFNA(LOOKUP(V93,[1]use_fish!A:A,[1]use_fish!I:I),0),_xlfn.IFNA(LOOKUP(W93,[1]use_fish!A:A,[1]use_fish!I:I),0),)</f>
        <v>130</v>
      </c>
      <c r="J93" s="32">
        <f>SUM(_xlfn.IFNA(LOOKUP(Q93,[1]use_fish!A:A,[1]use_fish!K:K),0),_xlfn.IFNA(LOOKUP(R93,[1]use_fish!A:A,[1]use_fish!K:K),0),_xlfn.IFNA(LOOKUP(S93,[1]use_fish!A:A,[1]use_fish!K:K),0),_xlfn.IFNA(LOOKUP(T93,[1]use_fish!A:A,[1]use_fish!K:K),0),_xlfn.IFNA(LOOKUP(U93,[1]use_fish!A:A,[1]use_fish!K:K),0),_xlfn.IFNA(LOOKUP(V93,[1]use_fish!A:A,[1]use_fish!K:K),0),_xlfn.IFNA(LOOKUP(W93,[1]use_fish!A:A,[1]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414</v>
      </c>
      <c r="H94" s="31">
        <f>SUM(_xlfn.IFNA(LOOKUP(Q94,[1]use_fish!A:A,[1]use_fish!E:E),0),_xlfn.IFNA(LOOKUP(R94,[1]use_fish!A:A,[1]use_fish!E:E),0),_xlfn.IFNA(LOOKUP(S94,[1]use_fish!A:A,[1]use_fish!E:E),0),_xlfn.IFNA(LOOKUP(T94,[1]use_fish!A:A,[1]use_fish!E:E),0),_xlfn.IFNA(LOOKUP(U94,[1]use_fish!A:A,[1]use_fish!E:E),0),_xlfn.IFNA(LOOKUP(V94,[1]use_fish!A:A,[1]use_fish!E:E),0),_xlfn.IFNA(LOOKUP(W94,[1]use_fish!A:A,[1]use_fish!E:E),0),)</f>
        <v>155</v>
      </c>
      <c r="I94" s="31">
        <f>SUM(_xlfn.IFNA(LOOKUP(Q94,[1]use_fish!A:A,[1]use_fish!I:I),0),_xlfn.IFNA(LOOKUP(R94,[1]use_fish!A:A,[1]use_fish!I:I),0),_xlfn.IFNA(LOOKUP(S94,[1]use_fish!A:A,[1]use_fish!I:I),0),_xlfn.IFNA(LOOKUP(T94,[1]use_fish!A:A,[1]use_fish!I:I),0),_xlfn.IFNA(LOOKUP(U94,[1]use_fish!A:A,[1]use_fish!I:I),0),_xlfn.IFNA(LOOKUP(V94,[1]use_fish!A:A,[1]use_fish!I:I),0),_xlfn.IFNA(LOOKUP(W94,[1]use_fish!A:A,[1]use_fish!I:I),0),)</f>
        <v>150</v>
      </c>
      <c r="J94" s="32">
        <f>SUM(_xlfn.IFNA(LOOKUP(Q94,[1]use_fish!A:A,[1]use_fish!K:K),0),_xlfn.IFNA(LOOKUP(R94,[1]use_fish!A:A,[1]use_fish!K:K),0),_xlfn.IFNA(LOOKUP(S94,[1]use_fish!A:A,[1]use_fish!K:K),0),_xlfn.IFNA(LOOKUP(T94,[1]use_fish!A:A,[1]use_fish!K:K),0),_xlfn.IFNA(LOOKUP(U94,[1]use_fish!A:A,[1]use_fish!K:K),0),_xlfn.IFNA(LOOKUP(V94,[1]use_fish!A:A,[1]use_fish!K:K),0),_xlfn.IFNA(LOOKUP(W94,[1]use_fish!A:A,[1]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415</v>
      </c>
      <c r="H95" s="31">
        <f>SUM(_xlfn.IFNA(LOOKUP(Q95,[1]use_fish!A:A,[1]use_fish!E:E),0),_xlfn.IFNA(LOOKUP(R95,[1]use_fish!A:A,[1]use_fish!E:E),0),_xlfn.IFNA(LOOKUP(S95,[1]use_fish!A:A,[1]use_fish!E:E),0),_xlfn.IFNA(LOOKUP(T95,[1]use_fish!A:A,[1]use_fish!E:E),0),_xlfn.IFNA(LOOKUP(U95,[1]use_fish!A:A,[1]use_fish!E:E),0),_xlfn.IFNA(LOOKUP(V95,[1]use_fish!A:A,[1]use_fish!E:E),0),_xlfn.IFNA(LOOKUP(W95,[1]use_fish!A:A,[1]use_fish!E:E),0),)</f>
        <v>155</v>
      </c>
      <c r="I95" s="31">
        <f>SUM(_xlfn.IFNA(LOOKUP(Q95,[1]use_fish!A:A,[1]use_fish!I:I),0),_xlfn.IFNA(LOOKUP(R95,[1]use_fish!A:A,[1]use_fish!I:I),0),_xlfn.IFNA(LOOKUP(S95,[1]use_fish!A:A,[1]use_fish!I:I),0),_xlfn.IFNA(LOOKUP(T95,[1]use_fish!A:A,[1]use_fish!I:I),0),_xlfn.IFNA(LOOKUP(U95,[1]use_fish!A:A,[1]use_fish!I:I),0),_xlfn.IFNA(LOOKUP(V95,[1]use_fish!A:A,[1]use_fish!I:I),0),_xlfn.IFNA(LOOKUP(W95,[1]use_fish!A:A,[1]use_fish!I:I),0),)</f>
        <v>150</v>
      </c>
      <c r="J95" s="32">
        <f>SUM(_xlfn.IFNA(LOOKUP(Q95,[1]use_fish!A:A,[1]use_fish!K:K),0),_xlfn.IFNA(LOOKUP(R95,[1]use_fish!A:A,[1]use_fish!K:K),0),_xlfn.IFNA(LOOKUP(S95,[1]use_fish!A:A,[1]use_fish!K:K),0),_xlfn.IFNA(LOOKUP(T95,[1]use_fish!A:A,[1]use_fish!K:K),0),_xlfn.IFNA(LOOKUP(U95,[1]use_fish!A:A,[1]use_fish!K:K),0),_xlfn.IFNA(LOOKUP(V95,[1]use_fish!A:A,[1]use_fish!K:K),0),_xlfn.IFNA(LOOKUP(W95,[1]use_fish!A:A,[1]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27:I38 I1:I11 I40:I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9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8:H9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9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6" activePane="bottomLeft" state="frozen"/>
      <selection pane="bottomLeft" activeCell="A52" sqref="A52:XFD7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205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194</v>
      </c>
      <c r="O1" s="8" t="s">
        <v>203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349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350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351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362</v>
      </c>
      <c r="F25" s="19" t="s">
        <v>363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348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352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353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6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7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7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354</v>
      </c>
      <c r="E39" s="32">
        <f>LOOKUP(use_fish!B39,base_fish!A:A,base_fish!C:C)+_xlfn.IFNA(INDEX(activity!F:F,MATCH(use_fish!C39,activity!A:A,0)),0)</f>
        <v>102</v>
      </c>
      <c r="F39" s="32">
        <f t="shared" si="6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7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8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9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321</v>
      </c>
      <c r="E41" s="32">
        <f>LOOKUP(use_fish!B41,base_fish!A:A,base_fish!C:C)+_xlfn.IFNA(INDEX(activity!F:F,MATCH(use_fish!C41,activity!A:A,0)),0)</f>
        <v>302</v>
      </c>
      <c r="F41" s="32">
        <f t="shared" si="8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9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355</v>
      </c>
      <c r="E42" s="32">
        <f>LOOKUP(use_fish!B42,base_fish!A:A,base_fish!C:C)+_xlfn.IFNA(INDEX(activity!F:F,MATCH(use_fish!C42,activity!A:A,0)),0)</f>
        <v>206</v>
      </c>
      <c r="F42" s="32">
        <f t="shared" si="8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9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9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356</v>
      </c>
      <c r="E44" s="32">
        <f>LOOKUP(use_fish!B44,base_fish!A:A,base_fish!C:C)+_xlfn.IFNA(INDEX(activity!F:F,MATCH(use_fish!C44,activity!A:A,0)),0)</f>
        <v>202</v>
      </c>
      <c r="F44" s="32">
        <f t="shared" si="8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9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9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0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357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358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322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LOOKUP([1]use_fish!B52,[1]base_fish!A:A,[1]base_fish!C:C)+_xlfn.IFNA(INDEX([1]activity!F:F,MATCH([1]use_fish!C52,[1]activity!A:A,0)),0)</f>
        <v>45</v>
      </c>
      <c r="F52" s="27">
        <f t="shared" ref="F52:F79" si="12">1/E52</f>
        <v>2.2222222222222223E-2</v>
      </c>
      <c r="G52" s="27" t="s">
        <v>17</v>
      </c>
      <c r="H52" s="28" t="str">
        <f>INDEX([1]base_fish!E:E,MATCH([1]use_fish!B52,[1]base_fish!A:A,0))&amp;_xlfn.IFNA("+"&amp;INDEX([1]activity!G:G,MATCH([1]use_fish!C52,[1]activity!A:A,0)),"")</f>
        <v>小海龟+炸弹</v>
      </c>
      <c r="I52" s="27">
        <f>LOOKUP([1]use_fish!B52,[1]base_fish!A:A,[1]base_fish!F:F)+_xlfn.IFNA(INDEX([1]activity!F:F,MATCH([1]use_fish!C52,[1]activity!A:A,0)),0)</f>
        <v>45</v>
      </c>
      <c r="J52" s="29">
        <v>1</v>
      </c>
      <c r="K52" s="29">
        <f>LOOKUP([1]use_fish!B52,[1]base_fish!A:A,[1]base_fish!G:G)</f>
        <v>0</v>
      </c>
      <c r="L52" s="29">
        <f t="shared" ref="L52:L79" si="13">I52</f>
        <v>45</v>
      </c>
      <c r="M52" s="29">
        <v>1</v>
      </c>
      <c r="N52" s="29">
        <f t="shared" ref="N52:N57" si="14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LOOKUP([1]use_fish!B53,[1]base_fish!A:A,[1]base_fish!C:C)+_xlfn.IFNA(INDEX([1]activity!F:F,MATCH([1]use_fish!C53,[1]activity!A:A,0)),0)</f>
        <v>48</v>
      </c>
      <c r="F53" s="39">
        <f t="shared" si="12"/>
        <v>2.0833333333333332E-2</v>
      </c>
      <c r="G53" s="39" t="s">
        <v>17</v>
      </c>
      <c r="H53" s="40" t="str">
        <f>INDEX([1]base_fish!E:E,MATCH([1]use_fish!B53,[1]base_fish!A:A,0))&amp;_xlfn.IFNA("+"&amp;INDEX([1]activity!G:G,MATCH([1]use_fish!C53,[1]activity!A:A,0)),"")</f>
        <v>狮子鱼+炸弹</v>
      </c>
      <c r="I53" s="39">
        <f>LOOKUP([1]use_fish!B53,[1]base_fish!A:A,[1]base_fish!F:F)+_xlfn.IFNA(INDEX([1]activity!F:F,MATCH([1]use_fish!C53,[1]activity!A:A,0)),0)</f>
        <v>48</v>
      </c>
      <c r="J53" s="41">
        <v>1</v>
      </c>
      <c r="K53" s="41">
        <f>LOOKUP([1]use_fish!B53,[1]base_fish!A:A,[1]base_fish!G:G)</f>
        <v>0</v>
      </c>
      <c r="L53" s="41">
        <f t="shared" si="13"/>
        <v>48</v>
      </c>
      <c r="M53" s="41">
        <v>1</v>
      </c>
      <c r="N53" s="41">
        <f t="shared" si="14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LOOKUP([1]use_fish!B54,[1]base_fish!A:A,[1]base_fish!C:C)+_xlfn.IFNA(INDEX([1]activity!F:F,MATCH([1]use_fish!C54,[1]activity!A:A,0)),0)</f>
        <v>50</v>
      </c>
      <c r="F54" s="39">
        <f t="shared" si="12"/>
        <v>0.02</v>
      </c>
      <c r="G54" s="39" t="s">
        <v>17</v>
      </c>
      <c r="H54" s="40" t="str">
        <f>INDEX([1]base_fish!E:E,MATCH([1]use_fish!B54,[1]base_fish!A:A,0))&amp;_xlfn.IFNA("+"&amp;INDEX([1]activity!G:G,MATCH([1]use_fish!C54,[1]activity!A:A,0)),"")</f>
        <v>蝴蝶鱼+炸弹</v>
      </c>
      <c r="I54" s="39">
        <f>LOOKUP([1]use_fish!B54,[1]base_fish!A:A,[1]base_fish!F:F)+_xlfn.IFNA(INDEX([1]activity!F:F,MATCH([1]use_fish!C54,[1]activity!A:A,0)),0)</f>
        <v>50</v>
      </c>
      <c r="J54" s="41">
        <v>1</v>
      </c>
      <c r="K54" s="41">
        <f>LOOKUP([1]use_fish!B54,[1]base_fish!A:A,[1]base_fish!G:G)</f>
        <v>0</v>
      </c>
      <c r="L54" s="41">
        <f t="shared" si="13"/>
        <v>50</v>
      </c>
      <c r="M54" s="41">
        <v>1</v>
      </c>
      <c r="N54" s="41">
        <f t="shared" si="14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LOOKUP([1]use_fish!B55,[1]base_fish!A:A,[1]base_fish!C:C)+_xlfn.IFNA(INDEX([1]activity!F:F,MATCH([1]use_fish!C55,[1]activity!A:A,0)),0)</f>
        <v>55</v>
      </c>
      <c r="F55" s="39">
        <f t="shared" si="12"/>
        <v>1.8181818181818181E-2</v>
      </c>
      <c r="G55" s="39" t="s">
        <v>17</v>
      </c>
      <c r="H55" s="40" t="str">
        <f>INDEX([1]base_fish!E:E,MATCH([1]use_fish!B55,[1]base_fish!A:A,0))&amp;_xlfn.IFNA("+"&amp;INDEX([1]activity!G:G,MATCH([1]use_fish!C55,[1]activity!A:A,0)),"")</f>
        <v>巨大小丑鱼+炸弹</v>
      </c>
      <c r="I55" s="39">
        <f>LOOKUP([1]use_fish!B55,[1]base_fish!A:A,[1]base_fish!F:F)+_xlfn.IFNA(INDEX([1]activity!F:F,MATCH([1]use_fish!C55,[1]activity!A:A,0)),0)</f>
        <v>55</v>
      </c>
      <c r="J55" s="41">
        <v>1</v>
      </c>
      <c r="K55" s="41">
        <f>LOOKUP([1]use_fish!B55,[1]base_fish!A:A,[1]base_fish!G:G)</f>
        <v>0</v>
      </c>
      <c r="L55" s="41">
        <f t="shared" si="13"/>
        <v>55</v>
      </c>
      <c r="M55" s="41">
        <v>1</v>
      </c>
      <c r="N55" s="41">
        <f t="shared" si="14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LOOKUP([1]use_fish!B56,[1]base_fish!A:A,[1]base_fish!C:C)+_xlfn.IFNA(INDEX([1]activity!F:F,MATCH([1]use_fish!C56,[1]activity!A:A,0)),0)</f>
        <v>60</v>
      </c>
      <c r="F56" s="39">
        <f t="shared" si="12"/>
        <v>1.6666666666666666E-2</v>
      </c>
      <c r="G56" s="39" t="s">
        <v>17</v>
      </c>
      <c r="H56" s="40" t="str">
        <f>INDEX([1]base_fish!E:E,MATCH([1]use_fish!B56,[1]base_fish!A:A,0))&amp;_xlfn.IFNA("+"&amp;INDEX([1]activity!G:G,MATCH([1]use_fish!C56,[1]activity!A:A,0)),"")</f>
        <v>巨大灯笼鱼+炸弹</v>
      </c>
      <c r="I56" s="39">
        <f>LOOKUP([1]use_fish!B56,[1]base_fish!A:A,[1]base_fish!F:F)+_xlfn.IFNA(INDEX([1]activity!F:F,MATCH([1]use_fish!C56,[1]activity!A:A,0)),0)</f>
        <v>60</v>
      </c>
      <c r="J56" s="41">
        <v>1</v>
      </c>
      <c r="K56" s="41">
        <f>LOOKUP([1]use_fish!B56,[1]base_fish!A:A,[1]base_fish!G:G)</f>
        <v>0</v>
      </c>
      <c r="L56" s="41">
        <f t="shared" si="13"/>
        <v>60</v>
      </c>
      <c r="M56" s="41">
        <v>1</v>
      </c>
      <c r="N56" s="41">
        <f t="shared" si="14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LOOKUP([1]use_fish!B57,[1]base_fish!A:A,[1]base_fish!C:C)+_xlfn.IFNA(INDEX([1]activity!F:F,MATCH([1]use_fish!C57,[1]activity!A:A,0)),0)</f>
        <v>65</v>
      </c>
      <c r="F57" s="39">
        <f t="shared" si="12"/>
        <v>1.5384615384615385E-2</v>
      </c>
      <c r="G57" s="39" t="s">
        <v>17</v>
      </c>
      <c r="H57" s="40" t="str">
        <f>INDEX([1]base_fish!E:E,MATCH([1]use_fish!B57,[1]base_fish!A:A,0))&amp;_xlfn.IFNA("+"&amp;INDEX([1]activity!G:G,MATCH([1]use_fish!C57,[1]activity!A:A,0)),"")</f>
        <v>巨大燕鱼+炸弹</v>
      </c>
      <c r="I57" s="39">
        <f>LOOKUP([1]use_fish!B57,[1]base_fish!A:A,[1]base_fish!F:F)+_xlfn.IFNA(INDEX([1]activity!F:F,MATCH([1]use_fish!C57,[1]activity!A:A,0)),0)</f>
        <v>65</v>
      </c>
      <c r="J57" s="41">
        <v>1</v>
      </c>
      <c r="K57" s="41">
        <f>LOOKUP([1]use_fish!B57,[1]base_fish!A:A,[1]base_fish!G:G)</f>
        <v>0</v>
      </c>
      <c r="L57" s="41">
        <f t="shared" si="13"/>
        <v>65</v>
      </c>
      <c r="M57" s="41">
        <v>1</v>
      </c>
      <c r="N57" s="41">
        <f t="shared" si="14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LOOKUP([1]use_fish!B58,[1]base_fish!A:A,[1]base_fish!C:C)+_xlfn.IFNA(INDEX([1]activity!F:F,MATCH([1]use_fish!C58,[1]activity!A:A,0)),0)</f>
        <v>70</v>
      </c>
      <c r="F58" s="39">
        <f t="shared" si="12"/>
        <v>1.4285714285714285E-2</v>
      </c>
      <c r="G58" s="39" t="s">
        <v>17</v>
      </c>
      <c r="H58" s="40" t="str">
        <f>INDEX([1]base_fish!E:E,MATCH([1]use_fish!B58,[1]base_fish!A:A,0))&amp;_xlfn.IFNA("+"&amp;INDEX([1]activity!G:G,MATCH([1]use_fish!C58,[1]activity!A:A,0)),"")</f>
        <v>魔鬼鱼+炸弹</v>
      </c>
      <c r="I58" s="39">
        <f>LOOKUP([1]use_fish!B58,[1]base_fish!A:A,[1]base_fish!F:F)+_xlfn.IFNA(INDEX([1]activity!F:F,MATCH([1]use_fish!C58,[1]activity!A:A,0)),0)</f>
        <v>70</v>
      </c>
      <c r="J58" s="41">
        <v>1</v>
      </c>
      <c r="K58" s="41">
        <f>LOOKUP([1]use_fish!B58,[1]base_fish!A:A,[1]base_fish!G:G)</f>
        <v>0</v>
      </c>
      <c r="L58" s="41">
        <f t="shared" si="13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LOOKUP([1]use_fish!B59,[1]base_fish!A:A,[1]base_fish!C:C)+_xlfn.IFNA(INDEX([1]activity!F:F,MATCH([1]use_fish!C59,[1]activity!A:A,0)),0)</f>
        <v>90</v>
      </c>
      <c r="F59" s="39">
        <f t="shared" si="12"/>
        <v>1.1111111111111112E-2</v>
      </c>
      <c r="G59" s="39" t="s">
        <v>17</v>
      </c>
      <c r="H59" s="40" t="str">
        <f>INDEX([1]base_fish!E:E,MATCH([1]use_fish!B59,[1]base_fish!A:A,0))&amp;_xlfn.IFNA("+"&amp;INDEX([1]activity!G:G,MATCH([1]use_fish!C59,[1]activity!A:A,0)),"")</f>
        <v>虎鲸+炸弹</v>
      </c>
      <c r="I59" s="39">
        <f>LOOKUP([1]use_fish!B59,[1]base_fish!A:A,[1]base_fish!F:F)+_xlfn.IFNA(INDEX([1]activity!F:F,MATCH([1]use_fish!C59,[1]activity!A:A,0)),0)</f>
        <v>90</v>
      </c>
      <c r="J59" s="41">
        <v>1</v>
      </c>
      <c r="K59" s="41">
        <f>LOOKUP([1]use_fish!B59,[1]base_fish!A:A,[1]base_fish!G:G)</f>
        <v>0</v>
      </c>
      <c r="L59" s="41">
        <f t="shared" si="13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348</v>
      </c>
      <c r="E60" s="19">
        <v>93</v>
      </c>
      <c r="F60" s="19">
        <f t="shared" si="12"/>
        <v>1.0752688172043012E-2</v>
      </c>
      <c r="G60" s="19" t="s">
        <v>17</v>
      </c>
      <c r="H60" s="20" t="str">
        <f>INDEX([1]base_fish!E:E,MATCH([1]use_fish!B60,[1]base_fish!A:A,0))&amp;_xlfn.IFNA("+"&amp;INDEX([1]activity!G:G,MATCH([1]use_fish!C60,[1]activity!A:A,0)),"")</f>
        <v>黄金灯笼鱼+炸弹</v>
      </c>
      <c r="I60" s="19">
        <f>LOOKUP([1]use_fish!B60,[1]base_fish!A:A,[1]base_fish!F:F)+_xlfn.IFNA(INDEX([1]activity!F:F,MATCH([1]use_fish!C60,[1]activity!A:A,0)),0)</f>
        <v>90</v>
      </c>
      <c r="J60" s="21">
        <v>1</v>
      </c>
      <c r="K60" s="21">
        <f>LOOKUP([1]use_fish!B60,[1]base_fish!A:A,[1]base_fish!G:G)</f>
        <v>0</v>
      </c>
      <c r="L60" s="21">
        <f t="shared" si="13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350</v>
      </c>
      <c r="E61" s="19">
        <v>93</v>
      </c>
      <c r="F61" s="19">
        <f t="shared" si="12"/>
        <v>1.0752688172043012E-2</v>
      </c>
      <c r="G61" s="19" t="s">
        <v>17</v>
      </c>
      <c r="H61" s="20" t="str">
        <f>INDEX([1]base_fish!E:E,MATCH([1]use_fish!B61,[1]base_fish!A:A,0))&amp;_xlfn.IFNA("+"&amp;INDEX([1]activity!G:G,MATCH([1]use_fish!C61,[1]activity!A:A,0)),"")</f>
        <v>黄金狮子鱼+炸弹</v>
      </c>
      <c r="I61" s="19">
        <f>LOOKUP([1]use_fish!B61,[1]base_fish!A:A,[1]base_fish!F:F)+_xlfn.IFNA(INDEX([1]activity!F:F,MATCH([1]use_fish!C61,[1]activity!A:A,0)),0)</f>
        <v>90</v>
      </c>
      <c r="J61" s="21">
        <v>1</v>
      </c>
      <c r="K61" s="21">
        <f>LOOKUP([1]use_fish!B61,[1]base_fish!A:A,[1]base_fish!G:G)</f>
        <v>0</v>
      </c>
      <c r="L61" s="21">
        <f t="shared" si="13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383</v>
      </c>
      <c r="E62" s="19">
        <v>135</v>
      </c>
      <c r="F62" s="19">
        <f t="shared" si="12"/>
        <v>7.4074074074074077E-3</v>
      </c>
      <c r="G62" s="19" t="s">
        <v>17</v>
      </c>
      <c r="H62" s="20" t="str">
        <f>INDEX([1]base_fish!E:E,MATCH([1]use_fish!B62,[1]base_fish!A:A,0))&amp;_xlfn.IFNA("+"&amp;INDEX([1]activity!G:G,MATCH([1]use_fish!C62,[1]activity!A:A,0)),"")</f>
        <v>黄金海龟+炸弹</v>
      </c>
      <c r="I62" s="19">
        <f>LOOKUP([1]use_fish!B62,[1]base_fish!A:A,[1]base_fish!F:F)+_xlfn.IFNA(INDEX([1]activity!F:F,MATCH([1]use_fish!C62,[1]activity!A:A,0)),0)</f>
        <v>90</v>
      </c>
      <c r="J62" s="21">
        <v>1</v>
      </c>
      <c r="K62" s="21">
        <f>LOOKUP([1]use_fish!B62,[1]base_fish!A:A,[1]base_fish!G:G)</f>
        <v>0</v>
      </c>
      <c r="L62" s="21">
        <f t="shared" si="13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384</v>
      </c>
      <c r="E63" s="19">
        <v>114</v>
      </c>
      <c r="F63" s="19">
        <f t="shared" si="12"/>
        <v>8.771929824561403E-3</v>
      </c>
      <c r="G63" s="19" t="s">
        <v>17</v>
      </c>
      <c r="H63" s="20" t="str">
        <f>INDEX([1]base_fish!E:E,MATCH([1]use_fish!B63,[1]base_fish!A:A,0))&amp;_xlfn.IFNA("+"&amp;INDEX([1]activity!G:G,MATCH([1]use_fish!C63,[1]activity!A:A,0)),"")</f>
        <v>金蟾+炸弹</v>
      </c>
      <c r="I63" s="19">
        <f>LOOKUP([1]use_fish!B63,[1]base_fish!A:A,[1]base_fish!F:F)+_xlfn.IFNA(INDEX([1]activity!F:F,MATCH([1]use_fish!C63,[1]activity!A:A,0)),0)</f>
        <v>110</v>
      </c>
      <c r="J63" s="21">
        <v>1</v>
      </c>
      <c r="K63" s="21">
        <f>LOOKUP([1]use_fish!B63,[1]base_fish!A:A,[1]base_fish!G:G)</f>
        <v>0</v>
      </c>
      <c r="L63" s="21">
        <f t="shared" si="13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385</v>
      </c>
      <c r="E64" s="19">
        <v>135</v>
      </c>
      <c r="F64" s="19">
        <f t="shared" si="12"/>
        <v>7.4074074074074077E-3</v>
      </c>
      <c r="G64" s="19" t="s">
        <v>17</v>
      </c>
      <c r="H64" s="20" t="str">
        <f>INDEX([1]base_fish!E:E,MATCH([1]use_fish!B64,[1]base_fish!A:A,0))&amp;_xlfn.IFNA("+"&amp;INDEX([1]activity!G:G,MATCH([1]use_fish!C64,[1]activity!A:A,0)),"")</f>
        <v>大金鲨+炸弹</v>
      </c>
      <c r="I64" s="19">
        <f>LOOKUP([1]use_fish!B64,[1]base_fish!A:A,[1]base_fish!F:F)+_xlfn.IFNA(INDEX([1]activity!F:F,MATCH([1]use_fish!C64,[1]activity!A:A,0)),0)</f>
        <v>130</v>
      </c>
      <c r="J64" s="21">
        <v>1</v>
      </c>
      <c r="K64" s="21">
        <f>LOOKUP([1]use_fish!B64,[1]base_fish!A:A,[1]base_fish!G:G)</f>
        <v>0</v>
      </c>
      <c r="L64" s="21">
        <f t="shared" si="13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386</v>
      </c>
      <c r="E65" s="19">
        <v>135</v>
      </c>
      <c r="F65" s="19">
        <f t="shared" si="12"/>
        <v>7.4074074074074077E-3</v>
      </c>
      <c r="G65" s="19" t="s">
        <v>17</v>
      </c>
      <c r="H65" s="20" t="str">
        <f>INDEX([1]base_fish!E:E,MATCH([1]use_fish!B65,[1]base_fish!A:A,0))&amp;_xlfn.IFNA("+"&amp;INDEX([1]activity!G:G,MATCH([1]use_fish!C65,[1]activity!A:A,0)),"")</f>
        <v>黄金锤头鲨+炸弹</v>
      </c>
      <c r="I65" s="19">
        <f>LOOKUP([1]use_fish!B65,[1]base_fish!A:A,[1]base_fish!F:F)+_xlfn.IFNA(INDEX([1]activity!F:F,MATCH([1]use_fish!C65,[1]activity!A:A,0)),0)</f>
        <v>130</v>
      </c>
      <c r="J65" s="21">
        <v>1</v>
      </c>
      <c r="K65" s="21">
        <f>LOOKUP([1]use_fish!B65,[1]base_fish!A:A,[1]base_fish!G:G)</f>
        <v>0</v>
      </c>
      <c r="L65" s="21">
        <f t="shared" si="13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LOOKUP([1]use_fish!B66,[1]base_fish!A:A,[1]base_fish!C:C)+_xlfn.IFNA(INDEX([1]activity!F:F,MATCH([1]use_fish!C66,[1]activity!A:A,0)),0)</f>
        <v>65</v>
      </c>
      <c r="F66" s="27">
        <f t="shared" si="12"/>
        <v>1.5384615384615385E-2</v>
      </c>
      <c r="G66" s="27" t="s">
        <v>17</v>
      </c>
      <c r="H66" s="28" t="str">
        <f>INDEX([1]base_fish!E:E,MATCH([1]use_fish!B66,[1]base_fish!A:A,0))&amp;_xlfn.IFNA("+"&amp;INDEX([1]activity!G:G,MATCH([1]use_fish!C66,[1]activity!A:A,0)),"")</f>
        <v>小海龟+闪电</v>
      </c>
      <c r="I66" s="27">
        <f>LOOKUP([1]use_fish!B66,[1]base_fish!A:A,[1]base_fish!F:F)+_xlfn.IFNA(INDEX([1]activity!F:F,MATCH([1]use_fish!C66,[1]activity!A:A,0)),0)</f>
        <v>65</v>
      </c>
      <c r="J66" s="29">
        <v>1</v>
      </c>
      <c r="K66" s="29">
        <f>LOOKUP([1]use_fish!B66,[1]base_fish!A:A,[1]base_fish!G:G)</f>
        <v>0</v>
      </c>
      <c r="L66" s="29">
        <f t="shared" si="13"/>
        <v>65</v>
      </c>
      <c r="M66" s="29">
        <v>1</v>
      </c>
      <c r="N66" s="29">
        <f t="shared" ref="N66:N71" si="15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LOOKUP([1]use_fish!B67,[1]base_fish!A:A,[1]base_fish!C:C)+_xlfn.IFNA(INDEX([1]activity!F:F,MATCH([1]use_fish!C67,[1]activity!A:A,0)),0)</f>
        <v>68</v>
      </c>
      <c r="F67" s="39">
        <f t="shared" si="12"/>
        <v>1.4705882352941176E-2</v>
      </c>
      <c r="G67" s="39" t="s">
        <v>17</v>
      </c>
      <c r="H67" s="40" t="str">
        <f>INDEX([1]base_fish!E:E,MATCH([1]use_fish!B67,[1]base_fish!A:A,0))&amp;_xlfn.IFNA("+"&amp;INDEX([1]activity!G:G,MATCH([1]use_fish!C67,[1]activity!A:A,0)),"")</f>
        <v>狮子鱼+闪电</v>
      </c>
      <c r="I67" s="39">
        <f>LOOKUP([1]use_fish!B67,[1]base_fish!A:A,[1]base_fish!F:F)+_xlfn.IFNA(INDEX([1]activity!F:F,MATCH([1]use_fish!C67,[1]activity!A:A,0)),0)</f>
        <v>68</v>
      </c>
      <c r="J67" s="41">
        <v>1</v>
      </c>
      <c r="K67" s="41">
        <f>LOOKUP([1]use_fish!B67,[1]base_fish!A:A,[1]base_fish!G:G)</f>
        <v>0</v>
      </c>
      <c r="L67" s="41">
        <f t="shared" si="13"/>
        <v>68</v>
      </c>
      <c r="M67" s="41">
        <v>1</v>
      </c>
      <c r="N67" s="41">
        <f t="shared" si="15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LOOKUP([1]use_fish!B68,[1]base_fish!A:A,[1]base_fish!C:C)+_xlfn.IFNA(INDEX([1]activity!F:F,MATCH([1]use_fish!C68,[1]activity!A:A,0)),0)</f>
        <v>70</v>
      </c>
      <c r="F68" s="39">
        <f t="shared" si="12"/>
        <v>1.4285714285714285E-2</v>
      </c>
      <c r="G68" s="39" t="s">
        <v>17</v>
      </c>
      <c r="H68" s="40" t="str">
        <f>INDEX([1]base_fish!E:E,MATCH([1]use_fish!B68,[1]base_fish!A:A,0))&amp;_xlfn.IFNA("+"&amp;INDEX([1]activity!G:G,MATCH([1]use_fish!C68,[1]activity!A:A,0)),"")</f>
        <v>蝴蝶鱼+闪电</v>
      </c>
      <c r="I68" s="39">
        <f>LOOKUP([1]use_fish!B68,[1]base_fish!A:A,[1]base_fish!F:F)+_xlfn.IFNA(INDEX([1]activity!F:F,MATCH([1]use_fish!C68,[1]activity!A:A,0)),0)</f>
        <v>70</v>
      </c>
      <c r="J68" s="41">
        <v>1</v>
      </c>
      <c r="K68" s="41">
        <f>LOOKUP([1]use_fish!B68,[1]base_fish!A:A,[1]base_fish!G:G)</f>
        <v>0</v>
      </c>
      <c r="L68" s="41">
        <f t="shared" si="13"/>
        <v>70</v>
      </c>
      <c r="M68" s="41">
        <v>1</v>
      </c>
      <c r="N68" s="41">
        <f t="shared" si="15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LOOKUP([1]use_fish!B69,[1]base_fish!A:A,[1]base_fish!C:C)+_xlfn.IFNA(INDEX([1]activity!F:F,MATCH([1]use_fish!C69,[1]activity!A:A,0)),0)</f>
        <v>75</v>
      </c>
      <c r="F69" s="39">
        <f t="shared" si="12"/>
        <v>1.3333333333333334E-2</v>
      </c>
      <c r="G69" s="39" t="s">
        <v>17</v>
      </c>
      <c r="H69" s="40" t="str">
        <f>INDEX([1]base_fish!E:E,MATCH([1]use_fish!B69,[1]base_fish!A:A,0))&amp;_xlfn.IFNA("+"&amp;INDEX([1]activity!G:G,MATCH([1]use_fish!C69,[1]activity!A:A,0)),"")</f>
        <v>巨大小丑鱼+闪电</v>
      </c>
      <c r="I69" s="39">
        <f>LOOKUP([1]use_fish!B69,[1]base_fish!A:A,[1]base_fish!F:F)+_xlfn.IFNA(INDEX([1]activity!F:F,MATCH([1]use_fish!C69,[1]activity!A:A,0)),0)</f>
        <v>75</v>
      </c>
      <c r="J69" s="41">
        <v>1</v>
      </c>
      <c r="K69" s="41">
        <f>LOOKUP([1]use_fish!B69,[1]base_fish!A:A,[1]base_fish!G:G)</f>
        <v>0</v>
      </c>
      <c r="L69" s="41">
        <f t="shared" si="13"/>
        <v>75</v>
      </c>
      <c r="M69" s="41">
        <v>1</v>
      </c>
      <c r="N69" s="41">
        <f t="shared" si="15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LOOKUP([1]use_fish!B70,[1]base_fish!A:A,[1]base_fish!C:C)+_xlfn.IFNA(INDEX([1]activity!F:F,MATCH([1]use_fish!C70,[1]activity!A:A,0)),0)</f>
        <v>80</v>
      </c>
      <c r="F70" s="39">
        <f t="shared" si="12"/>
        <v>1.2500000000000001E-2</v>
      </c>
      <c r="G70" s="39" t="s">
        <v>17</v>
      </c>
      <c r="H70" s="40" t="str">
        <f>INDEX([1]base_fish!E:E,MATCH([1]use_fish!B70,[1]base_fish!A:A,0))&amp;_xlfn.IFNA("+"&amp;INDEX([1]activity!G:G,MATCH([1]use_fish!C70,[1]activity!A:A,0)),"")</f>
        <v>巨大灯笼鱼+闪电</v>
      </c>
      <c r="I70" s="39">
        <f>LOOKUP([1]use_fish!B70,[1]base_fish!A:A,[1]base_fish!F:F)+_xlfn.IFNA(INDEX([1]activity!F:F,MATCH([1]use_fish!C70,[1]activity!A:A,0)),0)</f>
        <v>80</v>
      </c>
      <c r="J70" s="41">
        <v>1</v>
      </c>
      <c r="K70" s="41">
        <f>LOOKUP([1]use_fish!B70,[1]base_fish!A:A,[1]base_fish!G:G)</f>
        <v>0</v>
      </c>
      <c r="L70" s="41">
        <f t="shared" si="13"/>
        <v>80</v>
      </c>
      <c r="M70" s="41">
        <v>1</v>
      </c>
      <c r="N70" s="41">
        <f t="shared" si="15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LOOKUP([1]use_fish!B71,[1]base_fish!A:A,[1]base_fish!C:C)+_xlfn.IFNA(INDEX([1]activity!F:F,MATCH([1]use_fish!C71,[1]activity!A:A,0)),0)</f>
        <v>85</v>
      </c>
      <c r="F71" s="39">
        <f t="shared" si="12"/>
        <v>1.1764705882352941E-2</v>
      </c>
      <c r="G71" s="39" t="s">
        <v>17</v>
      </c>
      <c r="H71" s="40" t="str">
        <f>INDEX([1]base_fish!E:E,MATCH([1]use_fish!B71,[1]base_fish!A:A,0))&amp;_xlfn.IFNA("+"&amp;INDEX([1]activity!G:G,MATCH([1]use_fish!C71,[1]activity!A:A,0)),"")</f>
        <v>巨大燕鱼+闪电</v>
      </c>
      <c r="I71" s="39">
        <f>LOOKUP([1]use_fish!B71,[1]base_fish!A:A,[1]base_fish!F:F)+_xlfn.IFNA(INDEX([1]activity!F:F,MATCH([1]use_fish!C71,[1]activity!A:A,0)),0)</f>
        <v>85</v>
      </c>
      <c r="J71" s="41">
        <v>1</v>
      </c>
      <c r="K71" s="41">
        <f>LOOKUP([1]use_fish!B71,[1]base_fish!A:A,[1]base_fish!G:G)</f>
        <v>0</v>
      </c>
      <c r="L71" s="41">
        <f t="shared" si="13"/>
        <v>85</v>
      </c>
      <c r="M71" s="41">
        <v>1</v>
      </c>
      <c r="N71" s="41">
        <f t="shared" si="15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LOOKUP([1]use_fish!B72,[1]base_fish!A:A,[1]base_fish!C:C)+_xlfn.IFNA(INDEX([1]activity!F:F,MATCH([1]use_fish!C72,[1]activity!A:A,0)),0)</f>
        <v>90</v>
      </c>
      <c r="F72" s="39">
        <f t="shared" si="12"/>
        <v>1.1111111111111112E-2</v>
      </c>
      <c r="G72" s="39" t="s">
        <v>17</v>
      </c>
      <c r="H72" s="40" t="str">
        <f>INDEX([1]base_fish!E:E,MATCH([1]use_fish!B72,[1]base_fish!A:A,0))&amp;_xlfn.IFNA("+"&amp;INDEX([1]activity!G:G,MATCH([1]use_fish!C72,[1]activity!A:A,0)),"")</f>
        <v>魔鬼鱼+闪电</v>
      </c>
      <c r="I72" s="39">
        <f>LOOKUP([1]use_fish!B72,[1]base_fish!A:A,[1]base_fish!F:F)+_xlfn.IFNA(INDEX([1]activity!F:F,MATCH([1]use_fish!C72,[1]activity!A:A,0)),0)</f>
        <v>90</v>
      </c>
      <c r="J72" s="41">
        <v>1</v>
      </c>
      <c r="K72" s="41">
        <f>LOOKUP([1]use_fish!B72,[1]base_fish!A:A,[1]base_fish!G:G)</f>
        <v>0</v>
      </c>
      <c r="L72" s="41">
        <f t="shared" si="13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LOOKUP([1]use_fish!B73,[1]base_fish!A:A,[1]base_fish!C:C)+_xlfn.IFNA(INDEX([1]activity!F:F,MATCH([1]use_fish!C73,[1]activity!A:A,0)),0)</f>
        <v>110</v>
      </c>
      <c r="F73" s="39">
        <f t="shared" si="12"/>
        <v>9.0909090909090905E-3</v>
      </c>
      <c r="G73" s="39" t="s">
        <v>17</v>
      </c>
      <c r="H73" s="40" t="str">
        <f>INDEX([1]base_fish!E:E,MATCH([1]use_fish!B73,[1]base_fish!A:A,0))&amp;_xlfn.IFNA("+"&amp;INDEX([1]activity!G:G,MATCH([1]use_fish!C73,[1]activity!A:A,0)),"")</f>
        <v>虎鲸+闪电</v>
      </c>
      <c r="I73" s="39">
        <f>LOOKUP([1]use_fish!B73,[1]base_fish!A:A,[1]base_fish!F:F)+_xlfn.IFNA(INDEX([1]activity!F:F,MATCH([1]use_fish!C73,[1]activity!A:A,0)),0)</f>
        <v>110</v>
      </c>
      <c r="J73" s="41">
        <v>1</v>
      </c>
      <c r="K73" s="41">
        <f>LOOKUP([1]use_fish!B73,[1]base_fish!A:A,[1]base_fish!G:G)</f>
        <v>0</v>
      </c>
      <c r="L73" s="41">
        <f t="shared" si="13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385</v>
      </c>
      <c r="E74" s="19">
        <v>113</v>
      </c>
      <c r="F74" s="19">
        <f t="shared" si="12"/>
        <v>8.8495575221238937E-3</v>
      </c>
      <c r="G74" s="19" t="s">
        <v>17</v>
      </c>
      <c r="H74" s="20" t="str">
        <f>INDEX([1]base_fish!E:E,MATCH([1]use_fish!B74,[1]base_fish!A:A,0))&amp;_xlfn.IFNA("+"&amp;INDEX([1]activity!G:G,MATCH([1]use_fish!C74,[1]activity!A:A,0)),"")</f>
        <v>黄金灯笼鱼+闪电</v>
      </c>
      <c r="I74" s="19">
        <f>LOOKUP([1]use_fish!B74,[1]base_fish!A:A,[1]base_fish!F:F)+_xlfn.IFNA(INDEX([1]activity!F:F,MATCH([1]use_fish!C74,[1]activity!A:A,0)),0)</f>
        <v>110</v>
      </c>
      <c r="J74" s="21">
        <v>1</v>
      </c>
      <c r="K74" s="21">
        <f>LOOKUP([1]use_fish!B74,[1]base_fish!A:A,[1]base_fish!G:G)</f>
        <v>0</v>
      </c>
      <c r="L74" s="21">
        <f t="shared" si="13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387</v>
      </c>
      <c r="E75" s="19">
        <v>113</v>
      </c>
      <c r="F75" s="19">
        <f t="shared" si="12"/>
        <v>8.8495575221238937E-3</v>
      </c>
      <c r="G75" s="19" t="s">
        <v>17</v>
      </c>
      <c r="H75" s="20" t="str">
        <f>INDEX([1]base_fish!E:E,MATCH([1]use_fish!B75,[1]base_fish!A:A,0))&amp;_xlfn.IFNA("+"&amp;INDEX([1]activity!G:G,MATCH([1]use_fish!C75,[1]activity!A:A,0)),"")</f>
        <v>黄金狮子鱼+闪电</v>
      </c>
      <c r="I75" s="19">
        <f>LOOKUP([1]use_fish!B75,[1]base_fish!A:A,[1]base_fish!F:F)+_xlfn.IFNA(INDEX([1]activity!F:F,MATCH([1]use_fish!C75,[1]activity!A:A,0)),0)</f>
        <v>110</v>
      </c>
      <c r="J75" s="21">
        <v>1</v>
      </c>
      <c r="K75" s="21">
        <f>LOOKUP([1]use_fish!B75,[1]base_fish!A:A,[1]base_fish!G:G)</f>
        <v>0</v>
      </c>
      <c r="L75" s="21">
        <f t="shared" si="13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383</v>
      </c>
      <c r="E76" s="19">
        <v>155</v>
      </c>
      <c r="F76" s="19">
        <f t="shared" si="12"/>
        <v>6.4516129032258064E-3</v>
      </c>
      <c r="G76" s="19" t="s">
        <v>17</v>
      </c>
      <c r="H76" s="20" t="str">
        <f>INDEX([1]base_fish!E:E,MATCH([1]use_fish!B76,[1]base_fish!A:A,0))&amp;_xlfn.IFNA("+"&amp;INDEX([1]activity!G:G,MATCH([1]use_fish!C76,[1]activity!A:A,0)),"")</f>
        <v>黄金海龟+闪电</v>
      </c>
      <c r="I76" s="19">
        <f>LOOKUP([1]use_fish!B76,[1]base_fish!A:A,[1]base_fish!F:F)+_xlfn.IFNA(INDEX([1]activity!F:F,MATCH([1]use_fish!C76,[1]activity!A:A,0)),0)</f>
        <v>110</v>
      </c>
      <c r="J76" s="21">
        <v>1</v>
      </c>
      <c r="K76" s="21">
        <f>LOOKUP([1]use_fish!B76,[1]base_fish!A:A,[1]base_fish!G:G)</f>
        <v>0</v>
      </c>
      <c r="L76" s="21">
        <f t="shared" si="13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384</v>
      </c>
      <c r="E77" s="19">
        <v>134</v>
      </c>
      <c r="F77" s="19">
        <f t="shared" si="12"/>
        <v>7.462686567164179E-3</v>
      </c>
      <c r="G77" s="19" t="s">
        <v>17</v>
      </c>
      <c r="H77" s="20" t="str">
        <f>INDEX([1]base_fish!E:E,MATCH([1]use_fish!B77,[1]base_fish!A:A,0))&amp;_xlfn.IFNA("+"&amp;INDEX([1]activity!G:G,MATCH([1]use_fish!C77,[1]activity!A:A,0)),"")</f>
        <v>金蟾+闪电</v>
      </c>
      <c r="I77" s="19">
        <f>LOOKUP([1]use_fish!B77,[1]base_fish!A:A,[1]base_fish!F:F)+_xlfn.IFNA(INDEX([1]activity!F:F,MATCH([1]use_fish!C77,[1]activity!A:A,0)),0)</f>
        <v>130</v>
      </c>
      <c r="J77" s="21">
        <v>1</v>
      </c>
      <c r="K77" s="21">
        <f>LOOKUP([1]use_fish!B77,[1]base_fish!A:A,[1]base_fish!G:G)</f>
        <v>0</v>
      </c>
      <c r="L77" s="21">
        <f t="shared" si="13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385</v>
      </c>
      <c r="E78" s="19">
        <v>155</v>
      </c>
      <c r="F78" s="19">
        <f t="shared" si="12"/>
        <v>6.4516129032258064E-3</v>
      </c>
      <c r="G78" s="19" t="s">
        <v>17</v>
      </c>
      <c r="H78" s="20" t="str">
        <f>INDEX([1]base_fish!E:E,MATCH([1]use_fish!B78,[1]base_fish!A:A,0))&amp;_xlfn.IFNA("+"&amp;INDEX([1]activity!G:G,MATCH([1]use_fish!C78,[1]activity!A:A,0)),"")</f>
        <v>大金鲨+闪电</v>
      </c>
      <c r="I78" s="19">
        <f>LOOKUP([1]use_fish!B78,[1]base_fish!A:A,[1]base_fish!F:F)+_xlfn.IFNA(INDEX([1]activity!F:F,MATCH([1]use_fish!C78,[1]activity!A:A,0)),0)</f>
        <v>150</v>
      </c>
      <c r="J78" s="21">
        <v>1</v>
      </c>
      <c r="K78" s="21">
        <f>LOOKUP([1]use_fish!B78,[1]base_fish!A:A,[1]base_fish!G:G)</f>
        <v>0</v>
      </c>
      <c r="L78" s="21">
        <f t="shared" si="13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350</v>
      </c>
      <c r="E79" s="19">
        <v>155</v>
      </c>
      <c r="F79" s="19">
        <f t="shared" si="12"/>
        <v>6.4516129032258064E-3</v>
      </c>
      <c r="G79" s="19" t="s">
        <v>17</v>
      </c>
      <c r="H79" s="20" t="str">
        <f>INDEX([1]base_fish!E:E,MATCH([1]use_fish!B79,[1]base_fish!A:A,0))&amp;_xlfn.IFNA("+"&amp;INDEX([1]activity!G:G,MATCH([1]use_fish!C79,[1]activity!A:A,0)),"")</f>
        <v>黄金锤头鲨+闪电</v>
      </c>
      <c r="I79" s="19">
        <f>LOOKUP([1]use_fish!B79,[1]base_fish!A:A,[1]base_fish!F:F)+_xlfn.IFNA(INDEX([1]activity!F:F,MATCH([1]use_fish!C79,[1]activity!A:A,0)),0)</f>
        <v>150</v>
      </c>
      <c r="J79" s="21">
        <v>1</v>
      </c>
      <c r="K79" s="21">
        <f>LOOKUP([1]use_fish!B79,[1]base_fish!A:A,[1]base_fish!G:G)</f>
        <v>0</v>
      </c>
      <c r="L79" s="21">
        <f t="shared" si="13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abSelected="1" workbookViewId="0">
      <selection activeCell="N12" sqref="N1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251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252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309</v>
      </c>
      <c r="D18" s="4">
        <v>0</v>
      </c>
      <c r="E18" s="4">
        <v>0</v>
      </c>
      <c r="F18">
        <v>150</v>
      </c>
      <c r="G18" t="s">
        <v>310</v>
      </c>
      <c r="H18">
        <v>22</v>
      </c>
      <c r="I18" t="s">
        <v>195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199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366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367</v>
      </c>
    </row>
    <row r="22" spans="1:9" x14ac:dyDescent="0.2">
      <c r="A22">
        <v>21</v>
      </c>
      <c r="B22">
        <v>20</v>
      </c>
      <c r="C22" s="11" t="s">
        <v>196</v>
      </c>
      <c r="D22" s="4">
        <v>0</v>
      </c>
      <c r="E22" s="4">
        <v>0</v>
      </c>
      <c r="F22">
        <v>50</v>
      </c>
      <c r="G22" t="s">
        <v>212</v>
      </c>
      <c r="H22">
        <v>26</v>
      </c>
      <c r="I22" t="s">
        <v>368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213</v>
      </c>
      <c r="H23">
        <v>27</v>
      </c>
      <c r="I23" t="s">
        <v>369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214</v>
      </c>
      <c r="H24">
        <v>28</v>
      </c>
      <c r="I24" t="s">
        <v>370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215</v>
      </c>
      <c r="H25">
        <v>29</v>
      </c>
      <c r="I25" t="s">
        <v>207</v>
      </c>
    </row>
    <row r="26" spans="1:9" x14ac:dyDescent="0.2">
      <c r="A26">
        <v>25</v>
      </c>
      <c r="B26">
        <v>21</v>
      </c>
      <c r="C26" s="11" t="s">
        <v>374</v>
      </c>
      <c r="D26" s="4">
        <v>0</v>
      </c>
      <c r="E26" s="4">
        <v>0</v>
      </c>
      <c r="F26">
        <v>5</v>
      </c>
      <c r="G26" t="s">
        <v>375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376</v>
      </c>
      <c r="D27" s="4">
        <v>0</v>
      </c>
      <c r="E27" s="4">
        <v>0</v>
      </c>
      <c r="F27">
        <v>2</v>
      </c>
      <c r="G27" t="s">
        <v>377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378</v>
      </c>
      <c r="D28" s="4">
        <v>0</v>
      </c>
      <c r="E28" s="4">
        <v>0</v>
      </c>
      <c r="F28">
        <v>6</v>
      </c>
      <c r="G28" t="s">
        <v>379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198</v>
      </c>
      <c r="D29" s="4">
        <v>0</v>
      </c>
      <c r="E29" s="4">
        <v>0</v>
      </c>
      <c r="F29">
        <v>100</v>
      </c>
      <c r="G29" t="s">
        <v>197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210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324</v>
      </c>
    </row>
    <row r="31" spans="1:9" x14ac:dyDescent="0.2">
      <c r="A31">
        <v>30</v>
      </c>
      <c r="B31">
        <v>24</v>
      </c>
      <c r="C31" s="11" t="s">
        <v>337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325</v>
      </c>
    </row>
    <row r="32" spans="1:9" x14ac:dyDescent="0.2">
      <c r="A32">
        <v>31</v>
      </c>
      <c r="B32">
        <v>25</v>
      </c>
      <c r="C32" t="s">
        <v>365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339</v>
      </c>
      <c r="D34" s="4">
        <v>0</v>
      </c>
      <c r="E34" s="4">
        <v>0</v>
      </c>
      <c r="F34">
        <v>300</v>
      </c>
      <c r="G34" t="s">
        <v>340</v>
      </c>
    </row>
    <row r="35" spans="1:7" x14ac:dyDescent="0.2">
      <c r="A35">
        <v>34</v>
      </c>
      <c r="B35">
        <v>30</v>
      </c>
      <c r="C35" s="11" t="s">
        <v>361</v>
      </c>
      <c r="D35" s="4">
        <v>0</v>
      </c>
      <c r="E35" s="4">
        <v>0</v>
      </c>
      <c r="F35">
        <v>150</v>
      </c>
      <c r="G35" t="s">
        <v>343</v>
      </c>
    </row>
    <row r="36" spans="1:7" x14ac:dyDescent="0.2">
      <c r="A36">
        <v>35</v>
      </c>
      <c r="B36">
        <v>31</v>
      </c>
      <c r="C36" t="s">
        <v>338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360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364</v>
      </c>
      <c r="D38" s="4">
        <v>0</v>
      </c>
      <c r="E38" s="4">
        <v>0</v>
      </c>
      <c r="F38">
        <v>200</v>
      </c>
      <c r="G38" t="s">
        <v>341</v>
      </c>
    </row>
    <row r="39" spans="1:7" x14ac:dyDescent="0.2">
      <c r="A39">
        <v>38</v>
      </c>
      <c r="B39">
        <v>38</v>
      </c>
      <c r="C39" t="s">
        <v>342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345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371</v>
      </c>
      <c r="D41" s="4">
        <v>0</v>
      </c>
      <c r="E41" s="4">
        <v>0</v>
      </c>
      <c r="F41">
        <v>2</v>
      </c>
      <c r="G41" t="s">
        <v>372</v>
      </c>
    </row>
    <row r="42" spans="1:7" x14ac:dyDescent="0.2">
      <c r="A42">
        <v>41</v>
      </c>
      <c r="B42">
        <v>21</v>
      </c>
      <c r="C42" s="11" t="s">
        <v>380</v>
      </c>
      <c r="D42" s="4">
        <v>0</v>
      </c>
      <c r="E42" s="4">
        <v>0</v>
      </c>
      <c r="F42">
        <v>2</v>
      </c>
      <c r="G42" t="s">
        <v>373</v>
      </c>
    </row>
    <row r="43" spans="1:7" x14ac:dyDescent="0.2">
      <c r="A43">
        <v>42</v>
      </c>
      <c r="B43">
        <v>4</v>
      </c>
      <c r="C43" s="52">
        <v>30</v>
      </c>
      <c r="D43" s="4">
        <v>0</v>
      </c>
      <c r="E43" s="4">
        <v>0</v>
      </c>
      <c r="F43">
        <v>30</v>
      </c>
      <c r="G43" t="s">
        <v>381</v>
      </c>
    </row>
    <row r="44" spans="1:7" x14ac:dyDescent="0.2">
      <c r="A44">
        <v>43</v>
      </c>
      <c r="B44">
        <v>5</v>
      </c>
      <c r="C44" s="52">
        <v>50</v>
      </c>
      <c r="D44" s="4">
        <v>0</v>
      </c>
      <c r="E44" s="4">
        <v>0</v>
      </c>
      <c r="F44">
        <v>50</v>
      </c>
      <c r="G44" t="s">
        <v>382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218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219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220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221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222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223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224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225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226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227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228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229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230</v>
      </c>
      <c r="F17" s="15">
        <f t="shared" si="1"/>
        <v>35</v>
      </c>
      <c r="G17" s="15">
        <v>0</v>
      </c>
      <c r="H17" s="15" t="s">
        <v>200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248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231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232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233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319</v>
      </c>
      <c r="E25" s="17" t="s">
        <v>234</v>
      </c>
      <c r="F25" s="15" t="s">
        <v>318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235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253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236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237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238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217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239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305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240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241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242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243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244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245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246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312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2020-07-17T06:38:45Z</dcterms:modified>
</cp:coreProperties>
</file>