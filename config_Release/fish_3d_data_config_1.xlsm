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7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95" i="7" l="1"/>
  <c r="I95" i="7"/>
  <c r="J95" i="7"/>
  <c r="H69" i="7"/>
  <c r="I69" i="7"/>
  <c r="J69" i="7"/>
  <c r="H70" i="7"/>
  <c r="I70" i="7"/>
  <c r="J70" i="7"/>
  <c r="H71" i="7"/>
  <c r="I71" i="7"/>
  <c r="J71" i="7"/>
  <c r="H72" i="7"/>
  <c r="I72" i="7"/>
  <c r="J72" i="7"/>
  <c r="H73" i="7"/>
  <c r="I73" i="7"/>
  <c r="J73" i="7"/>
  <c r="H74" i="7"/>
  <c r="I74" i="7"/>
  <c r="J74" i="7"/>
  <c r="H75" i="7"/>
  <c r="I75" i="7"/>
  <c r="J75" i="7"/>
  <c r="H76" i="7"/>
  <c r="I76" i="7"/>
  <c r="J76" i="7"/>
  <c r="H77" i="7"/>
  <c r="I77" i="7"/>
  <c r="J77" i="7"/>
  <c r="H78" i="7"/>
  <c r="I78" i="7"/>
  <c r="J78" i="7"/>
  <c r="H79" i="7"/>
  <c r="I79" i="7"/>
  <c r="J79" i="7"/>
  <c r="H80" i="7"/>
  <c r="I80" i="7"/>
  <c r="J80" i="7"/>
  <c r="H81" i="7"/>
  <c r="I81" i="7"/>
  <c r="J81" i="7"/>
  <c r="H82" i="7"/>
  <c r="I82" i="7"/>
  <c r="J82" i="7"/>
  <c r="H83" i="7"/>
  <c r="I83" i="7"/>
  <c r="J83" i="7"/>
  <c r="H84" i="7"/>
  <c r="I84" i="7"/>
  <c r="J84" i="7"/>
  <c r="H85" i="7"/>
  <c r="I85" i="7"/>
  <c r="J85" i="7"/>
  <c r="H86" i="7"/>
  <c r="I86" i="7"/>
  <c r="J86" i="7"/>
  <c r="H87" i="7"/>
  <c r="I87" i="7"/>
  <c r="J87" i="7"/>
  <c r="H88" i="7"/>
  <c r="I88" i="7"/>
  <c r="J88" i="7"/>
  <c r="H89" i="7"/>
  <c r="I89" i="7"/>
  <c r="J89" i="7"/>
  <c r="H90" i="7"/>
  <c r="I90" i="7"/>
  <c r="J90" i="7"/>
  <c r="H91" i="7"/>
  <c r="I91" i="7"/>
  <c r="J91" i="7"/>
  <c r="H92" i="7"/>
  <c r="I92" i="7"/>
  <c r="J92" i="7"/>
  <c r="H93" i="7"/>
  <c r="I93" i="7"/>
  <c r="J93" i="7"/>
  <c r="H94" i="7"/>
  <c r="I94" i="7"/>
  <c r="J94" i="7"/>
  <c r="H68" i="7"/>
  <c r="I68" i="7"/>
  <c r="J68" i="7"/>
  <c r="I79" i="14"/>
  <c r="L79" i="14"/>
  <c r="K79" i="14"/>
  <c r="H79" i="14"/>
  <c r="F79" i="14"/>
  <c r="I78" i="14"/>
  <c r="L78" i="14"/>
  <c r="K78" i="14"/>
  <c r="H78" i="14"/>
  <c r="F78" i="14"/>
  <c r="I77" i="14"/>
  <c r="L77" i="14"/>
  <c r="K77" i="14"/>
  <c r="H77" i="14"/>
  <c r="F77" i="14"/>
  <c r="I76" i="14"/>
  <c r="L76" i="14"/>
  <c r="K76" i="14"/>
  <c r="H76" i="14"/>
  <c r="F76" i="14"/>
  <c r="I75" i="14"/>
  <c r="L75" i="14"/>
  <c r="K75" i="14"/>
  <c r="H75" i="14"/>
  <c r="F75" i="14"/>
  <c r="I74" i="14"/>
  <c r="L74" i="14"/>
  <c r="K74" i="14"/>
  <c r="H74" i="14"/>
  <c r="F74" i="14"/>
  <c r="I73" i="14"/>
  <c r="L73" i="14"/>
  <c r="K73" i="14"/>
  <c r="H73" i="14"/>
  <c r="E73" i="14"/>
  <c r="F73" i="14"/>
  <c r="I72" i="14"/>
  <c r="L72" i="14"/>
  <c r="K72" i="14"/>
  <c r="H72" i="14"/>
  <c r="E72" i="14"/>
  <c r="F72" i="14"/>
  <c r="N71" i="14"/>
  <c r="I71" i="14"/>
  <c r="L71" i="14"/>
  <c r="K71" i="14"/>
  <c r="H71" i="14"/>
  <c r="E71" i="14"/>
  <c r="F71" i="14"/>
  <c r="N70" i="14"/>
  <c r="I70" i="14"/>
  <c r="L70" i="14"/>
  <c r="K70" i="14"/>
  <c r="H70" i="14"/>
  <c r="E70" i="14"/>
  <c r="F70" i="14"/>
  <c r="N69" i="14"/>
  <c r="I69" i="14"/>
  <c r="L69" i="14"/>
  <c r="K69" i="14"/>
  <c r="H69" i="14"/>
  <c r="E69" i="14"/>
  <c r="F69" i="14"/>
  <c r="N68" i="14"/>
  <c r="I68" i="14"/>
  <c r="L68" i="14"/>
  <c r="K68" i="14"/>
  <c r="H68" i="14"/>
  <c r="E68" i="14"/>
  <c r="F68" i="14"/>
  <c r="N67" i="14"/>
  <c r="I67" i="14"/>
  <c r="L67" i="14"/>
  <c r="K67" i="14"/>
  <c r="H67" i="14"/>
  <c r="E67" i="14"/>
  <c r="F67" i="14"/>
  <c r="N66" i="14"/>
  <c r="I66" i="14"/>
  <c r="L66" i="14"/>
  <c r="K66" i="14"/>
  <c r="H66" i="14"/>
  <c r="E66" i="14"/>
  <c r="F66" i="14"/>
  <c r="I65" i="14"/>
  <c r="L65" i="14"/>
  <c r="K65" i="14"/>
  <c r="H65" i="14"/>
  <c r="F65" i="14"/>
  <c r="I64" i="14"/>
  <c r="L64" i="14"/>
  <c r="K64" i="14"/>
  <c r="H64" i="14"/>
  <c r="F64" i="14"/>
  <c r="I63" i="14"/>
  <c r="L63" i="14"/>
  <c r="K63" i="14"/>
  <c r="H63" i="14"/>
  <c r="F63" i="14"/>
  <c r="I62" i="14"/>
  <c r="L62" i="14"/>
  <c r="K62" i="14"/>
  <c r="H62" i="14"/>
  <c r="F62" i="14"/>
  <c r="I61" i="14"/>
  <c r="L61" i="14"/>
  <c r="K61" i="14"/>
  <c r="H61" i="14"/>
  <c r="F61" i="14"/>
  <c r="I60" i="14"/>
  <c r="L60" i="14"/>
  <c r="K60" i="14"/>
  <c r="H60" i="14"/>
  <c r="F60" i="14"/>
  <c r="I59" i="14"/>
  <c r="L59" i="14"/>
  <c r="K59" i="14"/>
  <c r="H59" i="14"/>
  <c r="E59" i="14"/>
  <c r="F59" i="14"/>
  <c r="I58" i="14"/>
  <c r="L58" i="14"/>
  <c r="K58" i="14"/>
  <c r="H58" i="14"/>
  <c r="E58" i="14"/>
  <c r="F58" i="14"/>
  <c r="N57" i="14"/>
  <c r="I57" i="14"/>
  <c r="L57" i="14"/>
  <c r="K57" i="14"/>
  <c r="H57" i="14"/>
  <c r="E57" i="14"/>
  <c r="F57" i="14"/>
  <c r="N56" i="14"/>
  <c r="I56" i="14"/>
  <c r="L56" i="14"/>
  <c r="K56" i="14"/>
  <c r="H56" i="14"/>
  <c r="E56" i="14"/>
  <c r="F56" i="14"/>
  <c r="N55" i="14"/>
  <c r="I55" i="14"/>
  <c r="L55" i="14"/>
  <c r="K55" i="14"/>
  <c r="H55" i="14"/>
  <c r="E55" i="14"/>
  <c r="F55" i="14"/>
  <c r="N54" i="14"/>
  <c r="I54" i="14"/>
  <c r="L54" i="14"/>
  <c r="K54" i="14"/>
  <c r="H54" i="14"/>
  <c r="E54" i="14"/>
  <c r="F54" i="14"/>
  <c r="N53" i="14"/>
  <c r="I53" i="14"/>
  <c r="L53" i="14"/>
  <c r="K53" i="14"/>
  <c r="H53" i="14"/>
  <c r="E53" i="14"/>
  <c r="F53" i="14"/>
  <c r="N52" i="14"/>
  <c r="I52" i="14"/>
  <c r="L52" i="14"/>
  <c r="K52" i="14"/>
  <c r="H52" i="14"/>
  <c r="E52" i="14"/>
  <c r="F52" i="14"/>
  <c r="G31" i="5"/>
  <c r="G32" i="5"/>
  <c r="G33" i="5"/>
  <c r="F42" i="1"/>
  <c r="F39" i="1"/>
  <c r="H40" i="7"/>
  <c r="F26" i="1"/>
  <c r="I26" i="14"/>
  <c r="I40" i="7"/>
  <c r="D26" i="1"/>
  <c r="F26" i="14"/>
  <c r="L26" i="14"/>
  <c r="G36" i="5"/>
  <c r="F51" i="1"/>
  <c r="D51" i="1"/>
  <c r="I7" i="14"/>
  <c r="E7" i="14"/>
  <c r="F7" i="14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E10" i="14"/>
  <c r="E11" i="14"/>
  <c r="E12" i="14"/>
  <c r="E13" i="14"/>
  <c r="E14" i="14"/>
  <c r="E15" i="14"/>
  <c r="E16" i="14"/>
  <c r="E17" i="14"/>
  <c r="E18" i="14"/>
  <c r="E19" i="14"/>
  <c r="E20" i="14"/>
  <c r="E29" i="14"/>
  <c r="H43" i="7"/>
  <c r="E30" i="14"/>
  <c r="E31" i="14"/>
  <c r="E32" i="14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/>
  <c r="D24" i="1"/>
  <c r="F9" i="1"/>
  <c r="I9" i="14"/>
  <c r="F10" i="1"/>
  <c r="I10" i="14"/>
  <c r="D9" i="1"/>
  <c r="D10" i="1"/>
  <c r="L10" i="14"/>
  <c r="I9" i="7"/>
  <c r="H34" i="7"/>
  <c r="H42" i="7"/>
  <c r="H37" i="7"/>
  <c r="H33" i="7"/>
  <c r="H11" i="7"/>
  <c r="H41" i="7"/>
  <c r="H36" i="7"/>
  <c r="H32" i="7"/>
  <c r="H35" i="7"/>
  <c r="F24" i="14"/>
  <c r="H38" i="7"/>
  <c r="L24" i="14"/>
  <c r="I38" i="7"/>
  <c r="H17" i="7"/>
  <c r="H10" i="7"/>
  <c r="H12" i="7"/>
  <c r="L9" i="14"/>
  <c r="H9" i="7"/>
  <c r="F10" i="14"/>
  <c r="I10" i="7"/>
  <c r="F9" i="14"/>
  <c r="F38" i="1"/>
  <c r="D38" i="1"/>
  <c r="E8" i="14"/>
  <c r="H67" i="7"/>
  <c r="H16" i="7"/>
  <c r="H15" i="7"/>
  <c r="H22" i="7"/>
  <c r="F32" i="1"/>
  <c r="F33" i="1"/>
  <c r="F34" i="1"/>
  <c r="F36" i="1"/>
  <c r="F37" i="1"/>
  <c r="D37" i="1"/>
  <c r="D36" i="1"/>
  <c r="H31" i="14"/>
  <c r="G30" i="5"/>
  <c r="H32" i="14"/>
  <c r="D35" i="1"/>
  <c r="D34" i="1"/>
  <c r="D28" i="1"/>
  <c r="D29" i="1"/>
  <c r="D30" i="1"/>
  <c r="D31" i="1"/>
  <c r="D32" i="1"/>
  <c r="D33" i="1"/>
  <c r="K50" i="14"/>
  <c r="J64" i="7"/>
  <c r="E50" i="14"/>
  <c r="K49" i="14"/>
  <c r="E49" i="14"/>
  <c r="K48" i="14"/>
  <c r="E48" i="14"/>
  <c r="K47" i="14"/>
  <c r="E47" i="14"/>
  <c r="F47" i="14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J49" i="7"/>
  <c r="E35" i="14"/>
  <c r="K34" i="14"/>
  <c r="E34" i="14"/>
  <c r="K33" i="14"/>
  <c r="E33" i="14"/>
  <c r="J60" i="7"/>
  <c r="H8" i="7"/>
  <c r="F8" i="1"/>
  <c r="D8" i="1"/>
  <c r="F8" i="14"/>
  <c r="F29" i="14"/>
  <c r="K29" i="14"/>
  <c r="J43" i="7"/>
  <c r="F30" i="14"/>
  <c r="I30" i="14"/>
  <c r="K30" i="14"/>
  <c r="J44" i="7"/>
  <c r="F31" i="14"/>
  <c r="K31" i="14"/>
  <c r="J45" i="7"/>
  <c r="F32" i="14"/>
  <c r="K32" i="14"/>
  <c r="J46" i="7"/>
  <c r="F20" i="14"/>
  <c r="K20" i="14"/>
  <c r="J34" i="7"/>
  <c r="F21" i="14"/>
  <c r="H21" i="14"/>
  <c r="K21" i="14"/>
  <c r="J35" i="7"/>
  <c r="F22" i="14"/>
  <c r="K22" i="14"/>
  <c r="J36" i="7"/>
  <c r="F23" i="14"/>
  <c r="H23" i="14"/>
  <c r="K23" i="14"/>
  <c r="J37" i="7"/>
  <c r="H24" i="14"/>
  <c r="K24" i="14"/>
  <c r="J38" i="7"/>
  <c r="H25" i="14"/>
  <c r="K25" i="14"/>
  <c r="J39" i="7"/>
  <c r="H26" i="14"/>
  <c r="K26" i="14"/>
  <c r="J40" i="7"/>
  <c r="K27" i="14"/>
  <c r="J41" i="7"/>
  <c r="F28" i="14"/>
  <c r="H28" i="14"/>
  <c r="K28" i="14"/>
  <c r="J42" i="7"/>
  <c r="I29" i="14"/>
  <c r="F31" i="1"/>
  <c r="I31" i="14"/>
  <c r="I32" i="14"/>
  <c r="G20" i="5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D27" i="1"/>
  <c r="F27" i="1"/>
  <c r="I27" i="14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J65" i="7"/>
  <c r="K6" i="14"/>
  <c r="J66" i="7"/>
  <c r="K7" i="14"/>
  <c r="K8" i="14"/>
  <c r="K9" i="14"/>
  <c r="J9" i="7"/>
  <c r="K10" i="14"/>
  <c r="K11" i="14"/>
  <c r="K12" i="14"/>
  <c r="K13" i="14"/>
  <c r="J27" i="7"/>
  <c r="K14" i="14"/>
  <c r="J28" i="7"/>
  <c r="K15" i="14"/>
  <c r="J29" i="7"/>
  <c r="K16" i="14"/>
  <c r="K17" i="14"/>
  <c r="J31" i="7"/>
  <c r="K18" i="14"/>
  <c r="J32" i="7"/>
  <c r="K19" i="14"/>
  <c r="J33" i="7"/>
  <c r="K2" i="14"/>
  <c r="J6" i="7"/>
  <c r="D2" i="1"/>
  <c r="F2" i="1"/>
  <c r="F3" i="1"/>
  <c r="F4" i="1"/>
  <c r="I4" i="14"/>
  <c r="F5" i="1"/>
  <c r="F6" i="1"/>
  <c r="F11" i="1"/>
  <c r="I11" i="14"/>
  <c r="F12" i="1"/>
  <c r="I12" i="14"/>
  <c r="L12" i="14"/>
  <c r="F13" i="1"/>
  <c r="I13" i="14"/>
  <c r="F16" i="1"/>
  <c r="I49" i="14"/>
  <c r="F15" i="1"/>
  <c r="I15" i="14"/>
  <c r="I16" i="14"/>
  <c r="F17" i="1"/>
  <c r="I17" i="14"/>
  <c r="F18" i="1"/>
  <c r="F19" i="1"/>
  <c r="I19" i="14"/>
  <c r="F20" i="1"/>
  <c r="E3" i="14"/>
  <c r="E4" i="14"/>
  <c r="E5" i="14"/>
  <c r="E6" i="14"/>
  <c r="F12" i="14"/>
  <c r="F13" i="14"/>
  <c r="H29" i="7"/>
  <c r="H30" i="7"/>
  <c r="H31" i="7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/>
  <c r="G15" i="5"/>
  <c r="H41" i="14"/>
  <c r="G5" i="5"/>
  <c r="G7" i="5"/>
  <c r="H19" i="14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/>
  <c r="G10" i="5"/>
  <c r="I45" i="14"/>
  <c r="J12" i="7"/>
  <c r="J11" i="7"/>
  <c r="J8" i="7"/>
  <c r="J67" i="7"/>
  <c r="H7" i="7"/>
  <c r="H20" i="14"/>
  <c r="H30" i="14"/>
  <c r="I11" i="7"/>
  <c r="L15" i="14"/>
  <c r="L17" i="14"/>
  <c r="I41" i="7"/>
  <c r="L29" i="14"/>
  <c r="L30" i="14"/>
  <c r="I30" i="7"/>
  <c r="F36" i="14"/>
  <c r="F40" i="14"/>
  <c r="F42" i="14"/>
  <c r="F44" i="14"/>
  <c r="F49" i="14"/>
  <c r="H65" i="7"/>
  <c r="F34" i="14"/>
  <c r="F33" i="14"/>
  <c r="F35" i="14"/>
  <c r="F37" i="14"/>
  <c r="F39" i="14"/>
  <c r="F41" i="14"/>
  <c r="H21" i="7"/>
  <c r="H66" i="7"/>
  <c r="J30" i="7"/>
  <c r="J26" i="7"/>
  <c r="H20" i="7"/>
  <c r="L19" i="14"/>
  <c r="I33" i="7"/>
  <c r="H60" i="7"/>
  <c r="H13" i="7"/>
  <c r="H23" i="7"/>
  <c r="H26" i="7"/>
  <c r="H18" i="7"/>
  <c r="I12" i="7"/>
  <c r="H52" i="7"/>
  <c r="I17" i="7"/>
  <c r="H19" i="7"/>
  <c r="H14" i="7"/>
  <c r="F50" i="14"/>
  <c r="J57" i="7"/>
  <c r="J47" i="7"/>
  <c r="J53" i="7"/>
  <c r="J50" i="7"/>
  <c r="J54" i="7"/>
  <c r="J58" i="7"/>
  <c r="J48" i="7"/>
  <c r="J51" i="7"/>
  <c r="J55" i="7"/>
  <c r="J59" i="7"/>
  <c r="J62" i="7"/>
  <c r="J52" i="7"/>
  <c r="J56" i="7"/>
  <c r="J61" i="7"/>
  <c r="J63" i="7"/>
  <c r="J24" i="7"/>
  <c r="I43" i="14"/>
  <c r="I39" i="14"/>
  <c r="I20" i="14"/>
  <c r="I41" i="14"/>
  <c r="I8" i="14"/>
  <c r="I2" i="14"/>
  <c r="I28" i="14"/>
  <c r="H46" i="14"/>
  <c r="H50" i="14"/>
  <c r="H42" i="14"/>
  <c r="H49" i="14"/>
  <c r="H45" i="14"/>
  <c r="H47" i="14"/>
  <c r="H43" i="14"/>
  <c r="L25" i="14"/>
  <c r="H34" i="14"/>
  <c r="H39" i="14"/>
  <c r="H33" i="14"/>
  <c r="H36" i="14"/>
  <c r="H37" i="14"/>
  <c r="H38" i="14"/>
  <c r="H29" i="14"/>
  <c r="H40" i="14"/>
  <c r="H44" i="14"/>
  <c r="J3" i="7"/>
  <c r="J16" i="7"/>
  <c r="J18" i="7"/>
  <c r="J5" i="7"/>
  <c r="J20" i="7"/>
  <c r="J13" i="7"/>
  <c r="J17" i="7"/>
  <c r="J10" i="7"/>
  <c r="J2" i="7"/>
  <c r="J15" i="7"/>
  <c r="I23" i="14"/>
  <c r="I59" i="7"/>
  <c r="I18" i="14"/>
  <c r="I38" i="14"/>
  <c r="I36" i="14"/>
  <c r="I14" i="14"/>
  <c r="H4" i="7"/>
  <c r="F3" i="14"/>
  <c r="L16" i="14"/>
  <c r="H53" i="7"/>
  <c r="I5" i="14"/>
  <c r="H62" i="7"/>
  <c r="F17" i="14"/>
  <c r="L45" i="14"/>
  <c r="H44" i="7"/>
  <c r="H45" i="7"/>
  <c r="F16" i="14"/>
  <c r="I31" i="7"/>
  <c r="F4" i="14"/>
  <c r="H28" i="7"/>
  <c r="H63" i="7"/>
  <c r="I29" i="7"/>
  <c r="H46" i="7"/>
  <c r="F15" i="14"/>
  <c r="H59" i="7"/>
  <c r="H64" i="7"/>
  <c r="H27" i="7"/>
  <c r="H50" i="7"/>
  <c r="F48" i="14"/>
  <c r="F27" i="14"/>
  <c r="J14" i="7"/>
  <c r="H5" i="7"/>
  <c r="I43" i="7"/>
  <c r="I44" i="7"/>
  <c r="H6" i="7"/>
  <c r="J19" i="7"/>
  <c r="F5" i="14"/>
  <c r="H48" i="7"/>
  <c r="L11" i="14"/>
  <c r="H24" i="7"/>
  <c r="F2" i="14"/>
  <c r="F6" i="14"/>
  <c r="H3" i="7"/>
  <c r="H2" i="7"/>
  <c r="H57" i="7"/>
  <c r="L4" i="14"/>
  <c r="J23" i="7"/>
  <c r="H58" i="7"/>
  <c r="H56" i="7"/>
  <c r="H25" i="7"/>
  <c r="H55" i="7"/>
  <c r="L47" i="14"/>
  <c r="L49" i="14"/>
  <c r="L27" i="14"/>
  <c r="I46" i="7"/>
  <c r="L32" i="14"/>
  <c r="I45" i="7"/>
  <c r="L31" i="14"/>
  <c r="I27" i="7"/>
  <c r="F11" i="14"/>
  <c r="J25" i="7"/>
  <c r="J7" i="7"/>
  <c r="J4" i="7"/>
  <c r="J22" i="7"/>
  <c r="J21" i="7"/>
  <c r="I50" i="14"/>
  <c r="I44" i="14"/>
  <c r="I37" i="14"/>
  <c r="I48" i="14"/>
  <c r="I42" i="14"/>
  <c r="H47" i="7"/>
  <c r="I34" i="14"/>
  <c r="L13" i="14"/>
  <c r="H49" i="7"/>
  <c r="I46" i="14"/>
  <c r="I40" i="14"/>
  <c r="I33" i="14"/>
  <c r="I6" i="14"/>
  <c r="I3" i="14"/>
  <c r="I22" i="14"/>
  <c r="I21" i="14"/>
  <c r="H51" i="7"/>
  <c r="H54" i="7"/>
  <c r="H61" i="7"/>
  <c r="I7" i="7"/>
  <c r="K67" i="7" a="1"/>
  <c r="K67" i="7"/>
  <c r="I48" i="7"/>
  <c r="I61" i="7"/>
  <c r="L14" i="14"/>
  <c r="L41" i="14"/>
  <c r="I36" i="7"/>
  <c r="L36" i="14"/>
  <c r="I66" i="7"/>
  <c r="I65" i="7"/>
  <c r="L38" i="14"/>
  <c r="I6" i="7"/>
  <c r="I35" i="7"/>
  <c r="I47" i="7"/>
  <c r="I63" i="7"/>
  <c r="L18" i="14"/>
  <c r="I67" i="7"/>
  <c r="L43" i="14"/>
  <c r="K34" i="7" a="1"/>
  <c r="K34" i="7"/>
  <c r="K37" i="7" a="1"/>
  <c r="K37" i="7"/>
  <c r="K36" i="7" a="1"/>
  <c r="K36" i="7"/>
  <c r="K35" i="7" a="1"/>
  <c r="K35" i="7"/>
  <c r="K38" i="7" a="1"/>
  <c r="K38" i="7"/>
  <c r="I20" i="7"/>
  <c r="L23" i="14"/>
  <c r="I37" i="7"/>
  <c r="L28" i="14"/>
  <c r="I42" i="7"/>
  <c r="L20" i="14"/>
  <c r="I34" i="7"/>
  <c r="K12" i="7" a="1"/>
  <c r="K12" i="7"/>
  <c r="I14" i="7"/>
  <c r="I19" i="7"/>
  <c r="I18" i="7"/>
  <c r="I26" i="7"/>
  <c r="I23" i="7"/>
  <c r="I13" i="7"/>
  <c r="I8" i="7"/>
  <c r="I21" i="7"/>
  <c r="I16" i="7"/>
  <c r="I15" i="7"/>
  <c r="I22" i="7"/>
  <c r="L39" i="14"/>
  <c r="L8" i="14"/>
  <c r="I4" i="7"/>
  <c r="I2" i="7"/>
  <c r="I3" i="7"/>
  <c r="L2" i="14"/>
  <c r="I5" i="7"/>
  <c r="I28" i="7"/>
  <c r="K33" i="7" a="1"/>
  <c r="K33" i="7"/>
  <c r="K40" i="7" a="1"/>
  <c r="K40" i="7"/>
  <c r="I53" i="7"/>
  <c r="K44" i="7" a="1"/>
  <c r="K44" i="7"/>
  <c r="K17" i="7" a="1"/>
  <c r="K17" i="7"/>
  <c r="K10" i="7" a="1"/>
  <c r="K10" i="7"/>
  <c r="L15" i="7" a="1"/>
  <c r="L15" i="7"/>
  <c r="K18" i="7" a="1"/>
  <c r="K18" i="7"/>
  <c r="K39" i="7" a="1"/>
  <c r="K39" i="7"/>
  <c r="K41" i="7" a="1"/>
  <c r="K41" i="7"/>
  <c r="L16" i="7" a="1"/>
  <c r="L16" i="7"/>
  <c r="K11" i="7" a="1"/>
  <c r="K11" i="7"/>
  <c r="K8" i="7" a="1"/>
  <c r="K8" i="7"/>
  <c r="K9" i="7" a="1"/>
  <c r="K9" i="7"/>
  <c r="K45" i="7" a="1"/>
  <c r="K45" i="7"/>
  <c r="I32" i="7"/>
  <c r="L7" i="14"/>
  <c r="L5" i="14"/>
  <c r="I55" i="7"/>
  <c r="I51" i="7"/>
  <c r="L21" i="14"/>
  <c r="L22" i="14"/>
  <c r="L3" i="14"/>
  <c r="L6" i="14"/>
  <c r="I25" i="7"/>
  <c r="I24" i="7"/>
  <c r="I54" i="7"/>
  <c r="I56" i="7"/>
  <c r="L33" i="14"/>
  <c r="L40" i="14"/>
  <c r="L46" i="14"/>
  <c r="I62" i="7"/>
  <c r="I57" i="7"/>
  <c r="I50" i="7"/>
  <c r="I49" i="7"/>
  <c r="I52" i="7"/>
  <c r="L34" i="14"/>
  <c r="I64" i="7"/>
  <c r="I58" i="7"/>
  <c r="L35" i="14"/>
  <c r="L42" i="14"/>
  <c r="L48" i="14"/>
  <c r="I60" i="7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<sst xmlns="http://schemas.openxmlformats.org/spreadsheetml/2006/main" count="547" uniqueCount="400">
  <si>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</si>
  <si>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</si>
  <si>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</si>
  <si>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</si>
  <si>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</si>
  <si>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</si>
  <si>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</si>
  <si>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</si>
  <si>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</si>
  <si>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</si>
  <si>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</si>
  <si>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</si>
  <si>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</si>
  <si>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</si>
  <si>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</si>
  <si>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</si>
  <si>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</si>
  <si>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</si>
  <si>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</si>
  <si>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</si>
  <si>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</si>
  <si>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</si>
  <si>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</si>
  <si>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</si>
  <si>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</si>
  <si>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</si>
  <si>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</si>
  <si>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</si>
  <si>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</si>
  <si>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</si>
  <si>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</si>
  <si>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</si>
  <si>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</si>
  <si>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</si>
  <si>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</si>
  <si>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</si>
  <si>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</si>
  <si>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</si>
  <si>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</si>
  <si>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</si>
  <si>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</si>
  <si>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</si>
  <si>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</si>
  <si>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</si>
  <si>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</si>
  <si>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</si>
  <si>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</si>
  <si>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</si>
  <si>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</si>
  <si>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</si>
  <si>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</si>
  <si>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</si>
  <si>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</si>
  <si>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</si>
  <si>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</si>
  <si>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</si>
  <si>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</si>
  <si>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</si>
  <si>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</si>
  <si>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</si>
  <si>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</si>
  <si>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</si>
  <si>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</si>
  <si>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</si>
  <si>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</si>
  <si>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</si>
  <si>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</si>
  <si>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</si>
  <si>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</si>
  <si>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</si>
  <si>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</si>
  <si>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</si>
  <si>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</si>
  <si>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</si>
  <si>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</si>
  <si>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</si>
  <si>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</si>
  <si>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</si>
  <si>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</si>
  <si>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</si>
  <si>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</si>
  <si>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</si>
  <si>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</si>
  <si>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</si>
  <si>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</si>
  <si>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</si>
  <si>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</si>
  <si>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</si>
  <si>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</si>
  <si>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</si>
  <si>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</si>
  <si>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</si>
  <si>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</si>
  <si>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</si>
  <si>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</si>
  <si>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</si>
  <si>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</si>
  <si>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</si>
  <si>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</si>
  <si>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</si>
  <si>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</si>
  <si>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</si>
  <si>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</si>
  <si>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</si>
  <si>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</si>
  <si>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</si>
  <si>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</si>
  <si>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</si>
  <si>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</si>
  <si>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</si>
  <si>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</si>
  <si>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</si>
  <si>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</si>
  <si>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</si>
  <si>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</si>
  <si>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</si>
  <si>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</si>
  <si>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</si>
  <si>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</si>
  <si>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</si>
  <si>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</si>
  <si>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</si>
  <si>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</si>
  <si>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</si>
  <si>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</si>
  <si>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</si>
  <si>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</si>
  <si>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</si>
  <si>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</si>
  <si>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</si>
  <si>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</si>
  <si>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</si>
  <si>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</si>
  <si>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</si>
  <si>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</si>
  <si>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</si>
  <si>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</si>
  <si>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</si>
  <si>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</si>
  <si>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</si>
  <si>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</si>
  <si>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</si>
  <si>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</si>
  <si>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</si>
  <si>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</si>
  <si>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</si>
  <si>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</si>
  <si>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</si>
  <si>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</si>
  <si>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</si>
  <si>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</si>
  <si>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</si>
  <si>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</si>
  <si>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</si>
  <si>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</si>
  <si>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</si>
  <si>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</si>
  <si>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</si>
  <si>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</si>
  <si>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</si>
  <si>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</si>
  <si>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</si>
  <si>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</si>
  <si>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</si>
  <si>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</si>
  <si>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</si>
  <si>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</si>
  <si>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</si>
  <si>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</si>
  <si>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</si>
  <si>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</si>
  <si>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</si>
  <si>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</si>
  <si>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</si>
  <si>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</si>
  <si>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</si>
  <si>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</si>
  <si>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</si>
  <si>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</si>
  <si>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</si>
  <si>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</si>
  <si>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</si>
  <si>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</si>
  <si>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</si>
  <si>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</si>
  <si>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</si>
  <si>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</si>
  <si>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</si>
  <si>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4,9,4,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</si>
  <si>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</si>
  <si>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</si>
  <si>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</si>
  <si>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</si>
  <si>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</si>
  <si>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</si>
  <si>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</si>
  <si>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</si>
  <si>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</si>
  <si>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</si>
  <si>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</si>
  <si>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</si>
  <si>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</si>
  <si>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</si>
  <si>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</si>
  <si>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</si>
  <si>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</si>
  <si>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</si>
  <si>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</si>
  <si>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</si>
  <si>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</si>
  <si>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</si>
  <si>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</si>
  <si>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</si>
  <si>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7,9,7,</t>
    <phoneticPr fontId="1" type="noConversion"/>
  </si>
  <si>
    <t>9,12,9,</t>
    <phoneticPr fontId="1" type="noConversion"/>
  </si>
  <si>
    <t>4,9,4,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</si>
  <si>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</si>
  <si>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</si>
  <si>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</si>
  <si>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</si>
  <si>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</si>
  <si>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</si>
  <si>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</si>
  <si>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</si>
  <si>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</si>
  <si>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</si>
  <si>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</si>
  <si>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</si>
  <si>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</si>
  <si>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</si>
  <si>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</si>
  <si>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</si>
  <si>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</si>
  <si>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</si>
  <si>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</si>
  <si>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</si>
  <si>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</si>
  <si>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</si>
  <si>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</si>
  <si>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</si>
  <si>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</si>
  <si>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fish_3d_yutu_random_1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</si>
  <si>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</si>
  <si>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</si>
  <si>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</si>
  <si>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</si>
  <si>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</si>
  <si>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</si>
  <si>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</si>
  <si>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</si>
  <si>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</si>
  <si>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</si>
  <si>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</si>
  <si>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</si>
  <si>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</si>
  <si>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</si>
  <si>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</si>
  <si>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</si>
  <si>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</si>
  <si>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</si>
  <si>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</si>
  <si>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</si>
  <si>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</si>
  <si>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</si>
  <si>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</si>
  <si>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</si>
  <si>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</si>
  <si>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</si>
  <si>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</si>
  <si>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</si>
  <si>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</si>
  <si>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</si>
  <si>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</si>
  <si>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</si>
  <si>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</si>
  <si>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</si>
  <si>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</si>
  <si>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</si>
  <si>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</si>
  <si>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</si>
  <si>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</si>
  <si>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</si>
  <si>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</si>
  <si>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</si>
  <si>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</si>
  <si>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</si>
  <si>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</si>
  <si>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</si>
  <si>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</si>
  <si>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</si>
  <si>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</si>
  <si>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</si>
  <si>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</si>
  <si>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</si>
  <si>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</si>
  <si>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</si>
  <si>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</si>
  <si>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</si>
  <si>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</si>
  <si>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</si>
  <si>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</si>
  <si>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</si>
  <si>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</si>
  <si>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</si>
  <si>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</si>
  <si>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</si>
  <si>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</si>
  <si>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</si>
  <si>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</si>
  <si>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</si>
  <si>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</si>
  <si>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</si>
  <si>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</si>
  <si>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</si>
  <si>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</si>
  <si>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</si>
  <si>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</si>
  <si>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fish_3d_yutu_gd_smallboss</t>
    <phoneticPr fontId="1" type="noConversion"/>
  </si>
  <si>
    <t>guding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</si>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</sst>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53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E9" sqref="E9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24</v>
      </c>
      <c r="B1" s="1" t="s">
        <v>25</v>
      </c>
      <c r="C1" s="1" t="s">
        <v>26</v>
      </c>
      <c r="D1" s="1" t="s">
        <v>27</v>
      </c>
      <c r="E1" s="1" t="s">
        <v>74</v>
      </c>
    </row>
    <row r="2" spans="1:5" x14ac:dyDescent="0.2">
      <c r="A2">
        <v>1</v>
      </c>
      <c r="B2" s="5">
        <v>0.03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0.03</v>
      </c>
      <c r="C11">
        <v>0.16</v>
      </c>
      <c r="D11" s="6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E28" sqref="E28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75</v>
      </c>
      <c r="B1" s="2" t="s">
        <v>76</v>
      </c>
      <c r="C1" s="2" t="s">
        <v>77</v>
      </c>
      <c r="D1" s="2" t="s">
        <v>78</v>
      </c>
      <c r="E1" s="2" t="s">
        <v>79</v>
      </c>
      <c r="F1" s="2" t="s">
        <v>80</v>
      </c>
      <c r="G1" s="2" t="s">
        <v>81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19</v>
      </c>
      <c r="B1" s="1" t="s">
        <v>28</v>
      </c>
      <c r="C1" s="1" t="s">
        <v>29</v>
      </c>
      <c r="D1" s="1" t="s">
        <v>30</v>
      </c>
      <c r="E1" s="1" t="s">
        <v>31</v>
      </c>
      <c r="F1" t="s">
        <v>37</v>
      </c>
      <c r="G1" t="s">
        <v>38</v>
      </c>
      <c r="H1" t="s">
        <v>39</v>
      </c>
      <c r="I1" t="s">
        <v>40</v>
      </c>
      <c r="J1" t="s">
        <v>41</v>
      </c>
      <c r="K1" t="s">
        <v>42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"/>
  <sheetViews>
    <sheetView zoomScaleNormal="100" workbookViewId="0">
      <selection activeCell="C2" sqref="C2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19</v>
      </c>
      <c r="B1" s="1" t="s">
        <v>120</v>
      </c>
      <c r="C1" s="1" t="s">
        <v>123</v>
      </c>
      <c r="D1" s="1" t="s">
        <v>124</v>
      </c>
      <c r="E1" s="1" t="s">
        <v>131</v>
      </c>
      <c r="F1" s="1" t="s">
        <v>132</v>
      </c>
      <c r="G1" s="1" t="s">
        <v>130</v>
      </c>
    </row>
    <row r="2" spans="1:7" x14ac:dyDescent="0.2">
      <c r="A2" s="2">
        <v>1</v>
      </c>
      <c r="B2" s="2" t="s">
        <v>128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129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0"/>
  <sheetViews>
    <sheetView workbookViewId="0">
      <selection activeCell="J3" sqref="J3:J8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19</v>
      </c>
      <c r="B1" s="1" t="s">
        <v>119</v>
      </c>
      <c r="C1" s="1" t="s">
        <v>225</v>
      </c>
      <c r="D1" s="1" t="s">
        <v>120</v>
      </c>
      <c r="E1" s="1" t="s">
        <v>121</v>
      </c>
      <c r="F1" s="1" t="s">
        <v>122</v>
      </c>
      <c r="G1" s="1" t="s">
        <v>123</v>
      </c>
      <c r="H1" s="1" t="s">
        <v>125</v>
      </c>
      <c r="I1" s="1" t="s">
        <v>126</v>
      </c>
      <c r="J1" s="1" t="s">
        <v>132</v>
      </c>
      <c r="K1" s="1" t="s">
        <v>127</v>
      </c>
      <c r="L1" s="8" t="s">
        <v>227</v>
      </c>
      <c r="M1" s="8" t="s">
        <v>236</v>
      </c>
    </row>
    <row r="2" spans="1:13" x14ac:dyDescent="0.2">
      <c r="A2" s="2">
        <v>1</v>
      </c>
      <c r="B2" s="2" t="s">
        <v>241</v>
      </c>
      <c r="C2" s="2">
        <v>1</v>
      </c>
      <c r="D2" t="s">
        <v>128</v>
      </c>
      <c r="E2" s="2">
        <v>3000</v>
      </c>
      <c r="F2" s="2">
        <v>4800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>
        <v>9</v>
      </c>
    </row>
    <row r="3" spans="1:13" x14ac:dyDescent="0.2">
      <c r="A3" s="2">
        <v>2</v>
      </c>
      <c r="B3" s="2" t="s">
        <v>228</v>
      </c>
      <c r="C3" s="2">
        <v>1</v>
      </c>
      <c r="D3" t="s">
        <v>226</v>
      </c>
      <c r="E3" s="2">
        <v>550</v>
      </c>
      <c r="F3" s="2">
        <v>550</v>
      </c>
      <c r="G3" s="2">
        <v>1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228</v>
      </c>
      <c r="C4" s="2">
        <v>2</v>
      </c>
      <c r="D4" t="s">
        <v>129</v>
      </c>
      <c r="E4" s="2">
        <v>550</v>
      </c>
      <c r="F4" s="2">
        <v>550</v>
      </c>
      <c r="G4" s="2">
        <v>1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228</v>
      </c>
      <c r="C5" s="2">
        <v>3</v>
      </c>
      <c r="D5" t="s">
        <v>129</v>
      </c>
      <c r="E5" s="2">
        <v>550</v>
      </c>
      <c r="F5" s="2">
        <v>550</v>
      </c>
      <c r="G5" s="2">
        <v>1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228</v>
      </c>
      <c r="C6" s="2">
        <v>4</v>
      </c>
      <c r="D6" t="s">
        <v>129</v>
      </c>
      <c r="E6" s="2">
        <v>550</v>
      </c>
      <c r="F6" s="2">
        <v>550</v>
      </c>
      <c r="G6" s="2">
        <v>1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228</v>
      </c>
      <c r="C7" s="2">
        <v>5</v>
      </c>
      <c r="D7" t="s">
        <v>129</v>
      </c>
      <c r="E7" s="2">
        <v>650</v>
      </c>
      <c r="F7" s="2">
        <v>650</v>
      </c>
      <c r="G7" s="2">
        <v>1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228</v>
      </c>
      <c r="C8" s="2">
        <v>6</v>
      </c>
      <c r="D8" t="s">
        <v>129</v>
      </c>
      <c r="E8" s="2">
        <v>600</v>
      </c>
      <c r="F8" s="2">
        <v>600</v>
      </c>
      <c r="G8" s="2">
        <v>1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228</v>
      </c>
      <c r="C9" s="2">
        <v>7</v>
      </c>
      <c r="D9" t="s">
        <v>129</v>
      </c>
      <c r="E9" s="2">
        <v>300</v>
      </c>
      <c r="F9" s="2">
        <v>300</v>
      </c>
      <c r="G9" s="2">
        <v>1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317</v>
      </c>
      <c r="C10" s="2">
        <v>1</v>
      </c>
      <c r="D10" t="s">
        <v>318</v>
      </c>
      <c r="E10" s="2">
        <v>1200</v>
      </c>
      <c r="F10" s="2">
        <v>1200</v>
      </c>
      <c r="G10" s="2">
        <v>9999999</v>
      </c>
      <c r="H10" s="2">
        <v>9999999</v>
      </c>
      <c r="I10" s="2">
        <v>9999999</v>
      </c>
      <c r="J10" s="2">
        <v>9999999</v>
      </c>
      <c r="K10" s="2">
        <v>0</v>
      </c>
      <c r="L10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95"/>
  <sheetViews>
    <sheetView workbookViewId="0">
      <pane ySplit="1" topLeftCell="A79" activePane="bottomLeft" state="frozen"/>
      <selection pane="bottomLeft" activeCell="C72" sqref="C72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282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278</v>
      </c>
      <c r="H1" s="1" t="s">
        <v>108</v>
      </c>
      <c r="I1" s="1" t="s">
        <v>114</v>
      </c>
      <c r="J1" s="9" t="s">
        <v>112</v>
      </c>
      <c r="K1" s="1" t="s">
        <v>83</v>
      </c>
      <c r="L1" s="1" t="s">
        <v>55</v>
      </c>
      <c r="Q1" s="1" t="s">
        <v>56</v>
      </c>
      <c r="R1" s="1" t="s">
        <v>56</v>
      </c>
      <c r="S1" s="1" t="s">
        <v>56</v>
      </c>
      <c r="T1" s="1" t="s">
        <v>56</v>
      </c>
      <c r="U1" s="1" t="s">
        <v>56</v>
      </c>
      <c r="V1" s="1" t="s">
        <v>56</v>
      </c>
      <c r="W1" s="1" t="s">
        <v>56</v>
      </c>
    </row>
    <row r="2" spans="1:23" s="29" customFormat="1" x14ac:dyDescent="0.2">
      <c r="A2" s="29">
        <v>1</v>
      </c>
      <c r="B2" s="29">
        <v>1</v>
      </c>
      <c r="C2" s="29" t="s">
        <v>296</v>
      </c>
      <c r="D2" s="29" t="s">
        <v>169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67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297</v>
      </c>
      <c r="D3" s="29" t="s">
        <v>169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275</v>
      </c>
      <c r="D4" s="29" t="s">
        <v>169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233</v>
      </c>
      <c r="D5" s="29" t="s">
        <v>169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234</v>
      </c>
      <c r="D6" s="29" t="s">
        <v>169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328</v>
      </c>
      <c r="G7" s="45" t="s">
        <v>329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330</v>
      </c>
      <c r="G8" s="45" t="s">
        <v>331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9" t="str">
        <f t="array" ref="K8">INDEX(use_fish!A:A,SMALL(IF(group!$L$2&amp;IF(ISBLANK($L$14),$L$14,"+"&amp;$L$14)=use_fish!H:H,ROW(use_fish!H:H),4^8),ROW(16:16)))&amp;""</f>
        <v/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170</v>
      </c>
      <c r="D9" s="29" t="s">
        <v>293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9" t="str">
        <f t="array" ref="K9">INDEX(use_fish!A:A,SMALL(IF(group!$L$2&amp;IF(ISBLANK($L$14),$L$14,"+"&amp;$L$14)=use_fish!H:H,ROW(use_fish!H:H),4^8),ROW(17:17)))&amp;""</f>
        <v/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281</v>
      </c>
      <c r="D10" s="29" t="s">
        <v>169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9" t="str">
        <f t="array" ref="K10">INDEX(use_fish!A:A,SMALL(IF(group!$L$2&amp;IF(ISBLANK($L$14),$L$14,"+"&amp;$L$14)=use_fish!H:H,ROW(use_fish!H:H),4^8),ROW(18:18)))&amp;""</f>
        <v/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43</v>
      </c>
      <c r="D11" s="29" t="s">
        <v>170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9" t="str">
        <f t="array" ref="K11">INDEX(use_fish!A:A,SMALL(IF(group!$L$2&amp;IF(ISBLANK($L$14),$L$14,"+"&amp;$L$14)=use_fish!H:H,ROW(use_fish!H:H),4^8),ROW(8:8)))&amp;""</f>
        <v/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277</v>
      </c>
      <c r="D12" s="29" t="s">
        <v>169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9" t="str">
        <f t="array" ref="K12">INDEX(use_fish!A:A,SMALL(IF(group!$L$2&amp;IF(ISBLANK($L$14),$L$14,"+"&amp;$L$14)=use_fish!H:H,ROW(use_fish!H:H),4^8),ROW(9:9)))&amp;""</f>
        <v/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188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212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115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276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2" t="str">
        <f t="array" ref="L15">INDEX(use_fish!A:A,SMALL(IF(group!$L$2&amp;IF(ISBLANK($L$14),$L$14,"+"&amp;$L$14)=use_fish!H:H,ROW(use_fish!H:H),4^8),ROW(1:1)))&amp;""</f>
        <v/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213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2" t="str">
        <f t="array" ref="L16">INDEX(use_fish!A:A,SMALL(IF(group!$L$2&amp;IF(ISBLANK($L$14),$L$14,"+"&amp;$L$14)=use_fish!H:H,ROW(use_fish!H:H),4^8),ROW(2:2)))&amp;""</f>
        <v/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214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2" t="str">
        <f t="array" ref="K17">INDEX(use_fish!A:A,SMALL(IF(group!$L$2&amp;IF(ISBLANK($L$14),$L$14,"+"&amp;$L$14)=use_fish!H:H,ROW(use_fish!H:H),4^8),ROW(14:14)))&amp;""</f>
        <v/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215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2" t="str">
        <f t="array" ref="K18">INDEX(use_fish!A:A,SMALL(IF(group!$L$2&amp;IF(ISBLANK($L$14),$L$14,"+"&amp;$L$14)=use_fish!H:H,ROW(use_fish!H:H),4^8),ROW(15:15)))&amp;""</f>
        <v/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286</v>
      </c>
      <c r="G19" s="41" t="s">
        <v>190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285</v>
      </c>
      <c r="G20" s="41" t="s">
        <v>191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284</v>
      </c>
      <c r="G21" s="41" t="s">
        <v>189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283</v>
      </c>
      <c r="G22" s="41" t="s">
        <v>230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287</v>
      </c>
      <c r="G23" s="21" t="s">
        <v>291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288</v>
      </c>
      <c r="G24" s="21" t="s">
        <v>192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289</v>
      </c>
      <c r="G25" s="21" t="s">
        <v>193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290</v>
      </c>
      <c r="G26" s="21" t="s">
        <v>193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399</v>
      </c>
      <c r="G27" s="41" t="s">
        <v>295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294</v>
      </c>
      <c r="G28" s="41" t="s">
        <v>298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171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172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173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174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175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41" t="str">
        <f t="array" ref="K33">INDEX(use_fish!A:A,SMALL(IF(group!$L$2&amp;IF(ISBLANK($L$14),$L$14,"+"&amp;$L$14)=use_fish!H:H,ROW(use_fish!H:H),4^8),ROW(10:10)))&amp;""</f>
        <v/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176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41" t="str">
        <f t="array" ref="K34">INDEX(use_fish!A:A,SMALL(IF(group!$L$2&amp;IF(ISBLANK($L$14),$L$14,"+"&amp;$L$14)=use_fish!H:H,ROW(use_fish!H:H),4^8),ROW(11:11)))&amp;""</f>
        <v/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177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21" t="str">
        <f t="array" ref="K35">INDEX(use_fish!A:A,SMALL(IF(group!$L$2&amp;IF(ISBLANK($L$14),$L$14,"+"&amp;$L$14)=use_fish!H:H,ROW(use_fish!H:H),4^8),ROW(12:12)))&amp;""</f>
        <v/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178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21" t="str">
        <f t="array" ref="K36">INDEX(use_fish!A:A,SMALL(IF(group!$L$2&amp;IF(ISBLANK($L$14),$L$14,"+"&amp;$L$14)=use_fish!H:H,ROW(use_fish!H:H),4^8),ROW(13:13)))&amp;""</f>
        <v/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179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21" t="str">
        <f t="array" ref="K37">INDEX(use_fish!A:A,SMALL(IF(group!$L$2&amp;IF(ISBLANK($L$14),$L$14,"+"&amp;$L$14)=use_fish!H:H,ROW(use_fish!H:H),4^8),ROW(14:14)))&amp;""</f>
        <v/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180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21" t="str">
        <f t="array" ref="K38">INDEX(use_fish!A:A,SMALL(IF(group!$L$2&amp;IF(ISBLANK($L$14),$L$14,"+"&amp;$L$14)=use_fish!H:H,ROW(use_fish!H:H),4^8),ROW(15:15)))&amp;""</f>
        <v/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181</v>
      </c>
      <c r="H39" s="19" t="s">
        <v>272</v>
      </c>
      <c r="I39" s="19" t="s">
        <v>273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21" t="str">
        <f t="array" ref="K39">INDEX(use_fish!A:A,SMALL(IF(group!$L$2&amp;IF(ISBLANK($L$14),$L$14,"+"&amp;$L$14)=use_fish!H:H,ROW(use_fish!H:H),4^8),ROW(36:36)))&amp;""</f>
        <v/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182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21" t="str">
        <f t="array" ref="K40">INDEX(use_fish!A:A,SMALL(IF(group!$L$2&amp;IF(ISBLANK($L$14),$L$14,"+"&amp;$L$14)=use_fish!H:H,ROW(use_fish!H:H),4^8),ROW(37:37)))&amp;""</f>
        <v/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183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21" t="str">
        <f t="array" ref="K41">INDEX(use_fish!A:A,SMALL(IF(group!$L$2&amp;IF(ISBLANK($L$14),$L$14,"+"&amp;$L$14)=use_fish!H:H,ROW(use_fish!H:H),4^8),ROW(38:38)))&amp;""</f>
        <v/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187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184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185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4" t="str">
        <f t="array" ref="K44">INDEX(use_fish!A:A,SMALL(IF(group!$L$2&amp;IF(ISBLANK($L$14),$L$14,"+"&amp;$L$14)=use_fish!H:H,ROW(use_fish!H:H),4^8),ROW(41:41)))&amp;""</f>
        <v/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186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4" t="str">
        <f t="array" ref="K45">INDEX(use_fish!A:A,SMALL(IF(group!$L$2&amp;IF(ISBLANK($L$14),$L$14,"+"&amp;$L$14)=use_fish!H:H,ROW(use_fish!H:H),4^8),ROW(42:42)))&amp;""</f>
        <v/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195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194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196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197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198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199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200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201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202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203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204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205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206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207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208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292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209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210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211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333</v>
      </c>
      <c r="G65" s="45" t="s">
        <v>338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334</v>
      </c>
      <c r="G66" s="45" t="s">
        <v>337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335</v>
      </c>
      <c r="G67" s="46" t="s">
        <v>336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9" t="str">
        <f t="array" ref="K67">INDEX(use_fish!A:A,SMALL(IF(group!$L$2&amp;IF(ISBLANK($L$14),$L$14,"+"&amp;$L$14)=use_fish!H:H,ROW(use_fish!H:H),4^8),ROW(69:69)))&amp;""</f>
        <v/>
      </c>
      <c r="Q67" s="29">
        <v>7</v>
      </c>
    </row>
    <row r="68" spans="1:17" s="31" customFormat="1" x14ac:dyDescent="0.2">
      <c r="A68" s="31">
        <v>67</v>
      </c>
      <c r="B68" s="31">
        <v>1</v>
      </c>
      <c r="C68" s="31" t="s">
        <v>371</v>
      </c>
      <c r="H68" s="31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31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2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30">
        <v>51</v>
      </c>
    </row>
    <row r="69" spans="1:17" s="31" customFormat="1" x14ac:dyDescent="0.2">
      <c r="A69" s="31">
        <v>68</v>
      </c>
      <c r="B69" s="31">
        <v>1</v>
      </c>
      <c r="C69" s="31" t="s">
        <v>372</v>
      </c>
      <c r="H69" s="31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31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2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30">
        <v>52</v>
      </c>
    </row>
    <row r="70" spans="1:17" s="31" customFormat="1" x14ac:dyDescent="0.2">
      <c r="A70" s="31">
        <v>69</v>
      </c>
      <c r="B70" s="31">
        <v>1</v>
      </c>
      <c r="C70" s="31" t="s">
        <v>373</v>
      </c>
      <c r="H70" s="31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31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2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30">
        <v>53</v>
      </c>
    </row>
    <row r="71" spans="1:17" s="31" customFormat="1" x14ac:dyDescent="0.2">
      <c r="A71" s="31">
        <v>70</v>
      </c>
      <c r="B71" s="31">
        <v>1</v>
      </c>
      <c r="C71" s="31" t="s">
        <v>374</v>
      </c>
      <c r="H71" s="31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31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2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30">
        <v>54</v>
      </c>
    </row>
    <row r="72" spans="1:17" s="31" customFormat="1" x14ac:dyDescent="0.2">
      <c r="A72" s="31">
        <v>71</v>
      </c>
      <c r="B72" s="31">
        <v>1</v>
      </c>
      <c r="C72" s="31" t="s">
        <v>375</v>
      </c>
      <c r="H72" s="31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31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2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30">
        <v>55</v>
      </c>
    </row>
    <row r="73" spans="1:17" s="31" customFormat="1" x14ac:dyDescent="0.2">
      <c r="A73" s="31">
        <v>72</v>
      </c>
      <c r="B73" s="31">
        <v>1</v>
      </c>
      <c r="C73" s="31" t="s">
        <v>376</v>
      </c>
      <c r="H73" s="31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31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2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30">
        <v>56</v>
      </c>
    </row>
    <row r="74" spans="1:17" s="31" customFormat="1" x14ac:dyDescent="0.2">
      <c r="A74" s="31">
        <v>73</v>
      </c>
      <c r="B74" s="31">
        <v>1</v>
      </c>
      <c r="C74" s="31" t="s">
        <v>377</v>
      </c>
      <c r="H74" s="31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31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2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30">
        <v>57</v>
      </c>
    </row>
    <row r="75" spans="1:17" s="31" customFormat="1" x14ac:dyDescent="0.2">
      <c r="A75" s="31">
        <v>74</v>
      </c>
      <c r="B75" s="31">
        <v>1</v>
      </c>
      <c r="C75" s="31" t="s">
        <v>378</v>
      </c>
      <c r="H75" s="31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31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2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30">
        <v>58</v>
      </c>
    </row>
    <row r="76" spans="1:17" s="31" customFormat="1" x14ac:dyDescent="0.2">
      <c r="A76" s="31">
        <v>75</v>
      </c>
      <c r="B76" s="31">
        <v>1</v>
      </c>
      <c r="C76" s="31" t="s">
        <v>379</v>
      </c>
      <c r="H76" s="31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31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2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30">
        <v>59</v>
      </c>
    </row>
    <row r="77" spans="1:17" s="31" customFormat="1" x14ac:dyDescent="0.2">
      <c r="A77" s="31">
        <v>76</v>
      </c>
      <c r="B77" s="31">
        <v>1</v>
      </c>
      <c r="C77" s="31" t="s">
        <v>380</v>
      </c>
      <c r="H77" s="31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31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2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30">
        <v>60</v>
      </c>
    </row>
    <row r="78" spans="1:17" s="31" customFormat="1" x14ac:dyDescent="0.2">
      <c r="A78" s="31">
        <v>77</v>
      </c>
      <c r="B78" s="31">
        <v>1</v>
      </c>
      <c r="C78" s="31" t="s">
        <v>381</v>
      </c>
      <c r="H78" s="31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31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2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30">
        <v>61</v>
      </c>
    </row>
    <row r="79" spans="1:17" s="31" customFormat="1" x14ac:dyDescent="0.2">
      <c r="A79" s="31">
        <v>78</v>
      </c>
      <c r="B79" s="31">
        <v>1</v>
      </c>
      <c r="C79" s="31" t="s">
        <v>382</v>
      </c>
      <c r="H79" s="31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31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2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30">
        <v>62</v>
      </c>
    </row>
    <row r="80" spans="1:17" s="31" customFormat="1" x14ac:dyDescent="0.2">
      <c r="A80" s="31">
        <v>79</v>
      </c>
      <c r="B80" s="31">
        <v>1</v>
      </c>
      <c r="C80" s="31" t="s">
        <v>383</v>
      </c>
      <c r="H80" s="31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31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2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30">
        <v>63</v>
      </c>
    </row>
    <row r="81" spans="1:17" s="31" customFormat="1" x14ac:dyDescent="0.2">
      <c r="A81" s="31">
        <v>80</v>
      </c>
      <c r="B81" s="31">
        <v>1</v>
      </c>
      <c r="C81" s="31" t="s">
        <v>384</v>
      </c>
      <c r="H81" s="31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31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2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30">
        <v>64</v>
      </c>
    </row>
    <row r="82" spans="1:17" s="31" customFormat="1" x14ac:dyDescent="0.2">
      <c r="A82" s="31">
        <v>81</v>
      </c>
      <c r="B82" s="31">
        <v>1</v>
      </c>
      <c r="C82" s="31" t="s">
        <v>385</v>
      </c>
      <c r="H82" s="31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31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2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30">
        <v>65</v>
      </c>
    </row>
    <row r="83" spans="1:17" s="31" customFormat="1" x14ac:dyDescent="0.2">
      <c r="A83" s="31">
        <v>82</v>
      </c>
      <c r="B83" s="31">
        <v>1</v>
      </c>
      <c r="C83" s="31" t="s">
        <v>386</v>
      </c>
      <c r="H83" s="31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31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2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30">
        <v>66</v>
      </c>
    </row>
    <row r="84" spans="1:17" s="31" customFormat="1" x14ac:dyDescent="0.2">
      <c r="A84" s="31">
        <v>83</v>
      </c>
      <c r="B84" s="31">
        <v>1</v>
      </c>
      <c r="C84" s="31" t="s">
        <v>387</v>
      </c>
      <c r="H84" s="31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31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2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30">
        <v>67</v>
      </c>
    </row>
    <row r="85" spans="1:17" s="31" customFormat="1" x14ac:dyDescent="0.2">
      <c r="A85" s="31">
        <v>84</v>
      </c>
      <c r="B85" s="31">
        <v>1</v>
      </c>
      <c r="C85" s="31" t="s">
        <v>388</v>
      </c>
      <c r="H85" s="31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31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2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30">
        <v>68</v>
      </c>
    </row>
    <row r="86" spans="1:17" s="31" customFormat="1" x14ac:dyDescent="0.2">
      <c r="A86" s="31">
        <v>85</v>
      </c>
      <c r="B86" s="31">
        <v>1</v>
      </c>
      <c r="C86" s="31" t="s">
        <v>389</v>
      </c>
      <c r="H86" s="31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31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2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30">
        <v>69</v>
      </c>
    </row>
    <row r="87" spans="1:17" s="31" customFormat="1" x14ac:dyDescent="0.2">
      <c r="A87" s="31">
        <v>86</v>
      </c>
      <c r="B87" s="31">
        <v>1</v>
      </c>
      <c r="C87" s="31" t="s">
        <v>390</v>
      </c>
      <c r="H87" s="31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31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2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30">
        <v>70</v>
      </c>
    </row>
    <row r="88" spans="1:17" s="31" customFormat="1" x14ac:dyDescent="0.2">
      <c r="A88" s="31">
        <v>87</v>
      </c>
      <c r="B88" s="31">
        <v>1</v>
      </c>
      <c r="C88" s="31" t="s">
        <v>391</v>
      </c>
      <c r="H88" s="31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31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2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30">
        <v>71</v>
      </c>
    </row>
    <row r="89" spans="1:17" s="31" customFormat="1" x14ac:dyDescent="0.2">
      <c r="A89" s="31">
        <v>88</v>
      </c>
      <c r="B89" s="31">
        <v>1</v>
      </c>
      <c r="C89" s="31" t="s">
        <v>392</v>
      </c>
      <c r="H89" s="31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31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2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30">
        <v>72</v>
      </c>
    </row>
    <row r="90" spans="1:17" s="31" customFormat="1" x14ac:dyDescent="0.2">
      <c r="A90" s="31">
        <v>89</v>
      </c>
      <c r="B90" s="31">
        <v>1</v>
      </c>
      <c r="C90" s="31" t="s">
        <v>393</v>
      </c>
      <c r="H90" s="31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31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2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30">
        <v>73</v>
      </c>
    </row>
    <row r="91" spans="1:17" s="31" customFormat="1" x14ac:dyDescent="0.2">
      <c r="A91" s="31">
        <v>90</v>
      </c>
      <c r="B91" s="31">
        <v>1</v>
      </c>
      <c r="C91" s="31" t="s">
        <v>394</v>
      </c>
      <c r="H91" s="31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31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2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30">
        <v>74</v>
      </c>
    </row>
    <row r="92" spans="1:17" s="31" customFormat="1" x14ac:dyDescent="0.2">
      <c r="A92" s="31">
        <v>91</v>
      </c>
      <c r="B92" s="31">
        <v>1</v>
      </c>
      <c r="C92" s="31" t="s">
        <v>395</v>
      </c>
      <c r="H92" s="31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31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2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30">
        <v>75</v>
      </c>
    </row>
    <row r="93" spans="1:17" s="31" customFormat="1" x14ac:dyDescent="0.2">
      <c r="A93" s="31">
        <v>92</v>
      </c>
      <c r="B93" s="31">
        <v>1</v>
      </c>
      <c r="C93" s="31" t="s">
        <v>396</v>
      </c>
      <c r="H93" s="31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31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2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30">
        <v>76</v>
      </c>
    </row>
    <row r="94" spans="1:17" s="31" customFormat="1" x14ac:dyDescent="0.2">
      <c r="A94" s="31">
        <v>93</v>
      </c>
      <c r="B94" s="31">
        <v>1</v>
      </c>
      <c r="C94" s="31" t="s">
        <v>397</v>
      </c>
      <c r="H94" s="31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31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2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30">
        <v>77</v>
      </c>
    </row>
    <row r="95" spans="1:17" s="31" customFormat="1" x14ac:dyDescent="0.2">
      <c r="A95" s="31">
        <v>94</v>
      </c>
      <c r="B95" s="31">
        <v>1</v>
      </c>
      <c r="C95" s="31" t="s">
        <v>398</v>
      </c>
      <c r="H95" s="31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31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2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30">
        <v>78</v>
      </c>
    </row>
  </sheetData>
  <autoFilter ref="I1:I46"/>
  <dataConsolidate/>
  <phoneticPr fontId="1" type="noConversion"/>
  <conditionalFormatting sqref="J12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96:J1048576 K1 J2:J11 J13:J25 J27:J64">
    <cfRule type="iconSet" priority="1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96:I1048576 I13:I25 I1:I11 I27:I64">
    <cfRule type="iconSet" priority="13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95">
    <cfRule type="iconSet" priority="16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95">
    <cfRule type="iconSet" priority="17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95">
    <cfRule type="iconSet" priority="17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79"/>
  <sheetViews>
    <sheetView zoomScaleNormal="100" workbookViewId="0">
      <pane ySplit="1" topLeftCell="A2" activePane="bottomLeft" state="frozen"/>
      <selection pane="bottomLeft" activeCell="C29" sqref="C29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229</v>
      </c>
      <c r="C1" s="1" t="s">
        <v>16</v>
      </c>
      <c r="D1" s="1" t="s">
        <v>304</v>
      </c>
      <c r="E1" s="1" t="s">
        <v>104</v>
      </c>
      <c r="F1" s="1" t="s">
        <v>0</v>
      </c>
      <c r="G1" s="1" t="s">
        <v>23</v>
      </c>
      <c r="H1" s="1" t="s">
        <v>18</v>
      </c>
      <c r="I1" s="8" t="s">
        <v>110</v>
      </c>
      <c r="J1" s="8" t="s">
        <v>105</v>
      </c>
      <c r="K1" s="8" t="s">
        <v>113</v>
      </c>
      <c r="L1" s="8" t="s">
        <v>133</v>
      </c>
      <c r="M1" s="8" t="s">
        <v>134</v>
      </c>
      <c r="N1" s="8" t="s">
        <v>218</v>
      </c>
      <c r="O1" s="8" t="s">
        <v>227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22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22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7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22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22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22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f>LOOKUP(use_fish!B7,base_fish!A:A,base_fish!C:C)+_xlfn.IFNA(INDEX(activity!F:F,MATCH(use_fish!C7,activity!A:A,0)),0)</f>
        <v>6</v>
      </c>
      <c r="F7" s="27">
        <f t="shared" si="2"/>
        <v>0.16666666666666666</v>
      </c>
      <c r="G7" s="27" t="s">
        <v>22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22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22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22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22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22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f t="shared" si="1"/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22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f t="shared" si="1"/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22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f t="shared" si="1"/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22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f t="shared" si="1"/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22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f t="shared" si="1"/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22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f t="shared" si="1"/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22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22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22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308</v>
      </c>
      <c r="E21" s="19">
        <v>63</v>
      </c>
      <c r="F21" s="19">
        <f t="shared" si="3"/>
        <v>1.5873015873015872E-2</v>
      </c>
      <c r="G21" s="19" t="s">
        <v>22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4"/>
        <v>60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v>80</v>
      </c>
      <c r="F22" s="19">
        <f t="shared" si="3"/>
        <v>1.2500000000000001E-2</v>
      </c>
      <c r="G22" s="19" t="s">
        <v>22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339</v>
      </c>
      <c r="E23" s="19">
        <v>63</v>
      </c>
      <c r="F23" s="19">
        <f t="shared" si="3"/>
        <v>1.5873015873015872E-2</v>
      </c>
      <c r="G23" s="19" t="s">
        <v>22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4"/>
        <v>60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340</v>
      </c>
      <c r="E24" s="19">
        <v>105</v>
      </c>
      <c r="F24" s="19">
        <f t="shared" si="3"/>
        <v>9.5238095238095247E-3</v>
      </c>
      <c r="G24" s="19" t="s">
        <v>22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4"/>
        <v>60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353</v>
      </c>
      <c r="F25" s="19" t="s">
        <v>354</v>
      </c>
      <c r="G25" s="19" t="s">
        <v>22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272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308</v>
      </c>
      <c r="E26" s="19">
        <v>84</v>
      </c>
      <c r="F26" s="19">
        <f t="shared" si="3"/>
        <v>1.1904761904761904E-2</v>
      </c>
      <c r="G26" s="19" t="s">
        <v>22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si="4"/>
        <v>80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308</v>
      </c>
      <c r="E27" s="19">
        <v>105</v>
      </c>
      <c r="F27" s="19">
        <f t="shared" si="3"/>
        <v>9.5238095238095247E-3</v>
      </c>
      <c r="G27" s="19" t="s">
        <v>22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4"/>
        <v>100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341</v>
      </c>
      <c r="E28" s="19">
        <v>105</v>
      </c>
      <c r="F28" s="19">
        <f t="shared" si="3"/>
        <v>9.5238095238095247E-3</v>
      </c>
      <c r="G28" s="19" t="s">
        <v>22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4"/>
        <v>100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5">1/E29</f>
        <v>0.01</v>
      </c>
      <c r="G29" s="23" t="s">
        <v>22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6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5"/>
        <v>3.3333333333333335E-3</v>
      </c>
      <c r="G30" s="23" t="s">
        <v>22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6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5"/>
        <v>5.0000000000000001E-3</v>
      </c>
      <c r="G31" s="23" t="s">
        <v>22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6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5"/>
        <v>4.0000000000000001E-3</v>
      </c>
      <c r="G32" s="23" t="s">
        <v>22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6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200</v>
      </c>
      <c r="F33" s="23">
        <f t="shared" ref="F33:F39" si="7">1/E33</f>
        <v>5.0000000000000001E-3</v>
      </c>
      <c r="G33" s="23" t="s">
        <v>22</v>
      </c>
      <c r="H33" s="24" t="str">
        <f>INDEX(base_fish!E:E,MATCH(use_fish!B33,base_fish!A:A,0))&amp;_xlfn.IFNA("+"&amp;INDEX(activity!G:G,MATCH(use_fish!C33,activity!A:A,0)),"")</f>
        <v>宝藏章鱼+金币转盘</v>
      </c>
      <c r="I33" s="23">
        <f>LOOKUP(use_fish!B33,base_fish!A:A,base_fish!F:F)+_xlfn.IFNA(INDEX(activity!F:F,MATCH(use_fish!C33,activity!A:A,0)),0)</f>
        <v>200</v>
      </c>
      <c r="J33" s="25">
        <v>1</v>
      </c>
      <c r="K33" s="25">
        <f>LOOKUP(use_fish!B33,base_fish!A:A,base_fish!G:G)</f>
        <v>0</v>
      </c>
      <c r="L33" s="25">
        <f t="shared" ref="L33:L39" si="8">I33</f>
        <v>200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7"/>
        <v>3.3333333333333335E-3</v>
      </c>
      <c r="G34" s="23" t="s">
        <v>22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8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7"/>
        <v>5.0000000000000001E-3</v>
      </c>
      <c r="G35" s="23" t="s">
        <v>22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20</v>
      </c>
      <c r="J35" s="25">
        <v>1</v>
      </c>
      <c r="K35" s="25">
        <f>LOOKUP(use_fish!B35,base_fish!A:A,base_fish!G:G)</f>
        <v>0</v>
      </c>
      <c r="L35" s="25">
        <f t="shared" si="8"/>
        <v>20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7"/>
        <v>3.3333333333333335E-3</v>
      </c>
      <c r="G36" s="23" t="s">
        <v>22</v>
      </c>
      <c r="H36" s="24" t="str">
        <f>INDEX(base_fish!E:E,MATCH(use_fish!B36,base_fish!A:A,0))&amp;_xlfn.IFNA("+"&amp;INDEX(activity!G:G,MATCH(use_fish!C36,activity!A:A,0)),"")</f>
        <v>金龙转盘+连环转盘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8"/>
        <v>300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7"/>
        <v>3.3333333333333335E-3</v>
      </c>
      <c r="G37" s="23" t="s">
        <v>22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8"/>
        <v>300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22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8"/>
        <v>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>
        <v>26</v>
      </c>
      <c r="D39" s="30" t="s">
        <v>319</v>
      </c>
      <c r="E39" s="32">
        <f>LOOKUP(use_fish!B39,base_fish!A:A,base_fish!C:C)+_xlfn.IFNA(INDEX(activity!F:F,MATCH(use_fish!C39,activity!A:A,0)),0)</f>
        <v>102</v>
      </c>
      <c r="F39" s="32">
        <f t="shared" si="7"/>
        <v>9.8039215686274508E-3</v>
      </c>
      <c r="G39" s="32" t="s">
        <v>22</v>
      </c>
      <c r="H39" s="33" t="str">
        <f>INDEX(base_fish!E:E,MATCH(use_fish!B39,base_fish!A:A,0))&amp;_xlfn.IFNA("+"&amp;INDEX(activity!G:G,MATCH(use_fish!C39,activity!A:A,0)),"")</f>
        <v>黄金巨龙+彩贝-场次1</v>
      </c>
      <c r="I39" s="32">
        <f>LOOKUP(use_fish!B39,base_fish!A:A,base_fish!F:F)+_xlfn.IFNA(INDEX(activity!F:F,MATCH(use_fish!C39,activity!A:A,0)),0)</f>
        <v>102</v>
      </c>
      <c r="J39" s="31">
        <v>1</v>
      </c>
      <c r="K39" s="31">
        <f>LOOKUP(use_fish!B39,base_fish!A:A,base_fish!G:G)</f>
        <v>0</v>
      </c>
      <c r="L39" s="31">
        <f t="shared" si="8"/>
        <v>102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>
        <v>25</v>
      </c>
      <c r="D40" s="30" t="s">
        <v>342</v>
      </c>
      <c r="E40" s="32">
        <f>LOOKUP(use_fish!B40,base_fish!A:A,base_fish!C:C)+_xlfn.IFNA(INDEX(activity!F:F,MATCH(use_fish!C40,activity!A:A,0)),0)</f>
        <v>105</v>
      </c>
      <c r="F40" s="32">
        <f t="shared" ref="F40:F44" si="9">1/E40</f>
        <v>9.5238095238095247E-3</v>
      </c>
      <c r="G40" s="32" t="s">
        <v>22</v>
      </c>
      <c r="H40" s="33" t="str">
        <f>INDEX(base_fish!E:E,MATCH(use_fish!B40,base_fish!A:A,0))&amp;_xlfn.IFNA("+"&amp;INDEX(activity!G:G,MATCH(use_fish!C40,activity!A:A,0)),"")</f>
        <v>霸王蟹+彩贝-试炼场</v>
      </c>
      <c r="I40" s="32">
        <f>LOOKUP(use_fish!B40,base_fish!A:A,base_fish!F:F)+_xlfn.IFNA(INDEX(activity!F:F,MATCH(use_fish!C40,activity!A:A,0)),0)</f>
        <v>105</v>
      </c>
      <c r="J40" s="31">
        <v>1</v>
      </c>
      <c r="K40" s="31">
        <f>LOOKUP(use_fish!B40,base_fish!A:A,base_fish!G:G)</f>
        <v>0</v>
      </c>
      <c r="L40" s="31">
        <f t="shared" ref="L40:L45" si="10">I40</f>
        <v>105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>
        <v>41</v>
      </c>
      <c r="D41" s="30" t="s">
        <v>343</v>
      </c>
      <c r="E41" s="32">
        <f>LOOKUP(use_fish!B41,base_fish!A:A,base_fish!C:C)+_xlfn.IFNA(INDEX(activity!F:F,MATCH(use_fish!C41,activity!A:A,0)),0)</f>
        <v>302</v>
      </c>
      <c r="F41" s="32">
        <f t="shared" si="9"/>
        <v>3.3112582781456954E-3</v>
      </c>
      <c r="G41" s="32" t="s">
        <v>22</v>
      </c>
      <c r="H41" s="33" t="str">
        <f>INDEX(base_fish!E:E,MATCH(use_fish!B41,base_fish!A:A,0))&amp;_xlfn.IFNA("+"&amp;INDEX(activity!G:G,MATCH(use_fish!C41,activity!A:A,0)),"")</f>
        <v>深海鲸+彩贝-场次4</v>
      </c>
      <c r="I41" s="32">
        <f>LOOKUP(use_fish!B41,base_fish!A:A,base_fish!F:F)+_xlfn.IFNA(INDEX(activity!F:F,MATCH(use_fish!C41,activity!A:A,0)),0)</f>
        <v>302</v>
      </c>
      <c r="J41" s="31">
        <v>1</v>
      </c>
      <c r="K41" s="31">
        <f>LOOKUP(use_fish!B41,base_fish!A:A,base_fish!G:G)</f>
        <v>0</v>
      </c>
      <c r="L41" s="31">
        <f t="shared" si="10"/>
        <v>302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>
        <v>27</v>
      </c>
      <c r="D42" s="30" t="s">
        <v>342</v>
      </c>
      <c r="E42" s="32">
        <f>LOOKUP(use_fish!B42,base_fish!A:A,base_fish!C:C)+_xlfn.IFNA(INDEX(activity!F:F,MATCH(use_fish!C42,activity!A:A,0)),0)</f>
        <v>206</v>
      </c>
      <c r="F42" s="32">
        <f t="shared" si="9"/>
        <v>4.8543689320388345E-3</v>
      </c>
      <c r="G42" s="32" t="s">
        <v>22</v>
      </c>
      <c r="H42" s="33" t="str">
        <f>INDEX(base_fish!E:E,MATCH(use_fish!B42,base_fish!A:A,0))&amp;_xlfn.IFNA("+"&amp;INDEX(activity!G:G,MATCH(use_fish!C42,activity!A:A,0)),"")</f>
        <v>鲨鱼武士+彩贝-场次2</v>
      </c>
      <c r="I42" s="32">
        <f>LOOKUP(use_fish!B42,base_fish!A:A,base_fish!F:F)+_xlfn.IFNA(INDEX(activity!F:F,MATCH(use_fish!C42,activity!A:A,0)),0)</f>
        <v>206</v>
      </c>
      <c r="J42" s="31">
        <v>1</v>
      </c>
      <c r="K42" s="31">
        <f>LOOKUP(use_fish!B42,base_fish!A:A,base_fish!G:G)</f>
        <v>0</v>
      </c>
      <c r="L42" s="31">
        <f t="shared" si="10"/>
        <v>206</v>
      </c>
      <c r="M42" s="31">
        <v>1</v>
      </c>
      <c r="N42" s="31">
        <v>2</v>
      </c>
      <c r="O42" s="31">
        <v>1</v>
      </c>
    </row>
    <row r="43" spans="1:15" s="51" customFormat="1" x14ac:dyDescent="0.2">
      <c r="A43" s="48">
        <v>42</v>
      </c>
      <c r="B43" s="48">
        <v>42</v>
      </c>
      <c r="C43" s="48"/>
      <c r="D43" s="48"/>
      <c r="E43" s="49">
        <f>LOOKUP(use_fish!B43,base_fish!A:A,base_fish!C:C)+_xlfn.IFNA(INDEX(activity!F:F,MATCH(use_fish!C43,activity!A:A,0)),0)</f>
        <v>0</v>
      </c>
      <c r="F43" s="49">
        <v>0</v>
      </c>
      <c r="G43" s="49" t="s">
        <v>22</v>
      </c>
      <c r="H43" s="50" t="str">
        <f>INDEX(base_fish!E:E,MATCH(use_fish!B43,base_fish!A:A,0))&amp;_xlfn.IFNA("+"&amp;INDEX(activity!G:G,MATCH(use_fish!C43,activity!A:A,0)),"")</f>
        <v>荧光女皇</v>
      </c>
      <c r="I43" s="49">
        <f>LOOKUP(use_fish!B43,base_fish!A:A,base_fish!F:F)+_xlfn.IFNA(INDEX(activity!F:F,MATCH(use_fish!C43,activity!A:A,0)),0)</f>
        <v>0</v>
      </c>
      <c r="J43" s="51">
        <v>1</v>
      </c>
      <c r="K43" s="51">
        <f>LOOKUP(use_fish!B43,base_fish!A:A,base_fish!G:G)</f>
        <v>0</v>
      </c>
      <c r="L43" s="51">
        <f t="shared" si="10"/>
        <v>0</v>
      </c>
      <c r="M43" s="51">
        <v>1</v>
      </c>
      <c r="N43" s="51">
        <v>2</v>
      </c>
      <c r="O43" s="51">
        <v>1</v>
      </c>
    </row>
    <row r="44" spans="1:15" s="31" customFormat="1" x14ac:dyDescent="0.2">
      <c r="A44" s="30">
        <v>43</v>
      </c>
      <c r="B44" s="30">
        <v>43</v>
      </c>
      <c r="C44" s="30">
        <v>40</v>
      </c>
      <c r="D44" s="30" t="s">
        <v>344</v>
      </c>
      <c r="E44" s="32">
        <f>LOOKUP(use_fish!B44,base_fish!A:A,base_fish!C:C)+_xlfn.IFNA(INDEX(activity!F:F,MATCH(use_fish!C44,activity!A:A,0)),0)</f>
        <v>202</v>
      </c>
      <c r="F44" s="32">
        <f t="shared" si="9"/>
        <v>4.9504950495049506E-3</v>
      </c>
      <c r="G44" s="32" t="s">
        <v>22</v>
      </c>
      <c r="H44" s="33" t="str">
        <f>INDEX(base_fish!E:E,MATCH(use_fish!B44,base_fish!A:A,0))&amp;_xlfn.IFNA("+"&amp;INDEX(activity!G:G,MATCH(use_fish!C44,activity!A:A,0)),"")</f>
        <v>龙龟+彩贝-场次3</v>
      </c>
      <c r="I44" s="32">
        <f>LOOKUP(use_fish!B44,base_fish!A:A,base_fish!F:F)+_xlfn.IFNA(INDEX(activity!F:F,MATCH(use_fish!C44,activity!A:A,0)),0)</f>
        <v>202</v>
      </c>
      <c r="J44" s="31">
        <v>1</v>
      </c>
      <c r="K44" s="31">
        <f>LOOKUP(use_fish!B44,base_fish!A:A,base_fish!G:G)</f>
        <v>0</v>
      </c>
      <c r="L44" s="31">
        <f t="shared" si="10"/>
        <v>202</v>
      </c>
      <c r="M44" s="31">
        <v>1</v>
      </c>
      <c r="N44" s="31">
        <v>2</v>
      </c>
      <c r="O44" s="31">
        <v>1</v>
      </c>
    </row>
    <row r="45" spans="1:15" s="51" customFormat="1" x14ac:dyDescent="0.2">
      <c r="A45" s="48">
        <v>44</v>
      </c>
      <c r="B45" s="48">
        <v>44</v>
      </c>
      <c r="C45" s="48"/>
      <c r="D45" s="48"/>
      <c r="E45" s="49">
        <f>LOOKUP(use_fish!B45,base_fish!A:A,base_fish!C:C)+_xlfn.IFNA(INDEX(activity!F:F,MATCH(use_fish!C45,activity!A:A,0)),0)</f>
        <v>0</v>
      </c>
      <c r="F45" s="49">
        <v>0</v>
      </c>
      <c r="G45" s="49" t="s">
        <v>22</v>
      </c>
      <c r="H45" s="50" t="str">
        <f>INDEX(base_fish!E:E,MATCH(use_fish!B45,base_fish!A:A,0))&amp;_xlfn.IFNA("+"&amp;INDEX(activity!G:G,MATCH(use_fish!C45,activity!A:A,0)),"")</f>
        <v>麒麟兽</v>
      </c>
      <c r="I45" s="49">
        <f>LOOKUP(use_fish!B45,base_fish!A:A,base_fish!F:F)+_xlfn.IFNA(INDEX(activity!F:F,MATCH(use_fish!C45,activity!A:A,0)),0)</f>
        <v>0</v>
      </c>
      <c r="J45" s="51">
        <v>1</v>
      </c>
      <c r="K45" s="51">
        <f>LOOKUP(use_fish!B45,base_fish!A:A,base_fish!G:G)</f>
        <v>0</v>
      </c>
      <c r="L45" s="51">
        <f t="shared" si="10"/>
        <v>0</v>
      </c>
      <c r="M45" s="51">
        <v>2</v>
      </c>
      <c r="N45" s="51">
        <v>2</v>
      </c>
      <c r="O45" s="51">
        <v>1</v>
      </c>
    </row>
    <row r="46" spans="1:15" s="51" customFormat="1" x14ac:dyDescent="0.2">
      <c r="A46" s="48">
        <v>45</v>
      </c>
      <c r="B46" s="48">
        <v>45</v>
      </c>
      <c r="C46" s="48"/>
      <c r="D46" s="48"/>
      <c r="E46" s="49">
        <f>LOOKUP(use_fish!B46,base_fish!A:A,base_fish!C:C)+_xlfn.IFNA(INDEX(activity!F:F,MATCH(use_fish!C46,activity!A:A,0)),0)</f>
        <v>0</v>
      </c>
      <c r="F46" s="49">
        <v>0</v>
      </c>
      <c r="G46" s="49" t="s">
        <v>22</v>
      </c>
      <c r="H46" s="50" t="str">
        <f>INDEX(base_fish!E:E,MATCH(use_fish!B46,base_fish!A:A,0))&amp;_xlfn.IFNA("+"&amp;INDEX(activity!G:G,MATCH(use_fish!C46,activity!A:A,0)),"")</f>
        <v>海盗船</v>
      </c>
      <c r="I46" s="49">
        <f>LOOKUP(use_fish!B46,base_fish!A:A,base_fish!F:F)+_xlfn.IFNA(INDEX(activity!F:F,MATCH(use_fish!C46,activity!A:A,0)),0)</f>
        <v>0</v>
      </c>
      <c r="J46" s="51">
        <v>1</v>
      </c>
      <c r="K46" s="51">
        <f>LOOKUP(use_fish!B46,base_fish!A:A,base_fish!G:G)</f>
        <v>0</v>
      </c>
      <c r="L46" s="51">
        <f t="shared" ref="L46:L50" si="11">I46</f>
        <v>0</v>
      </c>
      <c r="M46" s="51">
        <v>1</v>
      </c>
      <c r="N46" s="51">
        <v>2</v>
      </c>
      <c r="O46" s="5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345</v>
      </c>
      <c r="E47" s="36">
        <f>LOOKUP(use_fish!B47,base_fish!A:A,base_fish!C:C)+_xlfn.IFNA(INDEX(activity!F:F,MATCH(use_fish!C47,activity!A:A,0)),0)</f>
        <v>200</v>
      </c>
      <c r="F47" s="36">
        <f t="shared" ref="F47:F50" si="12">1/E47</f>
        <v>5.0000000000000001E-3</v>
      </c>
      <c r="G47" s="36" t="s">
        <v>22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1"/>
        <v>200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347</v>
      </c>
      <c r="E48" s="36">
        <f>LOOKUP(use_fish!B48,base_fish!A:A,base_fish!C:C)+_xlfn.IFNA(INDEX(activity!F:F,MATCH(use_fish!C48,activity!A:A,0)),0)</f>
        <v>300</v>
      </c>
      <c r="F48" s="36">
        <f t="shared" si="12"/>
        <v>3.3333333333333335E-3</v>
      </c>
      <c r="G48" s="36" t="s">
        <v>22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1"/>
        <v>300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348</v>
      </c>
      <c r="E49" s="36">
        <f>LOOKUP(use_fish!B49,base_fish!A:A,base_fish!C:C)+_xlfn.IFNA(INDEX(activity!F:F,MATCH(use_fish!C49,activity!A:A,0)),0)</f>
        <v>400</v>
      </c>
      <c r="F49" s="36">
        <f t="shared" si="12"/>
        <v>2.5000000000000001E-3</v>
      </c>
      <c r="G49" s="36" t="s">
        <v>22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1"/>
        <v>400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349</v>
      </c>
      <c r="E50" s="36">
        <f>LOOKUP(use_fish!B50,base_fish!A:A,base_fish!C:C)+_xlfn.IFNA(INDEX(activity!F:F,MATCH(use_fish!C50,activity!A:A,0)),0)</f>
        <v>400</v>
      </c>
      <c r="F50" s="36">
        <f t="shared" si="12"/>
        <v>2.5000000000000001E-3</v>
      </c>
      <c r="G50" s="36" t="s">
        <v>22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1"/>
        <v>400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22</v>
      </c>
      <c r="H51" s="35" t="s">
        <v>309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  <row r="52" spans="1:15" s="29" customFormat="1" x14ac:dyDescent="0.2">
      <c r="A52" s="26">
        <v>51</v>
      </c>
      <c r="B52" s="26">
        <v>11</v>
      </c>
      <c r="C52" s="26">
        <v>42</v>
      </c>
      <c r="D52" s="26"/>
      <c r="E52" s="27">
        <f>LOOKUP(use_fish!B52,base_fish!A:A,base_fish!C:C)+_xlfn.IFNA(INDEX(activity!F:F,MATCH(use_fish!C52,activity!A:A,0)),0)</f>
        <v>45</v>
      </c>
      <c r="F52" s="27">
        <f t="shared" ref="F52:F65" si="13">1/E52</f>
        <v>2.2222222222222223E-2</v>
      </c>
      <c r="G52" s="27" t="s">
        <v>22</v>
      </c>
      <c r="H52" s="28" t="str">
        <f>INDEX(base_fish!E:E,MATCH(use_fish!B52,base_fish!A:A,0))&amp;_xlfn.IFNA("+"&amp;INDEX(activity!G:G,MATCH(use_fish!C52,activity!A:A,0)),"")</f>
        <v>小海龟+炸弹</v>
      </c>
      <c r="I52" s="27">
        <f>LOOKUP(use_fish!B52,base_fish!A:A,base_fish!F:F)+_xlfn.IFNA(INDEX(activity!F:F,MATCH(use_fish!C52,activity!A:A,0)),0)</f>
        <v>45</v>
      </c>
      <c r="J52" s="29">
        <v>1</v>
      </c>
      <c r="K52" s="29">
        <f>LOOKUP(use_fish!B52,base_fish!A:A,base_fish!G:G)</f>
        <v>0</v>
      </c>
      <c r="L52" s="29">
        <f t="shared" ref="L52:L65" si="14">I52</f>
        <v>45</v>
      </c>
      <c r="M52" s="29">
        <v>1</v>
      </c>
      <c r="N52" s="29">
        <f t="shared" ref="N52:N57" si="15">IF(OR(C52=4,C52=5),1,0)</f>
        <v>0</v>
      </c>
      <c r="O52" s="29">
        <v>1</v>
      </c>
    </row>
    <row r="53" spans="1:15" s="41" customFormat="1" x14ac:dyDescent="0.2">
      <c r="A53" s="38">
        <v>52</v>
      </c>
      <c r="B53" s="38">
        <v>12</v>
      </c>
      <c r="C53" s="38">
        <v>42</v>
      </c>
      <c r="D53" s="38"/>
      <c r="E53" s="39">
        <f>LOOKUP(use_fish!B53,base_fish!A:A,base_fish!C:C)+_xlfn.IFNA(INDEX(activity!F:F,MATCH(use_fish!C53,activity!A:A,0)),0)</f>
        <v>48</v>
      </c>
      <c r="F53" s="39">
        <f t="shared" si="13"/>
        <v>2.0833333333333332E-2</v>
      </c>
      <c r="G53" s="39" t="s">
        <v>22</v>
      </c>
      <c r="H53" s="40" t="str">
        <f>INDEX(base_fish!E:E,MATCH(use_fish!B53,base_fish!A:A,0))&amp;_xlfn.IFNA("+"&amp;INDEX(activity!G:G,MATCH(use_fish!C53,activity!A:A,0)),"")</f>
        <v>狮子鱼+炸弹</v>
      </c>
      <c r="I53" s="39">
        <f>LOOKUP(use_fish!B53,base_fish!A:A,base_fish!F:F)+_xlfn.IFNA(INDEX(activity!F:F,MATCH(use_fish!C53,activity!A:A,0)),0)</f>
        <v>48</v>
      </c>
      <c r="J53" s="41">
        <v>1</v>
      </c>
      <c r="K53" s="41">
        <f>LOOKUP(use_fish!B53,base_fish!A:A,base_fish!G:G)</f>
        <v>0</v>
      </c>
      <c r="L53" s="41">
        <f t="shared" si="14"/>
        <v>48</v>
      </c>
      <c r="M53" s="41">
        <v>1</v>
      </c>
      <c r="N53" s="41">
        <f t="shared" si="15"/>
        <v>0</v>
      </c>
      <c r="O53" s="41">
        <v>1</v>
      </c>
    </row>
    <row r="54" spans="1:15" s="41" customFormat="1" x14ac:dyDescent="0.2">
      <c r="A54" s="38">
        <v>53</v>
      </c>
      <c r="B54" s="38">
        <v>13</v>
      </c>
      <c r="C54" s="38">
        <v>42</v>
      </c>
      <c r="D54" s="38"/>
      <c r="E54" s="39">
        <f>LOOKUP(use_fish!B54,base_fish!A:A,base_fish!C:C)+_xlfn.IFNA(INDEX(activity!F:F,MATCH(use_fish!C54,activity!A:A,0)),0)</f>
        <v>50</v>
      </c>
      <c r="F54" s="39">
        <f t="shared" si="13"/>
        <v>0.02</v>
      </c>
      <c r="G54" s="39" t="s">
        <v>22</v>
      </c>
      <c r="H54" s="40" t="str">
        <f>INDEX(base_fish!E:E,MATCH(use_fish!B54,base_fish!A:A,0))&amp;_xlfn.IFNA("+"&amp;INDEX(activity!G:G,MATCH(use_fish!C54,activity!A:A,0)),"")</f>
        <v>蝴蝶鱼+炸弹</v>
      </c>
      <c r="I54" s="39">
        <f>LOOKUP(use_fish!B54,base_fish!A:A,base_fish!F:F)+_xlfn.IFNA(INDEX(activity!F:F,MATCH(use_fish!C54,activity!A:A,0)),0)</f>
        <v>50</v>
      </c>
      <c r="J54" s="41">
        <v>1</v>
      </c>
      <c r="K54" s="41">
        <f>LOOKUP(use_fish!B54,base_fish!A:A,base_fish!G:G)</f>
        <v>0</v>
      </c>
      <c r="L54" s="41">
        <f t="shared" si="14"/>
        <v>50</v>
      </c>
      <c r="M54" s="41">
        <v>1</v>
      </c>
      <c r="N54" s="41">
        <f t="shared" si="15"/>
        <v>0</v>
      </c>
      <c r="O54" s="41">
        <v>1</v>
      </c>
    </row>
    <row r="55" spans="1:15" s="41" customFormat="1" x14ac:dyDescent="0.2">
      <c r="A55" s="38">
        <v>54</v>
      </c>
      <c r="B55" s="38">
        <v>14</v>
      </c>
      <c r="C55" s="38">
        <v>42</v>
      </c>
      <c r="D55" s="38"/>
      <c r="E55" s="39">
        <f>LOOKUP(use_fish!B55,base_fish!A:A,base_fish!C:C)+_xlfn.IFNA(INDEX(activity!F:F,MATCH(use_fish!C55,activity!A:A,0)),0)</f>
        <v>55</v>
      </c>
      <c r="F55" s="39">
        <f t="shared" si="13"/>
        <v>1.8181818181818181E-2</v>
      </c>
      <c r="G55" s="39" t="s">
        <v>22</v>
      </c>
      <c r="H55" s="40" t="str">
        <f>INDEX(base_fish!E:E,MATCH(use_fish!B55,base_fish!A:A,0))&amp;_xlfn.IFNA("+"&amp;INDEX(activity!G:G,MATCH(use_fish!C55,activity!A:A,0)),"")</f>
        <v>巨大小丑鱼+炸弹</v>
      </c>
      <c r="I55" s="39">
        <f>LOOKUP(use_fish!B55,base_fish!A:A,base_fish!F:F)+_xlfn.IFNA(INDEX(activity!F:F,MATCH(use_fish!C55,activity!A:A,0)),0)</f>
        <v>55</v>
      </c>
      <c r="J55" s="41">
        <v>1</v>
      </c>
      <c r="K55" s="41">
        <f>LOOKUP(use_fish!B55,base_fish!A:A,base_fish!G:G)</f>
        <v>0</v>
      </c>
      <c r="L55" s="41">
        <f t="shared" si="14"/>
        <v>55</v>
      </c>
      <c r="M55" s="41">
        <v>1</v>
      </c>
      <c r="N55" s="41">
        <f t="shared" si="15"/>
        <v>0</v>
      </c>
      <c r="O55" s="41">
        <v>1</v>
      </c>
    </row>
    <row r="56" spans="1:15" s="41" customFormat="1" x14ac:dyDescent="0.2">
      <c r="A56" s="38">
        <v>55</v>
      </c>
      <c r="B56" s="38">
        <v>15</v>
      </c>
      <c r="C56" s="38">
        <v>42</v>
      </c>
      <c r="D56" s="38"/>
      <c r="E56" s="39">
        <f>LOOKUP(use_fish!B56,base_fish!A:A,base_fish!C:C)+_xlfn.IFNA(INDEX(activity!F:F,MATCH(use_fish!C56,activity!A:A,0)),0)</f>
        <v>60</v>
      </c>
      <c r="F56" s="39">
        <f t="shared" si="13"/>
        <v>1.6666666666666666E-2</v>
      </c>
      <c r="G56" s="39" t="s">
        <v>22</v>
      </c>
      <c r="H56" s="40" t="str">
        <f>INDEX(base_fish!E:E,MATCH(use_fish!B56,base_fish!A:A,0))&amp;_xlfn.IFNA("+"&amp;INDEX(activity!G:G,MATCH(use_fish!C56,activity!A:A,0)),"")</f>
        <v>巨大灯笼鱼+炸弹</v>
      </c>
      <c r="I56" s="39">
        <f>LOOKUP(use_fish!B56,base_fish!A:A,base_fish!F:F)+_xlfn.IFNA(INDEX(activity!F:F,MATCH(use_fish!C56,activity!A:A,0)),0)</f>
        <v>60</v>
      </c>
      <c r="J56" s="41">
        <v>1</v>
      </c>
      <c r="K56" s="41">
        <f>LOOKUP(use_fish!B56,base_fish!A:A,base_fish!G:G)</f>
        <v>0</v>
      </c>
      <c r="L56" s="41">
        <f t="shared" si="14"/>
        <v>60</v>
      </c>
      <c r="M56" s="41">
        <v>1</v>
      </c>
      <c r="N56" s="41">
        <f t="shared" si="15"/>
        <v>0</v>
      </c>
      <c r="O56" s="41">
        <v>1</v>
      </c>
    </row>
    <row r="57" spans="1:15" s="41" customFormat="1" x14ac:dyDescent="0.2">
      <c r="A57" s="38">
        <v>56</v>
      </c>
      <c r="B57" s="38">
        <v>16</v>
      </c>
      <c r="C57" s="38">
        <v>42</v>
      </c>
      <c r="D57" s="38"/>
      <c r="E57" s="39">
        <f>LOOKUP(use_fish!B57,base_fish!A:A,base_fish!C:C)+_xlfn.IFNA(INDEX(activity!F:F,MATCH(use_fish!C57,activity!A:A,0)),0)</f>
        <v>65</v>
      </c>
      <c r="F57" s="39">
        <f t="shared" si="13"/>
        <v>1.5384615384615385E-2</v>
      </c>
      <c r="G57" s="39" t="s">
        <v>22</v>
      </c>
      <c r="H57" s="40" t="str">
        <f>INDEX(base_fish!E:E,MATCH(use_fish!B57,base_fish!A:A,0))&amp;_xlfn.IFNA("+"&amp;INDEX(activity!G:G,MATCH(use_fish!C57,activity!A:A,0)),"")</f>
        <v>巨大燕鱼+炸弹</v>
      </c>
      <c r="I57" s="39">
        <f>LOOKUP(use_fish!B57,base_fish!A:A,base_fish!F:F)+_xlfn.IFNA(INDEX(activity!F:F,MATCH(use_fish!C57,activity!A:A,0)),0)</f>
        <v>65</v>
      </c>
      <c r="J57" s="41">
        <v>1</v>
      </c>
      <c r="K57" s="41">
        <f>LOOKUP(use_fish!B57,base_fish!A:A,base_fish!G:G)</f>
        <v>0</v>
      </c>
      <c r="L57" s="41">
        <f t="shared" si="14"/>
        <v>65</v>
      </c>
      <c r="M57" s="41">
        <v>1</v>
      </c>
      <c r="N57" s="41">
        <f t="shared" si="15"/>
        <v>0</v>
      </c>
      <c r="O57" s="41">
        <v>1</v>
      </c>
    </row>
    <row r="58" spans="1:15" s="41" customFormat="1" x14ac:dyDescent="0.2">
      <c r="A58" s="38">
        <v>57</v>
      </c>
      <c r="B58" s="38">
        <v>17</v>
      </c>
      <c r="C58" s="38">
        <v>42</v>
      </c>
      <c r="D58" s="38"/>
      <c r="E58" s="39">
        <f>LOOKUP(use_fish!B58,base_fish!A:A,base_fish!C:C)+_xlfn.IFNA(INDEX(activity!F:F,MATCH(use_fish!C58,activity!A:A,0)),0)</f>
        <v>70</v>
      </c>
      <c r="F58" s="39">
        <f t="shared" si="13"/>
        <v>1.4285714285714285E-2</v>
      </c>
      <c r="G58" s="39" t="s">
        <v>22</v>
      </c>
      <c r="H58" s="40" t="str">
        <f>INDEX(base_fish!E:E,MATCH(use_fish!B58,base_fish!A:A,0))&amp;_xlfn.IFNA("+"&amp;INDEX(activity!G:G,MATCH(use_fish!C58,activity!A:A,0)),"")</f>
        <v>魔鬼鱼+炸弹</v>
      </c>
      <c r="I58" s="39">
        <f>LOOKUP(use_fish!B58,base_fish!A:A,base_fish!F:F)+_xlfn.IFNA(INDEX(activity!F:F,MATCH(use_fish!C58,activity!A:A,0)),0)</f>
        <v>70</v>
      </c>
      <c r="J58" s="41">
        <v>1</v>
      </c>
      <c r="K58" s="41">
        <f>LOOKUP(use_fish!B58,base_fish!A:A,base_fish!G:G)</f>
        <v>0</v>
      </c>
      <c r="L58" s="41">
        <f t="shared" si="14"/>
        <v>70</v>
      </c>
      <c r="M58" s="41">
        <v>1</v>
      </c>
      <c r="N58" s="41">
        <v>0</v>
      </c>
      <c r="O58" s="41">
        <v>1</v>
      </c>
    </row>
    <row r="59" spans="1:15" s="41" customFormat="1" x14ac:dyDescent="0.2">
      <c r="A59" s="38">
        <v>58</v>
      </c>
      <c r="B59" s="38">
        <v>18</v>
      </c>
      <c r="C59" s="38">
        <v>42</v>
      </c>
      <c r="D59" s="38"/>
      <c r="E59" s="39">
        <f>LOOKUP(use_fish!B59,base_fish!A:A,base_fish!C:C)+_xlfn.IFNA(INDEX(activity!F:F,MATCH(use_fish!C59,activity!A:A,0)),0)</f>
        <v>90</v>
      </c>
      <c r="F59" s="39">
        <f t="shared" si="13"/>
        <v>1.1111111111111112E-2</v>
      </c>
      <c r="G59" s="39" t="s">
        <v>22</v>
      </c>
      <c r="H59" s="40" t="str">
        <f>INDEX(base_fish!E:E,MATCH(use_fish!B59,base_fish!A:A,0))&amp;_xlfn.IFNA("+"&amp;INDEX(activity!G:G,MATCH(use_fish!C59,activity!A:A,0)),"")</f>
        <v>虎鲸+炸弹</v>
      </c>
      <c r="I59" s="39">
        <f>LOOKUP(use_fish!B59,base_fish!A:A,base_fish!F:F)+_xlfn.IFNA(INDEX(activity!F:F,MATCH(use_fish!C59,activity!A:A,0)),0)</f>
        <v>90</v>
      </c>
      <c r="J59" s="41">
        <v>1</v>
      </c>
      <c r="K59" s="41">
        <f>LOOKUP(use_fish!B59,base_fish!A:A,base_fish!G:G)</f>
        <v>0</v>
      </c>
      <c r="L59" s="41">
        <f t="shared" si="14"/>
        <v>90</v>
      </c>
      <c r="M59" s="41">
        <v>1</v>
      </c>
      <c r="N59" s="41">
        <v>0</v>
      </c>
      <c r="O59" s="41">
        <v>1</v>
      </c>
    </row>
    <row r="60" spans="1:15" s="21" customFormat="1" x14ac:dyDescent="0.2">
      <c r="A60" s="18">
        <v>59</v>
      </c>
      <c r="B60" s="18">
        <v>20</v>
      </c>
      <c r="C60" s="18">
        <v>42</v>
      </c>
      <c r="D60" s="18" t="s">
        <v>308</v>
      </c>
      <c r="E60" s="19">
        <v>93</v>
      </c>
      <c r="F60" s="19">
        <f t="shared" si="13"/>
        <v>1.0752688172043012E-2</v>
      </c>
      <c r="G60" s="19" t="s">
        <v>22</v>
      </c>
      <c r="H60" s="20" t="str">
        <f>INDEX(base_fish!E:E,MATCH(use_fish!B60,base_fish!A:A,0))&amp;_xlfn.IFNA("+"&amp;INDEX(activity!G:G,MATCH(use_fish!C60,activity!A:A,0)),"")</f>
        <v>黄金灯笼鱼+炸弹</v>
      </c>
      <c r="I60" s="19">
        <f>LOOKUP(use_fish!B60,base_fish!A:A,base_fish!F:F)+_xlfn.IFNA(INDEX(activity!F:F,MATCH(use_fish!C60,activity!A:A,0)),0)</f>
        <v>90</v>
      </c>
      <c r="J60" s="21">
        <v>1</v>
      </c>
      <c r="K60" s="21">
        <f>LOOKUP(use_fish!B60,base_fish!A:A,base_fish!G:G)</f>
        <v>0</v>
      </c>
      <c r="L60" s="21">
        <f t="shared" si="14"/>
        <v>90</v>
      </c>
      <c r="M60" s="21">
        <v>1</v>
      </c>
      <c r="N60" s="21">
        <v>0</v>
      </c>
      <c r="O60" s="21">
        <v>2</v>
      </c>
    </row>
    <row r="61" spans="1:15" s="21" customFormat="1" x14ac:dyDescent="0.2">
      <c r="A61" s="18">
        <v>60</v>
      </c>
      <c r="B61" s="18">
        <v>22</v>
      </c>
      <c r="C61" s="18">
        <v>42</v>
      </c>
      <c r="D61" s="18" t="s">
        <v>339</v>
      </c>
      <c r="E61" s="19">
        <v>93</v>
      </c>
      <c r="F61" s="19">
        <f t="shared" si="13"/>
        <v>1.0752688172043012E-2</v>
      </c>
      <c r="G61" s="19" t="s">
        <v>22</v>
      </c>
      <c r="H61" s="20" t="str">
        <f>INDEX(base_fish!E:E,MATCH(use_fish!B61,base_fish!A:A,0))&amp;_xlfn.IFNA("+"&amp;INDEX(activity!G:G,MATCH(use_fish!C61,activity!A:A,0)),"")</f>
        <v>黄金狮子鱼+炸弹</v>
      </c>
      <c r="I61" s="19">
        <f>LOOKUP(use_fish!B61,base_fish!A:A,base_fish!F:F)+_xlfn.IFNA(INDEX(activity!F:F,MATCH(use_fish!C61,activity!A:A,0)),0)</f>
        <v>90</v>
      </c>
      <c r="J61" s="21">
        <v>1</v>
      </c>
      <c r="K61" s="21">
        <f>LOOKUP(use_fish!B61,base_fish!A:A,base_fish!G:G)</f>
        <v>0</v>
      </c>
      <c r="L61" s="21">
        <f t="shared" si="14"/>
        <v>90</v>
      </c>
      <c r="M61" s="21">
        <v>1</v>
      </c>
      <c r="N61" s="21">
        <v>0</v>
      </c>
      <c r="O61" s="21">
        <v>2</v>
      </c>
    </row>
    <row r="62" spans="1:15" s="21" customFormat="1" x14ac:dyDescent="0.2">
      <c r="A62" s="18">
        <v>61</v>
      </c>
      <c r="B62" s="18">
        <v>23</v>
      </c>
      <c r="C62" s="18">
        <v>42</v>
      </c>
      <c r="D62" s="18" t="s">
        <v>340</v>
      </c>
      <c r="E62" s="19">
        <v>135</v>
      </c>
      <c r="F62" s="19">
        <f t="shared" si="13"/>
        <v>7.4074074074074077E-3</v>
      </c>
      <c r="G62" s="19" t="s">
        <v>22</v>
      </c>
      <c r="H62" s="20" t="str">
        <f>INDEX(base_fish!E:E,MATCH(use_fish!B62,base_fish!A:A,0))&amp;_xlfn.IFNA("+"&amp;INDEX(activity!G:G,MATCH(use_fish!C62,activity!A:A,0)),"")</f>
        <v>黄金海龟+炸弹</v>
      </c>
      <c r="I62" s="19">
        <f>LOOKUP(use_fish!B62,base_fish!A:A,base_fish!F:F)+_xlfn.IFNA(INDEX(activity!F:F,MATCH(use_fish!C62,activity!A:A,0)),0)</f>
        <v>90</v>
      </c>
      <c r="J62" s="21">
        <v>1</v>
      </c>
      <c r="K62" s="21">
        <f>LOOKUP(use_fish!B62,base_fish!A:A,base_fish!G:G)</f>
        <v>0</v>
      </c>
      <c r="L62" s="21">
        <f t="shared" si="14"/>
        <v>90</v>
      </c>
      <c r="M62" s="21">
        <v>1</v>
      </c>
      <c r="N62" s="21">
        <v>0</v>
      </c>
      <c r="O62" s="21">
        <v>2</v>
      </c>
    </row>
    <row r="63" spans="1:15" s="21" customFormat="1" x14ac:dyDescent="0.2">
      <c r="A63" s="18">
        <v>62</v>
      </c>
      <c r="B63" s="18">
        <v>25</v>
      </c>
      <c r="C63" s="18">
        <v>42</v>
      </c>
      <c r="D63" s="18" t="s">
        <v>308</v>
      </c>
      <c r="E63" s="19">
        <v>114</v>
      </c>
      <c r="F63" s="19">
        <f t="shared" si="13"/>
        <v>8.771929824561403E-3</v>
      </c>
      <c r="G63" s="19" t="s">
        <v>22</v>
      </c>
      <c r="H63" s="20" t="str">
        <f>INDEX(base_fish!E:E,MATCH(use_fish!B63,base_fish!A:A,0))&amp;_xlfn.IFNA("+"&amp;INDEX(activity!G:G,MATCH(use_fish!C63,activity!A:A,0)),"")</f>
        <v>金蟾+炸弹</v>
      </c>
      <c r="I63" s="19">
        <f>LOOKUP(use_fish!B63,base_fish!A:A,base_fish!F:F)+_xlfn.IFNA(INDEX(activity!F:F,MATCH(use_fish!C63,activity!A:A,0)),0)</f>
        <v>110</v>
      </c>
      <c r="J63" s="21">
        <v>1</v>
      </c>
      <c r="K63" s="21">
        <f>LOOKUP(use_fish!B63,base_fish!A:A,base_fish!G:G)</f>
        <v>0</v>
      </c>
      <c r="L63" s="21">
        <f t="shared" si="14"/>
        <v>110</v>
      </c>
      <c r="M63" s="21">
        <v>1</v>
      </c>
      <c r="N63" s="21">
        <v>0</v>
      </c>
      <c r="O63" s="21">
        <v>2</v>
      </c>
    </row>
    <row r="64" spans="1:15" s="21" customFormat="1" x14ac:dyDescent="0.2">
      <c r="A64" s="18">
        <v>63</v>
      </c>
      <c r="B64" s="18">
        <v>26</v>
      </c>
      <c r="C64" s="18">
        <v>42</v>
      </c>
      <c r="D64" s="18" t="s">
        <v>308</v>
      </c>
      <c r="E64" s="19">
        <v>135</v>
      </c>
      <c r="F64" s="19">
        <f t="shared" si="13"/>
        <v>7.4074074074074077E-3</v>
      </c>
      <c r="G64" s="19" t="s">
        <v>22</v>
      </c>
      <c r="H64" s="20" t="str">
        <f>INDEX(base_fish!E:E,MATCH(use_fish!B64,base_fish!A:A,0))&amp;_xlfn.IFNA("+"&amp;INDEX(activity!G:G,MATCH(use_fish!C64,activity!A:A,0)),"")</f>
        <v>大金鲨+炸弹</v>
      </c>
      <c r="I64" s="19">
        <f>LOOKUP(use_fish!B64,base_fish!A:A,base_fish!F:F)+_xlfn.IFNA(INDEX(activity!F:F,MATCH(use_fish!C64,activity!A:A,0)),0)</f>
        <v>130</v>
      </c>
      <c r="J64" s="21">
        <v>1</v>
      </c>
      <c r="K64" s="21">
        <f>LOOKUP(use_fish!B64,base_fish!A:A,base_fish!G:G)</f>
        <v>0</v>
      </c>
      <c r="L64" s="21">
        <f t="shared" si="14"/>
        <v>130</v>
      </c>
      <c r="M64" s="21">
        <v>1</v>
      </c>
      <c r="N64" s="21">
        <v>0</v>
      </c>
      <c r="O64" s="21">
        <v>2</v>
      </c>
    </row>
    <row r="65" spans="1:15" s="21" customFormat="1" x14ac:dyDescent="0.2">
      <c r="A65" s="18">
        <v>64</v>
      </c>
      <c r="B65" s="18">
        <v>27</v>
      </c>
      <c r="C65" s="18">
        <v>42</v>
      </c>
      <c r="D65" s="18" t="s">
        <v>339</v>
      </c>
      <c r="E65" s="19">
        <v>135</v>
      </c>
      <c r="F65" s="19">
        <f t="shared" si="13"/>
        <v>7.4074074074074077E-3</v>
      </c>
      <c r="G65" s="19" t="s">
        <v>22</v>
      </c>
      <c r="H65" s="20" t="str">
        <f>INDEX(base_fish!E:E,MATCH(use_fish!B65,base_fish!A:A,0))&amp;_xlfn.IFNA("+"&amp;INDEX(activity!G:G,MATCH(use_fish!C65,activity!A:A,0)),"")</f>
        <v>黄金锤头鲨+炸弹</v>
      </c>
      <c r="I65" s="19">
        <f>LOOKUP(use_fish!B65,base_fish!A:A,base_fish!F:F)+_xlfn.IFNA(INDEX(activity!F:F,MATCH(use_fish!C65,activity!A:A,0)),0)</f>
        <v>130</v>
      </c>
      <c r="J65" s="21">
        <v>1</v>
      </c>
      <c r="K65" s="21">
        <f>LOOKUP(use_fish!B65,base_fish!A:A,base_fish!G:G)</f>
        <v>0</v>
      </c>
      <c r="L65" s="21">
        <f t="shared" si="14"/>
        <v>130</v>
      </c>
      <c r="M65" s="21">
        <v>1</v>
      </c>
      <c r="N65" s="21">
        <v>0</v>
      </c>
      <c r="O65" s="21">
        <v>2</v>
      </c>
    </row>
    <row r="66" spans="1:15" s="29" customFormat="1" x14ac:dyDescent="0.2">
      <c r="A66" s="26">
        <v>65</v>
      </c>
      <c r="B66" s="26">
        <v>11</v>
      </c>
      <c r="C66" s="26">
        <v>43</v>
      </c>
      <c r="D66" s="26"/>
      <c r="E66" s="27">
        <f>LOOKUP(use_fish!B66,base_fish!A:A,base_fish!C:C)+_xlfn.IFNA(INDEX(activity!F:F,MATCH(use_fish!C66,activity!A:A,0)),0)</f>
        <v>65</v>
      </c>
      <c r="F66" s="27">
        <f t="shared" ref="F66:F79" si="16">1/E66</f>
        <v>1.5384615384615385E-2</v>
      </c>
      <c r="G66" s="27" t="s">
        <v>22</v>
      </c>
      <c r="H66" s="28" t="str">
        <f>INDEX(base_fish!E:E,MATCH(use_fish!B66,base_fish!A:A,0))&amp;_xlfn.IFNA("+"&amp;INDEX(activity!G:G,MATCH(use_fish!C66,activity!A:A,0)),"")</f>
        <v>小海龟+闪电</v>
      </c>
      <c r="I66" s="27">
        <f>LOOKUP(use_fish!B66,base_fish!A:A,base_fish!F:F)+_xlfn.IFNA(INDEX(activity!F:F,MATCH(use_fish!C66,activity!A:A,0)),0)</f>
        <v>65</v>
      </c>
      <c r="J66" s="29">
        <v>1</v>
      </c>
      <c r="K66" s="29">
        <f>LOOKUP(use_fish!B66,base_fish!A:A,base_fish!G:G)</f>
        <v>0</v>
      </c>
      <c r="L66" s="29">
        <f t="shared" ref="L66:L79" si="17">I66</f>
        <v>65</v>
      </c>
      <c r="M66" s="29">
        <v>1</v>
      </c>
      <c r="N66" s="29">
        <f t="shared" ref="N66:N71" si="18">IF(OR(C66=4,C66=5),1,0)</f>
        <v>0</v>
      </c>
      <c r="O66" s="29">
        <v>1</v>
      </c>
    </row>
    <row r="67" spans="1:15" s="41" customFormat="1" x14ac:dyDescent="0.2">
      <c r="A67" s="38">
        <v>66</v>
      </c>
      <c r="B67" s="38">
        <v>12</v>
      </c>
      <c r="C67" s="38">
        <v>43</v>
      </c>
      <c r="D67" s="38"/>
      <c r="E67" s="39">
        <f>LOOKUP(use_fish!B67,base_fish!A:A,base_fish!C:C)+_xlfn.IFNA(INDEX(activity!F:F,MATCH(use_fish!C67,activity!A:A,0)),0)</f>
        <v>68</v>
      </c>
      <c r="F67" s="39">
        <f t="shared" si="16"/>
        <v>1.4705882352941176E-2</v>
      </c>
      <c r="G67" s="39" t="s">
        <v>22</v>
      </c>
      <c r="H67" s="40" t="str">
        <f>INDEX(base_fish!E:E,MATCH(use_fish!B67,base_fish!A:A,0))&amp;_xlfn.IFNA("+"&amp;INDEX(activity!G:G,MATCH(use_fish!C67,activity!A:A,0)),"")</f>
        <v>狮子鱼+闪电</v>
      </c>
      <c r="I67" s="39">
        <f>LOOKUP(use_fish!B67,base_fish!A:A,base_fish!F:F)+_xlfn.IFNA(INDEX(activity!F:F,MATCH(use_fish!C67,activity!A:A,0)),0)</f>
        <v>68</v>
      </c>
      <c r="J67" s="41">
        <v>1</v>
      </c>
      <c r="K67" s="41">
        <f>LOOKUP(use_fish!B67,base_fish!A:A,base_fish!G:G)</f>
        <v>0</v>
      </c>
      <c r="L67" s="41">
        <f t="shared" si="17"/>
        <v>68</v>
      </c>
      <c r="M67" s="41">
        <v>1</v>
      </c>
      <c r="N67" s="41">
        <f t="shared" si="18"/>
        <v>0</v>
      </c>
      <c r="O67" s="41">
        <v>1</v>
      </c>
    </row>
    <row r="68" spans="1:15" s="41" customFormat="1" x14ac:dyDescent="0.2">
      <c r="A68" s="38">
        <v>67</v>
      </c>
      <c r="B68" s="38">
        <v>13</v>
      </c>
      <c r="C68" s="38">
        <v>43</v>
      </c>
      <c r="D68" s="38"/>
      <c r="E68" s="39">
        <f>LOOKUP(use_fish!B68,base_fish!A:A,base_fish!C:C)+_xlfn.IFNA(INDEX(activity!F:F,MATCH(use_fish!C68,activity!A:A,0)),0)</f>
        <v>70</v>
      </c>
      <c r="F68" s="39">
        <f t="shared" si="16"/>
        <v>1.4285714285714285E-2</v>
      </c>
      <c r="G68" s="39" t="s">
        <v>22</v>
      </c>
      <c r="H68" s="40" t="str">
        <f>INDEX(base_fish!E:E,MATCH(use_fish!B68,base_fish!A:A,0))&amp;_xlfn.IFNA("+"&amp;INDEX(activity!G:G,MATCH(use_fish!C68,activity!A:A,0)),"")</f>
        <v>蝴蝶鱼+闪电</v>
      </c>
      <c r="I68" s="39">
        <f>LOOKUP(use_fish!B68,base_fish!A:A,base_fish!F:F)+_xlfn.IFNA(INDEX(activity!F:F,MATCH(use_fish!C68,activity!A:A,0)),0)</f>
        <v>70</v>
      </c>
      <c r="J68" s="41">
        <v>1</v>
      </c>
      <c r="K68" s="41">
        <f>LOOKUP(use_fish!B68,base_fish!A:A,base_fish!G:G)</f>
        <v>0</v>
      </c>
      <c r="L68" s="41">
        <f t="shared" si="17"/>
        <v>70</v>
      </c>
      <c r="M68" s="41">
        <v>1</v>
      </c>
      <c r="N68" s="41">
        <f t="shared" si="18"/>
        <v>0</v>
      </c>
      <c r="O68" s="41">
        <v>1</v>
      </c>
    </row>
    <row r="69" spans="1:15" s="41" customFormat="1" x14ac:dyDescent="0.2">
      <c r="A69" s="38">
        <v>68</v>
      </c>
      <c r="B69" s="38">
        <v>14</v>
      </c>
      <c r="C69" s="38">
        <v>43</v>
      </c>
      <c r="D69" s="38"/>
      <c r="E69" s="39">
        <f>LOOKUP(use_fish!B69,base_fish!A:A,base_fish!C:C)+_xlfn.IFNA(INDEX(activity!F:F,MATCH(use_fish!C69,activity!A:A,0)),0)</f>
        <v>75</v>
      </c>
      <c r="F69" s="39">
        <f t="shared" si="16"/>
        <v>1.3333333333333334E-2</v>
      </c>
      <c r="G69" s="39" t="s">
        <v>22</v>
      </c>
      <c r="H69" s="40" t="str">
        <f>INDEX(base_fish!E:E,MATCH(use_fish!B69,base_fish!A:A,0))&amp;_xlfn.IFNA("+"&amp;INDEX(activity!G:G,MATCH(use_fish!C69,activity!A:A,0)),"")</f>
        <v>巨大小丑鱼+闪电</v>
      </c>
      <c r="I69" s="39">
        <f>LOOKUP(use_fish!B69,base_fish!A:A,base_fish!F:F)+_xlfn.IFNA(INDEX(activity!F:F,MATCH(use_fish!C69,activity!A:A,0)),0)</f>
        <v>75</v>
      </c>
      <c r="J69" s="41">
        <v>1</v>
      </c>
      <c r="K69" s="41">
        <f>LOOKUP(use_fish!B69,base_fish!A:A,base_fish!G:G)</f>
        <v>0</v>
      </c>
      <c r="L69" s="41">
        <f t="shared" si="17"/>
        <v>75</v>
      </c>
      <c r="M69" s="41">
        <v>1</v>
      </c>
      <c r="N69" s="41">
        <f t="shared" si="18"/>
        <v>0</v>
      </c>
      <c r="O69" s="41">
        <v>1</v>
      </c>
    </row>
    <row r="70" spans="1:15" s="41" customFormat="1" x14ac:dyDescent="0.2">
      <c r="A70" s="38">
        <v>69</v>
      </c>
      <c r="B70" s="38">
        <v>15</v>
      </c>
      <c r="C70" s="38">
        <v>43</v>
      </c>
      <c r="D70" s="38"/>
      <c r="E70" s="39">
        <f>LOOKUP(use_fish!B70,base_fish!A:A,base_fish!C:C)+_xlfn.IFNA(INDEX(activity!F:F,MATCH(use_fish!C70,activity!A:A,0)),0)</f>
        <v>80</v>
      </c>
      <c r="F70" s="39">
        <f t="shared" si="16"/>
        <v>1.2500000000000001E-2</v>
      </c>
      <c r="G70" s="39" t="s">
        <v>22</v>
      </c>
      <c r="H70" s="40" t="str">
        <f>INDEX(base_fish!E:E,MATCH(use_fish!B70,base_fish!A:A,0))&amp;_xlfn.IFNA("+"&amp;INDEX(activity!G:G,MATCH(use_fish!C70,activity!A:A,0)),"")</f>
        <v>巨大灯笼鱼+闪电</v>
      </c>
      <c r="I70" s="39">
        <f>LOOKUP(use_fish!B70,base_fish!A:A,base_fish!F:F)+_xlfn.IFNA(INDEX(activity!F:F,MATCH(use_fish!C70,activity!A:A,0)),0)</f>
        <v>80</v>
      </c>
      <c r="J70" s="41">
        <v>1</v>
      </c>
      <c r="K70" s="41">
        <f>LOOKUP(use_fish!B70,base_fish!A:A,base_fish!G:G)</f>
        <v>0</v>
      </c>
      <c r="L70" s="41">
        <f t="shared" si="17"/>
        <v>80</v>
      </c>
      <c r="M70" s="41">
        <v>1</v>
      </c>
      <c r="N70" s="41">
        <f t="shared" si="18"/>
        <v>0</v>
      </c>
      <c r="O70" s="41">
        <v>1</v>
      </c>
    </row>
    <row r="71" spans="1:15" s="41" customFormat="1" x14ac:dyDescent="0.2">
      <c r="A71" s="38">
        <v>70</v>
      </c>
      <c r="B71" s="38">
        <v>16</v>
      </c>
      <c r="C71" s="38">
        <v>43</v>
      </c>
      <c r="D71" s="38"/>
      <c r="E71" s="39">
        <f>LOOKUP(use_fish!B71,base_fish!A:A,base_fish!C:C)+_xlfn.IFNA(INDEX(activity!F:F,MATCH(use_fish!C71,activity!A:A,0)),0)</f>
        <v>85</v>
      </c>
      <c r="F71" s="39">
        <f t="shared" si="16"/>
        <v>1.1764705882352941E-2</v>
      </c>
      <c r="G71" s="39" t="s">
        <v>22</v>
      </c>
      <c r="H71" s="40" t="str">
        <f>INDEX(base_fish!E:E,MATCH(use_fish!B71,base_fish!A:A,0))&amp;_xlfn.IFNA("+"&amp;INDEX(activity!G:G,MATCH(use_fish!C71,activity!A:A,0)),"")</f>
        <v>巨大燕鱼+闪电</v>
      </c>
      <c r="I71" s="39">
        <f>LOOKUP(use_fish!B71,base_fish!A:A,base_fish!F:F)+_xlfn.IFNA(INDEX(activity!F:F,MATCH(use_fish!C71,activity!A:A,0)),0)</f>
        <v>85</v>
      </c>
      <c r="J71" s="41">
        <v>1</v>
      </c>
      <c r="K71" s="41">
        <f>LOOKUP(use_fish!B71,base_fish!A:A,base_fish!G:G)</f>
        <v>0</v>
      </c>
      <c r="L71" s="41">
        <f t="shared" si="17"/>
        <v>85</v>
      </c>
      <c r="M71" s="41">
        <v>1</v>
      </c>
      <c r="N71" s="41">
        <f t="shared" si="18"/>
        <v>0</v>
      </c>
      <c r="O71" s="41">
        <v>1</v>
      </c>
    </row>
    <row r="72" spans="1:15" s="41" customFormat="1" x14ac:dyDescent="0.2">
      <c r="A72" s="38">
        <v>71</v>
      </c>
      <c r="B72" s="38">
        <v>17</v>
      </c>
      <c r="C72" s="38">
        <v>43</v>
      </c>
      <c r="D72" s="38"/>
      <c r="E72" s="39">
        <f>LOOKUP(use_fish!B72,base_fish!A:A,base_fish!C:C)+_xlfn.IFNA(INDEX(activity!F:F,MATCH(use_fish!C72,activity!A:A,0)),0)</f>
        <v>90</v>
      </c>
      <c r="F72" s="39">
        <f t="shared" si="16"/>
        <v>1.1111111111111112E-2</v>
      </c>
      <c r="G72" s="39" t="s">
        <v>22</v>
      </c>
      <c r="H72" s="40" t="str">
        <f>INDEX(base_fish!E:E,MATCH(use_fish!B72,base_fish!A:A,0))&amp;_xlfn.IFNA("+"&amp;INDEX(activity!G:G,MATCH(use_fish!C72,activity!A:A,0)),"")</f>
        <v>魔鬼鱼+闪电</v>
      </c>
      <c r="I72" s="39">
        <f>LOOKUP(use_fish!B72,base_fish!A:A,base_fish!F:F)+_xlfn.IFNA(INDEX(activity!F:F,MATCH(use_fish!C72,activity!A:A,0)),0)</f>
        <v>90</v>
      </c>
      <c r="J72" s="41">
        <v>1</v>
      </c>
      <c r="K72" s="41">
        <f>LOOKUP(use_fish!B72,base_fish!A:A,base_fish!G:G)</f>
        <v>0</v>
      </c>
      <c r="L72" s="41">
        <f t="shared" si="17"/>
        <v>90</v>
      </c>
      <c r="M72" s="41">
        <v>1</v>
      </c>
      <c r="N72" s="41">
        <v>0</v>
      </c>
      <c r="O72" s="41">
        <v>1</v>
      </c>
    </row>
    <row r="73" spans="1:15" s="41" customFormat="1" x14ac:dyDescent="0.2">
      <c r="A73" s="38">
        <v>72</v>
      </c>
      <c r="B73" s="38">
        <v>18</v>
      </c>
      <c r="C73" s="38">
        <v>43</v>
      </c>
      <c r="D73" s="38"/>
      <c r="E73" s="39">
        <f>LOOKUP(use_fish!B73,base_fish!A:A,base_fish!C:C)+_xlfn.IFNA(INDEX(activity!F:F,MATCH(use_fish!C73,activity!A:A,0)),0)</f>
        <v>110</v>
      </c>
      <c r="F73" s="39">
        <f t="shared" si="16"/>
        <v>9.0909090909090905E-3</v>
      </c>
      <c r="G73" s="39" t="s">
        <v>22</v>
      </c>
      <c r="H73" s="40" t="str">
        <f>INDEX(base_fish!E:E,MATCH(use_fish!B73,base_fish!A:A,0))&amp;_xlfn.IFNA("+"&amp;INDEX(activity!G:G,MATCH(use_fish!C73,activity!A:A,0)),"")</f>
        <v>虎鲸+闪电</v>
      </c>
      <c r="I73" s="39">
        <f>LOOKUP(use_fish!B73,base_fish!A:A,base_fish!F:F)+_xlfn.IFNA(INDEX(activity!F:F,MATCH(use_fish!C73,activity!A:A,0)),0)</f>
        <v>110</v>
      </c>
      <c r="J73" s="41">
        <v>1</v>
      </c>
      <c r="K73" s="41">
        <f>LOOKUP(use_fish!B73,base_fish!A:A,base_fish!G:G)</f>
        <v>0</v>
      </c>
      <c r="L73" s="41">
        <f t="shared" si="17"/>
        <v>110</v>
      </c>
      <c r="M73" s="41">
        <v>1</v>
      </c>
      <c r="N73" s="41">
        <v>0</v>
      </c>
      <c r="O73" s="41">
        <v>1</v>
      </c>
    </row>
    <row r="74" spans="1:15" s="21" customFormat="1" x14ac:dyDescent="0.2">
      <c r="A74" s="18">
        <v>73</v>
      </c>
      <c r="B74" s="18">
        <v>20</v>
      </c>
      <c r="C74" s="18">
        <v>43</v>
      </c>
      <c r="D74" s="18" t="s">
        <v>308</v>
      </c>
      <c r="E74" s="19">
        <v>113</v>
      </c>
      <c r="F74" s="19">
        <f t="shared" si="16"/>
        <v>8.8495575221238937E-3</v>
      </c>
      <c r="G74" s="19" t="s">
        <v>22</v>
      </c>
      <c r="H74" s="20" t="str">
        <f>INDEX(base_fish!E:E,MATCH(use_fish!B74,base_fish!A:A,0))&amp;_xlfn.IFNA("+"&amp;INDEX(activity!G:G,MATCH(use_fish!C74,activity!A:A,0)),"")</f>
        <v>黄金灯笼鱼+闪电</v>
      </c>
      <c r="I74" s="19">
        <f>LOOKUP(use_fish!B74,base_fish!A:A,base_fish!F:F)+_xlfn.IFNA(INDEX(activity!F:F,MATCH(use_fish!C74,activity!A:A,0)),0)</f>
        <v>110</v>
      </c>
      <c r="J74" s="21">
        <v>1</v>
      </c>
      <c r="K74" s="21">
        <f>LOOKUP(use_fish!B74,base_fish!A:A,base_fish!G:G)</f>
        <v>0</v>
      </c>
      <c r="L74" s="21">
        <f t="shared" si="17"/>
        <v>110</v>
      </c>
      <c r="M74" s="21">
        <v>1</v>
      </c>
      <c r="N74" s="21">
        <v>0</v>
      </c>
      <c r="O74" s="21">
        <v>2</v>
      </c>
    </row>
    <row r="75" spans="1:15" s="21" customFormat="1" x14ac:dyDescent="0.2">
      <c r="A75" s="18">
        <v>74</v>
      </c>
      <c r="B75" s="18">
        <v>22</v>
      </c>
      <c r="C75" s="18">
        <v>43</v>
      </c>
      <c r="D75" s="18" t="s">
        <v>339</v>
      </c>
      <c r="E75" s="19">
        <v>113</v>
      </c>
      <c r="F75" s="19">
        <f t="shared" si="16"/>
        <v>8.8495575221238937E-3</v>
      </c>
      <c r="G75" s="19" t="s">
        <v>22</v>
      </c>
      <c r="H75" s="20" t="str">
        <f>INDEX(base_fish!E:E,MATCH(use_fish!B75,base_fish!A:A,0))&amp;_xlfn.IFNA("+"&amp;INDEX(activity!G:G,MATCH(use_fish!C75,activity!A:A,0)),"")</f>
        <v>黄金狮子鱼+闪电</v>
      </c>
      <c r="I75" s="19">
        <f>LOOKUP(use_fish!B75,base_fish!A:A,base_fish!F:F)+_xlfn.IFNA(INDEX(activity!F:F,MATCH(use_fish!C75,activity!A:A,0)),0)</f>
        <v>110</v>
      </c>
      <c r="J75" s="21">
        <v>1</v>
      </c>
      <c r="K75" s="21">
        <f>LOOKUP(use_fish!B75,base_fish!A:A,base_fish!G:G)</f>
        <v>0</v>
      </c>
      <c r="L75" s="21">
        <f t="shared" si="17"/>
        <v>110</v>
      </c>
      <c r="M75" s="21">
        <v>1</v>
      </c>
      <c r="N75" s="21">
        <v>0</v>
      </c>
      <c r="O75" s="21">
        <v>2</v>
      </c>
    </row>
    <row r="76" spans="1:15" s="21" customFormat="1" x14ac:dyDescent="0.2">
      <c r="A76" s="18">
        <v>75</v>
      </c>
      <c r="B76" s="18">
        <v>23</v>
      </c>
      <c r="C76" s="18">
        <v>43</v>
      </c>
      <c r="D76" s="18" t="s">
        <v>340</v>
      </c>
      <c r="E76" s="19">
        <v>155</v>
      </c>
      <c r="F76" s="19">
        <f t="shared" si="16"/>
        <v>6.4516129032258064E-3</v>
      </c>
      <c r="G76" s="19" t="s">
        <v>22</v>
      </c>
      <c r="H76" s="20" t="str">
        <f>INDEX(base_fish!E:E,MATCH(use_fish!B76,base_fish!A:A,0))&amp;_xlfn.IFNA("+"&amp;INDEX(activity!G:G,MATCH(use_fish!C76,activity!A:A,0)),"")</f>
        <v>黄金海龟+闪电</v>
      </c>
      <c r="I76" s="19">
        <f>LOOKUP(use_fish!B76,base_fish!A:A,base_fish!F:F)+_xlfn.IFNA(INDEX(activity!F:F,MATCH(use_fish!C76,activity!A:A,0)),0)</f>
        <v>110</v>
      </c>
      <c r="J76" s="21">
        <v>1</v>
      </c>
      <c r="K76" s="21">
        <f>LOOKUP(use_fish!B76,base_fish!A:A,base_fish!G:G)</f>
        <v>0</v>
      </c>
      <c r="L76" s="21">
        <f t="shared" si="17"/>
        <v>110</v>
      </c>
      <c r="M76" s="21">
        <v>1</v>
      </c>
      <c r="N76" s="21">
        <v>0</v>
      </c>
      <c r="O76" s="21">
        <v>2</v>
      </c>
    </row>
    <row r="77" spans="1:15" s="21" customFormat="1" x14ac:dyDescent="0.2">
      <c r="A77" s="18">
        <v>76</v>
      </c>
      <c r="B77" s="18">
        <v>25</v>
      </c>
      <c r="C77" s="18">
        <v>43</v>
      </c>
      <c r="D77" s="18" t="s">
        <v>308</v>
      </c>
      <c r="E77" s="19">
        <v>134</v>
      </c>
      <c r="F77" s="19">
        <f t="shared" si="16"/>
        <v>7.462686567164179E-3</v>
      </c>
      <c r="G77" s="19" t="s">
        <v>22</v>
      </c>
      <c r="H77" s="20" t="str">
        <f>INDEX(base_fish!E:E,MATCH(use_fish!B77,base_fish!A:A,0))&amp;_xlfn.IFNA("+"&amp;INDEX(activity!G:G,MATCH(use_fish!C77,activity!A:A,0)),"")</f>
        <v>金蟾+闪电</v>
      </c>
      <c r="I77" s="19">
        <f>LOOKUP(use_fish!B77,base_fish!A:A,base_fish!F:F)+_xlfn.IFNA(INDEX(activity!F:F,MATCH(use_fish!C77,activity!A:A,0)),0)</f>
        <v>130</v>
      </c>
      <c r="J77" s="21">
        <v>1</v>
      </c>
      <c r="K77" s="21">
        <f>LOOKUP(use_fish!B77,base_fish!A:A,base_fish!G:G)</f>
        <v>0</v>
      </c>
      <c r="L77" s="21">
        <f t="shared" si="17"/>
        <v>130</v>
      </c>
      <c r="M77" s="21">
        <v>1</v>
      </c>
      <c r="N77" s="21">
        <v>0</v>
      </c>
      <c r="O77" s="21">
        <v>2</v>
      </c>
    </row>
    <row r="78" spans="1:15" s="21" customFormat="1" x14ac:dyDescent="0.2">
      <c r="A78" s="18">
        <v>77</v>
      </c>
      <c r="B78" s="18">
        <v>26</v>
      </c>
      <c r="C78" s="18">
        <v>43</v>
      </c>
      <c r="D78" s="18" t="s">
        <v>308</v>
      </c>
      <c r="E78" s="19">
        <v>155</v>
      </c>
      <c r="F78" s="19">
        <f t="shared" si="16"/>
        <v>6.4516129032258064E-3</v>
      </c>
      <c r="G78" s="19" t="s">
        <v>22</v>
      </c>
      <c r="H78" s="20" t="str">
        <f>INDEX(base_fish!E:E,MATCH(use_fish!B78,base_fish!A:A,0))&amp;_xlfn.IFNA("+"&amp;INDEX(activity!G:G,MATCH(use_fish!C78,activity!A:A,0)),"")</f>
        <v>大金鲨+闪电</v>
      </c>
      <c r="I78" s="19">
        <f>LOOKUP(use_fish!B78,base_fish!A:A,base_fish!F:F)+_xlfn.IFNA(INDEX(activity!F:F,MATCH(use_fish!C78,activity!A:A,0)),0)</f>
        <v>150</v>
      </c>
      <c r="J78" s="21">
        <v>1</v>
      </c>
      <c r="K78" s="21">
        <f>LOOKUP(use_fish!B78,base_fish!A:A,base_fish!G:G)</f>
        <v>0</v>
      </c>
      <c r="L78" s="21">
        <f t="shared" si="17"/>
        <v>150</v>
      </c>
      <c r="M78" s="21">
        <v>1</v>
      </c>
      <c r="N78" s="21">
        <v>0</v>
      </c>
      <c r="O78" s="21">
        <v>2</v>
      </c>
    </row>
    <row r="79" spans="1:15" s="21" customFormat="1" x14ac:dyDescent="0.2">
      <c r="A79" s="18">
        <v>78</v>
      </c>
      <c r="B79" s="18">
        <v>27</v>
      </c>
      <c r="C79" s="18">
        <v>43</v>
      </c>
      <c r="D79" s="18" t="s">
        <v>339</v>
      </c>
      <c r="E79" s="19">
        <v>155</v>
      </c>
      <c r="F79" s="19">
        <f t="shared" si="16"/>
        <v>6.4516129032258064E-3</v>
      </c>
      <c r="G79" s="19" t="s">
        <v>22</v>
      </c>
      <c r="H79" s="20" t="str">
        <f>INDEX(base_fish!E:E,MATCH(use_fish!B79,base_fish!A:A,0))&amp;_xlfn.IFNA("+"&amp;INDEX(activity!G:G,MATCH(use_fish!C79,activity!A:A,0)),"")</f>
        <v>黄金锤头鲨+闪电</v>
      </c>
      <c r="I79" s="19">
        <f>LOOKUP(use_fish!B79,base_fish!A:A,base_fish!F:F)+_xlfn.IFNA(INDEX(activity!F:F,MATCH(use_fish!C79,activity!A:A,0)),0)</f>
        <v>150</v>
      </c>
      <c r="J79" s="21">
        <v>1</v>
      </c>
      <c r="K79" s="21">
        <f>LOOKUP(use_fish!B79,base_fish!A:A,base_fish!G:G)</f>
        <v>0</v>
      </c>
      <c r="L79" s="21">
        <f t="shared" si="17"/>
        <v>150</v>
      </c>
      <c r="M79" s="21">
        <v>1</v>
      </c>
      <c r="N79" s="21">
        <v>0</v>
      </c>
      <c r="O79" s="21">
        <v>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4"/>
  <sheetViews>
    <sheetView tabSelected="1" workbookViewId="0">
      <selection activeCell="O21" sqref="O21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135</v>
      </c>
      <c r="F1" s="1" t="s">
        <v>33</v>
      </c>
      <c r="G1" s="1" t="s">
        <v>45</v>
      </c>
      <c r="H1" s="1" t="s">
        <v>2</v>
      </c>
      <c r="I1" s="1" t="s">
        <v>2</v>
      </c>
      <c r="K1" s="1" t="s">
        <v>61</v>
      </c>
    </row>
    <row r="2" spans="1:11" x14ac:dyDescent="0.2">
      <c r="A2">
        <v>1</v>
      </c>
      <c r="B2">
        <v>1</v>
      </c>
      <c r="C2" t="s">
        <v>69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46</v>
      </c>
      <c r="K2" t="s">
        <v>82</v>
      </c>
    </row>
    <row r="3" spans="1:11" x14ac:dyDescent="0.2">
      <c r="A3">
        <v>2</v>
      </c>
      <c r="B3">
        <v>2</v>
      </c>
      <c r="C3" t="s">
        <v>72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47</v>
      </c>
      <c r="K3" s="6">
        <v>0.1</v>
      </c>
    </row>
    <row r="4" spans="1:11" x14ac:dyDescent="0.2">
      <c r="A4">
        <v>3</v>
      </c>
      <c r="B4">
        <v>3</v>
      </c>
      <c r="C4" t="s">
        <v>72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48</v>
      </c>
    </row>
    <row r="5" spans="1:11" x14ac:dyDescent="0.2">
      <c r="A5">
        <v>4</v>
      </c>
      <c r="B5">
        <v>4</v>
      </c>
      <c r="C5" t="s">
        <v>58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49</v>
      </c>
    </row>
    <row r="6" spans="1:11" x14ac:dyDescent="0.2">
      <c r="A6">
        <v>5</v>
      </c>
      <c r="B6">
        <v>5</v>
      </c>
      <c r="C6" t="s">
        <v>59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50</v>
      </c>
    </row>
    <row r="7" spans="1:11" x14ac:dyDescent="0.2">
      <c r="A7">
        <v>6</v>
      </c>
      <c r="B7">
        <v>4</v>
      </c>
      <c r="C7" t="s">
        <v>186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51</v>
      </c>
    </row>
    <row r="8" spans="1:11" x14ac:dyDescent="0.2">
      <c r="A8">
        <v>7</v>
      </c>
      <c r="B8">
        <v>1</v>
      </c>
      <c r="C8" t="s">
        <v>57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52</v>
      </c>
    </row>
    <row r="9" spans="1:11" x14ac:dyDescent="0.2">
      <c r="A9">
        <v>8</v>
      </c>
      <c r="B9">
        <v>4</v>
      </c>
      <c r="C9" t="s">
        <v>332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53</v>
      </c>
    </row>
    <row r="10" spans="1:11" x14ac:dyDescent="0.2">
      <c r="A10">
        <v>9</v>
      </c>
      <c r="B10">
        <v>5</v>
      </c>
      <c r="C10" t="s">
        <v>70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102</v>
      </c>
    </row>
    <row r="11" spans="1:11" x14ac:dyDescent="0.2">
      <c r="A11">
        <v>10</v>
      </c>
      <c r="B11">
        <v>5</v>
      </c>
      <c r="C11" t="s">
        <v>279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307</v>
      </c>
    </row>
    <row r="12" spans="1:11" x14ac:dyDescent="0.2">
      <c r="A12">
        <v>11</v>
      </c>
      <c r="B12">
        <v>7</v>
      </c>
      <c r="C12" t="s">
        <v>44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109</v>
      </c>
    </row>
    <row r="13" spans="1:11" x14ac:dyDescent="0.2">
      <c r="A13">
        <v>12</v>
      </c>
      <c r="B13">
        <v>7</v>
      </c>
      <c r="C13" t="s">
        <v>54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148</v>
      </c>
    </row>
    <row r="14" spans="1:11" x14ac:dyDescent="0.2">
      <c r="A14">
        <v>13</v>
      </c>
      <c r="B14">
        <v>8</v>
      </c>
      <c r="C14" t="s">
        <v>43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149</v>
      </c>
    </row>
    <row r="15" spans="1:11" x14ac:dyDescent="0.2">
      <c r="A15">
        <v>14</v>
      </c>
      <c r="B15">
        <v>8</v>
      </c>
      <c r="C15" t="s">
        <v>54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153</v>
      </c>
    </row>
    <row r="16" spans="1:11" x14ac:dyDescent="0.2">
      <c r="A16">
        <v>15</v>
      </c>
      <c r="B16">
        <v>9</v>
      </c>
      <c r="C16" t="s">
        <v>73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216</v>
      </c>
    </row>
    <row r="17" spans="1:9" x14ac:dyDescent="0.2">
      <c r="A17">
        <v>16</v>
      </c>
      <c r="B17">
        <v>9</v>
      </c>
      <c r="C17" t="s">
        <v>73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217</v>
      </c>
    </row>
    <row r="18" spans="1:9" x14ac:dyDescent="0.2">
      <c r="A18">
        <v>17</v>
      </c>
      <c r="B18">
        <v>10</v>
      </c>
      <c r="C18" s="7" t="s">
        <v>305</v>
      </c>
      <c r="D18" s="4">
        <v>0</v>
      </c>
      <c r="E18" s="4">
        <v>0</v>
      </c>
      <c r="F18">
        <v>150</v>
      </c>
      <c r="G18" t="s">
        <v>306</v>
      </c>
      <c r="H18">
        <v>22</v>
      </c>
      <c r="I18" t="s">
        <v>219</v>
      </c>
    </row>
    <row r="19" spans="1:9" x14ac:dyDescent="0.2">
      <c r="A19">
        <v>18</v>
      </c>
      <c r="B19">
        <v>18</v>
      </c>
      <c r="C19" t="s">
        <v>154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320</v>
      </c>
    </row>
    <row r="20" spans="1:9" x14ac:dyDescent="0.2">
      <c r="A20">
        <v>19</v>
      </c>
      <c r="B20">
        <v>17</v>
      </c>
      <c r="C20" s="11" t="s">
        <v>321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357</v>
      </c>
    </row>
    <row r="21" spans="1:9" x14ac:dyDescent="0.2">
      <c r="A21">
        <v>20</v>
      </c>
      <c r="B21">
        <v>19</v>
      </c>
      <c r="C21" t="s">
        <v>54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223</v>
      </c>
    </row>
    <row r="22" spans="1:9" x14ac:dyDescent="0.2">
      <c r="A22">
        <v>21</v>
      </c>
      <c r="B22">
        <v>20</v>
      </c>
      <c r="C22" s="11" t="s">
        <v>220</v>
      </c>
      <c r="D22" s="4">
        <v>0</v>
      </c>
      <c r="E22" s="4">
        <v>0</v>
      </c>
      <c r="F22">
        <v>50</v>
      </c>
      <c r="G22" t="s">
        <v>237</v>
      </c>
      <c r="H22">
        <v>26</v>
      </c>
      <c r="I22" t="s">
        <v>232</v>
      </c>
    </row>
    <row r="23" spans="1:9" x14ac:dyDescent="0.2">
      <c r="A23">
        <v>22</v>
      </c>
      <c r="B23">
        <v>20</v>
      </c>
      <c r="C23" s="11" t="s">
        <v>155</v>
      </c>
      <c r="D23" s="4">
        <v>0</v>
      </c>
      <c r="E23" s="4">
        <v>0</v>
      </c>
      <c r="F23">
        <v>150</v>
      </c>
      <c r="G23" t="s">
        <v>238</v>
      </c>
      <c r="H23">
        <v>27</v>
      </c>
      <c r="I23" t="s">
        <v>355</v>
      </c>
    </row>
    <row r="24" spans="1:9" x14ac:dyDescent="0.2">
      <c r="A24">
        <v>23</v>
      </c>
      <c r="B24">
        <v>20</v>
      </c>
      <c r="C24" s="11" t="s">
        <v>156</v>
      </c>
      <c r="D24" s="4">
        <v>0</v>
      </c>
      <c r="E24" s="4">
        <v>0</v>
      </c>
      <c r="F24">
        <v>250</v>
      </c>
      <c r="G24" t="s">
        <v>239</v>
      </c>
      <c r="H24">
        <v>28</v>
      </c>
      <c r="I24" t="s">
        <v>356</v>
      </c>
    </row>
    <row r="25" spans="1:9" x14ac:dyDescent="0.2">
      <c r="A25">
        <v>24</v>
      </c>
      <c r="B25">
        <v>20</v>
      </c>
      <c r="C25" s="11" t="s">
        <v>157</v>
      </c>
      <c r="D25" s="4">
        <v>0</v>
      </c>
      <c r="E25" s="4">
        <v>0</v>
      </c>
      <c r="F25">
        <v>450</v>
      </c>
      <c r="G25" t="s">
        <v>240</v>
      </c>
      <c r="H25">
        <v>29</v>
      </c>
      <c r="I25" t="s">
        <v>231</v>
      </c>
    </row>
    <row r="26" spans="1:9" x14ac:dyDescent="0.2">
      <c r="A26">
        <v>25</v>
      </c>
      <c r="B26">
        <v>21</v>
      </c>
      <c r="C26" s="11" t="s">
        <v>359</v>
      </c>
      <c r="D26" s="4">
        <v>0</v>
      </c>
      <c r="E26" s="4">
        <v>0</v>
      </c>
      <c r="F26">
        <v>5</v>
      </c>
      <c r="G26" t="s">
        <v>360</v>
      </c>
      <c r="H26">
        <v>30</v>
      </c>
      <c r="I26" t="s">
        <v>301</v>
      </c>
    </row>
    <row r="27" spans="1:9" x14ac:dyDescent="0.2">
      <c r="A27">
        <v>26</v>
      </c>
      <c r="B27">
        <v>21</v>
      </c>
      <c r="C27" s="11" t="s">
        <v>362</v>
      </c>
      <c r="D27" s="4">
        <v>0</v>
      </c>
      <c r="E27" s="4">
        <v>0</v>
      </c>
      <c r="F27">
        <v>2</v>
      </c>
      <c r="G27" t="s">
        <v>361</v>
      </c>
      <c r="H27">
        <v>31</v>
      </c>
      <c r="I27" t="s">
        <v>311</v>
      </c>
    </row>
    <row r="28" spans="1:9" x14ac:dyDescent="0.2">
      <c r="A28">
        <v>27</v>
      </c>
      <c r="B28">
        <v>21</v>
      </c>
      <c r="C28" s="11" t="s">
        <v>364</v>
      </c>
      <c r="D28" s="4">
        <v>0</v>
      </c>
      <c r="E28" s="4">
        <v>0</v>
      </c>
      <c r="F28">
        <v>6</v>
      </c>
      <c r="G28" t="s">
        <v>363</v>
      </c>
      <c r="H28">
        <v>32</v>
      </c>
      <c r="I28" t="s">
        <v>312</v>
      </c>
    </row>
    <row r="29" spans="1:9" x14ac:dyDescent="0.2">
      <c r="A29">
        <v>28</v>
      </c>
      <c r="B29">
        <v>22</v>
      </c>
      <c r="C29" s="11" t="s">
        <v>222</v>
      </c>
      <c r="D29" s="4">
        <v>0</v>
      </c>
      <c r="E29" s="4">
        <v>0</v>
      </c>
      <c r="F29">
        <v>100</v>
      </c>
      <c r="G29" t="s">
        <v>221</v>
      </c>
      <c r="H29">
        <v>33</v>
      </c>
      <c r="I29" t="s">
        <v>313</v>
      </c>
    </row>
    <row r="30" spans="1:9" x14ac:dyDescent="0.2">
      <c r="A30">
        <v>29</v>
      </c>
      <c r="B30">
        <v>23</v>
      </c>
      <c r="C30" t="s">
        <v>235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323</v>
      </c>
    </row>
    <row r="31" spans="1:9" x14ac:dyDescent="0.2">
      <c r="A31">
        <v>30</v>
      </c>
      <c r="B31">
        <v>24</v>
      </c>
      <c r="C31" s="11" t="s">
        <v>346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325</v>
      </c>
    </row>
    <row r="32" spans="1:9" x14ac:dyDescent="0.2">
      <c r="A32">
        <v>31</v>
      </c>
      <c r="B32">
        <v>25</v>
      </c>
      <c r="C32" t="s">
        <v>302</v>
      </c>
      <c r="D32" s="4">
        <v>1</v>
      </c>
      <c r="E32" s="4">
        <v>0</v>
      </c>
      <c r="F32">
        <v>200</v>
      </c>
      <c r="G32" t="str">
        <f t="shared" si="1"/>
        <v>电磁弹</v>
      </c>
    </row>
    <row r="33" spans="1:7" x14ac:dyDescent="0.2">
      <c r="A33">
        <v>32</v>
      </c>
      <c r="B33">
        <v>28</v>
      </c>
      <c r="C33" s="11" t="s">
        <v>358</v>
      </c>
      <c r="D33" s="4">
        <v>0</v>
      </c>
      <c r="E33" s="4">
        <v>0</v>
      </c>
      <c r="F33">
        <v>200</v>
      </c>
      <c r="G33" t="str">
        <f t="shared" si="1"/>
        <v>金币转盘</v>
      </c>
    </row>
    <row r="34" spans="1:7" x14ac:dyDescent="0.2">
      <c r="A34">
        <v>33</v>
      </c>
      <c r="B34">
        <v>29</v>
      </c>
      <c r="C34" t="s">
        <v>327</v>
      </c>
      <c r="D34" s="4">
        <v>0</v>
      </c>
      <c r="E34" s="4">
        <v>0</v>
      </c>
      <c r="F34">
        <v>300</v>
      </c>
      <c r="G34" t="s">
        <v>231</v>
      </c>
    </row>
    <row r="35" spans="1:7" x14ac:dyDescent="0.2">
      <c r="A35">
        <v>34</v>
      </c>
      <c r="B35">
        <v>30</v>
      </c>
      <c r="C35" s="11" t="s">
        <v>352</v>
      </c>
      <c r="D35" s="4">
        <v>0</v>
      </c>
      <c r="E35" s="4">
        <v>0</v>
      </c>
      <c r="F35">
        <v>150</v>
      </c>
      <c r="G35" t="s">
        <v>303</v>
      </c>
    </row>
    <row r="36" spans="1:7" x14ac:dyDescent="0.2">
      <c r="A36">
        <v>35</v>
      </c>
      <c r="B36">
        <v>31</v>
      </c>
      <c r="C36" t="s">
        <v>350</v>
      </c>
      <c r="D36" s="4">
        <v>0</v>
      </c>
      <c r="E36" s="4">
        <v>0</v>
      </c>
      <c r="F36">
        <v>200</v>
      </c>
      <c r="G36" t="str">
        <f>LOOKUP(B36,H:H,I:I)</f>
        <v>连环炸弹</v>
      </c>
    </row>
    <row r="37" spans="1:7" x14ac:dyDescent="0.2">
      <c r="A37">
        <v>36</v>
      </c>
      <c r="B37">
        <v>32</v>
      </c>
      <c r="C37" s="11" t="s">
        <v>351</v>
      </c>
      <c r="D37" s="4">
        <v>0</v>
      </c>
      <c r="E37" s="4">
        <v>0</v>
      </c>
      <c r="F37">
        <v>300</v>
      </c>
      <c r="G37" t="s">
        <v>314</v>
      </c>
    </row>
    <row r="38" spans="1:7" x14ac:dyDescent="0.2">
      <c r="A38">
        <v>37</v>
      </c>
      <c r="B38">
        <v>33</v>
      </c>
      <c r="C38" t="s">
        <v>177</v>
      </c>
      <c r="D38" s="4">
        <v>0</v>
      </c>
      <c r="E38" s="4">
        <v>0</v>
      </c>
      <c r="F38">
        <v>200</v>
      </c>
      <c r="G38" t="s">
        <v>315</v>
      </c>
    </row>
    <row r="39" spans="1:7" x14ac:dyDescent="0.2">
      <c r="A39">
        <v>38</v>
      </c>
      <c r="B39">
        <v>38</v>
      </c>
      <c r="C39" t="s">
        <v>322</v>
      </c>
      <c r="D39" s="4">
        <v>0</v>
      </c>
      <c r="E39" s="4">
        <v>0</v>
      </c>
      <c r="F39">
        <v>250</v>
      </c>
      <c r="G39" t="s">
        <v>324</v>
      </c>
    </row>
    <row r="40" spans="1:7" x14ac:dyDescent="0.2">
      <c r="A40">
        <v>39</v>
      </c>
      <c r="B40">
        <v>39</v>
      </c>
      <c r="C40" t="s">
        <v>322</v>
      </c>
      <c r="D40" s="4">
        <v>0</v>
      </c>
      <c r="E40" s="4">
        <v>0</v>
      </c>
      <c r="F40">
        <v>250</v>
      </c>
      <c r="G40" t="s">
        <v>326</v>
      </c>
    </row>
    <row r="41" spans="1:7" x14ac:dyDescent="0.2">
      <c r="A41">
        <v>40</v>
      </c>
      <c r="B41">
        <v>21</v>
      </c>
      <c r="C41" s="11" t="s">
        <v>367</v>
      </c>
      <c r="D41" s="4">
        <v>0</v>
      </c>
      <c r="E41" s="4">
        <v>0</v>
      </c>
      <c r="F41">
        <v>2</v>
      </c>
      <c r="G41" t="s">
        <v>365</v>
      </c>
    </row>
    <row r="42" spans="1:7" x14ac:dyDescent="0.2">
      <c r="A42">
        <v>41</v>
      </c>
      <c r="B42">
        <v>21</v>
      </c>
      <c r="C42" s="11" t="s">
        <v>368</v>
      </c>
      <c r="D42" s="4">
        <v>0</v>
      </c>
      <c r="E42" s="4">
        <v>0</v>
      </c>
      <c r="F42">
        <v>2</v>
      </c>
      <c r="G42" t="s">
        <v>366</v>
      </c>
    </row>
    <row r="43" spans="1:7" x14ac:dyDescent="0.2">
      <c r="A43">
        <v>42</v>
      </c>
      <c r="B43">
        <v>4</v>
      </c>
      <c r="C43" s="52">
        <v>30</v>
      </c>
      <c r="D43" s="4">
        <v>0</v>
      </c>
      <c r="E43" s="4">
        <v>0</v>
      </c>
      <c r="F43">
        <v>30</v>
      </c>
      <c r="G43" t="s">
        <v>369</v>
      </c>
    </row>
    <row r="44" spans="1:7" x14ac:dyDescent="0.2">
      <c r="A44">
        <v>43</v>
      </c>
      <c r="B44">
        <v>5</v>
      </c>
      <c r="C44" s="52">
        <v>50</v>
      </c>
      <c r="D44" s="4">
        <v>0</v>
      </c>
      <c r="E44" s="4">
        <v>0</v>
      </c>
      <c r="F44">
        <v>50</v>
      </c>
      <c r="G44" t="s">
        <v>370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116</v>
      </c>
      <c r="C1" s="1" t="s">
        <v>117</v>
      </c>
      <c r="D1" s="1" t="s">
        <v>118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25" zoomScaleNormal="100" workbookViewId="0">
      <selection activeCell="F23" sqref="F23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103</v>
      </c>
      <c r="D1" s="1" t="s">
        <v>0</v>
      </c>
      <c r="E1" s="1" t="s">
        <v>7</v>
      </c>
      <c r="F1" s="1" t="s">
        <v>111</v>
      </c>
      <c r="G1" s="9" t="s">
        <v>112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243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244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245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246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159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247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248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249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250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251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252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158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253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254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255</v>
      </c>
      <c r="F17" s="15">
        <f t="shared" si="1"/>
        <v>35</v>
      </c>
      <c r="G17" s="15">
        <v>0</v>
      </c>
      <c r="H17" s="15" t="s">
        <v>224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68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160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274</v>
      </c>
      <c r="F21" s="15">
        <f t="shared" si="1"/>
        <v>60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256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257</v>
      </c>
      <c r="F23" s="15">
        <f t="shared" si="1"/>
        <v>60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258</v>
      </c>
      <c r="F24" s="15">
        <f t="shared" si="1"/>
        <v>60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272</v>
      </c>
      <c r="D25" s="15" t="s">
        <v>273</v>
      </c>
      <c r="E25" s="16" t="s">
        <v>259</v>
      </c>
      <c r="F25" s="15" t="s">
        <v>272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80</v>
      </c>
      <c r="D26" s="15">
        <f t="shared" si="0"/>
        <v>1.2500000000000001E-2</v>
      </c>
      <c r="E26" s="16" t="s">
        <v>162</v>
      </c>
      <c r="F26" s="15">
        <f t="shared" si="1"/>
        <v>80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161</v>
      </c>
      <c r="F27" s="15">
        <f t="shared" si="1"/>
        <v>100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260</v>
      </c>
      <c r="F28" s="15">
        <f t="shared" si="1"/>
        <v>100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165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164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166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168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280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163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261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2">IF(C36,1/C36,0)</f>
        <v>0</v>
      </c>
      <c r="E36" s="17" t="s">
        <v>262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3">IF(C37,1/C37,0)</f>
        <v>0</v>
      </c>
      <c r="E37" s="17" t="s">
        <v>263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0</v>
      </c>
      <c r="D38" s="15">
        <f t="shared" si="3"/>
        <v>0</v>
      </c>
      <c r="E38" s="15" t="s">
        <v>242</v>
      </c>
      <c r="F38" s="15">
        <f t="shared" ref="F38:F51" si="4">C38</f>
        <v>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3"/>
        <v>0.01</v>
      </c>
      <c r="E39" s="15" t="s">
        <v>167</v>
      </c>
      <c r="F39" s="15">
        <f t="shared" si="4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3"/>
        <v>0.01</v>
      </c>
      <c r="E40" s="15" t="s">
        <v>264</v>
      </c>
      <c r="F40" s="15">
        <f t="shared" si="4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300</v>
      </c>
      <c r="D41" s="15">
        <f t="shared" si="3"/>
        <v>3.3333333333333335E-3</v>
      </c>
      <c r="E41" s="15" t="s">
        <v>299</v>
      </c>
      <c r="F41" s="15">
        <f t="shared" si="4"/>
        <v>300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200</v>
      </c>
      <c r="D42" s="15">
        <f t="shared" si="3"/>
        <v>5.0000000000000001E-3</v>
      </c>
      <c r="E42" s="15" t="s">
        <v>265</v>
      </c>
      <c r="F42" s="15">
        <f t="shared" si="4"/>
        <v>200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0</v>
      </c>
      <c r="D43" s="15">
        <f t="shared" si="3"/>
        <v>0</v>
      </c>
      <c r="E43" s="15" t="s">
        <v>266</v>
      </c>
      <c r="F43" s="15">
        <f t="shared" si="4"/>
        <v>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200</v>
      </c>
      <c r="D44" s="15">
        <f t="shared" si="3"/>
        <v>5.0000000000000001E-3</v>
      </c>
      <c r="E44" s="15" t="s">
        <v>267</v>
      </c>
      <c r="F44" s="15">
        <f t="shared" si="4"/>
        <v>200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0</v>
      </c>
      <c r="D45" s="15">
        <f t="shared" si="3"/>
        <v>0</v>
      </c>
      <c r="E45" s="15" t="s">
        <v>268</v>
      </c>
      <c r="F45" s="15">
        <f t="shared" si="4"/>
        <v>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0</v>
      </c>
      <c r="D46" s="15">
        <f t="shared" si="3"/>
        <v>0</v>
      </c>
      <c r="E46" s="15" t="s">
        <v>269</v>
      </c>
      <c r="F46" s="15">
        <f t="shared" si="4"/>
        <v>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200</v>
      </c>
      <c r="D47" s="15">
        <f t="shared" si="3"/>
        <v>5.0000000000000001E-3</v>
      </c>
      <c r="E47" s="15" t="s">
        <v>162</v>
      </c>
      <c r="F47" s="15">
        <f t="shared" si="4"/>
        <v>200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150</v>
      </c>
      <c r="D48" s="15">
        <f t="shared" si="3"/>
        <v>6.6666666666666671E-3</v>
      </c>
      <c r="E48" s="15" t="s">
        <v>300</v>
      </c>
      <c r="F48" s="15">
        <f t="shared" si="4"/>
        <v>150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250</v>
      </c>
      <c r="D49" s="15">
        <f t="shared" si="3"/>
        <v>4.0000000000000001E-3</v>
      </c>
      <c r="E49" s="15" t="s">
        <v>270</v>
      </c>
      <c r="F49" s="15">
        <f t="shared" si="4"/>
        <v>250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200</v>
      </c>
      <c r="D50" s="15">
        <f t="shared" si="3"/>
        <v>5.0000000000000001E-3</v>
      </c>
      <c r="E50" s="15" t="s">
        <v>271</v>
      </c>
      <c r="F50" s="15">
        <f t="shared" si="4"/>
        <v>200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310</v>
      </c>
      <c r="F51" s="2">
        <f t="shared" si="4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5"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60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24</v>
      </c>
      <c r="B1" s="1" t="s">
        <v>32</v>
      </c>
      <c r="C1" s="1" t="s">
        <v>34</v>
      </c>
      <c r="D1" s="1" t="s">
        <v>71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5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5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5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5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5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5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5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5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5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5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5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5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5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5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5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5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5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5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5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5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5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5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5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5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5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5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5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5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5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35</v>
      </c>
      <c r="B1" s="1" t="s">
        <v>36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19</v>
      </c>
      <c r="B1" s="1" t="s">
        <v>62</v>
      </c>
      <c r="C1" s="1" t="s">
        <v>63</v>
      </c>
      <c r="D1" s="1" t="s">
        <v>64</v>
      </c>
      <c r="XFD1" s="1"/>
    </row>
    <row r="2" spans="1:4 16384:16384" x14ac:dyDescent="0.2">
      <c r="A2">
        <v>1</v>
      </c>
      <c r="B2" t="s">
        <v>65</v>
      </c>
      <c r="C2">
        <v>10</v>
      </c>
      <c r="D2">
        <v>0</v>
      </c>
    </row>
    <row r="3" spans="1:4 16384:16384" x14ac:dyDescent="0.2">
      <c r="A3">
        <v>2</v>
      </c>
      <c r="B3" t="s">
        <v>66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84</v>
      </c>
      <c r="B1" s="1" t="s">
        <v>85</v>
      </c>
      <c r="C1" s="1" t="s">
        <v>61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86</v>
      </c>
      <c r="C2" s="2"/>
    </row>
    <row r="3" spans="1:10 16384:16384" x14ac:dyDescent="0.2">
      <c r="A3" s="2">
        <v>2</v>
      </c>
      <c r="B3" s="2" t="s">
        <v>106</v>
      </c>
      <c r="C3" s="2" t="s">
        <v>87</v>
      </c>
    </row>
    <row r="4" spans="1:10 16384:16384" x14ac:dyDescent="0.2">
      <c r="A4" s="2">
        <v>3</v>
      </c>
      <c r="B4" s="2" t="s">
        <v>107</v>
      </c>
      <c r="C4" s="2" t="s">
        <v>88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89</v>
      </c>
      <c r="B1" s="1" t="s">
        <v>90</v>
      </c>
      <c r="C1" s="1" t="s">
        <v>91</v>
      </c>
      <c r="D1" s="1" t="s">
        <v>92</v>
      </c>
      <c r="E1" s="1" t="s">
        <v>93</v>
      </c>
      <c r="F1" s="1" t="s">
        <v>94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95</v>
      </c>
      <c r="D2" s="2">
        <v>0</v>
      </c>
      <c r="E2" s="2"/>
      <c r="F2" t="s">
        <v>96</v>
      </c>
    </row>
    <row r="3" spans="1:10 16384:16384" ht="39" customHeight="1" x14ac:dyDescent="0.2">
      <c r="A3" s="2">
        <v>2</v>
      </c>
      <c r="B3" s="2">
        <v>1</v>
      </c>
      <c r="C3" s="2" t="s">
        <v>97</v>
      </c>
      <c r="D3" s="2">
        <v>1</v>
      </c>
      <c r="E3" s="2" t="s">
        <v>101</v>
      </c>
      <c r="F3" t="s">
        <v>147</v>
      </c>
    </row>
    <row r="4" spans="1:10 16384:16384" ht="63.75" customHeight="1" x14ac:dyDescent="0.2">
      <c r="A4" s="2">
        <v>3</v>
      </c>
      <c r="B4" s="2">
        <v>1</v>
      </c>
      <c r="C4" s="2" t="s">
        <v>98</v>
      </c>
      <c r="D4" s="2">
        <v>0</v>
      </c>
      <c r="E4" s="4" t="s">
        <v>100</v>
      </c>
      <c r="F4" t="s">
        <v>99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136</v>
      </c>
      <c r="B1" s="1" t="s">
        <v>137</v>
      </c>
      <c r="C1" s="1" t="s">
        <v>138</v>
      </c>
      <c r="D1" s="1" t="s">
        <v>139</v>
      </c>
      <c r="E1" s="1" t="s">
        <v>140</v>
      </c>
      <c r="F1" s="1" t="s">
        <v>141</v>
      </c>
      <c r="G1" s="1" t="s">
        <v>142</v>
      </c>
      <c r="H1" s="1" t="s">
        <v>143</v>
      </c>
      <c r="I1" s="1" t="s">
        <v>144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145</v>
      </c>
      <c r="B1" t="s">
        <v>146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" sqref="B2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136</v>
      </c>
      <c r="B1" s="1" t="s">
        <v>150</v>
      </c>
      <c r="C1" t="s">
        <v>151</v>
      </c>
    </row>
    <row r="2" spans="1:3" x14ac:dyDescent="0.2">
      <c r="A2">
        <v>1</v>
      </c>
      <c r="B2" t="s">
        <v>316</v>
      </c>
      <c r="C2" t="s">
        <v>152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2020-07-17T06:38:19Z</dcterms:modified>
</cp:coreProperties>
</file>