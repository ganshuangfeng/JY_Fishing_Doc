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autoCompressPictures="0" defaultThemeVersion="164011"/>
  <bookViews>
    <workbookView xWindow="-38400" yWindow="465" windowWidth="38400" windowHeight="21135"/>
  </bookViews>
  <sheets>
    <sheet name="profit" sheetId="17" r:id="rId1"/>
    <sheet name="random_wave" sheetId="30" r:id="rId2"/>
    <sheet name="wave" sheetId="26" r:id="rId3"/>
    <sheet name="image_type_cfg" sheetId="34" r:id="rId4"/>
    <sheet name="image_cfg" sheetId="28" r:id="rId5"/>
    <sheet name="laser" sheetId="18" r:id="rId6"/>
    <sheet name="gun" sheetId="25" r:id="rId7"/>
    <sheet name="match_award" sheetId="35" r:id="rId8"/>
    <sheet name="ue_event_map" sheetId="36" r:id="rId9"/>
  </sheet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12" i="18" l="1"/>
  <c r="D13" i="18"/>
  <c r="D14" i="18"/>
  <c r="D15" i="18"/>
  <c r="D16" i="18"/>
  <c r="D17" i="18"/>
  <c r="D18" i="18"/>
  <c r="D19" i="18"/>
  <c r="D20" i="18"/>
  <c r="D21" i="18"/>
  <c r="D22" i="18"/>
  <c r="D23" i="18"/>
  <c r="D24" i="18"/>
  <c r="D25" i="18"/>
  <c r="D26" i="18"/>
  <c r="D27" i="18"/>
  <c r="D28" i="18"/>
  <c r="D29" i="18"/>
  <c r="D30" i="18"/>
  <c r="D31" i="18"/>
  <c r="D32" i="18"/>
  <c r="D33" i="18"/>
  <c r="D34" i="18"/>
  <c r="D35" i="18"/>
  <c r="D36" i="18"/>
  <c r="D37" i="18"/>
  <c r="D38" i="18"/>
  <c r="D39" i="18"/>
  <c r="D40" i="18"/>
  <c r="D41" i="18"/>
  <c r="G2" i="30"/>
  <c r="F2" i="30"/>
  <c r="D3" i="18"/>
  <c r="D4" i="18"/>
  <c r="D5" i="18"/>
  <c r="D6" i="18"/>
  <c r="D7" i="18"/>
  <c r="D8" i="18"/>
  <c r="D9" i="18"/>
  <c r="D10" i="18"/>
  <c r="D11" i="18"/>
  <c r="D2" i="18"/>
</calcChain>
</file>

<file path=xl/comments1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单炮抽水率</t>
        </r>
      </text>
    </commen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每炮之间的时间间隔</t>
        </r>
      </text>
    </comment>
    <comment ref="D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额外扣除的百分比，用于之后的返奖</t>
        </r>
      </text>
    </comment>
  </commentList>
</comments>
</file>

<file path=xl/comments2.xml><?xml version="1.0" encoding="utf-8"?>
<comments xmlns="http://schemas.openxmlformats.org/spreadsheetml/2006/main">
  <authors>
    <author>作者</author>
  </authors>
  <commentList>
    <comment ref="E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单位0.1秒</t>
        </r>
      </text>
    </comment>
  </commentList>
</comments>
</file>

<file path=xl/sharedStrings.xml><?xml version="1.0" encoding="utf-8"?>
<sst xmlns="http://schemas.openxmlformats.org/spreadsheetml/2006/main" count="80" uniqueCount="61">
  <si>
    <t>no</t>
    <phoneticPr fontId="1" type="noConversion"/>
  </si>
  <si>
    <t>no</t>
    <phoneticPr fontId="1" type="noConversion"/>
  </si>
  <si>
    <t>tax</t>
    <phoneticPr fontId="1" type="noConversion"/>
  </si>
  <si>
    <t>fire_interval</t>
  </si>
  <si>
    <t>storage</t>
    <phoneticPr fontId="1" type="noConversion"/>
  </si>
  <si>
    <t>max_times|最大随机次数</t>
  </si>
  <si>
    <t>min_times|最小随机次数</t>
  </si>
  <si>
    <t>max_bodong_value|最大波动概率</t>
  </si>
  <si>
    <t>min_bodong_value</t>
  </si>
  <si>
    <t>per_storage|每炮增加能量</t>
    <phoneticPr fontId="1" type="noConversion"/>
  </si>
  <si>
    <t>value|价值炮弹</t>
    <phoneticPr fontId="1" type="noConversion"/>
  </si>
  <si>
    <t>no</t>
    <phoneticPr fontId="1" type="noConversion"/>
  </si>
  <si>
    <t>level</t>
    <phoneticPr fontId="1" type="noConversion"/>
  </si>
  <si>
    <t>|最大随机次数需要的时间(秒)</t>
  </si>
  <si>
    <t>|最小随机次数需要的时间</t>
  </si>
  <si>
    <t>|最大波动峰值</t>
  </si>
  <si>
    <t>|最小波动峰值</t>
  </si>
  <si>
    <t>|最大波动低值</t>
  </si>
  <si>
    <t>|最小波动低值</t>
  </si>
  <si>
    <t>|花费时间min</t>
    <phoneticPr fontId="1" type="noConversion"/>
  </si>
  <si>
    <t>random_wave_js_limit|随机波动沮丧值，也是开关 -1表示关闭</t>
    <phoneticPr fontId="1" type="noConversion"/>
  </si>
  <si>
    <t>no</t>
    <phoneticPr fontId="1" type="noConversion"/>
  </si>
  <si>
    <t>change_times</t>
    <phoneticPr fontId="1" type="noConversion"/>
  </si>
  <si>
    <t>change_times_power</t>
    <phoneticPr fontId="1" type="noConversion"/>
  </si>
  <si>
    <t>bd_factor</t>
    <phoneticPr fontId="1" type="noConversion"/>
  </si>
  <si>
    <t>bd_power</t>
    <phoneticPr fontId="1" type="noConversion"/>
  </si>
  <si>
    <t>|all_change_times_power</t>
    <phoneticPr fontId="1" type="noConversion"/>
  </si>
  <si>
    <t>|all_bodong_power</t>
    <phoneticPr fontId="1" type="noConversion"/>
  </si>
  <si>
    <t>image_cfg</t>
    <phoneticPr fontId="1" type="noConversion"/>
  </si>
  <si>
    <t>type|鱼图类别</t>
    <phoneticPr fontId="1" type="noConversion"/>
  </si>
  <si>
    <t>over_time_min</t>
    <phoneticPr fontId="1" type="noConversion"/>
  </si>
  <si>
    <t>over_time_max</t>
    <phoneticPr fontId="1" type="noConversion"/>
  </si>
  <si>
    <t>ctor_in_min_round|最小创建间隔轮次</t>
    <phoneticPr fontId="1" type="noConversion"/>
  </si>
  <si>
    <t>ctor_in_max_round|最大创建间隔轮次</t>
    <phoneticPr fontId="1" type="noConversion"/>
  </si>
  <si>
    <t>ctor_in_max_round|最大创建间隔轮次</t>
    <phoneticPr fontId="1" type="noConversion"/>
  </si>
  <si>
    <t>ctor_count|最大创建次数  9999999999代表无限制</t>
    <phoneticPr fontId="1" type="noConversion"/>
  </si>
  <si>
    <t>power|权值</t>
    <phoneticPr fontId="1" type="noConversion"/>
  </si>
  <si>
    <t>random</t>
    <phoneticPr fontId="1" type="noConversion"/>
  </si>
  <si>
    <t>guding</t>
    <phoneticPr fontId="1" type="noConversion"/>
  </si>
  <si>
    <t>power|权值</t>
    <phoneticPr fontId="1" type="noConversion"/>
  </si>
  <si>
    <t>ctor_count|最大创建次数  9999999999代表无限制</t>
    <phoneticPr fontId="1" type="noConversion"/>
  </si>
  <si>
    <t>first_ctor_min_round</t>
    <phoneticPr fontId="1" type="noConversion"/>
  </si>
  <si>
    <t>ID</t>
    <phoneticPr fontId="1" type="noConversion"/>
  </si>
  <si>
    <t>yuchao|鱼潮</t>
    <phoneticPr fontId="1" type="noConversion"/>
  </si>
  <si>
    <t>yc_weight</t>
    <phoneticPr fontId="1" type="noConversion"/>
  </si>
  <si>
    <t>activity</t>
    <phoneticPr fontId="1" type="noConversion"/>
  </si>
  <si>
    <t>activity_weight</t>
    <phoneticPr fontId="1" type="noConversion"/>
  </si>
  <si>
    <t>money</t>
    <phoneticPr fontId="1" type="noConversion"/>
  </si>
  <si>
    <t>money_weight</t>
    <phoneticPr fontId="1" type="noConversion"/>
  </si>
  <si>
    <t>ranking</t>
    <phoneticPr fontId="1" type="noConversion"/>
  </si>
  <si>
    <t>ranking_weight</t>
    <phoneticPr fontId="1" type="noConversion"/>
  </si>
  <si>
    <t>no</t>
    <phoneticPr fontId="1" type="noConversion"/>
  </si>
  <si>
    <t>map_id</t>
    <phoneticPr fontId="1" type="noConversion"/>
  </si>
  <si>
    <t>image_no</t>
    <phoneticPr fontId="1" type="noConversion"/>
  </si>
  <si>
    <t>guding</t>
    <phoneticPr fontId="1" type="noConversion"/>
  </si>
  <si>
    <t>clear_level|鱼潮清理等级</t>
    <phoneticPr fontId="1" type="noConversion"/>
  </si>
  <si>
    <t>fish_3d_yutu_gd_1</t>
    <phoneticPr fontId="1" type="noConversion"/>
  </si>
  <si>
    <t>append_image_id|附加的鱼途id</t>
    <phoneticPr fontId="1" type="noConversion"/>
  </si>
  <si>
    <t>fish_3d_yutu_random_1</t>
    <phoneticPr fontId="1" type="noConversion"/>
  </si>
  <si>
    <t>fish_3d_yutu_gd_smallboss</t>
    <phoneticPr fontId="1" type="noConversion"/>
  </si>
  <si>
    <t>guding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</si>
</sst>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9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name val="宋体"/>
      <family val="3"/>
      <charset val="134"/>
    </font>
    <font>
      <sz val="11"/>
      <color rgb="FF0B0B0B"/>
      <name val="宋体"/>
      <family val="3"/>
      <charset val="134"/>
    </font>
    <font>
      <u/>
      <sz val="11"/>
      <color theme="10"/>
      <name val="等线"/>
      <family val="2"/>
      <scheme val="minor"/>
    </font>
    <font>
      <u/>
      <sz val="11"/>
      <color theme="11"/>
      <name val="等线"/>
      <family val="2"/>
      <scheme val="minor"/>
    </font>
    <font>
      <sz val="11"/>
      <color theme="1"/>
      <name val="等线"/>
      <family val="3"/>
      <charset val="134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</fonts>
  <fills count="3">
    <fill>
      <patternFill patternType="none"/>
    </fill>
    <fill>
      <patternFill patternType="gray125"/>
    </fill>
    <fill>
      <patternFill patternType="solid">
        <fgColor rgb="FF8DB4E2"/>
        <bgColor rgb="FFFFFFFF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14">
    <xf numFmtId="0" fontId="0" fillId="0" borderId="0"/>
    <xf numFmtId="0" fontId="2" fillId="0" borderId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</cellStyleXfs>
  <cellXfs count="7">
    <xf numFmtId="0" fontId="0" fillId="0" borderId="0" xfId="0"/>
    <xf numFmtId="0" fontId="3" fillId="2" borderId="1" xfId="1" applyNumberFormat="1" applyFont="1" applyFill="1" applyBorder="1" applyAlignment="1" applyProtection="1">
      <alignment horizontal="center" vertical="center" wrapText="1"/>
    </xf>
    <xf numFmtId="0" fontId="0" fillId="0" borderId="0" xfId="0" applyAlignment="1">
      <alignment horizontal="center" vertical="center"/>
    </xf>
    <xf numFmtId="10" fontId="0" fillId="0" borderId="0" xfId="0" applyNumberFormat="1"/>
    <xf numFmtId="9" fontId="0" fillId="0" borderId="0" xfId="0" applyNumberFormat="1"/>
    <xf numFmtId="0" fontId="3" fillId="2" borderId="2" xfId="1" applyNumberFormat="1" applyFont="1" applyFill="1" applyBorder="1" applyAlignment="1" applyProtection="1">
      <alignment horizontal="center" vertical="center" wrapText="1"/>
    </xf>
    <xf numFmtId="0" fontId="6" fillId="0" borderId="0" xfId="0" applyFont="1" applyAlignment="1">
      <alignment horizontal="center" vertical="center"/>
    </xf>
  </cellXfs>
  <cellStyles count="14">
    <cellStyle name="常规" xfId="0" builtinId="0"/>
    <cellStyle name="常规 4" xfId="1"/>
    <cellStyle name="超链接" xfId="2" builtinId="8" hidden="1"/>
    <cellStyle name="超链接" xfId="4" builtinId="8" hidden="1"/>
    <cellStyle name="超链接" xfId="6" builtinId="8" hidden="1"/>
    <cellStyle name="超链接" xfId="8" builtinId="8" hidden="1"/>
    <cellStyle name="超链接" xfId="10" builtinId="8" hidden="1"/>
    <cellStyle name="超链接" xfId="12" builtinId="8" hidden="1"/>
    <cellStyle name="已访问的超链接" xfId="3" builtinId="9" hidden="1"/>
    <cellStyle name="已访问的超链接" xfId="5" builtinId="9" hidden="1"/>
    <cellStyle name="已访问的超链接" xfId="7" builtinId="9" hidden="1"/>
    <cellStyle name="已访问的超链接" xfId="9" builtinId="9" hidden="1"/>
    <cellStyle name="已访问的超链接" xfId="11" builtinId="9" hidden="1"/>
    <cellStyle name="已访问的超链接" xfId="13" builtinId="9" hidden="1"/>
  </cellStyles>
  <dxfs count="0"/>
  <tableStyles count="0" defaultTableStyle="TableStyleMedium2" defaultPivotStyle="PivotStyleLight16"/>
  <colors>
    <mruColors>
      <color rgb="FFFF99FF"/>
      <color rgb="FFFF00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E11"/>
  <sheetViews>
    <sheetView tabSelected="1" workbookViewId="0">
      <selection activeCell="B2" sqref="B2:B11"/>
    </sheetView>
  </sheetViews>
  <sheetFormatPr defaultColWidth="8.875" defaultRowHeight="14.25" x14ac:dyDescent="0.2"/>
  <cols>
    <col min="3" max="3" width="15.5" customWidth="1"/>
    <col min="5" max="5" width="26.875" customWidth="1"/>
  </cols>
  <sheetData>
    <row r="1" spans="1:5" s="1" customFormat="1" ht="71.25" customHeight="1" x14ac:dyDescent="0.2">
      <c r="A1" s="1" t="s">
        <v>1</v>
      </c>
      <c r="B1" s="1" t="s">
        <v>2</v>
      </c>
      <c r="C1" s="1" t="s">
        <v>3</v>
      </c>
      <c r="D1" s="1" t="s">
        <v>4</v>
      </c>
      <c r="E1" s="1" t="s">
        <v>20</v>
      </c>
    </row>
    <row r="2" spans="1:5" x14ac:dyDescent="0.2">
      <c r="A2">
        <v>1</v>
      </c>
      <c r="B2" s="3">
        <v>3.5000000000000003E-2</v>
      </c>
      <c r="C2">
        <v>0.16</v>
      </c>
      <c r="D2" s="4">
        <v>0.03</v>
      </c>
      <c r="E2">
        <v>-1</v>
      </c>
    </row>
    <row r="3" spans="1:5" x14ac:dyDescent="0.2">
      <c r="A3">
        <v>2</v>
      </c>
      <c r="B3" s="3">
        <v>3.5000000000000003E-2</v>
      </c>
      <c r="C3">
        <v>0.16</v>
      </c>
      <c r="D3" s="4">
        <v>0.03</v>
      </c>
      <c r="E3">
        <v>-1</v>
      </c>
    </row>
    <row r="4" spans="1:5" x14ac:dyDescent="0.2">
      <c r="A4">
        <v>3</v>
      </c>
      <c r="B4" s="3">
        <v>3.5000000000000003E-2</v>
      </c>
      <c r="C4">
        <v>0.16</v>
      </c>
      <c r="D4" s="4">
        <v>0.03</v>
      </c>
      <c r="E4">
        <v>-1</v>
      </c>
    </row>
    <row r="5" spans="1:5" x14ac:dyDescent="0.2">
      <c r="A5">
        <v>4</v>
      </c>
      <c r="B5" s="3">
        <v>3.5000000000000003E-2</v>
      </c>
      <c r="C5">
        <v>0.16</v>
      </c>
      <c r="D5" s="4">
        <v>0.03</v>
      </c>
      <c r="E5">
        <v>-1</v>
      </c>
    </row>
    <row r="6" spans="1:5" x14ac:dyDescent="0.2">
      <c r="A6">
        <v>5</v>
      </c>
      <c r="B6" s="3">
        <v>3.5000000000000003E-2</v>
      </c>
      <c r="C6">
        <v>0.16</v>
      </c>
      <c r="D6" s="4">
        <v>0.03</v>
      </c>
      <c r="E6">
        <v>-1</v>
      </c>
    </row>
    <row r="7" spans="1:5" x14ac:dyDescent="0.2">
      <c r="A7">
        <v>6</v>
      </c>
      <c r="B7" s="3">
        <v>3.5000000000000003E-2</v>
      </c>
      <c r="C7">
        <v>0.16</v>
      </c>
      <c r="D7" s="4">
        <v>0.03</v>
      </c>
      <c r="E7">
        <v>-1</v>
      </c>
    </row>
    <row r="8" spans="1:5" x14ac:dyDescent="0.2">
      <c r="A8">
        <v>7</v>
      </c>
      <c r="B8" s="3">
        <v>3.5000000000000003E-2</v>
      </c>
      <c r="C8">
        <v>0.16</v>
      </c>
      <c r="D8" s="4">
        <v>0.03</v>
      </c>
      <c r="E8">
        <v>-1</v>
      </c>
    </row>
    <row r="9" spans="1:5" x14ac:dyDescent="0.2">
      <c r="A9">
        <v>8</v>
      </c>
      <c r="B9" s="3">
        <v>3.5000000000000003E-2</v>
      </c>
      <c r="C9">
        <v>0.16</v>
      </c>
      <c r="D9" s="4">
        <v>0.03</v>
      </c>
      <c r="E9">
        <v>-1</v>
      </c>
    </row>
    <row r="10" spans="1:5" x14ac:dyDescent="0.2">
      <c r="A10">
        <v>9</v>
      </c>
      <c r="B10" s="3">
        <v>3.5000000000000003E-2</v>
      </c>
      <c r="C10">
        <v>0.16</v>
      </c>
      <c r="D10" s="4">
        <v>0.03</v>
      </c>
      <c r="E10">
        <v>-1</v>
      </c>
    </row>
    <row r="11" spans="1:5" x14ac:dyDescent="0.2">
      <c r="A11">
        <v>10</v>
      </c>
      <c r="B11" s="3">
        <v>3.5000000000000003E-2</v>
      </c>
      <c r="C11">
        <v>0.16</v>
      </c>
      <c r="D11" s="4">
        <v>0.03</v>
      </c>
      <c r="E11">
        <v>-1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G8"/>
  <sheetViews>
    <sheetView workbookViewId="0">
      <selection activeCell="E28" sqref="E28"/>
    </sheetView>
  </sheetViews>
  <sheetFormatPr defaultColWidth="11" defaultRowHeight="14.25" x14ac:dyDescent="0.2"/>
  <cols>
    <col min="2" max="3" width="20.625" customWidth="1"/>
    <col min="4" max="4" width="14.625" customWidth="1"/>
    <col min="5" max="5" width="17.625" customWidth="1"/>
    <col min="6" max="6" width="30.625" customWidth="1"/>
    <col min="7" max="7" width="19.375" customWidth="1"/>
  </cols>
  <sheetData>
    <row r="1" spans="1:7" x14ac:dyDescent="0.2">
      <c r="A1" s="2" t="s">
        <v>21</v>
      </c>
      <c r="B1" s="2" t="s">
        <v>22</v>
      </c>
      <c r="C1" s="2" t="s">
        <v>23</v>
      </c>
      <c r="D1" s="2" t="s">
        <v>24</v>
      </c>
      <c r="E1" s="2" t="s">
        <v>25</v>
      </c>
      <c r="F1" s="2" t="s">
        <v>26</v>
      </c>
      <c r="G1" s="2" t="s">
        <v>27</v>
      </c>
    </row>
    <row r="2" spans="1:7" x14ac:dyDescent="0.2">
      <c r="A2" s="2">
        <v>1</v>
      </c>
      <c r="B2" s="2">
        <v>200</v>
      </c>
      <c r="C2" s="2">
        <v>10</v>
      </c>
      <c r="D2" s="2">
        <v>0.45</v>
      </c>
      <c r="E2" s="2">
        <v>10</v>
      </c>
      <c r="F2" s="2">
        <f>SUM(C2:C8)</f>
        <v>100</v>
      </c>
      <c r="G2" s="2">
        <f>SUM(E2:E8)</f>
        <v>100</v>
      </c>
    </row>
    <row r="3" spans="1:7" x14ac:dyDescent="0.2">
      <c r="A3" s="2">
        <v>2</v>
      </c>
      <c r="B3" s="2">
        <v>175</v>
      </c>
      <c r="C3" s="2">
        <v>10</v>
      </c>
      <c r="D3" s="2">
        <v>0.4</v>
      </c>
      <c r="E3" s="2">
        <v>10</v>
      </c>
      <c r="F3" s="2"/>
      <c r="G3" s="2"/>
    </row>
    <row r="4" spans="1:7" x14ac:dyDescent="0.2">
      <c r="A4" s="2">
        <v>3</v>
      </c>
      <c r="B4" s="2">
        <v>150</v>
      </c>
      <c r="C4" s="2">
        <v>20</v>
      </c>
      <c r="D4" s="2">
        <v>0.3</v>
      </c>
      <c r="E4" s="2">
        <v>20</v>
      </c>
      <c r="F4" s="2"/>
      <c r="G4" s="2"/>
    </row>
    <row r="5" spans="1:7" x14ac:dyDescent="0.2">
      <c r="A5" s="2">
        <v>4</v>
      </c>
      <c r="B5" s="2">
        <v>125</v>
      </c>
      <c r="C5" s="2">
        <v>20</v>
      </c>
      <c r="D5" s="2">
        <v>0.2</v>
      </c>
      <c r="E5" s="2">
        <v>20</v>
      </c>
      <c r="F5" s="2"/>
      <c r="G5" s="2"/>
    </row>
    <row r="6" spans="1:7" x14ac:dyDescent="0.2">
      <c r="A6" s="2">
        <v>5</v>
      </c>
      <c r="B6" s="2">
        <v>100</v>
      </c>
      <c r="C6" s="2">
        <v>20</v>
      </c>
      <c r="D6" s="2">
        <v>0.15</v>
      </c>
      <c r="E6" s="2">
        <v>20</v>
      </c>
      <c r="F6" s="2"/>
      <c r="G6" s="2"/>
    </row>
    <row r="7" spans="1:7" x14ac:dyDescent="0.2">
      <c r="A7" s="2">
        <v>6</v>
      </c>
      <c r="B7" s="2">
        <v>75</v>
      </c>
      <c r="C7" s="2">
        <v>10</v>
      </c>
      <c r="D7" s="2">
        <v>0.1</v>
      </c>
      <c r="E7" s="2">
        <v>10</v>
      </c>
      <c r="F7" s="2"/>
      <c r="G7" s="2"/>
    </row>
    <row r="8" spans="1:7" x14ac:dyDescent="0.2">
      <c r="A8" s="2">
        <v>7</v>
      </c>
      <c r="B8" s="2">
        <v>50</v>
      </c>
      <c r="C8" s="2">
        <v>10</v>
      </c>
      <c r="D8" s="2">
        <v>0.05</v>
      </c>
      <c r="E8" s="2">
        <v>10</v>
      </c>
      <c r="F8" s="2"/>
      <c r="G8" s="2"/>
    </row>
  </sheetData>
  <phoneticPr fontId="1" type="noConversion"/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1"/>
  <sheetViews>
    <sheetView workbookViewId="0">
      <selection activeCell="C36" sqref="C36"/>
    </sheetView>
  </sheetViews>
  <sheetFormatPr defaultColWidth="8.875" defaultRowHeight="14.25" x14ac:dyDescent="0.2"/>
  <sheetData>
    <row r="1" spans="1:11" ht="54" x14ac:dyDescent="0.2">
      <c r="A1" s="1" t="s">
        <v>0</v>
      </c>
      <c r="B1" s="1" t="s">
        <v>5</v>
      </c>
      <c r="C1" s="1" t="s">
        <v>6</v>
      </c>
      <c r="D1" s="1" t="s">
        <v>7</v>
      </c>
      <c r="E1" s="1" t="s">
        <v>8</v>
      </c>
      <c r="F1" t="s">
        <v>13</v>
      </c>
      <c r="G1" t="s">
        <v>14</v>
      </c>
      <c r="H1" t="s">
        <v>15</v>
      </c>
      <c r="I1" t="s">
        <v>16</v>
      </c>
      <c r="J1" t="s">
        <v>17</v>
      </c>
      <c r="K1" t="s">
        <v>18</v>
      </c>
    </row>
    <row r="2" spans="1:11" x14ac:dyDescent="0.2">
      <c r="A2">
        <v>1</v>
      </c>
      <c r="B2">
        <v>175</v>
      </c>
      <c r="C2">
        <v>70</v>
      </c>
      <c r="D2">
        <v>0.12</v>
      </c>
      <c r="E2">
        <v>0.05</v>
      </c>
      <c r="F2">
        <v>28</v>
      </c>
      <c r="G2">
        <v>11.2</v>
      </c>
      <c r="H2">
        <v>1.0874999999999999</v>
      </c>
      <c r="I2">
        <v>1.0175000000000001</v>
      </c>
      <c r="J2">
        <v>0.84750000000000003</v>
      </c>
      <c r="K2">
        <v>0.91749999999999998</v>
      </c>
    </row>
    <row r="3" spans="1:11" x14ac:dyDescent="0.2">
      <c r="A3">
        <v>2</v>
      </c>
      <c r="B3">
        <v>175</v>
      </c>
      <c r="C3">
        <v>70</v>
      </c>
      <c r="D3">
        <v>0.12</v>
      </c>
      <c r="E3">
        <v>0.05</v>
      </c>
      <c r="F3">
        <v>28</v>
      </c>
      <c r="G3">
        <v>11.2</v>
      </c>
      <c r="H3">
        <v>1.0874999999999999</v>
      </c>
      <c r="I3">
        <v>1.0175000000000001</v>
      </c>
      <c r="J3">
        <v>0.84750000000000003</v>
      </c>
      <c r="K3">
        <v>0.91749999999999998</v>
      </c>
    </row>
    <row r="4" spans="1:11" x14ac:dyDescent="0.2">
      <c r="A4">
        <v>3</v>
      </c>
      <c r="B4">
        <v>175</v>
      </c>
      <c r="C4">
        <v>70</v>
      </c>
      <c r="D4">
        <v>0.12</v>
      </c>
      <c r="E4">
        <v>0.05</v>
      </c>
      <c r="F4">
        <v>28</v>
      </c>
      <c r="G4">
        <v>11.2</v>
      </c>
      <c r="H4">
        <v>1.0874999999999999</v>
      </c>
      <c r="I4">
        <v>1.0175000000000001</v>
      </c>
      <c r="J4">
        <v>0.84750000000000003</v>
      </c>
      <c r="K4">
        <v>0.91749999999999998</v>
      </c>
    </row>
    <row r="5" spans="1:11" x14ac:dyDescent="0.2">
      <c r="A5">
        <v>4</v>
      </c>
      <c r="B5">
        <v>175</v>
      </c>
      <c r="C5">
        <v>70</v>
      </c>
      <c r="D5">
        <v>0.12</v>
      </c>
      <c r="E5">
        <v>0.05</v>
      </c>
      <c r="F5">
        <v>28</v>
      </c>
      <c r="G5">
        <v>11.2</v>
      </c>
      <c r="H5">
        <v>1.0874999999999999</v>
      </c>
      <c r="I5">
        <v>1.0175000000000001</v>
      </c>
      <c r="J5">
        <v>0.84750000000000003</v>
      </c>
      <c r="K5">
        <v>0.91749999999999998</v>
      </c>
    </row>
    <row r="6" spans="1:11" x14ac:dyDescent="0.2">
      <c r="A6">
        <v>5</v>
      </c>
      <c r="B6">
        <v>175</v>
      </c>
      <c r="C6">
        <v>70</v>
      </c>
      <c r="D6">
        <v>0.12</v>
      </c>
      <c r="E6">
        <v>0.05</v>
      </c>
      <c r="F6">
        <v>28</v>
      </c>
      <c r="G6">
        <v>11.2</v>
      </c>
      <c r="H6">
        <v>1.0874999999999999</v>
      </c>
      <c r="I6">
        <v>1.0175000000000001</v>
      </c>
      <c r="J6">
        <v>0.84750000000000003</v>
      </c>
      <c r="K6">
        <v>0.91749999999999998</v>
      </c>
    </row>
    <row r="7" spans="1:11" x14ac:dyDescent="0.2">
      <c r="A7">
        <v>6</v>
      </c>
      <c r="B7">
        <v>175</v>
      </c>
      <c r="C7">
        <v>70</v>
      </c>
      <c r="D7">
        <v>0.12</v>
      </c>
      <c r="E7">
        <v>0.05</v>
      </c>
      <c r="F7">
        <v>28</v>
      </c>
      <c r="G7">
        <v>11.2</v>
      </c>
      <c r="H7">
        <v>1.0874999999999999</v>
      </c>
      <c r="I7">
        <v>1.0175000000000001</v>
      </c>
      <c r="J7">
        <v>0.84750000000000003</v>
      </c>
      <c r="K7">
        <v>0.91749999999999998</v>
      </c>
    </row>
    <row r="8" spans="1:11" x14ac:dyDescent="0.2">
      <c r="A8">
        <v>7</v>
      </c>
      <c r="B8">
        <v>175</v>
      </c>
      <c r="C8">
        <v>70</v>
      </c>
      <c r="D8">
        <v>0.12</v>
      </c>
      <c r="E8">
        <v>0.05</v>
      </c>
      <c r="F8">
        <v>28</v>
      </c>
      <c r="G8">
        <v>11.2</v>
      </c>
      <c r="H8">
        <v>1.0874999999999999</v>
      </c>
      <c r="I8">
        <v>1.0175000000000001</v>
      </c>
      <c r="J8">
        <v>0.84750000000000003</v>
      </c>
      <c r="K8">
        <v>0.91749999999999998</v>
      </c>
    </row>
    <row r="9" spans="1:11" x14ac:dyDescent="0.2">
      <c r="A9">
        <v>8</v>
      </c>
      <c r="B9">
        <v>175</v>
      </c>
      <c r="C9">
        <v>70</v>
      </c>
      <c r="D9">
        <v>0.12</v>
      </c>
      <c r="E9">
        <v>0.05</v>
      </c>
      <c r="F9">
        <v>28</v>
      </c>
      <c r="G9">
        <v>11.2</v>
      </c>
      <c r="H9">
        <v>1.0874999999999999</v>
      </c>
      <c r="I9">
        <v>1.0175000000000001</v>
      </c>
      <c r="J9">
        <v>0.84750000000000003</v>
      </c>
      <c r="K9">
        <v>0.91749999999999998</v>
      </c>
    </row>
    <row r="10" spans="1:11" x14ac:dyDescent="0.2">
      <c r="A10">
        <v>9</v>
      </c>
      <c r="B10">
        <v>175</v>
      </c>
      <c r="C10">
        <v>70</v>
      </c>
      <c r="D10">
        <v>0.12</v>
      </c>
      <c r="E10">
        <v>0.05</v>
      </c>
      <c r="F10">
        <v>28</v>
      </c>
      <c r="G10">
        <v>11.2</v>
      </c>
      <c r="H10">
        <v>1.0874999999999999</v>
      </c>
      <c r="I10">
        <v>1.0175000000000001</v>
      </c>
      <c r="J10">
        <v>0.84750000000000003</v>
      </c>
      <c r="K10">
        <v>0.91749999999999998</v>
      </c>
    </row>
    <row r="11" spans="1:11" x14ac:dyDescent="0.2">
      <c r="A11">
        <v>10</v>
      </c>
      <c r="B11">
        <v>175</v>
      </c>
      <c r="C11">
        <v>70</v>
      </c>
      <c r="D11">
        <v>0.12</v>
      </c>
      <c r="E11">
        <v>0.05</v>
      </c>
      <c r="F11">
        <v>28</v>
      </c>
      <c r="G11">
        <v>11.2</v>
      </c>
      <c r="H11">
        <v>1.0874999999999999</v>
      </c>
      <c r="I11">
        <v>1.0175000000000001</v>
      </c>
      <c r="J11">
        <v>0.84750000000000003</v>
      </c>
      <c r="K11">
        <v>0.91749999999999998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3"/>
  <sheetViews>
    <sheetView zoomScaleNormal="100" workbookViewId="0">
      <selection activeCell="C2" sqref="C2"/>
    </sheetView>
  </sheetViews>
  <sheetFormatPr defaultColWidth="10.875" defaultRowHeight="14.25" x14ac:dyDescent="0.2"/>
  <cols>
    <col min="1" max="1" width="10.875" style="2"/>
    <col min="2" max="2" width="16.875" style="2" customWidth="1"/>
    <col min="3" max="3" width="21.125" style="2" customWidth="1"/>
    <col min="4" max="4" width="26.375" style="2" customWidth="1"/>
    <col min="5" max="5" width="31.5" style="2" customWidth="1"/>
    <col min="6" max="6" width="20.375" style="2" customWidth="1"/>
    <col min="7" max="7" width="19.5" style="2" customWidth="1"/>
    <col min="8" max="16384" width="10.875" style="2"/>
  </cols>
  <sheetData>
    <row r="1" spans="1:7" ht="27" x14ac:dyDescent="0.2">
      <c r="A1" s="1" t="s">
        <v>0</v>
      </c>
      <c r="B1" s="1" t="s">
        <v>29</v>
      </c>
      <c r="C1" s="1" t="s">
        <v>32</v>
      </c>
      <c r="D1" s="1" t="s">
        <v>33</v>
      </c>
      <c r="E1" s="1" t="s">
        <v>40</v>
      </c>
      <c r="F1" s="1" t="s">
        <v>41</v>
      </c>
      <c r="G1" s="1" t="s">
        <v>39</v>
      </c>
    </row>
    <row r="2" spans="1:7" x14ac:dyDescent="0.2">
      <c r="A2" s="2">
        <v>1</v>
      </c>
      <c r="B2" s="2" t="s">
        <v>37</v>
      </c>
      <c r="C2" s="2">
        <v>1</v>
      </c>
      <c r="D2" s="2">
        <v>1</v>
      </c>
      <c r="E2" s="2">
        <v>9999999999</v>
      </c>
      <c r="F2" s="2">
        <v>0</v>
      </c>
      <c r="G2" s="2">
        <v>10</v>
      </c>
    </row>
    <row r="3" spans="1:7" x14ac:dyDescent="0.2">
      <c r="A3" s="2">
        <v>2</v>
      </c>
      <c r="B3" s="2" t="s">
        <v>38</v>
      </c>
      <c r="C3" s="2">
        <v>2</v>
      </c>
      <c r="D3" s="2">
        <v>2</v>
      </c>
      <c r="E3" s="2">
        <v>9999999999</v>
      </c>
      <c r="F3" s="2">
        <v>2</v>
      </c>
      <c r="G3" s="2">
        <v>10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M10"/>
  <sheetViews>
    <sheetView workbookViewId="0">
      <selection activeCell="J3" sqref="J3:J8"/>
    </sheetView>
  </sheetViews>
  <sheetFormatPr defaultColWidth="8.875" defaultRowHeight="14.25" x14ac:dyDescent="0.2"/>
  <cols>
    <col min="2" max="2" width="24.375" bestFit="1" customWidth="1"/>
    <col min="7" max="7" width="14.875" customWidth="1"/>
    <col min="9" max="9" width="11.5" customWidth="1"/>
    <col min="10" max="10" width="11.625" customWidth="1"/>
  </cols>
  <sheetData>
    <row r="1" spans="1:13" s="2" customFormat="1" ht="38.25" customHeight="1" x14ac:dyDescent="0.2">
      <c r="A1" s="1" t="s">
        <v>0</v>
      </c>
      <c r="B1" s="1" t="s">
        <v>28</v>
      </c>
      <c r="C1" s="1" t="s">
        <v>53</v>
      </c>
      <c r="D1" s="1" t="s">
        <v>29</v>
      </c>
      <c r="E1" s="1" t="s">
        <v>30</v>
      </c>
      <c r="F1" s="1" t="s">
        <v>31</v>
      </c>
      <c r="G1" s="1" t="s">
        <v>32</v>
      </c>
      <c r="H1" s="1" t="s">
        <v>34</v>
      </c>
      <c r="I1" s="1" t="s">
        <v>35</v>
      </c>
      <c r="J1" s="1" t="s">
        <v>41</v>
      </c>
      <c r="K1" s="1" t="s">
        <v>36</v>
      </c>
      <c r="L1" s="5" t="s">
        <v>55</v>
      </c>
      <c r="M1" s="5" t="s">
        <v>57</v>
      </c>
    </row>
    <row r="2" spans="1:13" x14ac:dyDescent="0.2">
      <c r="A2" s="2">
        <v>1</v>
      </c>
      <c r="B2" s="2" t="s">
        <v>58</v>
      </c>
      <c r="C2" s="2">
        <v>1</v>
      </c>
      <c r="D2" t="s">
        <v>37</v>
      </c>
      <c r="E2" s="2">
        <v>3000</v>
      </c>
      <c r="F2" s="2">
        <v>4800</v>
      </c>
      <c r="G2" s="2">
        <v>1</v>
      </c>
      <c r="H2" s="2">
        <v>9999999</v>
      </c>
      <c r="I2" s="2">
        <v>9999999</v>
      </c>
      <c r="J2" s="2">
        <v>0</v>
      </c>
      <c r="K2" s="2">
        <v>1</v>
      </c>
      <c r="L2" s="2">
        <v>3</v>
      </c>
      <c r="M2" s="2">
        <v>9</v>
      </c>
    </row>
    <row r="3" spans="1:13" x14ac:dyDescent="0.2">
      <c r="A3" s="2">
        <v>2</v>
      </c>
      <c r="B3" s="2" t="s">
        <v>56</v>
      </c>
      <c r="C3" s="2">
        <v>1</v>
      </c>
      <c r="D3" t="s">
        <v>54</v>
      </c>
      <c r="E3" s="2">
        <v>550</v>
      </c>
      <c r="F3" s="2">
        <v>550</v>
      </c>
      <c r="G3" s="2">
        <v>1</v>
      </c>
      <c r="H3" s="2">
        <v>9999999</v>
      </c>
      <c r="I3" s="2">
        <v>9999999</v>
      </c>
      <c r="J3" s="2">
        <v>1</v>
      </c>
      <c r="K3" s="2">
        <v>1</v>
      </c>
      <c r="L3" s="2">
        <v>3</v>
      </c>
    </row>
    <row r="4" spans="1:13" x14ac:dyDescent="0.2">
      <c r="A4" s="2">
        <v>3</v>
      </c>
      <c r="B4" s="2" t="s">
        <v>56</v>
      </c>
      <c r="C4" s="2">
        <v>2</v>
      </c>
      <c r="D4" t="s">
        <v>38</v>
      </c>
      <c r="E4" s="2">
        <v>550</v>
      </c>
      <c r="F4" s="2">
        <v>550</v>
      </c>
      <c r="G4" s="2">
        <v>1</v>
      </c>
      <c r="H4" s="2">
        <v>9999999</v>
      </c>
      <c r="I4" s="2">
        <v>9999999</v>
      </c>
      <c r="J4" s="2">
        <v>1</v>
      </c>
      <c r="K4" s="2">
        <v>1</v>
      </c>
      <c r="L4" s="2">
        <v>3</v>
      </c>
    </row>
    <row r="5" spans="1:13" x14ac:dyDescent="0.2">
      <c r="A5" s="2">
        <v>4</v>
      </c>
      <c r="B5" s="2" t="s">
        <v>56</v>
      </c>
      <c r="C5" s="2">
        <v>3</v>
      </c>
      <c r="D5" t="s">
        <v>38</v>
      </c>
      <c r="E5" s="2">
        <v>550</v>
      </c>
      <c r="F5" s="2">
        <v>550</v>
      </c>
      <c r="G5" s="2">
        <v>1</v>
      </c>
      <c r="H5" s="2">
        <v>9999999</v>
      </c>
      <c r="I5" s="2">
        <v>9999999</v>
      </c>
      <c r="J5" s="2">
        <v>1</v>
      </c>
      <c r="K5" s="2">
        <v>1</v>
      </c>
      <c r="L5" s="2">
        <v>3</v>
      </c>
    </row>
    <row r="6" spans="1:13" x14ac:dyDescent="0.2">
      <c r="A6" s="2">
        <v>5</v>
      </c>
      <c r="B6" s="2" t="s">
        <v>56</v>
      </c>
      <c r="C6" s="2">
        <v>4</v>
      </c>
      <c r="D6" t="s">
        <v>38</v>
      </c>
      <c r="E6" s="2">
        <v>550</v>
      </c>
      <c r="F6" s="2">
        <v>550</v>
      </c>
      <c r="G6" s="2">
        <v>1</v>
      </c>
      <c r="H6" s="2">
        <v>9999999</v>
      </c>
      <c r="I6" s="2">
        <v>9999999</v>
      </c>
      <c r="J6" s="2">
        <v>1</v>
      </c>
      <c r="K6" s="2">
        <v>1</v>
      </c>
      <c r="L6" s="2">
        <v>3</v>
      </c>
    </row>
    <row r="7" spans="1:13" x14ac:dyDescent="0.2">
      <c r="A7" s="2">
        <v>6</v>
      </c>
      <c r="B7" s="2" t="s">
        <v>56</v>
      </c>
      <c r="C7" s="2">
        <v>5</v>
      </c>
      <c r="D7" t="s">
        <v>38</v>
      </c>
      <c r="E7" s="2">
        <v>650</v>
      </c>
      <c r="F7" s="2">
        <v>650</v>
      </c>
      <c r="G7" s="2">
        <v>1</v>
      </c>
      <c r="H7" s="2">
        <v>9999999</v>
      </c>
      <c r="I7" s="2">
        <v>9999999</v>
      </c>
      <c r="J7" s="2">
        <v>1</v>
      </c>
      <c r="K7" s="2">
        <v>1</v>
      </c>
      <c r="L7" s="2">
        <v>3</v>
      </c>
    </row>
    <row r="8" spans="1:13" x14ac:dyDescent="0.2">
      <c r="A8" s="2">
        <v>7</v>
      </c>
      <c r="B8" s="2" t="s">
        <v>56</v>
      </c>
      <c r="C8" s="2">
        <v>6</v>
      </c>
      <c r="D8" t="s">
        <v>38</v>
      </c>
      <c r="E8" s="2">
        <v>600</v>
      </c>
      <c r="F8" s="2">
        <v>600</v>
      </c>
      <c r="G8" s="2">
        <v>1</v>
      </c>
      <c r="H8" s="2">
        <v>9999999</v>
      </c>
      <c r="I8" s="2">
        <v>9999999</v>
      </c>
      <c r="J8" s="2">
        <v>1</v>
      </c>
      <c r="K8" s="2">
        <v>1</v>
      </c>
      <c r="L8" s="2">
        <v>3</v>
      </c>
    </row>
    <row r="9" spans="1:13" x14ac:dyDescent="0.2">
      <c r="A9" s="2">
        <v>8</v>
      </c>
      <c r="B9" s="2" t="s">
        <v>56</v>
      </c>
      <c r="C9" s="2">
        <v>7</v>
      </c>
      <c r="D9" t="s">
        <v>38</v>
      </c>
      <c r="E9" s="2">
        <v>300</v>
      </c>
      <c r="F9" s="2">
        <v>300</v>
      </c>
      <c r="G9" s="2">
        <v>1</v>
      </c>
      <c r="H9" s="2">
        <v>9999999</v>
      </c>
      <c r="I9" s="2">
        <v>9999999</v>
      </c>
      <c r="J9" s="2">
        <v>1</v>
      </c>
      <c r="K9" s="2">
        <v>1</v>
      </c>
      <c r="L9" s="2">
        <v>3</v>
      </c>
    </row>
    <row r="10" spans="1:13" x14ac:dyDescent="0.2">
      <c r="A10" s="2">
        <v>9</v>
      </c>
      <c r="B10" s="2" t="s">
        <v>59</v>
      </c>
      <c r="C10" s="2">
        <v>1</v>
      </c>
      <c r="D10" t="s">
        <v>60</v>
      </c>
      <c r="E10" s="2">
        <v>1200</v>
      </c>
      <c r="F10" s="2">
        <v>1200</v>
      </c>
      <c r="G10" s="2">
        <v>9999999</v>
      </c>
      <c r="H10" s="2">
        <v>9999999</v>
      </c>
      <c r="I10" s="2">
        <v>9999999</v>
      </c>
      <c r="J10" s="2">
        <v>9999999</v>
      </c>
      <c r="K10" s="2">
        <v>0</v>
      </c>
      <c r="L10" s="2">
        <v>3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D41"/>
  <sheetViews>
    <sheetView workbookViewId="0">
      <selection activeCell="C2" sqref="C2"/>
    </sheetView>
  </sheetViews>
  <sheetFormatPr defaultColWidth="8.875" defaultRowHeight="14.25" x14ac:dyDescent="0.2"/>
  <sheetData>
    <row r="1" spans="1:4" s="1" customFormat="1" ht="43.5" customHeight="1" x14ac:dyDescent="0.2">
      <c r="A1" s="1" t="s">
        <v>1</v>
      </c>
      <c r="B1" s="1" t="s">
        <v>9</v>
      </c>
      <c r="C1" s="1" t="s">
        <v>10</v>
      </c>
      <c r="D1" s="1" t="s">
        <v>19</v>
      </c>
    </row>
    <row r="2" spans="1:4" x14ac:dyDescent="0.2">
      <c r="A2">
        <v>1</v>
      </c>
      <c r="B2" s="3">
        <v>6.0000000000000001E-3</v>
      </c>
      <c r="C2">
        <v>90</v>
      </c>
      <c r="D2">
        <f>C2/B2/(1/profit!C2)/60</f>
        <v>40</v>
      </c>
    </row>
    <row r="3" spans="1:4" x14ac:dyDescent="0.2">
      <c r="A3">
        <v>2</v>
      </c>
      <c r="B3" s="3">
        <v>6.0000000000000001E-3</v>
      </c>
      <c r="C3">
        <v>90</v>
      </c>
      <c r="D3">
        <f>C3/B3/(1/profit!C3)/60</f>
        <v>40</v>
      </c>
    </row>
    <row r="4" spans="1:4" x14ac:dyDescent="0.2">
      <c r="A4">
        <v>3</v>
      </c>
      <c r="B4" s="3">
        <v>6.0000000000000001E-3</v>
      </c>
      <c r="C4">
        <v>90</v>
      </c>
      <c r="D4">
        <f>C4/B4/(1/profit!C4)/60</f>
        <v>40</v>
      </c>
    </row>
    <row r="5" spans="1:4" x14ac:dyDescent="0.2">
      <c r="A5">
        <v>4</v>
      </c>
      <c r="B5" s="3">
        <v>6.0000000000000001E-3</v>
      </c>
      <c r="C5">
        <v>90</v>
      </c>
      <c r="D5">
        <f>C5/B5/(1/profit!C5)/60</f>
        <v>40</v>
      </c>
    </row>
    <row r="6" spans="1:4" x14ac:dyDescent="0.2">
      <c r="A6">
        <v>5</v>
      </c>
      <c r="B6" s="3">
        <v>6.0000000000000001E-3</v>
      </c>
      <c r="C6">
        <v>90</v>
      </c>
      <c r="D6">
        <f>C6/B6/(1/profit!C6)/60</f>
        <v>40</v>
      </c>
    </row>
    <row r="7" spans="1:4" x14ac:dyDescent="0.2">
      <c r="A7">
        <v>6</v>
      </c>
      <c r="B7" s="3">
        <v>6.0000000000000001E-3</v>
      </c>
      <c r="C7">
        <v>90</v>
      </c>
      <c r="D7">
        <f>C7/B7/(1/profit!C7)/60</f>
        <v>40</v>
      </c>
    </row>
    <row r="8" spans="1:4" x14ac:dyDescent="0.2">
      <c r="A8">
        <v>7</v>
      </c>
      <c r="B8" s="3">
        <v>6.0000000000000001E-3</v>
      </c>
      <c r="C8">
        <v>90</v>
      </c>
      <c r="D8">
        <f>C8/B8/(1/profit!C8)/60</f>
        <v>40</v>
      </c>
    </row>
    <row r="9" spans="1:4" x14ac:dyDescent="0.2">
      <c r="A9">
        <v>8</v>
      </c>
      <c r="B9" s="3">
        <v>6.0000000000000001E-3</v>
      </c>
      <c r="C9">
        <v>90</v>
      </c>
      <c r="D9">
        <f>C9/B9/(1/profit!C9)/60</f>
        <v>40</v>
      </c>
    </row>
    <row r="10" spans="1:4" x14ac:dyDescent="0.2">
      <c r="A10">
        <v>9</v>
      </c>
      <c r="B10" s="3">
        <v>6.0000000000000001E-3</v>
      </c>
      <c r="C10">
        <v>90</v>
      </c>
      <c r="D10">
        <f>C10/B10/(1/profit!C10)/60</f>
        <v>40</v>
      </c>
    </row>
    <row r="11" spans="1:4" x14ac:dyDescent="0.2">
      <c r="A11">
        <v>10</v>
      </c>
      <c r="B11" s="3">
        <v>6.0000000000000001E-3</v>
      </c>
      <c r="C11">
        <v>90</v>
      </c>
      <c r="D11">
        <f>C11/B11/(1/profit!C11)/60</f>
        <v>40</v>
      </c>
    </row>
    <row r="12" spans="1:4" x14ac:dyDescent="0.2">
      <c r="A12">
        <v>11</v>
      </c>
      <c r="B12" s="3">
        <v>6.0000000000000001E-3</v>
      </c>
      <c r="C12">
        <v>90</v>
      </c>
      <c r="D12" t="e">
        <f>C12/B12/(1/profit!#REF!)/60</f>
        <v>#REF!</v>
      </c>
    </row>
    <row r="13" spans="1:4" x14ac:dyDescent="0.2">
      <c r="A13">
        <v>12</v>
      </c>
      <c r="B13" s="3">
        <v>6.0000000000000001E-3</v>
      </c>
      <c r="C13">
        <v>90</v>
      </c>
      <c r="D13" t="e">
        <f>C13/B13/(1/profit!#REF!)/60</f>
        <v>#REF!</v>
      </c>
    </row>
    <row r="14" spans="1:4" x14ac:dyDescent="0.2">
      <c r="A14">
        <v>13</v>
      </c>
      <c r="B14" s="3">
        <v>6.0000000000000001E-3</v>
      </c>
      <c r="C14">
        <v>90</v>
      </c>
      <c r="D14" t="e">
        <f>C14/B14/(1/profit!#REF!)/60</f>
        <v>#REF!</v>
      </c>
    </row>
    <row r="15" spans="1:4" x14ac:dyDescent="0.2">
      <c r="A15">
        <v>14</v>
      </c>
      <c r="B15" s="3">
        <v>6.0000000000000001E-3</v>
      </c>
      <c r="C15">
        <v>90</v>
      </c>
      <c r="D15" t="e">
        <f>C15/B15/(1/profit!#REF!)/60</f>
        <v>#REF!</v>
      </c>
    </row>
    <row r="16" spans="1:4" x14ac:dyDescent="0.2">
      <c r="A16">
        <v>15</v>
      </c>
      <c r="B16" s="3">
        <v>6.0000000000000001E-3</v>
      </c>
      <c r="C16">
        <v>90</v>
      </c>
      <c r="D16" t="e">
        <f>C16/B16/(1/profit!#REF!)/60</f>
        <v>#REF!</v>
      </c>
    </row>
    <row r="17" spans="1:4" x14ac:dyDescent="0.2">
      <c r="A17">
        <v>16</v>
      </c>
      <c r="B17" s="3">
        <v>6.0000000000000001E-3</v>
      </c>
      <c r="C17">
        <v>90</v>
      </c>
      <c r="D17" t="e">
        <f>C17/B17/(1/profit!#REF!)/60</f>
        <v>#REF!</v>
      </c>
    </row>
    <row r="18" spans="1:4" x14ac:dyDescent="0.2">
      <c r="A18">
        <v>17</v>
      </c>
      <c r="B18" s="3">
        <v>6.0000000000000001E-3</v>
      </c>
      <c r="C18">
        <v>90</v>
      </c>
      <c r="D18" t="e">
        <f>C18/B18/(1/profit!#REF!)/60</f>
        <v>#REF!</v>
      </c>
    </row>
    <row r="19" spans="1:4" x14ac:dyDescent="0.2">
      <c r="A19">
        <v>18</v>
      </c>
      <c r="B19" s="3">
        <v>6.0000000000000001E-3</v>
      </c>
      <c r="C19">
        <v>90</v>
      </c>
      <c r="D19" t="e">
        <f>C19/B19/(1/profit!#REF!)/60</f>
        <v>#REF!</v>
      </c>
    </row>
    <row r="20" spans="1:4" x14ac:dyDescent="0.2">
      <c r="A20">
        <v>19</v>
      </c>
      <c r="B20" s="3">
        <v>6.0000000000000001E-3</v>
      </c>
      <c r="C20">
        <v>90</v>
      </c>
      <c r="D20" t="e">
        <f>C20/B20/(1/profit!#REF!)/60</f>
        <v>#REF!</v>
      </c>
    </row>
    <row r="21" spans="1:4" x14ac:dyDescent="0.2">
      <c r="A21">
        <v>20</v>
      </c>
      <c r="B21" s="3">
        <v>6.0000000000000001E-3</v>
      </c>
      <c r="C21">
        <v>90</v>
      </c>
      <c r="D21" t="e">
        <f>C21/B21/(1/profit!#REF!)/60</f>
        <v>#REF!</v>
      </c>
    </row>
    <row r="22" spans="1:4" x14ac:dyDescent="0.2">
      <c r="A22">
        <v>21</v>
      </c>
      <c r="B22" s="3">
        <v>6.0000000000000001E-3</v>
      </c>
      <c r="C22">
        <v>90</v>
      </c>
      <c r="D22" t="e">
        <f>C22/B22/(1/profit!#REF!)/60</f>
        <v>#REF!</v>
      </c>
    </row>
    <row r="23" spans="1:4" x14ac:dyDescent="0.2">
      <c r="A23">
        <v>22</v>
      </c>
      <c r="B23" s="3">
        <v>6.0000000000000001E-3</v>
      </c>
      <c r="C23">
        <v>90</v>
      </c>
      <c r="D23" t="e">
        <f>C23/B23/(1/profit!#REF!)/60</f>
        <v>#REF!</v>
      </c>
    </row>
    <row r="24" spans="1:4" x14ac:dyDescent="0.2">
      <c r="A24">
        <v>23</v>
      </c>
      <c r="B24" s="3">
        <v>6.0000000000000001E-3</v>
      </c>
      <c r="C24">
        <v>90</v>
      </c>
      <c r="D24" t="e">
        <f>C24/B24/(1/profit!#REF!)/60</f>
        <v>#REF!</v>
      </c>
    </row>
    <row r="25" spans="1:4" x14ac:dyDescent="0.2">
      <c r="A25">
        <v>24</v>
      </c>
      <c r="B25" s="3">
        <v>6.0000000000000001E-3</v>
      </c>
      <c r="C25">
        <v>90</v>
      </c>
      <c r="D25" t="e">
        <f>C25/B25/(1/profit!#REF!)/60</f>
        <v>#REF!</v>
      </c>
    </row>
    <row r="26" spans="1:4" x14ac:dyDescent="0.2">
      <c r="A26">
        <v>25</v>
      </c>
      <c r="B26" s="3">
        <v>6.0000000000000001E-3</v>
      </c>
      <c r="C26">
        <v>90</v>
      </c>
      <c r="D26" t="e">
        <f>C26/B26/(1/profit!#REF!)/60</f>
        <v>#REF!</v>
      </c>
    </row>
    <row r="27" spans="1:4" x14ac:dyDescent="0.2">
      <c r="A27">
        <v>26</v>
      </c>
      <c r="B27" s="3">
        <v>6.0000000000000001E-3</v>
      </c>
      <c r="C27">
        <v>90</v>
      </c>
      <c r="D27" t="e">
        <f>C27/B27/(1/profit!#REF!)/60</f>
        <v>#REF!</v>
      </c>
    </row>
    <row r="28" spans="1:4" x14ac:dyDescent="0.2">
      <c r="A28">
        <v>27</v>
      </c>
      <c r="B28" s="3">
        <v>6.0000000000000001E-3</v>
      </c>
      <c r="C28">
        <v>90</v>
      </c>
      <c r="D28" t="e">
        <f>C28/B28/(1/profit!#REF!)/60</f>
        <v>#REF!</v>
      </c>
    </row>
    <row r="29" spans="1:4" x14ac:dyDescent="0.2">
      <c r="A29">
        <v>28</v>
      </c>
      <c r="B29" s="3">
        <v>6.0000000000000001E-3</v>
      </c>
      <c r="C29">
        <v>90</v>
      </c>
      <c r="D29" t="e">
        <f>C29/B29/(1/profit!#REF!)/60</f>
        <v>#REF!</v>
      </c>
    </row>
    <row r="30" spans="1:4" x14ac:dyDescent="0.2">
      <c r="A30">
        <v>29</v>
      </c>
      <c r="B30" s="3">
        <v>6.0000000000000001E-3</v>
      </c>
      <c r="C30">
        <v>90</v>
      </c>
      <c r="D30" t="e">
        <f>C30/B30/(1/profit!#REF!)/60</f>
        <v>#REF!</v>
      </c>
    </row>
    <row r="31" spans="1:4" x14ac:dyDescent="0.2">
      <c r="A31">
        <v>30</v>
      </c>
      <c r="B31" s="3">
        <v>6.0000000000000001E-3</v>
      </c>
      <c r="C31">
        <v>90</v>
      </c>
      <c r="D31" t="e">
        <f>C31/B31/(1/profit!#REF!)/60</f>
        <v>#REF!</v>
      </c>
    </row>
    <row r="32" spans="1:4" x14ac:dyDescent="0.2">
      <c r="A32">
        <v>31</v>
      </c>
      <c r="B32" s="3">
        <v>6.0000000000000001E-3</v>
      </c>
      <c r="C32">
        <v>90</v>
      </c>
      <c r="D32" t="e">
        <f>C32/B32/(1/profit!#REF!)/60</f>
        <v>#REF!</v>
      </c>
    </row>
    <row r="33" spans="1:4" x14ac:dyDescent="0.2">
      <c r="A33">
        <v>32</v>
      </c>
      <c r="B33" s="3">
        <v>6.0000000000000001E-3</v>
      </c>
      <c r="C33">
        <v>90</v>
      </c>
      <c r="D33" t="e">
        <f>C33/B33/(1/profit!#REF!)/60</f>
        <v>#REF!</v>
      </c>
    </row>
    <row r="34" spans="1:4" x14ac:dyDescent="0.2">
      <c r="A34">
        <v>33</v>
      </c>
      <c r="B34" s="3">
        <v>6.0000000000000001E-3</v>
      </c>
      <c r="C34">
        <v>90</v>
      </c>
      <c r="D34" t="e">
        <f>C34/B34/(1/profit!#REF!)/60</f>
        <v>#REF!</v>
      </c>
    </row>
    <row r="35" spans="1:4" x14ac:dyDescent="0.2">
      <c r="A35">
        <v>34</v>
      </c>
      <c r="B35" s="3">
        <v>6.0000000000000001E-3</v>
      </c>
      <c r="C35">
        <v>90</v>
      </c>
      <c r="D35" t="e">
        <f>C35/B35/(1/profit!#REF!)/60</f>
        <v>#REF!</v>
      </c>
    </row>
    <row r="36" spans="1:4" x14ac:dyDescent="0.2">
      <c r="A36">
        <v>35</v>
      </c>
      <c r="B36" s="3">
        <v>6.0000000000000001E-3</v>
      </c>
      <c r="C36">
        <v>90</v>
      </c>
      <c r="D36" t="e">
        <f>C36/B36/(1/profit!#REF!)/60</f>
        <v>#REF!</v>
      </c>
    </row>
    <row r="37" spans="1:4" x14ac:dyDescent="0.2">
      <c r="A37">
        <v>36</v>
      </c>
      <c r="B37" s="3">
        <v>6.0000000000000001E-3</v>
      </c>
      <c r="C37">
        <v>90</v>
      </c>
      <c r="D37" t="e">
        <f>C37/B37/(1/profit!#REF!)/60</f>
        <v>#REF!</v>
      </c>
    </row>
    <row r="38" spans="1:4" x14ac:dyDescent="0.2">
      <c r="A38">
        <v>37</v>
      </c>
      <c r="B38" s="3">
        <v>6.0000000000000001E-3</v>
      </c>
      <c r="C38">
        <v>90</v>
      </c>
      <c r="D38" t="e">
        <f>C38/B38/(1/profit!#REF!)/60</f>
        <v>#REF!</v>
      </c>
    </row>
    <row r="39" spans="1:4" x14ac:dyDescent="0.2">
      <c r="A39">
        <v>38</v>
      </c>
      <c r="B39" s="3">
        <v>6.0000000000000001E-3</v>
      </c>
      <c r="C39">
        <v>90</v>
      </c>
      <c r="D39" t="e">
        <f>C39/B39/(1/profit!#REF!)/60</f>
        <v>#REF!</v>
      </c>
    </row>
    <row r="40" spans="1:4" x14ac:dyDescent="0.2">
      <c r="A40">
        <v>39</v>
      </c>
      <c r="B40" s="3">
        <v>6.0000000000000001E-3</v>
      </c>
      <c r="C40">
        <v>90</v>
      </c>
      <c r="D40" t="e">
        <f>C40/B40/(1/profit!#REF!)/60</f>
        <v>#REF!</v>
      </c>
    </row>
    <row r="41" spans="1:4" x14ac:dyDescent="0.2">
      <c r="A41">
        <v>40</v>
      </c>
      <c r="B41" s="3">
        <v>6.0000000000000001E-3</v>
      </c>
      <c r="C41">
        <v>90</v>
      </c>
      <c r="D41" t="e">
        <f>C41/B41/(1/profit!#REF!)/60</f>
        <v>#REF!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11"/>
  <sheetViews>
    <sheetView workbookViewId="0">
      <selection activeCell="D6" sqref="D6"/>
    </sheetView>
  </sheetViews>
  <sheetFormatPr defaultColWidth="8.875" defaultRowHeight="14.25" x14ac:dyDescent="0.2"/>
  <sheetData>
    <row r="1" spans="1:2" s="1" customFormat="1" ht="39.75" customHeight="1" x14ac:dyDescent="0.2">
      <c r="A1" s="1" t="s">
        <v>11</v>
      </c>
      <c r="B1" s="1" t="s">
        <v>12</v>
      </c>
    </row>
    <row r="2" spans="1:2" x14ac:dyDescent="0.2">
      <c r="A2">
        <v>1</v>
      </c>
      <c r="B2">
        <v>100</v>
      </c>
    </row>
    <row r="3" spans="1:2" x14ac:dyDescent="0.2">
      <c r="A3">
        <v>2</v>
      </c>
      <c r="B3">
        <v>200</v>
      </c>
    </row>
    <row r="4" spans="1:2" x14ac:dyDescent="0.2">
      <c r="A4">
        <v>3</v>
      </c>
      <c r="B4">
        <v>300</v>
      </c>
    </row>
    <row r="5" spans="1:2" x14ac:dyDescent="0.2">
      <c r="A5">
        <v>4</v>
      </c>
      <c r="B5">
        <v>400</v>
      </c>
    </row>
    <row r="6" spans="1:2" x14ac:dyDescent="0.2">
      <c r="A6">
        <v>5</v>
      </c>
      <c r="B6">
        <v>500</v>
      </c>
    </row>
    <row r="7" spans="1:2" x14ac:dyDescent="0.2">
      <c r="A7">
        <v>6</v>
      </c>
      <c r="B7">
        <v>600</v>
      </c>
    </row>
    <row r="8" spans="1:2" x14ac:dyDescent="0.2">
      <c r="A8">
        <v>7</v>
      </c>
      <c r="B8">
        <v>700</v>
      </c>
    </row>
    <row r="9" spans="1:2" x14ac:dyDescent="0.2">
      <c r="A9">
        <v>8</v>
      </c>
      <c r="B9">
        <v>800</v>
      </c>
    </row>
    <row r="10" spans="1:2" x14ac:dyDescent="0.2">
      <c r="A10">
        <v>9</v>
      </c>
      <c r="B10">
        <v>900</v>
      </c>
    </row>
    <row r="11" spans="1:2" x14ac:dyDescent="0.2">
      <c r="A11">
        <v>10</v>
      </c>
      <c r="B11">
        <v>1000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I8"/>
  <sheetViews>
    <sheetView workbookViewId="0">
      <selection sqref="A1:B1"/>
    </sheetView>
  </sheetViews>
  <sheetFormatPr defaultRowHeight="14.25" x14ac:dyDescent="0.2"/>
  <sheetData>
    <row r="1" spans="1:9" ht="27" x14ac:dyDescent="0.2">
      <c r="A1" s="1" t="s">
        <v>42</v>
      </c>
      <c r="B1" s="1" t="s">
        <v>43</v>
      </c>
      <c r="C1" s="1" t="s">
        <v>44</v>
      </c>
      <c r="D1" s="1" t="s">
        <v>45</v>
      </c>
      <c r="E1" s="1" t="s">
        <v>46</v>
      </c>
      <c r="F1" s="1" t="s">
        <v>47</v>
      </c>
      <c r="G1" s="1" t="s">
        <v>48</v>
      </c>
      <c r="H1" s="1" t="s">
        <v>49</v>
      </c>
      <c r="I1" s="1" t="s">
        <v>50</v>
      </c>
    </row>
    <row r="2" spans="1:9" x14ac:dyDescent="0.2">
      <c r="B2" s="6"/>
      <c r="C2" s="6"/>
      <c r="F2" s="6"/>
      <c r="G2" s="6"/>
      <c r="H2" s="6"/>
      <c r="I2" s="6"/>
    </row>
    <row r="3" spans="1:9" x14ac:dyDescent="0.2">
      <c r="B3" s="6"/>
      <c r="C3" s="6"/>
      <c r="D3" s="6"/>
      <c r="E3" s="6"/>
      <c r="F3" s="6"/>
      <c r="G3" s="6"/>
      <c r="H3" s="6"/>
      <c r="I3" s="6"/>
    </row>
    <row r="4" spans="1:9" x14ac:dyDescent="0.2">
      <c r="B4" s="6"/>
      <c r="C4" s="6"/>
      <c r="E4" s="6"/>
      <c r="F4" s="6"/>
      <c r="G4" s="6"/>
      <c r="H4" s="6"/>
      <c r="I4" s="6"/>
    </row>
    <row r="5" spans="1:9" x14ac:dyDescent="0.2">
      <c r="B5" s="6"/>
      <c r="C5" s="6"/>
      <c r="D5" s="6"/>
      <c r="E5" s="6"/>
      <c r="F5" s="6"/>
      <c r="G5" s="6"/>
      <c r="H5" s="6"/>
      <c r="I5" s="6"/>
    </row>
    <row r="6" spans="1:9" x14ac:dyDescent="0.2">
      <c r="B6" s="6"/>
      <c r="C6" s="6"/>
      <c r="D6" s="6"/>
      <c r="E6" s="6"/>
      <c r="F6" s="6"/>
      <c r="G6" s="6"/>
      <c r="H6" s="6"/>
      <c r="I6" s="6"/>
    </row>
    <row r="7" spans="1:9" x14ac:dyDescent="0.2">
      <c r="B7" s="6"/>
      <c r="C7" s="6"/>
      <c r="D7" s="6"/>
      <c r="E7" s="6"/>
      <c r="F7" s="6"/>
      <c r="G7" s="6"/>
      <c r="H7" s="6"/>
      <c r="I7" s="6"/>
    </row>
    <row r="8" spans="1:9" x14ac:dyDescent="0.2">
      <c r="B8" s="6"/>
      <c r="C8" s="6"/>
      <c r="D8" s="6"/>
      <c r="E8" s="6"/>
      <c r="F8" s="6"/>
      <c r="G8" s="6"/>
      <c r="H8" s="6"/>
      <c r="I8" s="6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B1"/>
  <sheetViews>
    <sheetView workbookViewId="0">
      <selection activeCell="J41" sqref="J41"/>
    </sheetView>
  </sheetViews>
  <sheetFormatPr defaultRowHeight="14.25" x14ac:dyDescent="0.2"/>
  <sheetData>
    <row r="1" spans="1:2" x14ac:dyDescent="0.2">
      <c r="A1" t="s">
        <v>51</v>
      </c>
      <c r="B1" t="s">
        <v>52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profit</vt:lpstr>
      <vt:lpstr>random_wave</vt:lpstr>
      <vt:lpstr>wave</vt:lpstr>
      <vt:lpstr>image_type_cfg</vt:lpstr>
      <vt:lpstr>image_cfg</vt:lpstr>
      <vt:lpstr>laser</vt:lpstr>
      <vt:lpstr>gun</vt:lpstr>
      <vt:lpstr>match_award</vt:lpstr>
      <vt:lpstr>ue_event_map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2020-09-21T10:42:55Z</dcterms:modified>
</cp:coreProperties>
</file>