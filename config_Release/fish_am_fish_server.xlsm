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JYHD\HuanLe_doc\config_debug\"/>
    </mc:Choice>
  </mc:AlternateContent>
  <bookViews>
    <workbookView xWindow="0" yWindow="0" windowWidth="28125" windowHeight="12090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group!$I$1:$I$139</definedName>
  </definedNames>
  <calcPr calcId="162913"/>
</workbook>
</file>

<file path=xl/calcChain.xml><?xml version="1.0" encoding="utf-8"?>
<calcChain xmlns="http://schemas.openxmlformats.org/spreadsheetml/2006/main">
  <c r="D57" i="1" l="1"/>
  <c r="D56" i="1"/>
  <c r="D55" i="1"/>
  <c r="D54" i="1"/>
  <c r="D53" i="1"/>
  <c r="D52" i="1"/>
  <c r="F51" i="1"/>
  <c r="D51" i="1"/>
  <c r="F50" i="1"/>
  <c r="D50" i="1"/>
  <c r="F49" i="1"/>
  <c r="D49" i="1"/>
  <c r="F48" i="1"/>
  <c r="I48" i="14" s="1"/>
  <c r="D48" i="1"/>
  <c r="F47" i="1"/>
  <c r="D47" i="1"/>
  <c r="F46" i="1"/>
  <c r="D46" i="1"/>
  <c r="F45" i="1"/>
  <c r="D45" i="1"/>
  <c r="F44" i="1"/>
  <c r="D44" i="1"/>
  <c r="F43" i="1"/>
  <c r="I43" i="14" s="1"/>
  <c r="D43" i="1"/>
  <c r="F42" i="1"/>
  <c r="D42" i="1"/>
  <c r="F41" i="1"/>
  <c r="D41" i="1"/>
  <c r="F40" i="1"/>
  <c r="I40" i="14" s="1"/>
  <c r="D40" i="1"/>
  <c r="F39" i="1"/>
  <c r="D39" i="1"/>
  <c r="F38" i="1"/>
  <c r="D38" i="1"/>
  <c r="F37" i="1"/>
  <c r="D37" i="1"/>
  <c r="F36" i="1"/>
  <c r="I36" i="14" s="1"/>
  <c r="D36" i="1"/>
  <c r="D35" i="1"/>
  <c r="F34" i="1"/>
  <c r="I34" i="14" s="1"/>
  <c r="D34" i="1"/>
  <c r="F33" i="1"/>
  <c r="D33" i="1"/>
  <c r="F32" i="1"/>
  <c r="D32" i="1"/>
  <c r="F31" i="1"/>
  <c r="D31" i="1"/>
  <c r="F30" i="1"/>
  <c r="I30" i="14" s="1"/>
  <c r="D30" i="1"/>
  <c r="F29" i="1"/>
  <c r="D29" i="1"/>
  <c r="F28" i="1"/>
  <c r="D28" i="1"/>
  <c r="F27" i="1"/>
  <c r="D27" i="1"/>
  <c r="F26" i="1"/>
  <c r="I63" i="14" s="1"/>
  <c r="D26" i="1"/>
  <c r="F24" i="1"/>
  <c r="D24" i="1"/>
  <c r="F23" i="1"/>
  <c r="D23" i="1"/>
  <c r="F22" i="1"/>
  <c r="D22" i="1"/>
  <c r="F21" i="1"/>
  <c r="I60" i="14" s="1"/>
  <c r="D21" i="1"/>
  <c r="F20" i="1"/>
  <c r="D20" i="1"/>
  <c r="F19" i="1"/>
  <c r="D19" i="1"/>
  <c r="F18" i="1"/>
  <c r="D18" i="1"/>
  <c r="F17" i="1"/>
  <c r="I71" i="14" s="1"/>
  <c r="D17" i="1"/>
  <c r="F16" i="1"/>
  <c r="D16" i="1"/>
  <c r="F15" i="1"/>
  <c r="D15" i="1"/>
  <c r="F14" i="1"/>
  <c r="D14" i="1"/>
  <c r="F13" i="1"/>
  <c r="I53" i="14" s="1"/>
  <c r="D13" i="1"/>
  <c r="F12" i="1"/>
  <c r="D12" i="1"/>
  <c r="F11" i="1"/>
  <c r="D11" i="1"/>
  <c r="F10" i="1"/>
  <c r="D10" i="1"/>
  <c r="F9" i="1"/>
  <c r="I9" i="14" s="1"/>
  <c r="D9" i="1"/>
  <c r="F8" i="1"/>
  <c r="D8" i="1"/>
  <c r="F7" i="1"/>
  <c r="D7" i="1"/>
  <c r="F6" i="1"/>
  <c r="D6" i="1"/>
  <c r="F5" i="1"/>
  <c r="I5" i="14" s="1"/>
  <c r="D5" i="1"/>
  <c r="F4" i="1"/>
  <c r="D4" i="1"/>
  <c r="F3" i="1"/>
  <c r="D3" i="1"/>
  <c r="F2" i="1"/>
  <c r="D2" i="1"/>
  <c r="G82" i="5"/>
  <c r="G81" i="5"/>
  <c r="G80" i="5"/>
  <c r="G79" i="5"/>
  <c r="G36" i="5"/>
  <c r="G33" i="5"/>
  <c r="G32" i="5"/>
  <c r="G31" i="5"/>
  <c r="G30" i="5"/>
  <c r="G21" i="5"/>
  <c r="G20" i="5"/>
  <c r="G19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E123" i="14"/>
  <c r="H122" i="14"/>
  <c r="K121" i="14"/>
  <c r="J137" i="7" s="1"/>
  <c r="I121" i="14"/>
  <c r="L121" i="14" s="1"/>
  <c r="H121" i="14"/>
  <c r="F121" i="14"/>
  <c r="E121" i="14"/>
  <c r="F122" i="14" s="1"/>
  <c r="L120" i="14"/>
  <c r="K120" i="14"/>
  <c r="I120" i="14"/>
  <c r="H120" i="14"/>
  <c r="E120" i="14"/>
  <c r="K119" i="14"/>
  <c r="H119" i="14"/>
  <c r="E119" i="14"/>
  <c r="H135" i="7" s="1"/>
  <c r="L118" i="14"/>
  <c r="K118" i="14"/>
  <c r="I118" i="14"/>
  <c r="H118" i="14"/>
  <c r="E118" i="14"/>
  <c r="F118" i="14" s="1"/>
  <c r="K117" i="14"/>
  <c r="I117" i="14"/>
  <c r="L117" i="14" s="1"/>
  <c r="H117" i="14"/>
  <c r="E117" i="14"/>
  <c r="F117" i="14" s="1"/>
  <c r="K116" i="14"/>
  <c r="I116" i="14"/>
  <c r="L116" i="14" s="1"/>
  <c r="H116" i="14"/>
  <c r="E116" i="14"/>
  <c r="H132" i="7" s="1"/>
  <c r="K115" i="14"/>
  <c r="I115" i="14"/>
  <c r="L115" i="14" s="1"/>
  <c r="H115" i="14"/>
  <c r="F115" i="14"/>
  <c r="E115" i="14"/>
  <c r="L114" i="14"/>
  <c r="K114" i="14"/>
  <c r="J130" i="7" s="1"/>
  <c r="I114" i="14"/>
  <c r="H114" i="14"/>
  <c r="F114" i="14"/>
  <c r="E114" i="14"/>
  <c r="K113" i="14"/>
  <c r="I113" i="14"/>
  <c r="I129" i="7" s="1"/>
  <c r="H113" i="14"/>
  <c r="E113" i="14"/>
  <c r="F113" i="14" s="1"/>
  <c r="K112" i="14"/>
  <c r="I112" i="14"/>
  <c r="L112" i="14" s="1"/>
  <c r="H112" i="14"/>
  <c r="E112" i="14"/>
  <c r="H128" i="7" s="1"/>
  <c r="K111" i="14"/>
  <c r="I111" i="14"/>
  <c r="L111" i="14" s="1"/>
  <c r="H111" i="14"/>
  <c r="E111" i="14"/>
  <c r="H127" i="7" s="1"/>
  <c r="K110" i="14"/>
  <c r="J126" i="7" s="1"/>
  <c r="I110" i="14"/>
  <c r="I126" i="7" s="1"/>
  <c r="H110" i="14"/>
  <c r="E110" i="14"/>
  <c r="F110" i="14" s="1"/>
  <c r="L109" i="14"/>
  <c r="K109" i="14"/>
  <c r="I109" i="14"/>
  <c r="H109" i="14"/>
  <c r="F109" i="14"/>
  <c r="E109" i="14"/>
  <c r="K108" i="14"/>
  <c r="I108" i="14"/>
  <c r="L108" i="14" s="1"/>
  <c r="H108" i="14"/>
  <c r="E108" i="14"/>
  <c r="H124" i="7" s="1"/>
  <c r="K107" i="14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L105" i="14"/>
  <c r="K105" i="14"/>
  <c r="J121" i="7" s="1"/>
  <c r="H105" i="14"/>
  <c r="F105" i="14"/>
  <c r="L104" i="14"/>
  <c r="K104" i="14"/>
  <c r="H104" i="14"/>
  <c r="F104" i="14"/>
  <c r="L103" i="14"/>
  <c r="K103" i="14"/>
  <c r="J119" i="7" s="1"/>
  <c r="H103" i="14"/>
  <c r="F103" i="14"/>
  <c r="L102" i="14"/>
  <c r="K102" i="14"/>
  <c r="H102" i="14"/>
  <c r="F102" i="14"/>
  <c r="L101" i="14"/>
  <c r="K101" i="14"/>
  <c r="H101" i="14"/>
  <c r="F101" i="14"/>
  <c r="L100" i="14"/>
  <c r="K100" i="14"/>
  <c r="H100" i="14"/>
  <c r="F100" i="14"/>
  <c r="L99" i="14"/>
  <c r="K99" i="14"/>
  <c r="J115" i="7" s="1"/>
  <c r="H99" i="14"/>
  <c r="F99" i="14"/>
  <c r="L98" i="14"/>
  <c r="K98" i="14"/>
  <c r="H98" i="14"/>
  <c r="F98" i="14"/>
  <c r="L97" i="14"/>
  <c r="K97" i="14"/>
  <c r="J113" i="7" s="1"/>
  <c r="H97" i="14"/>
  <c r="F97" i="14"/>
  <c r="L96" i="14"/>
  <c r="K96" i="14"/>
  <c r="H96" i="14"/>
  <c r="F96" i="14"/>
  <c r="L95" i="14"/>
  <c r="K95" i="14"/>
  <c r="J111" i="7" s="1"/>
  <c r="H95" i="14"/>
  <c r="F95" i="14"/>
  <c r="L94" i="14"/>
  <c r="K94" i="14"/>
  <c r="H94" i="14"/>
  <c r="F94" i="14"/>
  <c r="L93" i="14"/>
  <c r="K93" i="14"/>
  <c r="H93" i="14"/>
  <c r="F93" i="14"/>
  <c r="L92" i="14"/>
  <c r="K92" i="14"/>
  <c r="H92" i="14"/>
  <c r="F92" i="14"/>
  <c r="L91" i="14"/>
  <c r="K91" i="14"/>
  <c r="J107" i="7" s="1"/>
  <c r="H91" i="14"/>
  <c r="F91" i="14"/>
  <c r="L90" i="14"/>
  <c r="K90" i="14"/>
  <c r="H90" i="14"/>
  <c r="F90" i="14"/>
  <c r="L89" i="14"/>
  <c r="K89" i="14"/>
  <c r="J105" i="7" s="1"/>
  <c r="H89" i="14"/>
  <c r="F89" i="14"/>
  <c r="L88" i="14"/>
  <c r="K88" i="14"/>
  <c r="H88" i="14"/>
  <c r="F88" i="14"/>
  <c r="L87" i="14"/>
  <c r="K87" i="14"/>
  <c r="J103" i="7" s="1"/>
  <c r="H87" i="14"/>
  <c r="F87" i="14"/>
  <c r="L86" i="14"/>
  <c r="K86" i="14"/>
  <c r="H86" i="14"/>
  <c r="F86" i="14"/>
  <c r="L85" i="14"/>
  <c r="K85" i="14"/>
  <c r="H85" i="14"/>
  <c r="F85" i="14"/>
  <c r="L84" i="14"/>
  <c r="K84" i="14"/>
  <c r="H84" i="14"/>
  <c r="F84" i="14"/>
  <c r="L83" i="14"/>
  <c r="K83" i="14"/>
  <c r="J99" i="7" s="1"/>
  <c r="H83" i="14"/>
  <c r="F83" i="14"/>
  <c r="L82" i="14"/>
  <c r="K82" i="14"/>
  <c r="H82" i="14"/>
  <c r="F82" i="14"/>
  <c r="I81" i="14"/>
  <c r="I97" i="7" s="1"/>
  <c r="H81" i="14"/>
  <c r="I80" i="14"/>
  <c r="I96" i="7" s="1"/>
  <c r="H80" i="14"/>
  <c r="E80" i="14"/>
  <c r="F80" i="14" s="1"/>
  <c r="K79" i="14"/>
  <c r="J95" i="7" s="1"/>
  <c r="I79" i="14"/>
  <c r="L79" i="14" s="1"/>
  <c r="H79" i="14"/>
  <c r="F79" i="14"/>
  <c r="K78" i="14"/>
  <c r="I78" i="14"/>
  <c r="L78" i="14" s="1"/>
  <c r="H78" i="14"/>
  <c r="F78" i="14"/>
  <c r="K77" i="14"/>
  <c r="I77" i="14"/>
  <c r="L77" i="14" s="1"/>
  <c r="H77" i="14"/>
  <c r="F77" i="14"/>
  <c r="K76" i="14"/>
  <c r="I76" i="14"/>
  <c r="I92" i="7" s="1"/>
  <c r="H76" i="14"/>
  <c r="F76" i="14"/>
  <c r="L75" i="14"/>
  <c r="K75" i="14"/>
  <c r="I75" i="14"/>
  <c r="H75" i="14"/>
  <c r="F75" i="14"/>
  <c r="K74" i="14"/>
  <c r="H74" i="14"/>
  <c r="F74" i="14"/>
  <c r="L73" i="14"/>
  <c r="K73" i="14"/>
  <c r="I73" i="14"/>
  <c r="H73" i="14"/>
  <c r="E73" i="14"/>
  <c r="F73" i="14" s="1"/>
  <c r="L72" i="14"/>
  <c r="K72" i="14"/>
  <c r="I72" i="14"/>
  <c r="H72" i="14"/>
  <c r="E72" i="14"/>
  <c r="F72" i="14" s="1"/>
  <c r="N71" i="14"/>
  <c r="K71" i="14"/>
  <c r="J87" i="7" s="1"/>
  <c r="H71" i="14"/>
  <c r="F71" i="14"/>
  <c r="E71" i="14"/>
  <c r="N70" i="14"/>
  <c r="K70" i="14"/>
  <c r="J86" i="7" s="1"/>
  <c r="I70" i="14"/>
  <c r="I86" i="7" s="1"/>
  <c r="H70" i="14"/>
  <c r="E70" i="14"/>
  <c r="F70" i="14" s="1"/>
  <c r="N69" i="14"/>
  <c r="L69" i="14"/>
  <c r="K69" i="14"/>
  <c r="I69" i="14"/>
  <c r="I85" i="7" s="1"/>
  <c r="H69" i="14"/>
  <c r="E69" i="14"/>
  <c r="F69" i="14" s="1"/>
  <c r="N68" i="14"/>
  <c r="K68" i="14"/>
  <c r="I68" i="14"/>
  <c r="L68" i="14" s="1"/>
  <c r="H68" i="14"/>
  <c r="F68" i="14"/>
  <c r="E68" i="14"/>
  <c r="N67" i="14"/>
  <c r="K67" i="14"/>
  <c r="H67" i="14"/>
  <c r="E67" i="14"/>
  <c r="H83" i="7" s="1"/>
  <c r="N66" i="14"/>
  <c r="L66" i="14"/>
  <c r="K66" i="14"/>
  <c r="I66" i="14"/>
  <c r="H66" i="14"/>
  <c r="E66" i="14"/>
  <c r="F66" i="14" s="1"/>
  <c r="K65" i="14"/>
  <c r="I65" i="14"/>
  <c r="L65" i="14" s="1"/>
  <c r="H65" i="14"/>
  <c r="F65" i="14"/>
  <c r="K64" i="14"/>
  <c r="I64" i="14"/>
  <c r="L64" i="14" s="1"/>
  <c r="H64" i="14"/>
  <c r="F64" i="14"/>
  <c r="K63" i="14"/>
  <c r="H63" i="14"/>
  <c r="F63" i="14"/>
  <c r="K62" i="14"/>
  <c r="J78" i="7" s="1"/>
  <c r="I62" i="14"/>
  <c r="L62" i="14" s="1"/>
  <c r="H62" i="14"/>
  <c r="F62" i="14"/>
  <c r="K61" i="14"/>
  <c r="I61" i="14"/>
  <c r="L61" i="14" s="1"/>
  <c r="H61" i="14"/>
  <c r="F61" i="14"/>
  <c r="K60" i="14"/>
  <c r="H60" i="14"/>
  <c r="F60" i="14"/>
  <c r="K59" i="14"/>
  <c r="I59" i="14"/>
  <c r="I75" i="7" s="1"/>
  <c r="H59" i="14"/>
  <c r="E59" i="14"/>
  <c r="F59" i="14" s="1"/>
  <c r="K58" i="14"/>
  <c r="J74" i="7" s="1"/>
  <c r="I58" i="14"/>
  <c r="L58" i="14" s="1"/>
  <c r="H58" i="14"/>
  <c r="F58" i="14"/>
  <c r="E58" i="14"/>
  <c r="N57" i="14"/>
  <c r="K57" i="14"/>
  <c r="H57" i="14"/>
  <c r="E57" i="14"/>
  <c r="H73" i="7" s="1"/>
  <c r="N56" i="14"/>
  <c r="L56" i="14"/>
  <c r="K56" i="14"/>
  <c r="I56" i="14"/>
  <c r="H56" i="14"/>
  <c r="E56" i="14"/>
  <c r="F56" i="14" s="1"/>
  <c r="N55" i="14"/>
  <c r="K55" i="14"/>
  <c r="I55" i="14"/>
  <c r="L55" i="14" s="1"/>
  <c r="H55" i="14"/>
  <c r="F55" i="14"/>
  <c r="E55" i="14"/>
  <c r="N54" i="14"/>
  <c r="L54" i="14"/>
  <c r="K54" i="14"/>
  <c r="I54" i="14"/>
  <c r="H54" i="14"/>
  <c r="E54" i="14"/>
  <c r="F54" i="14" s="1"/>
  <c r="N53" i="14"/>
  <c r="K53" i="14"/>
  <c r="J69" i="7" s="1"/>
  <c r="H53" i="14"/>
  <c r="F53" i="14"/>
  <c r="E53" i="14"/>
  <c r="N52" i="14"/>
  <c r="K52" i="14"/>
  <c r="I52" i="14"/>
  <c r="I68" i="7" s="1"/>
  <c r="H52" i="14"/>
  <c r="E52" i="14"/>
  <c r="F52" i="14" s="1"/>
  <c r="K50" i="14"/>
  <c r="J64" i="7" s="1"/>
  <c r="I50" i="14"/>
  <c r="L50" i="14" s="1"/>
  <c r="H50" i="14"/>
  <c r="F50" i="14"/>
  <c r="E50" i="14"/>
  <c r="L49" i="14"/>
  <c r="K49" i="14"/>
  <c r="I49" i="14"/>
  <c r="H49" i="14"/>
  <c r="E49" i="14"/>
  <c r="F49" i="14" s="1"/>
  <c r="K48" i="14"/>
  <c r="H48" i="14"/>
  <c r="E48" i="14"/>
  <c r="F48" i="14" s="1"/>
  <c r="K47" i="14"/>
  <c r="I47" i="14"/>
  <c r="L47" i="14" s="1"/>
  <c r="H47" i="14"/>
  <c r="E47" i="14"/>
  <c r="F47" i="14" s="1"/>
  <c r="K46" i="14"/>
  <c r="J60" i="7" s="1"/>
  <c r="I46" i="14"/>
  <c r="L46" i="14" s="1"/>
  <c r="H46" i="14"/>
  <c r="E46" i="14"/>
  <c r="H60" i="7" s="1"/>
  <c r="K45" i="14"/>
  <c r="I45" i="14"/>
  <c r="L45" i="14" s="1"/>
  <c r="H45" i="14"/>
  <c r="E45" i="14"/>
  <c r="H59" i="7" s="1"/>
  <c r="K44" i="14"/>
  <c r="I44" i="14"/>
  <c r="I58" i="7" s="1"/>
  <c r="H44" i="14"/>
  <c r="E44" i="14"/>
  <c r="F44" i="14" s="1"/>
  <c r="K43" i="14"/>
  <c r="H43" i="14"/>
  <c r="E43" i="14"/>
  <c r="H57" i="7" s="1"/>
  <c r="K42" i="14"/>
  <c r="I42" i="14"/>
  <c r="L42" i="14" s="1"/>
  <c r="H42" i="14"/>
  <c r="F42" i="14"/>
  <c r="E42" i="14"/>
  <c r="L41" i="14"/>
  <c r="K41" i="14"/>
  <c r="J55" i="7" s="1"/>
  <c r="I41" i="14"/>
  <c r="H41" i="14"/>
  <c r="F41" i="14"/>
  <c r="E41" i="14"/>
  <c r="K40" i="14"/>
  <c r="H40" i="14"/>
  <c r="F40" i="14"/>
  <c r="E40" i="14"/>
  <c r="K39" i="14"/>
  <c r="I39" i="14"/>
  <c r="L39" i="14" s="1"/>
  <c r="H39" i="14"/>
  <c r="E39" i="14"/>
  <c r="H53" i="7" s="1"/>
  <c r="K38" i="14"/>
  <c r="I38" i="14"/>
  <c r="L38" i="14" s="1"/>
  <c r="H38" i="14"/>
  <c r="E38" i="14"/>
  <c r="H52" i="7" s="1"/>
  <c r="K37" i="14"/>
  <c r="I37" i="14"/>
  <c r="L37" i="14" s="1"/>
  <c r="H37" i="14"/>
  <c r="E37" i="14"/>
  <c r="F37" i="14" s="1"/>
  <c r="K36" i="14"/>
  <c r="H36" i="14"/>
  <c r="F36" i="14"/>
  <c r="E36" i="14"/>
  <c r="L35" i="14"/>
  <c r="K35" i="14"/>
  <c r="H35" i="14"/>
  <c r="F35" i="14"/>
  <c r="E35" i="14"/>
  <c r="K34" i="14"/>
  <c r="J48" i="7" s="1"/>
  <c r="H34" i="14"/>
  <c r="F34" i="14"/>
  <c r="E34" i="14"/>
  <c r="L33" i="14"/>
  <c r="K33" i="14"/>
  <c r="I33" i="14"/>
  <c r="I47" i="7" s="1"/>
  <c r="H33" i="14"/>
  <c r="F33" i="14"/>
  <c r="E33" i="14"/>
  <c r="K32" i="14"/>
  <c r="I32" i="14"/>
  <c r="L32" i="14" s="1"/>
  <c r="H32" i="14"/>
  <c r="E32" i="14"/>
  <c r="H46" i="7" s="1"/>
  <c r="K31" i="14"/>
  <c r="I31" i="14"/>
  <c r="L31" i="14" s="1"/>
  <c r="H31" i="14"/>
  <c r="F31" i="14"/>
  <c r="E31" i="14"/>
  <c r="K30" i="14"/>
  <c r="J44" i="7" s="1"/>
  <c r="H30" i="14"/>
  <c r="F30" i="14"/>
  <c r="E30" i="14"/>
  <c r="K29" i="14"/>
  <c r="I29" i="14"/>
  <c r="I43" i="7" s="1"/>
  <c r="H29" i="14"/>
  <c r="F29" i="14"/>
  <c r="E29" i="14"/>
  <c r="K28" i="14"/>
  <c r="I28" i="14"/>
  <c r="L28" i="14" s="1"/>
  <c r="H28" i="14"/>
  <c r="F28" i="14"/>
  <c r="L27" i="14"/>
  <c r="K27" i="14"/>
  <c r="I27" i="14"/>
  <c r="H27" i="14"/>
  <c r="F27" i="14"/>
  <c r="K26" i="14"/>
  <c r="H26" i="14"/>
  <c r="F26" i="14"/>
  <c r="L25" i="14"/>
  <c r="K25" i="14"/>
  <c r="H25" i="14"/>
  <c r="K24" i="14"/>
  <c r="I24" i="14"/>
  <c r="L24" i="14" s="1"/>
  <c r="H24" i="14"/>
  <c r="F24" i="14"/>
  <c r="K23" i="14"/>
  <c r="I23" i="14"/>
  <c r="L23" i="14" s="1"/>
  <c r="H23" i="14"/>
  <c r="F23" i="14"/>
  <c r="L22" i="14"/>
  <c r="K22" i="14"/>
  <c r="I22" i="14"/>
  <c r="H22" i="14"/>
  <c r="F22" i="14"/>
  <c r="K21" i="14"/>
  <c r="H21" i="14"/>
  <c r="F21" i="14"/>
  <c r="K20" i="14"/>
  <c r="I20" i="14"/>
  <c r="L20" i="14" s="1"/>
  <c r="H20" i="14"/>
  <c r="F20" i="14"/>
  <c r="E20" i="14"/>
  <c r="K19" i="14"/>
  <c r="I19" i="14"/>
  <c r="L19" i="14" s="1"/>
  <c r="H19" i="14"/>
  <c r="F19" i="14"/>
  <c r="E19" i="14"/>
  <c r="L18" i="14"/>
  <c r="K18" i="14"/>
  <c r="I18" i="14"/>
  <c r="H18" i="14"/>
  <c r="F18" i="14"/>
  <c r="E18" i="14"/>
  <c r="N17" i="14"/>
  <c r="K17" i="14"/>
  <c r="H17" i="14"/>
  <c r="F17" i="14"/>
  <c r="E17" i="14"/>
  <c r="N16" i="14"/>
  <c r="K16" i="14"/>
  <c r="I16" i="14"/>
  <c r="L16" i="14" s="1"/>
  <c r="H16" i="14"/>
  <c r="E16" i="14"/>
  <c r="H30" i="7" s="1"/>
  <c r="N15" i="14"/>
  <c r="K15" i="14"/>
  <c r="I15" i="14"/>
  <c r="L15" i="14" s="1"/>
  <c r="H15" i="14"/>
  <c r="E15" i="14"/>
  <c r="F15" i="14" s="1"/>
  <c r="N14" i="14"/>
  <c r="K14" i="14"/>
  <c r="I14" i="14"/>
  <c r="L14" i="14" s="1"/>
  <c r="H14" i="14"/>
  <c r="F14" i="14"/>
  <c r="E14" i="14"/>
  <c r="N13" i="14"/>
  <c r="K13" i="14"/>
  <c r="H13" i="14"/>
  <c r="E13" i="14"/>
  <c r="H22" i="7" s="1"/>
  <c r="N12" i="14"/>
  <c r="L12" i="14"/>
  <c r="K12" i="14"/>
  <c r="I12" i="14"/>
  <c r="H12" i="14"/>
  <c r="F12" i="14"/>
  <c r="E12" i="14"/>
  <c r="N11" i="14"/>
  <c r="K11" i="14"/>
  <c r="I11" i="14"/>
  <c r="L11" i="14" s="1"/>
  <c r="H11" i="14"/>
  <c r="E11" i="14"/>
  <c r="F11" i="14" s="1"/>
  <c r="N10" i="14"/>
  <c r="K10" i="14"/>
  <c r="I10" i="14"/>
  <c r="L10" i="14" s="1"/>
  <c r="H10" i="14"/>
  <c r="F10" i="14"/>
  <c r="E10" i="14"/>
  <c r="N9" i="14"/>
  <c r="K9" i="14"/>
  <c r="J24" i="7" s="1"/>
  <c r="H9" i="14"/>
  <c r="F9" i="14"/>
  <c r="E9" i="14"/>
  <c r="N8" i="14"/>
  <c r="K8" i="14"/>
  <c r="I8" i="14"/>
  <c r="I19" i="7" s="1"/>
  <c r="H8" i="14"/>
  <c r="E8" i="14"/>
  <c r="H16" i="7" s="1"/>
  <c r="N7" i="14"/>
  <c r="K7" i="14"/>
  <c r="I7" i="14"/>
  <c r="L7" i="14" s="1"/>
  <c r="H7" i="14"/>
  <c r="E7" i="14"/>
  <c r="F7" i="14" s="1"/>
  <c r="N6" i="14"/>
  <c r="K6" i="14"/>
  <c r="I6" i="14"/>
  <c r="L6" i="14" s="1"/>
  <c r="H6" i="14"/>
  <c r="F6" i="14"/>
  <c r="E6" i="14"/>
  <c r="N5" i="14"/>
  <c r="K5" i="14"/>
  <c r="H5" i="14"/>
  <c r="E5" i="14"/>
  <c r="F5" i="14" s="1"/>
  <c r="N4" i="14"/>
  <c r="K4" i="14"/>
  <c r="I4" i="14"/>
  <c r="L4" i="14" s="1"/>
  <c r="H4" i="14"/>
  <c r="F4" i="14"/>
  <c r="E4" i="14"/>
  <c r="N3" i="14"/>
  <c r="K3" i="14"/>
  <c r="I3" i="14"/>
  <c r="L3" i="14" s="1"/>
  <c r="H3" i="14"/>
  <c r="E3" i="14"/>
  <c r="F3" i="14" s="1"/>
  <c r="N2" i="14"/>
  <c r="L2" i="14"/>
  <c r="K2" i="14"/>
  <c r="I2" i="14"/>
  <c r="H2" i="14"/>
  <c r="K39" i="7" s="1" a="1"/>
  <c r="K39" i="7" s="1"/>
  <c r="F2" i="14"/>
  <c r="E2" i="14"/>
  <c r="J139" i="7"/>
  <c r="I139" i="7"/>
  <c r="H139" i="7"/>
  <c r="J138" i="7"/>
  <c r="I138" i="7"/>
  <c r="H138" i="7"/>
  <c r="I137" i="7"/>
  <c r="H137" i="7"/>
  <c r="J136" i="7"/>
  <c r="I136" i="7"/>
  <c r="H136" i="7"/>
  <c r="J135" i="7"/>
  <c r="J134" i="7"/>
  <c r="I134" i="7"/>
  <c r="J133" i="7"/>
  <c r="H133" i="7"/>
  <c r="J132" i="7"/>
  <c r="I132" i="7"/>
  <c r="J131" i="7"/>
  <c r="I131" i="7"/>
  <c r="H131" i="7"/>
  <c r="I130" i="7"/>
  <c r="H130" i="7"/>
  <c r="J129" i="7"/>
  <c r="H129" i="7"/>
  <c r="J128" i="7"/>
  <c r="I128" i="7"/>
  <c r="J127" i="7"/>
  <c r="I127" i="7"/>
  <c r="H126" i="7"/>
  <c r="J125" i="7"/>
  <c r="I125" i="7"/>
  <c r="H125" i="7"/>
  <c r="J124" i="7"/>
  <c r="I124" i="7"/>
  <c r="J123" i="7"/>
  <c r="I123" i="7"/>
  <c r="H123" i="7"/>
  <c r="H122" i="7"/>
  <c r="I121" i="7"/>
  <c r="H121" i="7"/>
  <c r="J120" i="7"/>
  <c r="I120" i="7"/>
  <c r="H120" i="7"/>
  <c r="I119" i="7"/>
  <c r="H119" i="7"/>
  <c r="J118" i="7"/>
  <c r="I118" i="7"/>
  <c r="H118" i="7"/>
  <c r="J117" i="7"/>
  <c r="I117" i="7"/>
  <c r="H117" i="7"/>
  <c r="J116" i="7"/>
  <c r="I116" i="7"/>
  <c r="H116" i="7"/>
  <c r="I115" i="7"/>
  <c r="H115" i="7"/>
  <c r="J114" i="7"/>
  <c r="I114" i="7"/>
  <c r="H114" i="7"/>
  <c r="I113" i="7"/>
  <c r="H113" i="7"/>
  <c r="J112" i="7"/>
  <c r="I112" i="7"/>
  <c r="H112" i="7"/>
  <c r="I111" i="7"/>
  <c r="H111" i="7"/>
  <c r="J110" i="7"/>
  <c r="I110" i="7"/>
  <c r="H110" i="7"/>
  <c r="J109" i="7"/>
  <c r="I109" i="7"/>
  <c r="H109" i="7"/>
  <c r="J108" i="7"/>
  <c r="I108" i="7"/>
  <c r="H108" i="7"/>
  <c r="I107" i="7"/>
  <c r="H107" i="7"/>
  <c r="J106" i="7"/>
  <c r="I106" i="7"/>
  <c r="H106" i="7"/>
  <c r="I105" i="7"/>
  <c r="H105" i="7"/>
  <c r="J104" i="7"/>
  <c r="I104" i="7"/>
  <c r="H104" i="7"/>
  <c r="I103" i="7"/>
  <c r="H103" i="7"/>
  <c r="J102" i="7"/>
  <c r="I102" i="7"/>
  <c r="H102" i="7"/>
  <c r="J101" i="7"/>
  <c r="I101" i="7"/>
  <c r="H101" i="7"/>
  <c r="J100" i="7"/>
  <c r="I100" i="7"/>
  <c r="H100" i="7"/>
  <c r="I99" i="7"/>
  <c r="H99" i="7"/>
  <c r="J98" i="7"/>
  <c r="I98" i="7"/>
  <c r="H98" i="7"/>
  <c r="J97" i="7"/>
  <c r="H97" i="7"/>
  <c r="J96" i="7"/>
  <c r="H96" i="7"/>
  <c r="I95" i="7"/>
  <c r="H95" i="7"/>
  <c r="J94" i="7"/>
  <c r="I94" i="7"/>
  <c r="H94" i="7"/>
  <c r="J93" i="7"/>
  <c r="H93" i="7"/>
  <c r="J92" i="7"/>
  <c r="H92" i="7"/>
  <c r="J91" i="7"/>
  <c r="I91" i="7"/>
  <c r="H91" i="7"/>
  <c r="J90" i="7"/>
  <c r="H90" i="7"/>
  <c r="J89" i="7"/>
  <c r="I89" i="7"/>
  <c r="H89" i="7"/>
  <c r="J88" i="7"/>
  <c r="I88" i="7"/>
  <c r="H87" i="7"/>
  <c r="H86" i="7"/>
  <c r="J85" i="7"/>
  <c r="H85" i="7"/>
  <c r="J84" i="7"/>
  <c r="I84" i="7"/>
  <c r="H84" i="7"/>
  <c r="J83" i="7"/>
  <c r="J82" i="7"/>
  <c r="I82" i="7"/>
  <c r="H82" i="7"/>
  <c r="J81" i="7"/>
  <c r="I81" i="7"/>
  <c r="H81" i="7"/>
  <c r="J80" i="7"/>
  <c r="I80" i="7"/>
  <c r="H80" i="7"/>
  <c r="J79" i="7"/>
  <c r="H79" i="7"/>
  <c r="I78" i="7"/>
  <c r="H78" i="7"/>
  <c r="J77" i="7"/>
  <c r="I77" i="7"/>
  <c r="H77" i="7"/>
  <c r="J76" i="7"/>
  <c r="H76" i="7"/>
  <c r="J75" i="7"/>
  <c r="H75" i="7"/>
  <c r="I74" i="7"/>
  <c r="H74" i="7"/>
  <c r="J73" i="7"/>
  <c r="J72" i="7"/>
  <c r="I72" i="7"/>
  <c r="J71" i="7"/>
  <c r="I71" i="7"/>
  <c r="H71" i="7"/>
  <c r="J70" i="7"/>
  <c r="I70" i="7"/>
  <c r="H69" i="7"/>
  <c r="J68" i="7"/>
  <c r="H68" i="7"/>
  <c r="J67" i="7"/>
  <c r="J66" i="7"/>
  <c r="I66" i="7"/>
  <c r="H66" i="7"/>
  <c r="J65" i="7"/>
  <c r="H65" i="7"/>
  <c r="I64" i="7"/>
  <c r="H64" i="7"/>
  <c r="J63" i="7"/>
  <c r="I63" i="7"/>
  <c r="H63" i="7"/>
  <c r="J62" i="7"/>
  <c r="J61" i="7"/>
  <c r="I61" i="7"/>
  <c r="H61" i="7"/>
  <c r="I60" i="7"/>
  <c r="J59" i="7"/>
  <c r="J58" i="7"/>
  <c r="H58" i="7"/>
  <c r="J57" i="7"/>
  <c r="J56" i="7"/>
  <c r="I56" i="7"/>
  <c r="H56" i="7"/>
  <c r="I55" i="7"/>
  <c r="H55" i="7"/>
  <c r="J54" i="7"/>
  <c r="H54" i="7"/>
  <c r="J53" i="7"/>
  <c r="I53" i="7"/>
  <c r="J52" i="7"/>
  <c r="I52" i="7"/>
  <c r="J51" i="7"/>
  <c r="H51" i="7"/>
  <c r="J50" i="7"/>
  <c r="H50" i="7"/>
  <c r="J49" i="7"/>
  <c r="I49" i="7"/>
  <c r="H49" i="7"/>
  <c r="H48" i="7"/>
  <c r="J47" i="7"/>
  <c r="H47" i="7"/>
  <c r="J46" i="7"/>
  <c r="I46" i="7"/>
  <c r="J45" i="7"/>
  <c r="H45" i="7"/>
  <c r="H44" i="7"/>
  <c r="J43" i="7"/>
  <c r="H43" i="7"/>
  <c r="J42" i="7"/>
  <c r="I42" i="7"/>
  <c r="H42" i="7"/>
  <c r="K41" i="7" a="1"/>
  <c r="K41" i="7" s="1"/>
  <c r="J41" i="7"/>
  <c r="I41" i="7"/>
  <c r="H41" i="7"/>
  <c r="K40" i="7" a="1"/>
  <c r="K40" i="7" s="1"/>
  <c r="J40" i="7"/>
  <c r="H40" i="7"/>
  <c r="J39" i="7"/>
  <c r="K38" i="7" a="1"/>
  <c r="K38" i="7" s="1"/>
  <c r="J38" i="7"/>
  <c r="I38" i="7"/>
  <c r="H38" i="7"/>
  <c r="K37" i="7" a="1"/>
  <c r="K37" i="7" s="1"/>
  <c r="J37" i="7"/>
  <c r="I37" i="7"/>
  <c r="H37" i="7"/>
  <c r="J36" i="7"/>
  <c r="I36" i="7"/>
  <c r="H36" i="7"/>
  <c r="K35" i="7" a="1"/>
  <c r="K35" i="7" s="1"/>
  <c r="J35" i="7"/>
  <c r="H35" i="7"/>
  <c r="K34" i="7" a="1"/>
  <c r="K34" i="7" s="1"/>
  <c r="J34" i="7"/>
  <c r="I34" i="7"/>
  <c r="H34" i="7"/>
  <c r="J33" i="7"/>
  <c r="I33" i="7"/>
  <c r="H33" i="7"/>
  <c r="J32" i="7"/>
  <c r="I32" i="7"/>
  <c r="H32" i="7"/>
  <c r="J31" i="7"/>
  <c r="H31" i="7"/>
  <c r="J30" i="7"/>
  <c r="I30" i="7"/>
  <c r="J29" i="7"/>
  <c r="I29" i="7"/>
  <c r="H29" i="7"/>
  <c r="J28" i="7"/>
  <c r="I28" i="7"/>
  <c r="H28" i="7"/>
  <c r="J27" i="7"/>
  <c r="H27" i="7"/>
  <c r="J26" i="7"/>
  <c r="H26" i="7"/>
  <c r="J25" i="7"/>
  <c r="I25" i="7"/>
  <c r="H25" i="7"/>
  <c r="H24" i="7"/>
  <c r="J23" i="7"/>
  <c r="H23" i="7"/>
  <c r="J22" i="7"/>
  <c r="J21" i="7"/>
  <c r="H21" i="7"/>
  <c r="J20" i="7"/>
  <c r="H20" i="7"/>
  <c r="J19" i="7"/>
  <c r="H19" i="7"/>
  <c r="K18" i="7" a="1"/>
  <c r="K18" i="7" s="1"/>
  <c r="J18" i="7"/>
  <c r="H18" i="7"/>
  <c r="K17" i="7" a="1"/>
  <c r="K17" i="7" s="1"/>
  <c r="J17" i="7"/>
  <c r="H17" i="7"/>
  <c r="L16" i="7" a="1"/>
  <c r="L16" i="7" s="1"/>
  <c r="J16" i="7"/>
  <c r="I16" i="7"/>
  <c r="L15" i="7" a="1"/>
  <c r="L15" i="7"/>
  <c r="J15" i="7"/>
  <c r="H15" i="7"/>
  <c r="J14" i="7"/>
  <c r="I14" i="7"/>
  <c r="J13" i="7"/>
  <c r="H13" i="7"/>
  <c r="K12" i="7" a="1"/>
  <c r="K12" i="7" s="1"/>
  <c r="J12" i="7"/>
  <c r="I12" i="7"/>
  <c r="K11" i="7" a="1"/>
  <c r="K11" i="7" s="1"/>
  <c r="J11" i="7"/>
  <c r="I11" i="7"/>
  <c r="H11" i="7"/>
  <c r="K10" i="7" a="1"/>
  <c r="K10" i="7" s="1"/>
  <c r="J10" i="7"/>
  <c r="I10" i="7"/>
  <c r="H10" i="7"/>
  <c r="K9" i="7" a="1"/>
  <c r="K9" i="7" s="1"/>
  <c r="J9" i="7"/>
  <c r="H9" i="7"/>
  <c r="J8" i="7"/>
  <c r="I8" i="7"/>
  <c r="H8" i="7"/>
  <c r="J7" i="7"/>
  <c r="I7" i="7"/>
  <c r="H7" i="7"/>
  <c r="J6" i="7"/>
  <c r="I6" i="7"/>
  <c r="H6" i="7"/>
  <c r="J5" i="7"/>
  <c r="I5" i="7"/>
  <c r="H5" i="7"/>
  <c r="J4" i="7"/>
  <c r="I4" i="7"/>
  <c r="H4" i="7"/>
  <c r="J3" i="7"/>
  <c r="I3" i="7"/>
  <c r="H3" i="7"/>
  <c r="J2" i="7"/>
  <c r="I2" i="7"/>
  <c r="H2" i="7"/>
  <c r="L113" i="14" l="1"/>
  <c r="L29" i="14"/>
  <c r="I13" i="7"/>
  <c r="I65" i="7"/>
  <c r="I20" i="7"/>
  <c r="I18" i="7"/>
  <c r="L5" i="14"/>
  <c r="I24" i="7"/>
  <c r="I21" i="7"/>
  <c r="L9" i="14"/>
  <c r="I15" i="7"/>
  <c r="I9" i="7"/>
  <c r="I69" i="7"/>
  <c r="L53" i="14"/>
  <c r="L71" i="14"/>
  <c r="I87" i="7"/>
  <c r="L60" i="14"/>
  <c r="I76" i="7"/>
  <c r="L63" i="14"/>
  <c r="I79" i="7"/>
  <c r="L30" i="14"/>
  <c r="I44" i="7"/>
  <c r="L34" i="14"/>
  <c r="I48" i="7"/>
  <c r="I50" i="7"/>
  <c r="L36" i="14"/>
  <c r="L40" i="14"/>
  <c r="I54" i="7"/>
  <c r="I62" i="7"/>
  <c r="L48" i="14"/>
  <c r="L43" i="14"/>
  <c r="I57" i="7"/>
  <c r="K45" i="7" a="1"/>
  <c r="K45" i="7" s="1"/>
  <c r="H67" i="7"/>
  <c r="I122" i="7"/>
  <c r="F8" i="14"/>
  <c r="F16" i="14"/>
  <c r="I26" i="14"/>
  <c r="F32" i="14"/>
  <c r="F39" i="14"/>
  <c r="F57" i="14"/>
  <c r="F67" i="14"/>
  <c r="I74" i="14"/>
  <c r="L80" i="14"/>
  <c r="K36" i="7" a="1"/>
  <c r="K36" i="7" s="1"/>
  <c r="I51" i="7"/>
  <c r="I59" i="7"/>
  <c r="H62" i="7"/>
  <c r="I67" i="7"/>
  <c r="H72" i="7"/>
  <c r="H88" i="7"/>
  <c r="I93" i="7"/>
  <c r="I133" i="7"/>
  <c r="I17" i="14"/>
  <c r="I21" i="14"/>
  <c r="L44" i="14"/>
  <c r="L52" i="14"/>
  <c r="L59" i="14"/>
  <c r="L70" i="14"/>
  <c r="F108" i="14"/>
  <c r="L110" i="14"/>
  <c r="F119" i="14"/>
  <c r="K33" i="7" a="1"/>
  <c r="K33" i="7" s="1"/>
  <c r="I57" i="14"/>
  <c r="I67" i="14"/>
  <c r="K44" i="7" a="1"/>
  <c r="K44" i="7" s="1"/>
  <c r="H70" i="7"/>
  <c r="H134" i="7"/>
  <c r="F13" i="14"/>
  <c r="L81" i="14"/>
  <c r="F111" i="14"/>
  <c r="I119" i="14"/>
  <c r="K67" i="7" a="1"/>
  <c r="K67" i="7" s="1"/>
  <c r="L8" i="14"/>
  <c r="L76" i="14"/>
  <c r="K8" i="7" a="1"/>
  <c r="K8" i="7" s="1"/>
  <c r="H12" i="7"/>
  <c r="H14" i="7"/>
  <c r="I45" i="7"/>
  <c r="I13" i="14"/>
  <c r="I17" i="7" l="1"/>
  <c r="I27" i="7"/>
  <c r="I23" i="7"/>
  <c r="I22" i="7"/>
  <c r="L13" i="14"/>
  <c r="L119" i="14"/>
  <c r="I135" i="7"/>
  <c r="I73" i="7"/>
  <c r="L57" i="14"/>
  <c r="L21" i="14"/>
  <c r="I35" i="7"/>
  <c r="L67" i="14"/>
  <c r="I83" i="7"/>
  <c r="L17" i="14"/>
  <c r="I26" i="7"/>
  <c r="I31" i="7"/>
  <c r="L26" i="14"/>
  <c r="I40" i="7"/>
  <c r="L74" i="14"/>
  <c r="I90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<sst xmlns="http://schemas.openxmlformats.org/spreadsheetml/2006/main" count="713" uniqueCount="434">
  <si>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</si>
  <si>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</si>
  <si>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</si>
  <si>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</si>
  <si>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</si>
  <si>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</si>
  <si>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</si>
  <si>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</si>
  <si>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</si>
  <si>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</si>
  <si>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</si>
  <si>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</si>
  <si>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</si>
  <si>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</si>
  <si>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</si>
  <si>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</si>
  <si>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</si>
  <si>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</si>
  <si>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</si>
  <si>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</si>
  <si>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</si>
  <si>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</si>
  <si>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</si>
  <si>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</si>
  <si>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</si>
  <si>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</si>
  <si>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</si>
  <si>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</si>
  <si>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</si>
  <si>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</si>
  <si>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</si>
  <si>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</si>
  <si>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</si>
  <si>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</si>
  <si>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</si>
  <si>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</si>
  <si>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</si>
  <si>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</si>
  <si>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</si>
  <si>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</si>
  <si>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</si>
  <si>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</si>
  <si>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</si>
  <si>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</si>
  <si>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</si>
  <si>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</si>
  <si>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</si>
  <si>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</si>
  <si>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</si>
  <si>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</si>
  <si>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</si>
  <si>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</si>
  <si>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</si>
  <si>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</si>
  <si>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</si>
  <si>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</si>
  <si>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</si>
  <si>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</si>
  <si>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</si>
  <si>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</si>
  <si>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</si>
  <si>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</si>
  <si>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</si>
  <si>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</si>
  <si>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</si>
  <si>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</si>
  <si>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</si>
  <si>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</si>
  <si>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</si>
  <si>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</si>
  <si>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</si>
  <si>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</si>
  <si>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</si>
  <si>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</si>
  <si>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</si>
  <si>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</si>
  <si>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</si>
  <si>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</si>
  <si>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</si>
  <si>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</si>
  <si>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</si>
  <si>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</si>
  <si>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</si>
  <si>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</si>
  <si>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</si>
  <si>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</si>
  <si>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</si>
  <si>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</si>
  <si>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</si>
  <si>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</si>
  <si>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</si>
  <si>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</si>
  <si>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</si>
  <si>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</si>
  <si>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</si>
  <si>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</si>
  <si>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</si>
  <si>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</si>
  <si>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</si>
  <si>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</si>
  <si>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</si>
  <si>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</si>
  <si>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</si>
  <si>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</si>
  <si>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</si>
  <si>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</si>
  <si>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</si>
  <si>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</si>
  <si>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</si>
  <si>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</si>
  <si>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</si>
  <si>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</si>
  <si>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</si>
  <si>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</si>
  <si>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</si>
  <si>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</si>
  <si>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</si>
  <si>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</si>
  <si>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</si>
  <si>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</si>
  <si>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</si>
  <si>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</si>
  <si>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</si>
  <si>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</si>
  <si>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</si>
  <si>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</si>
  <si>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</si>
  <si>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</si>
  <si>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</si>
  <si>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</si>
  <si>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</si>
  <si>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</si>
  <si>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</si>
  <si>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</si>
  <si>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</si>
  <si>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</si>
  <si>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</si>
  <si>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</si>
  <si>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</si>
  <si>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</si>
  <si>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</si>
  <si>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</si>
  <si>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</si>
  <si>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</si>
  <si>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</si>
  <si>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</si>
  <si>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</si>
  <si>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</si>
  <si>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</si>
  <si>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</si>
  <si>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</si>
  <si>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</si>
  <si>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</si>
  <si>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</si>
  <si>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</si>
  <si>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</si>
  <si>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</si>
  <si>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</si>
  <si>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</si>
  <si>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</si>
  <si>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</si>
  <si>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</si>
  <si>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</si>
  <si>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</si>
  <si>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</si>
  <si>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</si>
  <si>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</si>
  <si>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</si>
  <si>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</si>
  <si>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</si>
  <si>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</si>
  <si>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</si>
  <si>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</si>
  <si>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</si>
  <si>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</si>
  <si>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</si>
  <si>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</si>
  <si>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</si>
  <si>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</si>
  <si>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</si>
  <si>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</si>
  <si>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</si>
  <si>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</si>
  <si>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</si>
  <si>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</si>
  <si>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</si>
  <si>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</si>
  <si>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</si>
  <si>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</si>
  <si>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</si>
  <si>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</si>
  <si>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</si>
  <si>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100,200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</si>
  <si>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</si>
  <si>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</si>
  <si>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</si>
  <si>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</si>
  <si>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</si>
  <si>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</si>
  <si>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</si>
  <si>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</si>
  <si>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</si>
  <si>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</si>
  <si>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</si>
  <si>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</si>
  <si>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</si>
  <si>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</si>
  <si>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</si>
  <si>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</si>
  <si>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</si>
  <si>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</si>
  <si>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</si>
  <si>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</si>
  <si>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</si>
  <si>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</si>
  <si>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</si>
  <si>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</si>
  <si>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</si>
  <si>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</si>
  <si>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</si>
  <si>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</si>
  <si>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</si>
  <si>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</si>
  <si>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</si>
  <si>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</si>
  <si>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</si>
  <si>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</si>
  <si>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</si>
  <si>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</si>
  <si>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</si>
  <si>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</si>
  <si>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</si>
  <si>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</si>
  <si>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</si>
  <si>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</si>
  <si>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</si>
  <si>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</si>
  <si>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</si>
  <si>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</si>
  <si>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</si>
  <si>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</si>
  <si>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</si>
  <si>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</si>
  <si>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</si>
  <si>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</si>
  <si>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</si>
  <si>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</si>
  <si>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</si>
  <si>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</si>
  <si>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</si>
  <si>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</si>
  <si>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</si>
  <si>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</si>
  <si>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</si>
  <si>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</si>
  <si>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</si>
  <si>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</si>
  <si>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</si>
  <si>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</si>
  <si>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</si>
  <si>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</si>
  <si>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</si>
  <si>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</si>
  <si>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</si>
  <si>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</si>
  <si>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</si>
  <si>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</si>
  <si>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</si>
  <si>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</si>
  <si>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</si>
  <si>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</si>
  <si>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</si>
  <si>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</si>
  <si>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</si>
  <si>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</si>
  <si>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</si>
  <si>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</si>
  <si>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</si>
  <si>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</si>
  <si>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</si>
  <si>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</si>
  <si>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</si>
  <si>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</si>
  <si>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</si>
  <si>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</si>
  <si>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</si>
  <si>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</si>
  <si>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</si>
  <si>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</si>
  <si>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</si>
  <si>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</si>
  <si>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</si>
  <si>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</si>
  <si>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</si>
  <si>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</si>
  <si>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</si>
  <si>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</si>
  <si>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</si>
  <si>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</si>
  <si>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</si>
  <si>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</si>
  <si>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</si>
  <si>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</si>
  <si>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</si>
  <si>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</si>
  <si>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</si>
  <si>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</si>
  <si>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</si>
  <si>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</si>
  <si>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</si>
  <si>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</si>
  <si>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</si>
  <si>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</si>
  <si>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</si>
  <si>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</si>
  <si>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</si>
  <si>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</si>
  <si>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</si>
  <si>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</si>
  <si>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</si>
  <si>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</si>
  <si>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</si>
  <si>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</si>
  <si>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</si>
  <si>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</si>
  <si>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</si>
  <si>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</si>
  <si>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</si>
  <si>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"prop_fishbowl_feed",11,1.5,2.5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</si>
  <si>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</si>
  <si>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</si>
  <si>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</si>
  <si>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</si>
  <si>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</si>
  <si>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</si>
  <si>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</si>
  <si>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</si>
  <si>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</si>
  <si>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</si>
  <si>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</si>
  <si>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</si>
  <si>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</si>
  <si>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</si>
  <si>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</si>
  <si>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</si>
  <si>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</si>
  <si>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</si>
  <si>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</si>
  <si>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</si>
  <si>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</si>
  <si>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</si>
  <si>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</si>
  <si>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</si>
  <si>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</si>
  <si>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</si>
  <si>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</si>
  <si>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</si>
  <si>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</si>
  <si>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</si>
  <si>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</si>
  <si>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</si>
  <si>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</si>
  <si>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</si>
  <si>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</si>
  <si>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</si>
  <si>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</si>
  <si>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</si>
  <si>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</si>
  <si>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</si>
  <si>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</si>
  <si>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</si>
  <si>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</si>
  <si>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</si>
  <si>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</si>
  <si>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</si>
  <si>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</si>
  <si>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</si>
  <si>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</si>
  <si>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</si>
  <si>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</si>
  <si>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</si>
  <si>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</si>
  <si>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</si>
  <si>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</si>
  <si>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</si>
  <si>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</si>
  <si>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</si>
  <si>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</si>
  <si>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</si>
  <si>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</si>
  <si>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</si>
  <si>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</si>
  <si>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</si>
  <si>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</si>
  <si>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</si>
  <si>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</si>
  <si>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</si>
  <si>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</si>
  <si>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</si>
  <si>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</si>
  <si>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</si>
  <si>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</si>
  <si>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</si>
  <si>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</si>
  <si>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</si>
  <si>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</si>
  <si>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</si>
  <si>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</si>
  <si>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</si>
  <si>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</si>
  <si>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</si>
  <si>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</si>
  <si>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</si>
  <si>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</si>
  <si>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</si>
  <si>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</si>
  <si>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</si>
  <si>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</si>
  <si>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</si>
  <si>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</si>
  <si>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</si>
  <si>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</si>
  <si>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</si>
  <si>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</si>
  <si>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</si>
  <si>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</si>
  <si>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</si>
  <si>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</si>
  <si>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</si>
  <si>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</si>
  <si>
    <t>0,200</t>
    <phoneticPr fontId="7" type="noConversion"/>
  </si>
  <si>
    <t>0,300</t>
    <phoneticPr fontId="7" type="noConversion"/>
  </si>
  <si>
    <t>0,700</t>
    <phoneticPr fontId="7" type="noConversion"/>
  </si>
  <si>
    <t>0,400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</si>
</sst>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charset val="134"/>
      <scheme val="minor"/>
    </font>
    <font>
      <sz val="10.5"/>
      <color rgb="FF171A1D"/>
      <name val="Segoe UI"/>
      <family val="2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4" fillId="0" borderId="0"/>
  </cellStyleXfs>
  <cellXfs count="90">
    <xf numFmtId="0" fontId="0" fillId="0" borderId="0" xfId="0"/>
    <xf numFmtId="47" fontId="1" fillId="0" borderId="0" xfId="0" applyNumberFormat="1" applyFont="1"/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quotePrefix="1" applyNumberFormat="1"/>
    <xf numFmtId="0" fontId="0" fillId="23" borderId="0" xfId="0" applyFill="1" applyAlignment="1">
      <alignment horizontal="center"/>
    </xf>
  </cellXfs>
  <cellStyles count="2">
    <cellStyle name="常规" xfId="0" builtinId="0"/>
    <cellStyle name="常规 4" xfId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9"/>
  <sheetViews>
    <sheetView tabSelected="1" workbookViewId="0">
      <pane ySplit="1" topLeftCell="A116" activePane="bottomLeft" state="frozen"/>
      <selection pane="bottomLeft" activeCell="J139" sqref="J139"/>
    </sheetView>
  </sheetViews>
  <sheetFormatPr defaultColWidth="8.625" defaultRowHeight="14.25" outlineLevelCol="1" x14ac:dyDescent="0.2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2" customFormat="1" ht="63.7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pans="1:23" s="31" customFormat="1" x14ac:dyDescent="0.2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pans="1:23" s="31" customFormat="1" x14ac:dyDescent="0.2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pans="1:23" s="31" customFormat="1" x14ac:dyDescent="0.2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pans="1:23" s="31" customFormat="1" x14ac:dyDescent="0.2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pans="1:23" s="31" customFormat="1" x14ac:dyDescent="0.2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pans="1:23" s="76" customFormat="1" x14ac:dyDescent="0.2">
      <c r="A7" s="76">
        <v>6</v>
      </c>
      <c r="B7" s="76">
        <v>2</v>
      </c>
      <c r="C7" s="76" t="s">
        <v>17</v>
      </c>
      <c r="G7" s="80" t="s">
        <v>18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31" customFormat="1" x14ac:dyDescent="0.2">
      <c r="A8" s="31">
        <v>7</v>
      </c>
      <c r="B8" s="31">
        <v>2</v>
      </c>
      <c r="C8" s="31" t="s">
        <v>19</v>
      </c>
      <c r="F8" s="31">
        <v>10</v>
      </c>
      <c r="G8" s="81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pans="1:23" s="31" customFormat="1" x14ac:dyDescent="0.2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pans="1:23" s="31" customFormat="1" x14ac:dyDescent="0.2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pans="1:23" s="31" customFormat="1" x14ac:dyDescent="0.2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pans="1:23" s="31" customFormat="1" x14ac:dyDescent="0.2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pans="1:23" s="77" customFormat="1" x14ac:dyDescent="0.2">
      <c r="A13" s="77">
        <v>12</v>
      </c>
      <c r="B13" s="77">
        <v>3</v>
      </c>
      <c r="C13" s="77" t="s">
        <v>25</v>
      </c>
      <c r="H13" s="77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7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2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7">
        <v>4</v>
      </c>
      <c r="R13" s="77">
        <v>11</v>
      </c>
      <c r="S13" s="77">
        <v>4</v>
      </c>
    </row>
    <row r="14" spans="1:23" s="77" customFormat="1" x14ac:dyDescent="0.2">
      <c r="A14" s="77">
        <v>13</v>
      </c>
      <c r="B14" s="77">
        <v>3</v>
      </c>
      <c r="C14" s="77" t="s">
        <v>26</v>
      </c>
      <c r="H14" s="77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7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2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7" t="s">
        <v>27</v>
      </c>
      <c r="Q14" s="77">
        <v>5</v>
      </c>
      <c r="R14" s="77">
        <v>7</v>
      </c>
      <c r="S14" s="77">
        <v>5</v>
      </c>
    </row>
    <row r="15" spans="1:23" s="77" customFormat="1" x14ac:dyDescent="0.2">
      <c r="A15" s="77">
        <v>14</v>
      </c>
      <c r="B15" s="77">
        <v>3</v>
      </c>
      <c r="C15" s="77" t="s">
        <v>28</v>
      </c>
      <c r="H15" s="77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7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2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7" t="str">
        <f t="array" ref="L15">INDEX(use_fish!A:A,SMALL(IF(group!$L$2&amp;IF(ISBLANK($L$14),$L$14,"+"&amp;$L$14)=use_fish!H:H,ROW(use_fish!H:H),4^8),ROW(1:1)))&amp;""</f>
        <v/>
      </c>
      <c r="Q15" s="77">
        <v>8</v>
      </c>
      <c r="R15" s="77">
        <v>7</v>
      </c>
      <c r="S15" s="77">
        <v>8</v>
      </c>
    </row>
    <row r="16" spans="1:23" s="77" customFormat="1" x14ac:dyDescent="0.2">
      <c r="A16" s="77">
        <v>15</v>
      </c>
      <c r="B16" s="77">
        <v>3</v>
      </c>
      <c r="C16" s="77" t="s">
        <v>29</v>
      </c>
      <c r="H16" s="77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7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2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7" t="str">
        <f t="array" ref="L16">INDEX(use_fish!A:A,SMALL(IF(group!$L$2&amp;IF(ISBLANK($L$14),$L$14,"+"&amp;$L$14)=use_fish!H:H,ROW(use_fish!H:H),4^8),ROW(2:2)))&amp;""</f>
        <v/>
      </c>
      <c r="Q16" s="77">
        <v>7</v>
      </c>
      <c r="R16" s="77">
        <v>11</v>
      </c>
      <c r="S16" s="77">
        <v>7</v>
      </c>
    </row>
    <row r="17" spans="1:20" s="77" customFormat="1" x14ac:dyDescent="0.2">
      <c r="A17" s="77">
        <v>16</v>
      </c>
      <c r="B17" s="77">
        <v>3</v>
      </c>
      <c r="C17" s="77" t="s">
        <v>30</v>
      </c>
      <c r="H17" s="77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7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2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7" t="str">
        <f t="array" ref="K17">INDEX(use_fish!A:A,SMALL(IF(group!$L$2&amp;IF(ISBLANK($L$14),$L$14,"+"&amp;$L$14)=use_fish!H:H,ROW(use_fish!H:H),4^8),ROW(14:14)))&amp;""</f>
        <v/>
      </c>
      <c r="Q17" s="77">
        <v>5</v>
      </c>
      <c r="R17" s="77">
        <v>12</v>
      </c>
      <c r="S17" s="77">
        <v>5</v>
      </c>
    </row>
    <row r="18" spans="1:20" s="77" customFormat="1" x14ac:dyDescent="0.2">
      <c r="A18" s="77">
        <v>17</v>
      </c>
      <c r="B18" s="77">
        <v>3</v>
      </c>
      <c r="C18" s="77" t="s">
        <v>25</v>
      </c>
      <c r="H18" s="77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7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2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7" t="str">
        <f t="array" ref="K18">INDEX(use_fish!A:A,SMALL(IF(group!$L$2&amp;IF(ISBLANK($L$14),$L$14,"+"&amp;$L$14)=use_fish!H:H,ROW(use_fish!H:H),4^8),ROW(15:15)))&amp;""</f>
        <v/>
      </c>
      <c r="Q18" s="77">
        <v>4</v>
      </c>
      <c r="R18" s="77">
        <v>11</v>
      </c>
      <c r="S18" s="77">
        <v>4</v>
      </c>
    </row>
    <row r="19" spans="1:20" s="33" customFormat="1" x14ac:dyDescent="0.2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pans="1:20" s="33" customFormat="1" x14ac:dyDescent="0.2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pans="1:20" s="33" customFormat="1" x14ac:dyDescent="0.2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pans="1:20" s="33" customFormat="1" x14ac:dyDescent="0.2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pans="1:20" s="34" customFormat="1" x14ac:dyDescent="0.2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pans="1:20" s="34" customFormat="1" x14ac:dyDescent="0.2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pans="1:20" s="34" customFormat="1" x14ac:dyDescent="0.2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pans="1:20" s="34" customFormat="1" x14ac:dyDescent="0.2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pans="1:20" s="33" customFormat="1" x14ac:dyDescent="0.2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pans="1:20" s="33" customFormat="1" x14ac:dyDescent="0.2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pans="1:20" s="33" customFormat="1" x14ac:dyDescent="0.2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pans="1:20" s="33" customFormat="1" x14ac:dyDescent="0.2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pans="1:20" s="33" customFormat="1" x14ac:dyDescent="0.2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pans="1:20" s="33" customFormat="1" x14ac:dyDescent="0.2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pans="1:17" s="33" customFormat="1" x14ac:dyDescent="0.2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pans="1:17" s="33" customFormat="1" x14ac:dyDescent="0.2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pans="1:17" s="34" customFormat="1" x14ac:dyDescent="0.2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pans="1:17" s="34" customFormat="1" x14ac:dyDescent="0.2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pans="1:17" s="34" customFormat="1" x14ac:dyDescent="0.2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pans="1:17" s="34" customFormat="1" x14ac:dyDescent="0.2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pans="1:17" s="34" customFormat="1" x14ac:dyDescent="0.2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pans="1:17" s="34" customFormat="1" x14ac:dyDescent="0.2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pans="1:17" s="34" customFormat="1" x14ac:dyDescent="0.2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pans="1:17" s="34" customFormat="1" x14ac:dyDescent="0.2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pans="1:17" s="78" customFormat="1" x14ac:dyDescent="0.2">
      <c r="A43" s="78">
        <v>42</v>
      </c>
      <c r="B43" s="78">
        <v>1</v>
      </c>
      <c r="C43" s="78" t="s">
        <v>66</v>
      </c>
      <c r="H43" s="78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8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8">
        <v>28</v>
      </c>
    </row>
    <row r="44" spans="1:17" s="78" customFormat="1" x14ac:dyDescent="0.2">
      <c r="A44" s="78">
        <v>43</v>
      </c>
      <c r="B44" s="78">
        <v>1</v>
      </c>
      <c r="C44" s="78" t="s">
        <v>67</v>
      </c>
      <c r="H44" s="78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8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8" t="str">
        <f t="array" ref="K44">INDEX(use_fish!A:A,SMALL(IF(group!$L$2&amp;IF(ISBLANK($L$14),$L$14,"+"&amp;$L$14)=use_fish!H:H,ROW(use_fish!H:H),4^8),ROW(41:41)))&amp;""</f>
        <v/>
      </c>
      <c r="Q44" s="78">
        <v>29</v>
      </c>
    </row>
    <row r="45" spans="1:17" s="78" customFormat="1" x14ac:dyDescent="0.2">
      <c r="A45" s="78">
        <v>44</v>
      </c>
      <c r="B45" s="78">
        <v>1</v>
      </c>
      <c r="C45" s="78" t="s">
        <v>68</v>
      </c>
      <c r="H45" s="78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8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8" t="str">
        <f t="array" ref="K45">INDEX(use_fish!A:A,SMALL(IF(group!$L$2&amp;IF(ISBLANK($L$14),$L$14,"+"&amp;$L$14)=use_fish!H:H,ROW(use_fish!H:H),4^8),ROW(42:42)))&amp;""</f>
        <v/>
      </c>
      <c r="Q45" s="78">
        <v>30</v>
      </c>
    </row>
    <row r="46" spans="1:17" s="78" customFormat="1" x14ac:dyDescent="0.2">
      <c r="A46" s="78">
        <v>45</v>
      </c>
      <c r="B46" s="78">
        <v>1</v>
      </c>
      <c r="C46" s="78" t="s">
        <v>69</v>
      </c>
      <c r="H46" s="78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8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8">
        <v>31</v>
      </c>
    </row>
    <row r="47" spans="1:17" s="78" customFormat="1" x14ac:dyDescent="0.2">
      <c r="A47" s="78">
        <v>46</v>
      </c>
      <c r="B47" s="78">
        <v>1</v>
      </c>
      <c r="C47" s="78" t="s">
        <v>70</v>
      </c>
      <c r="H47" s="78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8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4">
        <v>32</v>
      </c>
    </row>
    <row r="48" spans="1:17" s="78" customFormat="1" x14ac:dyDescent="0.2">
      <c r="A48" s="78">
        <v>47</v>
      </c>
      <c r="B48" s="78">
        <v>1</v>
      </c>
      <c r="C48" s="78" t="s">
        <v>71</v>
      </c>
      <c r="H48" s="78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8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4">
        <v>33</v>
      </c>
    </row>
    <row r="49" spans="1:17" s="78" customFormat="1" x14ac:dyDescent="0.2">
      <c r="A49" s="78">
        <v>48</v>
      </c>
      <c r="B49" s="78">
        <v>1</v>
      </c>
      <c r="C49" s="78" t="s">
        <v>72</v>
      </c>
      <c r="H49" s="78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8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4">
        <v>34</v>
      </c>
    </row>
    <row r="50" spans="1:17" s="78" customFormat="1" x14ac:dyDescent="0.2">
      <c r="A50" s="78">
        <v>49</v>
      </c>
      <c r="B50" s="78">
        <v>1</v>
      </c>
      <c r="C50" s="78" t="s">
        <v>73</v>
      </c>
      <c r="H50" s="78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8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4">
        <v>35</v>
      </c>
    </row>
    <row r="51" spans="1:17" s="78" customFormat="1" x14ac:dyDescent="0.2">
      <c r="A51" s="78">
        <v>50</v>
      </c>
      <c r="B51" s="78">
        <v>1</v>
      </c>
      <c r="C51" s="78" t="s">
        <v>74</v>
      </c>
      <c r="H51" s="78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8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4">
        <v>36</v>
      </c>
    </row>
    <row r="52" spans="1:17" s="78" customFormat="1" x14ac:dyDescent="0.2">
      <c r="A52" s="78">
        <v>51</v>
      </c>
      <c r="B52" s="78">
        <v>1</v>
      </c>
      <c r="C52" s="78" t="s">
        <v>75</v>
      </c>
      <c r="H52" s="78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8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4">
        <v>37</v>
      </c>
    </row>
    <row r="53" spans="1:17" s="27" customFormat="1" x14ac:dyDescent="0.2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pans="1:17" s="27" customFormat="1" x14ac:dyDescent="0.2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pans="1:17" s="27" customFormat="1" x14ac:dyDescent="0.2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pans="1:17" s="27" customFormat="1" x14ac:dyDescent="0.2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pans="1:17" s="27" customFormat="1" x14ac:dyDescent="0.2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pans="1:17" s="27" customFormat="1" x14ac:dyDescent="0.2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pans="1:17" s="27" customFormat="1" x14ac:dyDescent="0.2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pans="1:17" s="27" customFormat="1" x14ac:dyDescent="0.2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pans="1:17" s="37" customFormat="1" x14ac:dyDescent="0.2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pans="1:17" s="37" customFormat="1" x14ac:dyDescent="0.2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pans="1:17" s="37" customFormat="1" x14ac:dyDescent="0.2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pans="1:17" s="37" customFormat="1" x14ac:dyDescent="0.2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pans="1:17" s="31" customFormat="1" x14ac:dyDescent="0.2">
      <c r="A65" s="31">
        <v>64</v>
      </c>
      <c r="B65" s="31">
        <v>2</v>
      </c>
      <c r="C65" s="31" t="s">
        <v>88</v>
      </c>
      <c r="G65" s="81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pans="1:17" s="31" customFormat="1" x14ac:dyDescent="0.2">
      <c r="A66" s="31">
        <v>65</v>
      </c>
      <c r="B66" s="31">
        <v>2</v>
      </c>
      <c r="C66" s="31" t="s">
        <v>89</v>
      </c>
      <c r="G66" s="81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pans="1:17" s="31" customFormat="1" x14ac:dyDescent="0.2">
      <c r="A67" s="31">
        <v>66</v>
      </c>
      <c r="B67" s="31">
        <v>2</v>
      </c>
      <c r="C67" s="31" t="s">
        <v>91</v>
      </c>
      <c r="G67" s="85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pans="1:17" s="27" customFormat="1" x14ac:dyDescent="0.2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pans="1:17" s="27" customFormat="1" x14ac:dyDescent="0.2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pans="1:17" s="27" customFormat="1" x14ac:dyDescent="0.2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pans="1:17" s="27" customFormat="1" x14ac:dyDescent="0.2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pans="1:17" s="27" customFormat="1" x14ac:dyDescent="0.2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pans="1:17" s="27" customFormat="1" x14ac:dyDescent="0.2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pans="1:17" s="27" customFormat="1" x14ac:dyDescent="0.2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pans="1:17" s="27" customFormat="1" x14ac:dyDescent="0.2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pans="1:17" s="27" customFormat="1" x14ac:dyDescent="0.2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pans="1:17" s="27" customFormat="1" x14ac:dyDescent="0.2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pans="1:17" s="27" customFormat="1" x14ac:dyDescent="0.2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pans="1:17" s="27" customFormat="1" x14ac:dyDescent="0.2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pans="1:17" s="27" customFormat="1" x14ac:dyDescent="0.2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pans="1:17" s="27" customFormat="1" x14ac:dyDescent="0.2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pans="1:17" s="27" customFormat="1" x14ac:dyDescent="0.2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pans="1:17" s="27" customFormat="1" x14ac:dyDescent="0.2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pans="1:17" s="27" customFormat="1" x14ac:dyDescent="0.2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pans="1:17" s="27" customFormat="1" x14ac:dyDescent="0.2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pans="1:17" s="27" customFormat="1" x14ac:dyDescent="0.2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pans="1:17" s="27" customFormat="1" x14ac:dyDescent="0.2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pans="1:17" s="27" customFormat="1" x14ac:dyDescent="0.2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pans="1:17" s="27" customFormat="1" x14ac:dyDescent="0.2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pans="1:17" s="27" customFormat="1" x14ac:dyDescent="0.2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pans="1:17" s="27" customFormat="1" x14ac:dyDescent="0.2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pans="1:17" s="27" customFormat="1" x14ac:dyDescent="0.2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pans="1:17" s="27" customFormat="1" x14ac:dyDescent="0.2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pans="1:17" s="27" customFormat="1" x14ac:dyDescent="0.2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pans="1:17" s="27" customFormat="1" x14ac:dyDescent="0.2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pans="1:17" s="18" customFormat="1" x14ac:dyDescent="0.2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pans="1:17" s="18" customFormat="1" x14ac:dyDescent="0.2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pans="1:17" s="38" customFormat="1" x14ac:dyDescent="0.2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pans="1:17" s="38" customFormat="1" x14ac:dyDescent="0.2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pans="1:17" s="38" customFormat="1" x14ac:dyDescent="0.2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pans="1:17" s="38" customFormat="1" x14ac:dyDescent="0.2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pans="1:17" s="38" customFormat="1" x14ac:dyDescent="0.2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pans="1:17" s="38" customFormat="1" x14ac:dyDescent="0.2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pans="1:17" s="34" customFormat="1" x14ac:dyDescent="0.2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pans="1:17" s="34" customFormat="1" x14ac:dyDescent="0.2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pans="1:17" s="34" customFormat="1" x14ac:dyDescent="0.2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pans="1:17" s="34" customFormat="1" x14ac:dyDescent="0.2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pans="1:17" s="34" customFormat="1" x14ac:dyDescent="0.2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pans="1:17" s="34" customFormat="1" x14ac:dyDescent="0.2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pans="1:17" s="38" customFormat="1" x14ac:dyDescent="0.2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pans="1:17" s="38" customFormat="1" x14ac:dyDescent="0.2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pans="1:17" s="38" customFormat="1" x14ac:dyDescent="0.2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pans="1:17" s="38" customFormat="1" x14ac:dyDescent="0.2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pans="1:17" s="38" customFormat="1" x14ac:dyDescent="0.2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pans="1:17" s="38" customFormat="1" x14ac:dyDescent="0.2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pans="1:17" s="34" customFormat="1" x14ac:dyDescent="0.2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pans="1:17" s="34" customFormat="1" x14ac:dyDescent="0.2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pans="1:17" s="34" customFormat="1" x14ac:dyDescent="0.2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pans="1:17" s="34" customFormat="1" x14ac:dyDescent="0.2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pans="1:17" s="34" customFormat="1" x14ac:dyDescent="0.2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pans="1:17" s="34" customFormat="1" x14ac:dyDescent="0.2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pans="1:17" s="79" customFormat="1" x14ac:dyDescent="0.2">
      <c r="A122" s="79">
        <v>121</v>
      </c>
      <c r="B122" s="79">
        <v>1</v>
      </c>
      <c r="C122" s="79" t="s">
        <v>147</v>
      </c>
      <c r="H122" s="79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9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100</v>
      </c>
      <c r="J122" s="8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7">
        <v>105</v>
      </c>
    </row>
    <row r="123" spans="1:17" s="79" customFormat="1" x14ac:dyDescent="0.2">
      <c r="A123" s="79">
        <v>122</v>
      </c>
      <c r="B123" s="79">
        <v>1</v>
      </c>
      <c r="C123" s="79" t="s">
        <v>148</v>
      </c>
      <c r="H123" s="79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9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100</v>
      </c>
      <c r="J123" s="8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7">
        <v>106</v>
      </c>
    </row>
    <row r="124" spans="1:17" s="79" customFormat="1" x14ac:dyDescent="0.2">
      <c r="A124" s="79">
        <v>123</v>
      </c>
      <c r="B124" s="79">
        <v>1</v>
      </c>
      <c r="C124" s="79" t="s">
        <v>149</v>
      </c>
      <c r="H124" s="79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9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100</v>
      </c>
      <c r="J124" s="8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7">
        <v>107</v>
      </c>
    </row>
    <row r="125" spans="1:17" s="79" customFormat="1" x14ac:dyDescent="0.2">
      <c r="A125" s="79">
        <v>124</v>
      </c>
      <c r="B125" s="79">
        <v>1</v>
      </c>
      <c r="C125" s="79" t="s">
        <v>150</v>
      </c>
      <c r="H125" s="79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9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100</v>
      </c>
      <c r="J125" s="8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7">
        <v>108</v>
      </c>
    </row>
    <row r="126" spans="1:17" s="79" customFormat="1" x14ac:dyDescent="0.2">
      <c r="A126" s="79">
        <v>125</v>
      </c>
      <c r="B126" s="79">
        <v>1</v>
      </c>
      <c r="C126" s="79" t="s">
        <v>151</v>
      </c>
      <c r="H126" s="79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9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100</v>
      </c>
      <c r="J126" s="8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7">
        <v>109</v>
      </c>
    </row>
    <row r="127" spans="1:17" s="16" customFormat="1" x14ac:dyDescent="0.2">
      <c r="A127" s="79">
        <v>126</v>
      </c>
      <c r="B127" s="29">
        <v>1</v>
      </c>
      <c r="C127" s="79" t="s">
        <v>152</v>
      </c>
      <c r="D127" s="29"/>
      <c r="E127" s="29"/>
      <c r="F127" s="29"/>
      <c r="G127" s="29"/>
      <c r="H127" s="79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9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6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7">
        <v>110</v>
      </c>
    </row>
    <row r="128" spans="1:17" s="16" customFormat="1" x14ac:dyDescent="0.2">
      <c r="A128" s="79">
        <v>127</v>
      </c>
      <c r="B128" s="29">
        <v>1</v>
      </c>
      <c r="C128" s="79" t="s">
        <v>153</v>
      </c>
      <c r="D128" s="29"/>
      <c r="E128" s="29"/>
      <c r="F128" s="29"/>
      <c r="G128" s="29"/>
      <c r="H128" s="79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9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6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7">
        <v>111</v>
      </c>
    </row>
    <row r="129" spans="1:17" s="75" customFormat="1" x14ac:dyDescent="0.2">
      <c r="A129" s="75">
        <v>128</v>
      </c>
      <c r="B129" s="75">
        <v>1</v>
      </c>
      <c r="C129" s="75" t="s">
        <v>154</v>
      </c>
      <c r="H129" s="7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pans="1:17" s="75" customFormat="1" x14ac:dyDescent="0.2">
      <c r="A130" s="75">
        <v>129</v>
      </c>
      <c r="B130" s="75">
        <v>1</v>
      </c>
      <c r="C130" s="75" t="s">
        <v>155</v>
      </c>
      <c r="H130" s="7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pans="1:17" s="75" customFormat="1" x14ac:dyDescent="0.2">
      <c r="A131" s="75">
        <v>130</v>
      </c>
      <c r="B131" s="75">
        <v>1</v>
      </c>
      <c r="C131" s="75" t="s">
        <v>156</v>
      </c>
      <c r="H131" s="7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pans="1:17" s="75" customFormat="1" x14ac:dyDescent="0.2">
      <c r="A132" s="75">
        <v>131</v>
      </c>
      <c r="B132" s="75">
        <v>1</v>
      </c>
      <c r="C132" s="75" t="s">
        <v>157</v>
      </c>
      <c r="H132" s="7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pans="1:17" s="75" customFormat="1" x14ac:dyDescent="0.2">
      <c r="A133" s="75">
        <v>132</v>
      </c>
      <c r="B133" s="75">
        <v>1</v>
      </c>
      <c r="C133" s="75" t="s">
        <v>158</v>
      </c>
      <c r="H133" s="7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pans="1:17" s="75" customFormat="1" x14ac:dyDescent="0.2">
      <c r="A134" s="75">
        <v>133</v>
      </c>
      <c r="B134" s="75">
        <v>1</v>
      </c>
      <c r="C134" s="75" t="s">
        <v>159</v>
      </c>
      <c r="H134" s="7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pans="1:17" s="75" customFormat="1" x14ac:dyDescent="0.2">
      <c r="A135" s="75">
        <v>134</v>
      </c>
      <c r="B135" s="75">
        <v>1</v>
      </c>
      <c r="C135" s="75" t="s">
        <v>160</v>
      </c>
      <c r="H135" s="7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pans="1:17" s="75" customFormat="1" x14ac:dyDescent="0.2">
      <c r="A136" s="75">
        <v>135</v>
      </c>
      <c r="B136" s="75">
        <v>1</v>
      </c>
      <c r="C136" s="75" t="s">
        <v>161</v>
      </c>
      <c r="H136" s="7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pans="1:17" s="75" customFormat="1" x14ac:dyDescent="0.2">
      <c r="A137" s="75">
        <v>136</v>
      </c>
      <c r="B137" s="75">
        <v>1</v>
      </c>
      <c r="C137" s="75" t="s">
        <v>162</v>
      </c>
      <c r="H137" s="7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 x14ac:dyDescent="0.2">
      <c r="A138">
        <v>137</v>
      </c>
      <c r="B138">
        <v>1</v>
      </c>
      <c r="C138" t="s">
        <v>163</v>
      </c>
      <c r="G138" s="75"/>
      <c r="H138" s="75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5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 x14ac:dyDescent="0.2">
      <c r="A139">
        <v>138</v>
      </c>
      <c r="B139">
        <v>1</v>
      </c>
      <c r="C139" t="s">
        <v>164</v>
      </c>
      <c r="G139" s="75"/>
      <c r="H139" s="75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5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9"/>
  <phoneticPr fontId="7" type="noConversion"/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L13 L2:L7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3"/>
  <sheetViews>
    <sheetView workbookViewId="0">
      <pane ySplit="1" topLeftCell="A104" activePane="bottomLeft" state="frozen"/>
      <selection pane="bottomLeft" activeCell="I106" sqref="I10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spans="1:15" ht="67.5" x14ac:dyDescent="0.2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pans="1:15" s="31" customFormat="1" x14ac:dyDescent="0.2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pans="1:15" s="31" customFormat="1" x14ac:dyDescent="0.2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pans="1:15" s="31" customFormat="1" x14ac:dyDescent="0.2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0.33333333333333331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pans="1:15" s="31" customFormat="1" x14ac:dyDescent="0.2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pans="1:15" s="31" customFormat="1" x14ac:dyDescent="0.2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pans="1:15" s="31" customFormat="1" x14ac:dyDescent="0.2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0.16666666666666666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pans="1:15" s="31" customFormat="1" x14ac:dyDescent="0.2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0.14285714285714285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pans="1:15" s="31" customFormat="1" x14ac:dyDescent="0.2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pans="1:15" s="32" customFormat="1" x14ac:dyDescent="0.2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1.2500000000000001E-2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pans="1:15" s="31" customFormat="1" x14ac:dyDescent="0.2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8.3333333333333329E-2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pans="1:15" s="31" customFormat="1" x14ac:dyDescent="0.2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6.6666666666666666E-2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pans="1:15" s="33" customFormat="1" x14ac:dyDescent="0.2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5.5555555555555552E-2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pans="1:15" s="33" customFormat="1" x14ac:dyDescent="0.2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pans="1:15" s="33" customFormat="1" x14ac:dyDescent="0.2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pans="1:15" s="33" customFormat="1" x14ac:dyDescent="0.2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3.3333333333333333E-2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pans="1:15" s="33" customFormat="1" x14ac:dyDescent="0.2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2.8571428571428571E-2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pans="1:15" s="33" customFormat="1" x14ac:dyDescent="0.2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2.5000000000000001E-2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pans="1:15" s="33" customFormat="1" x14ac:dyDescent="0.2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1.6666666666666666E-2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pans="1:15" s="33" customFormat="1" x14ac:dyDescent="0.2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pans="1:15" s="34" customFormat="1" x14ac:dyDescent="0.2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1.5873015873015872E-2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pans="1:15" s="34" customFormat="1" x14ac:dyDescent="0.2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1.2500000000000001E-2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pans="1:15" s="34" customFormat="1" x14ac:dyDescent="0.2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1.5873015873015872E-2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pans="1:15" s="34" customFormat="1" x14ac:dyDescent="0.2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1.5873015873015872E-2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pans="1:15" s="34" customFormat="1" x14ac:dyDescent="0.2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pans="1:15" s="34" customFormat="1" x14ac:dyDescent="0.2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1.1904761904761904E-2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pans="1:15" s="34" customFormat="1" x14ac:dyDescent="0.2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9.5238095238095247E-3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pans="1:15" s="34" customFormat="1" x14ac:dyDescent="0.2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9.5238095238095247E-3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pans="1:15" s="35" customFormat="1" x14ac:dyDescent="0.2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pans="1:15" s="35" customFormat="1" x14ac:dyDescent="0.2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3.3333333333333335E-3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pans="1:15" s="35" customFormat="1" x14ac:dyDescent="0.2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5.0000000000000001E-3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pans="1:15" s="35" customFormat="1" x14ac:dyDescent="0.2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4.0000000000000001E-3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pans="1:15" s="35" customFormat="1" x14ac:dyDescent="0.2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5.0000000000000001E-3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pans="1:15" s="35" customFormat="1" x14ac:dyDescent="0.2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3.3333333333333335E-3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pans="1:15" s="35" customFormat="1" x14ac:dyDescent="0.2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5.0000000000000001E-3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pans="1:15" s="35" customFormat="1" x14ac:dyDescent="0.2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3.3333333333333335E-3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pans="1:15" s="35" customFormat="1" x14ac:dyDescent="0.2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3.3333333333333335E-3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pans="1:15" s="35" customFormat="1" x14ac:dyDescent="0.2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pans="1:15" s="27" customFormat="1" x14ac:dyDescent="0.2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9.8039215686274508E-3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pans="1:15" s="27" customFormat="1" x14ac:dyDescent="0.2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9.5238095238095247E-3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pans="1:15" s="27" customFormat="1" x14ac:dyDescent="0.2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3.3112582781456954E-3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pans="1:15" s="27" customFormat="1" x14ac:dyDescent="0.2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4.8543689320388345E-3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pans="1:15" s="36" customFormat="1" x14ac:dyDescent="0.2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pans="1:15" s="27" customFormat="1" x14ac:dyDescent="0.2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4.9504950495049506E-3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pans="1:15" s="36" customFormat="1" x14ac:dyDescent="0.2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pans="1:15" s="36" customFormat="1" x14ac:dyDescent="0.2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pans="1:15" s="37" customFormat="1" x14ac:dyDescent="0.2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5.0000000000000001E-3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pans="1:15" s="37" customFormat="1" x14ac:dyDescent="0.2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3.3333333333333335E-3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pans="1:15" s="37" customFormat="1" x14ac:dyDescent="0.2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2.5000000000000001E-3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pans="1:15" s="37" customFormat="1" x14ac:dyDescent="0.2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2.5000000000000001E-3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pans="1:15" s="37" customFormat="1" x14ac:dyDescent="0.2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pans="1:15" s="31" customFormat="1" x14ac:dyDescent="0.2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2.2222222222222223E-2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pans="1:15" s="33" customFormat="1" x14ac:dyDescent="0.2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2.0833333333333332E-2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pans="1:15" s="33" customFormat="1" x14ac:dyDescent="0.2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pans="1:15" s="33" customFormat="1" x14ac:dyDescent="0.2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1.8181818181818181E-2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pans="1:15" s="33" customFormat="1" x14ac:dyDescent="0.2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1.6666666666666666E-2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pans="1:15" s="33" customFormat="1" x14ac:dyDescent="0.2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1.5384615384615385E-2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pans="1:15" s="33" customFormat="1" x14ac:dyDescent="0.2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1.4285714285714285E-2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pans="1:15" s="33" customFormat="1" x14ac:dyDescent="0.2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1.1111111111111112E-2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pans="1:15" s="34" customFormat="1" x14ac:dyDescent="0.2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1.0752688172043012E-2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pans="1:15" s="34" customFormat="1" x14ac:dyDescent="0.2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1.0752688172043012E-2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pans="1:15" s="34" customFormat="1" x14ac:dyDescent="0.2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7.4074074074074077E-3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pans="1:15" s="34" customFormat="1" x14ac:dyDescent="0.2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8.771929824561403E-3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pans="1:15" s="34" customFormat="1" x14ac:dyDescent="0.2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7.4074074074074077E-3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pans="1:15" s="34" customFormat="1" x14ac:dyDescent="0.2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7.4074074074074077E-3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pans="1:15" s="31" customFormat="1" x14ac:dyDescent="0.2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1.5384615384615385E-2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pans="1:15" s="33" customFormat="1" x14ac:dyDescent="0.2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1.4705882352941176E-2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pans="1:15" s="33" customFormat="1" x14ac:dyDescent="0.2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1.4285714285714285E-2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pans="1:15" s="33" customFormat="1" x14ac:dyDescent="0.2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1.3333333333333334E-2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pans="1:15" s="33" customFormat="1" x14ac:dyDescent="0.2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1.2500000000000001E-2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pans="1:15" s="33" customFormat="1" x14ac:dyDescent="0.2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1.1764705882352941E-2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pans="1:15" s="33" customFormat="1" x14ac:dyDescent="0.2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1.1111111111111112E-2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pans="1:15" s="33" customFormat="1" x14ac:dyDescent="0.2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9.0909090909090905E-3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pans="1:15" s="34" customFormat="1" x14ac:dyDescent="0.2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8.8495575221238937E-3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pans="1:15" s="34" customFormat="1" x14ac:dyDescent="0.2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8.8495575221238937E-3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pans="1:15" s="34" customFormat="1" x14ac:dyDescent="0.2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6.4516129032258064E-3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pans="1:15" s="34" customFormat="1" x14ac:dyDescent="0.2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7.462686567164179E-3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pans="1:15" s="34" customFormat="1" x14ac:dyDescent="0.2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6.4516129032258064E-3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pans="1:15" s="34" customFormat="1" x14ac:dyDescent="0.2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6.4516129032258064E-3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pans="1:15" s="18" customFormat="1" x14ac:dyDescent="0.2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1.3333333333333334E-2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pans="1:15" s="18" customFormat="1" x14ac:dyDescent="0.2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pans="1:15" s="34" customFormat="1" x14ac:dyDescent="0.2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1.5384615384615385E-2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pans="1:15" s="34" customFormat="1" x14ac:dyDescent="0.2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1.5384615384615385E-2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pans="1:15" s="34" customFormat="1" x14ac:dyDescent="0.2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1.5384615384615385E-2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pans="1:15" s="34" customFormat="1" x14ac:dyDescent="0.2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1.1627906976744186E-2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pans="1:15" s="34" customFormat="1" x14ac:dyDescent="0.2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9.3457943925233638E-3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pans="1:15" s="34" customFormat="1" x14ac:dyDescent="0.2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9.3457943925233638E-3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pans="1:15" s="38" customFormat="1" x14ac:dyDescent="0.2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1.4492753623188406E-2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pans="1:15" s="38" customFormat="1" x14ac:dyDescent="0.2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1.4492753623188406E-2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pans="1:15" s="38" customFormat="1" x14ac:dyDescent="0.2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1.4492753623188406E-2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pans="1:15" s="38" customFormat="1" x14ac:dyDescent="0.2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1.1111111111111112E-2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pans="1:15" s="38" customFormat="1" x14ac:dyDescent="0.2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9.0090090090090089E-3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pans="1:15" s="38" customFormat="1" x14ac:dyDescent="0.2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9.0090090090090089E-3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pans="1:15" s="34" customFormat="1" x14ac:dyDescent="0.2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1.5384615384615385E-2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pans="1:15" s="34" customFormat="1" x14ac:dyDescent="0.2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1.5384615384615385E-2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pans="1:15" s="34" customFormat="1" x14ac:dyDescent="0.2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1.5384615384615385E-2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pans="1:15" s="34" customFormat="1" x14ac:dyDescent="0.2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1.1627906976744186E-2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pans="1:15" s="34" customFormat="1" x14ac:dyDescent="0.2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9.3457943925233638E-3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pans="1:15" s="34" customFormat="1" x14ac:dyDescent="0.2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9.3457943925233638E-3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pans="1:15" s="38" customFormat="1" x14ac:dyDescent="0.2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1.5384615384615385E-2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pans="1:15" s="38" customFormat="1" x14ac:dyDescent="0.2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1.5384615384615385E-2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pans="1:15" s="38" customFormat="1" x14ac:dyDescent="0.2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1.5384615384615385E-2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pans="1:15" s="38" customFormat="1" x14ac:dyDescent="0.2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1.1627906976744186E-2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pans="1:15" s="38" customFormat="1" x14ac:dyDescent="0.2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9.3457943925233638E-3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pans="1:15" s="38" customFormat="1" x14ac:dyDescent="0.2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9.3457943925233638E-3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pans="1:15" s="33" customFormat="1" x14ac:dyDescent="0.2">
      <c r="A106" s="48">
        <v>105</v>
      </c>
      <c r="B106" s="45">
        <v>51</v>
      </c>
      <c r="C106" s="45"/>
      <c r="D106" s="89" t="s">
        <v>430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100</v>
      </c>
      <c r="J106" s="33">
        <v>1</v>
      </c>
      <c r="K106" s="33">
        <f>LOOKUP(use_fish!B106,base_fish!A:A,base_fish!G:G)</f>
        <v>0</v>
      </c>
      <c r="L106" s="33">
        <f t="shared" si="24"/>
        <v>100</v>
      </c>
      <c r="M106" s="33">
        <v>1</v>
      </c>
      <c r="N106" s="33">
        <v>2</v>
      </c>
      <c r="O106" s="33">
        <v>1</v>
      </c>
    </row>
    <row r="107" spans="1:15" s="33" customFormat="1" x14ac:dyDescent="0.2">
      <c r="A107" s="48">
        <v>106</v>
      </c>
      <c r="B107" s="45">
        <v>52</v>
      </c>
      <c r="C107" s="45"/>
      <c r="D107" s="89" t="s">
        <v>431</v>
      </c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100</v>
      </c>
      <c r="J107" s="33">
        <v>1</v>
      </c>
      <c r="K107" s="33">
        <f>LOOKUP(use_fish!B107,base_fish!A:A,base_fish!G:G)</f>
        <v>0</v>
      </c>
      <c r="L107" s="33">
        <f t="shared" si="24"/>
        <v>100</v>
      </c>
      <c r="M107" s="33">
        <v>1</v>
      </c>
      <c r="N107" s="33">
        <v>2</v>
      </c>
      <c r="O107" s="33">
        <v>1</v>
      </c>
    </row>
    <row r="108" spans="1:15" s="33" customFormat="1" x14ac:dyDescent="0.2">
      <c r="A108" s="48">
        <v>107</v>
      </c>
      <c r="B108" s="45">
        <v>53</v>
      </c>
      <c r="C108" s="45"/>
      <c r="D108" s="89" t="s">
        <v>432</v>
      </c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100</v>
      </c>
      <c r="J108" s="33">
        <v>1</v>
      </c>
      <c r="K108" s="33">
        <f>LOOKUP(use_fish!B108,base_fish!A:A,base_fish!G:G)</f>
        <v>0</v>
      </c>
      <c r="L108" s="33">
        <f t="shared" si="24"/>
        <v>100</v>
      </c>
      <c r="M108" s="33">
        <v>1</v>
      </c>
      <c r="N108" s="33">
        <v>2</v>
      </c>
      <c r="O108" s="33">
        <v>1</v>
      </c>
    </row>
    <row r="109" spans="1:15" s="33" customFormat="1" x14ac:dyDescent="0.2">
      <c r="A109" s="48">
        <v>108</v>
      </c>
      <c r="B109" s="45">
        <v>54</v>
      </c>
      <c r="C109" s="45"/>
      <c r="D109" s="89" t="s">
        <v>432</v>
      </c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100</v>
      </c>
      <c r="J109" s="33">
        <v>1</v>
      </c>
      <c r="K109" s="33">
        <f>LOOKUP(use_fish!B109,base_fish!A:A,base_fish!G:G)</f>
        <v>0</v>
      </c>
      <c r="L109" s="33">
        <f t="shared" si="24"/>
        <v>100</v>
      </c>
      <c r="M109" s="33">
        <v>1</v>
      </c>
      <c r="N109" s="33">
        <v>2</v>
      </c>
      <c r="O109" s="33">
        <v>1</v>
      </c>
    </row>
    <row r="110" spans="1:15" s="33" customFormat="1" x14ac:dyDescent="0.2">
      <c r="A110" s="48">
        <v>109</v>
      </c>
      <c r="B110" s="45">
        <v>55</v>
      </c>
      <c r="C110" s="45"/>
      <c r="D110" s="89" t="s">
        <v>433</v>
      </c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100</v>
      </c>
      <c r="J110" s="33">
        <v>1</v>
      </c>
      <c r="K110" s="33">
        <f>LOOKUP(use_fish!B110,base_fish!A:A,base_fish!G:G)</f>
        <v>0</v>
      </c>
      <c r="L110" s="33">
        <f t="shared" si="24"/>
        <v>100</v>
      </c>
      <c r="M110" s="33">
        <v>1</v>
      </c>
      <c r="N110" s="33">
        <v>2</v>
      </c>
      <c r="O110" s="33">
        <v>1</v>
      </c>
    </row>
    <row r="111" spans="1:15" s="18" customFormat="1" x14ac:dyDescent="0.2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5.0000000000000001E-3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pans="1:15" s="18" customFormat="1" x14ac:dyDescent="0.2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 x14ac:dyDescent="0.2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4.0000000000000001E-3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5">
        <v>1</v>
      </c>
      <c r="K113" s="75">
        <f>LOOKUP(use_fish!B113,base_fish!A:A,base_fish!G:G)</f>
        <v>0</v>
      </c>
      <c r="L113" s="75">
        <f t="shared" si="24"/>
        <v>250</v>
      </c>
      <c r="M113" s="75">
        <v>1</v>
      </c>
      <c r="N113" s="75">
        <v>1</v>
      </c>
      <c r="O113" s="75">
        <v>1</v>
      </c>
    </row>
    <row r="114" spans="1:15" x14ac:dyDescent="0.2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2.8571428571428571E-3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5">
        <v>1</v>
      </c>
      <c r="K114" s="75">
        <f>LOOKUP(use_fish!B114,base_fish!A:A,base_fish!G:G)</f>
        <v>0</v>
      </c>
      <c r="L114" s="75">
        <f t="shared" si="24"/>
        <v>350</v>
      </c>
      <c r="M114" s="75">
        <v>1</v>
      </c>
      <c r="N114" s="75">
        <v>1</v>
      </c>
      <c r="O114" s="75">
        <v>1</v>
      </c>
    </row>
    <row r="115" spans="1:15" x14ac:dyDescent="0.2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2.2222222222222222E-3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5">
        <v>1</v>
      </c>
      <c r="K115" s="75">
        <f>LOOKUP(use_fish!B115,base_fish!A:A,base_fish!G:G)</f>
        <v>0</v>
      </c>
      <c r="L115" s="75">
        <f t="shared" si="24"/>
        <v>450</v>
      </c>
      <c r="M115" s="75">
        <v>1</v>
      </c>
      <c r="N115" s="75">
        <v>1</v>
      </c>
      <c r="O115" s="75">
        <v>1</v>
      </c>
    </row>
    <row r="116" spans="1:15" x14ac:dyDescent="0.2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5">
        <v>1</v>
      </c>
      <c r="K116" s="75">
        <f>LOOKUP(use_fish!B116,base_fish!A:A,base_fish!G:G)</f>
        <v>0</v>
      </c>
      <c r="L116" s="75">
        <f t="shared" si="24"/>
        <v>30</v>
      </c>
      <c r="M116" s="75">
        <v>1</v>
      </c>
      <c r="N116" s="75">
        <v>0</v>
      </c>
      <c r="O116" s="75">
        <v>1</v>
      </c>
    </row>
    <row r="117" spans="1:15" x14ac:dyDescent="0.2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2.8571428571428571E-2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5">
        <v>1</v>
      </c>
      <c r="K117" s="75">
        <f>LOOKUP(use_fish!B117,base_fish!A:A,base_fish!G:G)</f>
        <v>0</v>
      </c>
      <c r="L117" s="75">
        <f t="shared" si="24"/>
        <v>35</v>
      </c>
      <c r="M117" s="75">
        <v>1</v>
      </c>
      <c r="N117" s="75">
        <v>0</v>
      </c>
      <c r="O117" s="75">
        <v>1</v>
      </c>
    </row>
    <row r="118" spans="1:15" x14ac:dyDescent="0.2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2.5000000000000001E-2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5">
        <v>1</v>
      </c>
      <c r="K118" s="75">
        <f>LOOKUP(use_fish!B118,base_fish!A:A,base_fish!G:G)</f>
        <v>0</v>
      </c>
      <c r="L118" s="75">
        <f t="shared" si="24"/>
        <v>40</v>
      </c>
      <c r="M118" s="75">
        <v>1</v>
      </c>
      <c r="N118" s="75">
        <v>0</v>
      </c>
      <c r="O118" s="75">
        <v>1</v>
      </c>
    </row>
    <row r="119" spans="1:15" x14ac:dyDescent="0.2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2.2222222222222223E-2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5">
        <v>1</v>
      </c>
      <c r="K119" s="75">
        <f>LOOKUP(use_fish!B119,base_fish!A:A,base_fish!G:G)</f>
        <v>0</v>
      </c>
      <c r="L119" s="75">
        <f t="shared" si="24"/>
        <v>45</v>
      </c>
      <c r="M119" s="75">
        <v>1</v>
      </c>
      <c r="N119" s="75">
        <v>0</v>
      </c>
      <c r="O119" s="75">
        <v>1</v>
      </c>
    </row>
    <row r="120" spans="1:15" x14ac:dyDescent="0.2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5">
        <v>1</v>
      </c>
      <c r="K120" s="75">
        <f>LOOKUP(use_fish!B120,base_fish!A:A,base_fish!G:G)</f>
        <v>0</v>
      </c>
      <c r="L120" s="75">
        <f t="shared" si="24"/>
        <v>50</v>
      </c>
      <c r="M120" s="75">
        <v>1</v>
      </c>
      <c r="N120" s="75">
        <v>0</v>
      </c>
      <c r="O120" s="75">
        <v>1</v>
      </c>
    </row>
    <row r="121" spans="1:15" x14ac:dyDescent="0.2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1.4285714285714285E-2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5">
        <v>1</v>
      </c>
      <c r="K121" s="75">
        <f>LOOKUP(use_fish!B121,base_fish!A:A,base_fish!G:G)</f>
        <v>0</v>
      </c>
      <c r="L121" s="75">
        <f t="shared" si="24"/>
        <v>70</v>
      </c>
      <c r="M121" s="75">
        <v>1</v>
      </c>
      <c r="N121" s="75">
        <v>0</v>
      </c>
      <c r="O121" s="75">
        <v>1</v>
      </c>
    </row>
    <row r="122" spans="1:15" x14ac:dyDescent="0.2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1.4285714285714285E-2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 x14ac:dyDescent="0.2">
      <c r="A123" s="3">
        <v>122</v>
      </c>
      <c r="B123" s="3">
        <v>63</v>
      </c>
      <c r="C123" s="3">
        <v>92</v>
      </c>
      <c r="D123" s="74" t="s">
        <v>192</v>
      </c>
      <c r="E123" s="14">
        <f>LOOKUP(use_fish!B123,base_fish!A:A,base_fish!C:C)+_xlfn.IFNA(INDEX(activity!F:F,MATCH(use_fish!C123,activity!A:A,0)),0)</f>
        <v>0</v>
      </c>
      <c r="F123">
        <v>0</v>
      </c>
      <c r="G123" s="14" t="s">
        <v>178</v>
      </c>
      <c r="H123" t="s">
        <v>193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3"/>
  <sheetViews>
    <sheetView workbookViewId="0">
      <pane ySplit="1" topLeftCell="A65" activePane="bottomLeft" state="frozen"/>
      <selection pane="bottomLeft" activeCell="C96" sqref="C96"/>
    </sheetView>
  </sheetViews>
  <sheetFormatPr defaultColWidth="8.625" defaultRowHeight="14.25" x14ac:dyDescent="0.2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pans="1:11" s="2" customFormat="1" ht="48.75" customHeight="1" x14ac:dyDescent="0.2">
      <c r="A1" s="2" t="s">
        <v>194</v>
      </c>
      <c r="B1" s="2" t="s">
        <v>195</v>
      </c>
      <c r="C1" s="2" t="s">
        <v>196</v>
      </c>
      <c r="D1" s="2" t="s">
        <v>197</v>
      </c>
      <c r="E1" s="2" t="s">
        <v>198</v>
      </c>
      <c r="F1" s="2" t="s">
        <v>199</v>
      </c>
      <c r="G1" s="2" t="s">
        <v>200</v>
      </c>
      <c r="H1" s="2" t="s">
        <v>201</v>
      </c>
      <c r="I1" s="2" t="s">
        <v>201</v>
      </c>
      <c r="K1" s="2" t="s">
        <v>202</v>
      </c>
    </row>
    <row r="2" spans="1:11" x14ac:dyDescent="0.2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203</v>
      </c>
      <c r="K2" t="s">
        <v>204</v>
      </c>
    </row>
    <row r="3" spans="1:11" x14ac:dyDescent="0.2">
      <c r="A3">
        <v>2</v>
      </c>
      <c r="B3">
        <v>2</v>
      </c>
      <c r="C3" t="s">
        <v>205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206</v>
      </c>
      <c r="K3" s="24">
        <v>0.1</v>
      </c>
    </row>
    <row r="4" spans="1:11" x14ac:dyDescent="0.2">
      <c r="A4">
        <v>3</v>
      </c>
      <c r="B4">
        <v>3</v>
      </c>
      <c r="C4" t="s">
        <v>205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207</v>
      </c>
    </row>
    <row r="5" spans="1:11" x14ac:dyDescent="0.2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208</v>
      </c>
    </row>
    <row r="6" spans="1:11" x14ac:dyDescent="0.2">
      <c r="A6">
        <v>5</v>
      </c>
      <c r="B6">
        <v>5</v>
      </c>
      <c r="C6" t="s">
        <v>209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210</v>
      </c>
    </row>
    <row r="7" spans="1:11" x14ac:dyDescent="0.2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211</v>
      </c>
    </row>
    <row r="8" spans="1:11" x14ac:dyDescent="0.2">
      <c r="A8">
        <v>7</v>
      </c>
      <c r="B8">
        <v>1</v>
      </c>
      <c r="C8" t="s">
        <v>209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212</v>
      </c>
    </row>
    <row r="9" spans="1:11" x14ac:dyDescent="0.2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213</v>
      </c>
    </row>
    <row r="10" spans="1:11" x14ac:dyDescent="0.2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11" x14ac:dyDescent="0.2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214</v>
      </c>
    </row>
    <row r="12" spans="1:11" x14ac:dyDescent="0.2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215</v>
      </c>
    </row>
    <row r="13" spans="1:11" x14ac:dyDescent="0.2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216</v>
      </c>
    </row>
    <row r="14" spans="1:11" x14ac:dyDescent="0.2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217</v>
      </c>
    </row>
    <row r="15" spans="1:11" x14ac:dyDescent="0.2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218</v>
      </c>
    </row>
    <row r="16" spans="1:11" x14ac:dyDescent="0.2">
      <c r="A16">
        <v>15</v>
      </c>
      <c r="B16">
        <v>9</v>
      </c>
      <c r="C16" t="s">
        <v>219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220</v>
      </c>
    </row>
    <row r="17" spans="1:9" x14ac:dyDescent="0.2">
      <c r="A17">
        <v>16</v>
      </c>
      <c r="B17">
        <v>9</v>
      </c>
      <c r="C17" t="s">
        <v>219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221</v>
      </c>
    </row>
    <row r="18" spans="1:9" x14ac:dyDescent="0.2">
      <c r="A18">
        <v>17</v>
      </c>
      <c r="B18">
        <v>10</v>
      </c>
      <c r="C18" s="88" t="s">
        <v>222</v>
      </c>
      <c r="D18" s="5">
        <v>0</v>
      </c>
      <c r="E18" s="5">
        <v>0</v>
      </c>
      <c r="F18">
        <v>150</v>
      </c>
      <c r="G18" t="s">
        <v>223</v>
      </c>
      <c r="H18">
        <v>22</v>
      </c>
      <c r="I18" t="s">
        <v>224</v>
      </c>
    </row>
    <row r="19" spans="1:9" x14ac:dyDescent="0.2">
      <c r="A19">
        <v>18</v>
      </c>
      <c r="B19">
        <v>18</v>
      </c>
      <c r="C19" t="s">
        <v>225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226</v>
      </c>
    </row>
    <row r="20" spans="1:9" x14ac:dyDescent="0.2">
      <c r="A20">
        <v>19</v>
      </c>
      <c r="B20">
        <v>17</v>
      </c>
      <c r="C20" s="20" t="s">
        <v>227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228</v>
      </c>
    </row>
    <row r="21" spans="1:9" x14ac:dyDescent="0.2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229</v>
      </c>
    </row>
    <row r="22" spans="1:9" x14ac:dyDescent="0.2">
      <c r="A22">
        <v>21</v>
      </c>
      <c r="B22">
        <v>20</v>
      </c>
      <c r="C22" s="20" t="s">
        <v>230</v>
      </c>
      <c r="D22" s="5">
        <v>0</v>
      </c>
      <c r="E22" s="5">
        <v>0</v>
      </c>
      <c r="F22">
        <v>50</v>
      </c>
      <c r="G22" t="s">
        <v>231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20" t="s">
        <v>233</v>
      </c>
      <c r="D23" s="5">
        <v>0</v>
      </c>
      <c r="E23" s="5">
        <v>0</v>
      </c>
      <c r="F23">
        <v>150</v>
      </c>
      <c r="G23" t="s">
        <v>234</v>
      </c>
      <c r="H23">
        <v>27</v>
      </c>
      <c r="I23" t="s">
        <v>235</v>
      </c>
    </row>
    <row r="24" spans="1:9" x14ac:dyDescent="0.2">
      <c r="A24">
        <v>23</v>
      </c>
      <c r="B24">
        <v>20</v>
      </c>
      <c r="C24" s="20" t="s">
        <v>236</v>
      </c>
      <c r="D24" s="5">
        <v>0</v>
      </c>
      <c r="E24" s="5">
        <v>0</v>
      </c>
      <c r="F24">
        <v>250</v>
      </c>
      <c r="G24" t="s">
        <v>237</v>
      </c>
      <c r="H24">
        <v>28</v>
      </c>
      <c r="I24" t="s">
        <v>238</v>
      </c>
    </row>
    <row r="25" spans="1:9" x14ac:dyDescent="0.2">
      <c r="A25">
        <v>24</v>
      </c>
      <c r="B25">
        <v>20</v>
      </c>
      <c r="C25" s="20" t="s">
        <v>239</v>
      </c>
      <c r="D25" s="5">
        <v>0</v>
      </c>
      <c r="E25" s="5">
        <v>0</v>
      </c>
      <c r="F25">
        <v>450</v>
      </c>
      <c r="G25" t="s">
        <v>240</v>
      </c>
      <c r="H25">
        <v>29</v>
      </c>
      <c r="I25" t="s">
        <v>241</v>
      </c>
    </row>
    <row r="26" spans="1:9" x14ac:dyDescent="0.2">
      <c r="A26">
        <v>25</v>
      </c>
      <c r="B26">
        <v>21</v>
      </c>
      <c r="C26" s="20" t="s">
        <v>242</v>
      </c>
      <c r="D26" s="5">
        <v>0</v>
      </c>
      <c r="E26" s="5">
        <v>1</v>
      </c>
      <c r="F26">
        <v>5</v>
      </c>
      <c r="G26" t="s">
        <v>243</v>
      </c>
      <c r="H26">
        <v>30</v>
      </c>
      <c r="I26" t="s">
        <v>244</v>
      </c>
    </row>
    <row r="27" spans="1:9" x14ac:dyDescent="0.2">
      <c r="A27">
        <v>26</v>
      </c>
      <c r="B27">
        <v>21</v>
      </c>
      <c r="C27" s="20" t="s">
        <v>245</v>
      </c>
      <c r="D27" s="5">
        <v>0</v>
      </c>
      <c r="E27" s="5">
        <v>1</v>
      </c>
      <c r="F27">
        <v>2</v>
      </c>
      <c r="G27" t="s">
        <v>246</v>
      </c>
      <c r="H27">
        <v>31</v>
      </c>
      <c r="I27" t="s">
        <v>247</v>
      </c>
    </row>
    <row r="28" spans="1:9" x14ac:dyDescent="0.2">
      <c r="A28">
        <v>27</v>
      </c>
      <c r="B28">
        <v>21</v>
      </c>
      <c r="C28" s="20" t="s">
        <v>248</v>
      </c>
      <c r="D28" s="5">
        <v>0</v>
      </c>
      <c r="E28" s="5">
        <v>1</v>
      </c>
      <c r="F28">
        <v>6</v>
      </c>
      <c r="G28" t="s">
        <v>249</v>
      </c>
      <c r="H28">
        <v>32</v>
      </c>
      <c r="I28" t="s">
        <v>250</v>
      </c>
    </row>
    <row r="29" spans="1:9" x14ac:dyDescent="0.2">
      <c r="A29">
        <v>28</v>
      </c>
      <c r="B29">
        <v>22</v>
      </c>
      <c r="C29" s="20" t="s">
        <v>251</v>
      </c>
      <c r="D29" s="5">
        <v>0</v>
      </c>
      <c r="E29" s="5">
        <v>0</v>
      </c>
      <c r="F29">
        <v>100</v>
      </c>
      <c r="G29" t="s">
        <v>252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254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20" t="s">
        <v>256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258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259</v>
      </c>
    </row>
    <row r="33" spans="1:9" x14ac:dyDescent="0.2">
      <c r="A33">
        <v>32</v>
      </c>
      <c r="B33">
        <v>28</v>
      </c>
      <c r="C33" s="20" t="s">
        <v>258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260</v>
      </c>
    </row>
    <row r="34" spans="1:9" x14ac:dyDescent="0.2">
      <c r="A34">
        <v>33</v>
      </c>
      <c r="B34">
        <v>29</v>
      </c>
      <c r="C34" t="s">
        <v>261</v>
      </c>
      <c r="D34" s="5">
        <v>0</v>
      </c>
      <c r="E34" s="5">
        <v>0</v>
      </c>
      <c r="F34">
        <v>300</v>
      </c>
      <c r="G34" t="s">
        <v>241</v>
      </c>
      <c r="H34">
        <v>42</v>
      </c>
      <c r="I34" t="s">
        <v>262</v>
      </c>
    </row>
    <row r="35" spans="1:9" x14ac:dyDescent="0.2">
      <c r="A35">
        <v>34</v>
      </c>
      <c r="B35">
        <v>30</v>
      </c>
      <c r="C35" s="20" t="s">
        <v>263</v>
      </c>
      <c r="D35" s="5">
        <v>0</v>
      </c>
      <c r="E35" s="5">
        <v>0</v>
      </c>
      <c r="F35">
        <v>150</v>
      </c>
      <c r="G35" t="s">
        <v>244</v>
      </c>
      <c r="H35">
        <v>43</v>
      </c>
      <c r="I35" t="s">
        <v>264</v>
      </c>
    </row>
    <row r="36" spans="1:9" x14ac:dyDescent="0.2">
      <c r="A36">
        <v>35</v>
      </c>
      <c r="B36">
        <v>31</v>
      </c>
      <c r="C36" t="s">
        <v>265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266</v>
      </c>
    </row>
    <row r="37" spans="1:9" x14ac:dyDescent="0.2">
      <c r="A37">
        <v>36</v>
      </c>
      <c r="B37">
        <v>32</v>
      </c>
      <c r="C37" s="20" t="s">
        <v>267</v>
      </c>
      <c r="D37" s="5">
        <v>0</v>
      </c>
      <c r="E37" s="5">
        <v>0</v>
      </c>
      <c r="F37">
        <v>300</v>
      </c>
      <c r="G37" t="s">
        <v>250</v>
      </c>
      <c r="H37">
        <v>45</v>
      </c>
      <c r="I37" t="s">
        <v>268</v>
      </c>
    </row>
    <row r="38" spans="1:9" x14ac:dyDescent="0.2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253</v>
      </c>
      <c r="H38">
        <v>46</v>
      </c>
      <c r="I38" t="s">
        <v>269</v>
      </c>
    </row>
    <row r="39" spans="1:9" x14ac:dyDescent="0.2">
      <c r="A39">
        <v>38</v>
      </c>
      <c r="B39">
        <v>38</v>
      </c>
      <c r="C39" t="s">
        <v>270</v>
      </c>
      <c r="D39" s="5">
        <v>0</v>
      </c>
      <c r="E39" s="5">
        <v>0</v>
      </c>
      <c r="F39">
        <v>250</v>
      </c>
      <c r="G39" t="s">
        <v>271</v>
      </c>
      <c r="H39">
        <v>47</v>
      </c>
      <c r="I39" t="s">
        <v>272</v>
      </c>
    </row>
    <row r="40" spans="1:9" x14ac:dyDescent="0.2">
      <c r="A40">
        <v>39</v>
      </c>
      <c r="B40">
        <v>39</v>
      </c>
      <c r="C40" t="s">
        <v>270</v>
      </c>
      <c r="D40" s="5">
        <v>0</v>
      </c>
      <c r="E40" s="5">
        <v>0</v>
      </c>
      <c r="F40">
        <v>250</v>
      </c>
      <c r="G40" t="s">
        <v>257</v>
      </c>
    </row>
    <row r="41" spans="1:9" x14ac:dyDescent="0.2">
      <c r="A41">
        <v>40</v>
      </c>
      <c r="B41">
        <v>21</v>
      </c>
      <c r="C41" s="20" t="s">
        <v>273</v>
      </c>
      <c r="D41" s="5">
        <v>0</v>
      </c>
      <c r="E41" s="5">
        <v>1</v>
      </c>
      <c r="F41">
        <v>2</v>
      </c>
      <c r="G41" t="s">
        <v>274</v>
      </c>
    </row>
    <row r="42" spans="1:9" x14ac:dyDescent="0.2">
      <c r="A42">
        <v>41</v>
      </c>
      <c r="B42">
        <v>21</v>
      </c>
      <c r="C42" s="20" t="s">
        <v>275</v>
      </c>
      <c r="D42" s="5">
        <v>0</v>
      </c>
      <c r="E42" s="5">
        <v>1</v>
      </c>
      <c r="F42">
        <v>2</v>
      </c>
      <c r="G42" t="s">
        <v>276</v>
      </c>
    </row>
    <row r="43" spans="1:9" x14ac:dyDescent="0.2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208</v>
      </c>
    </row>
    <row r="44" spans="1:9" x14ac:dyDescent="0.2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210</v>
      </c>
    </row>
    <row r="45" spans="1:9" s="16" customFormat="1" x14ac:dyDescent="0.2">
      <c r="A45" s="16">
        <v>44</v>
      </c>
      <c r="B45" s="16">
        <v>9</v>
      </c>
      <c r="C45" s="16" t="s">
        <v>277</v>
      </c>
      <c r="D45" s="5" t="s">
        <v>278</v>
      </c>
      <c r="E45" s="5">
        <v>1</v>
      </c>
      <c r="F45" s="16">
        <v>200</v>
      </c>
      <c r="G45" s="16" t="s">
        <v>27</v>
      </c>
    </row>
    <row r="46" spans="1:9" s="16" customFormat="1" x14ac:dyDescent="0.2">
      <c r="A46" s="16">
        <v>45</v>
      </c>
      <c r="B46" s="16">
        <v>9</v>
      </c>
      <c r="C46" s="16" t="s">
        <v>279</v>
      </c>
      <c r="D46" s="5">
        <v>1</v>
      </c>
      <c r="E46" s="5">
        <v>1</v>
      </c>
      <c r="F46" s="16">
        <v>60</v>
      </c>
      <c r="G46" s="16" t="s">
        <v>27</v>
      </c>
    </row>
    <row r="47" spans="1:9" s="16" customFormat="1" x14ac:dyDescent="0.2">
      <c r="A47" s="16">
        <v>46</v>
      </c>
      <c r="B47" s="16">
        <v>9</v>
      </c>
      <c r="C47" s="16" t="s">
        <v>280</v>
      </c>
      <c r="D47" s="5">
        <v>1</v>
      </c>
      <c r="E47" s="5">
        <v>1</v>
      </c>
      <c r="F47" s="16">
        <v>40</v>
      </c>
      <c r="G47" s="16" t="s">
        <v>27</v>
      </c>
    </row>
    <row r="48" spans="1:9" s="16" customFormat="1" x14ac:dyDescent="0.2">
      <c r="A48" s="16">
        <v>47</v>
      </c>
      <c r="B48" s="16">
        <v>9</v>
      </c>
      <c r="C48" s="16" t="s">
        <v>281</v>
      </c>
      <c r="D48" s="5">
        <v>1</v>
      </c>
      <c r="E48" s="5">
        <v>1</v>
      </c>
      <c r="F48" s="16">
        <v>30</v>
      </c>
      <c r="G48" s="16" t="s">
        <v>27</v>
      </c>
    </row>
    <row r="49" spans="1:7" s="16" customFormat="1" x14ac:dyDescent="0.2">
      <c r="A49" s="16">
        <v>48</v>
      </c>
      <c r="B49" s="16">
        <v>9</v>
      </c>
      <c r="C49" s="16" t="s">
        <v>282</v>
      </c>
      <c r="D49" s="5">
        <v>1</v>
      </c>
      <c r="E49" s="5">
        <v>1</v>
      </c>
      <c r="F49" s="16">
        <v>20</v>
      </c>
      <c r="G49" s="16" t="s">
        <v>27</v>
      </c>
    </row>
    <row r="50" spans="1:7" x14ac:dyDescent="0.2">
      <c r="A50" s="16">
        <v>49</v>
      </c>
      <c r="B50" s="16">
        <v>9</v>
      </c>
      <c r="C50" s="16" t="s">
        <v>283</v>
      </c>
      <c r="D50" s="5">
        <v>0</v>
      </c>
      <c r="E50" s="5">
        <v>1</v>
      </c>
      <c r="F50" s="16">
        <v>75</v>
      </c>
      <c r="G50" s="16" t="s">
        <v>27</v>
      </c>
    </row>
    <row r="51" spans="1:7" x14ac:dyDescent="0.2">
      <c r="A51" s="16">
        <v>50</v>
      </c>
      <c r="B51" s="16">
        <v>9</v>
      </c>
      <c r="C51" s="16" t="s">
        <v>284</v>
      </c>
      <c r="D51" s="5">
        <v>0</v>
      </c>
      <c r="E51" s="5">
        <v>1</v>
      </c>
      <c r="F51" s="16">
        <v>150</v>
      </c>
      <c r="G51" s="16" t="s">
        <v>27</v>
      </c>
    </row>
    <row r="52" spans="1:7" x14ac:dyDescent="0.2">
      <c r="A52" s="16">
        <v>51</v>
      </c>
      <c r="B52" s="16">
        <v>9</v>
      </c>
      <c r="C52" s="16" t="s">
        <v>285</v>
      </c>
      <c r="D52" s="5">
        <v>0</v>
      </c>
      <c r="E52" s="5">
        <v>1</v>
      </c>
      <c r="F52" s="16">
        <v>250</v>
      </c>
      <c r="G52" s="16" t="s">
        <v>27</v>
      </c>
    </row>
    <row r="53" spans="1:7" x14ac:dyDescent="0.2">
      <c r="A53" s="16">
        <v>52</v>
      </c>
      <c r="B53" s="16">
        <v>9</v>
      </c>
      <c r="C53" s="16" t="s">
        <v>279</v>
      </c>
      <c r="D53" s="5">
        <v>1</v>
      </c>
      <c r="E53" s="5">
        <v>1</v>
      </c>
      <c r="F53" s="16">
        <v>60</v>
      </c>
      <c r="G53" s="16" t="s">
        <v>27</v>
      </c>
    </row>
    <row r="54" spans="1:7" x14ac:dyDescent="0.2">
      <c r="A54" s="16">
        <v>53</v>
      </c>
      <c r="B54" s="16">
        <v>9</v>
      </c>
      <c r="C54" s="16" t="s">
        <v>280</v>
      </c>
      <c r="D54" s="5">
        <v>1</v>
      </c>
      <c r="E54" s="5">
        <v>1</v>
      </c>
      <c r="F54" s="16">
        <v>40</v>
      </c>
      <c r="G54" s="16" t="s">
        <v>27</v>
      </c>
    </row>
    <row r="55" spans="1:7" x14ac:dyDescent="0.2">
      <c r="A55" s="16">
        <v>54</v>
      </c>
      <c r="B55" s="16">
        <v>9</v>
      </c>
      <c r="C55" s="16" t="s">
        <v>281</v>
      </c>
      <c r="D55" s="5">
        <v>1</v>
      </c>
      <c r="E55" s="5">
        <v>1</v>
      </c>
      <c r="F55" s="16">
        <v>30</v>
      </c>
      <c r="G55" s="16" t="s">
        <v>27</v>
      </c>
    </row>
    <row r="56" spans="1:7" x14ac:dyDescent="0.2">
      <c r="A56" s="16">
        <v>55</v>
      </c>
      <c r="B56" s="16">
        <v>9</v>
      </c>
      <c r="C56" s="16" t="s">
        <v>282</v>
      </c>
      <c r="D56" s="5">
        <v>1</v>
      </c>
      <c r="E56" s="5">
        <v>1</v>
      </c>
      <c r="F56" s="16">
        <v>20</v>
      </c>
      <c r="G56" s="16" t="s">
        <v>27</v>
      </c>
    </row>
    <row r="57" spans="1:7" x14ac:dyDescent="0.2">
      <c r="A57" s="22">
        <v>56</v>
      </c>
      <c r="B57" s="22">
        <v>9</v>
      </c>
      <c r="C57" s="22" t="s">
        <v>286</v>
      </c>
      <c r="D57" s="23">
        <v>0</v>
      </c>
      <c r="E57" s="23">
        <v>1</v>
      </c>
      <c r="F57" s="22">
        <v>75</v>
      </c>
      <c r="G57" s="22" t="s">
        <v>27</v>
      </c>
    </row>
    <row r="58" spans="1:7" x14ac:dyDescent="0.2">
      <c r="A58" s="22">
        <v>57</v>
      </c>
      <c r="B58" s="22">
        <v>9</v>
      </c>
      <c r="C58" s="22" t="s">
        <v>287</v>
      </c>
      <c r="D58" s="23">
        <v>0</v>
      </c>
      <c r="E58" s="23">
        <v>1</v>
      </c>
      <c r="F58" s="22">
        <v>150</v>
      </c>
      <c r="G58" s="22" t="s">
        <v>27</v>
      </c>
    </row>
    <row r="59" spans="1:7" x14ac:dyDescent="0.2">
      <c r="A59" s="22">
        <v>58</v>
      </c>
      <c r="B59" s="22">
        <v>9</v>
      </c>
      <c r="C59" s="22" t="s">
        <v>288</v>
      </c>
      <c r="D59" s="23">
        <v>0</v>
      </c>
      <c r="E59" s="23">
        <v>1</v>
      </c>
      <c r="F59" s="22">
        <v>250</v>
      </c>
      <c r="G59" s="22" t="s">
        <v>27</v>
      </c>
    </row>
    <row r="60" spans="1:7" x14ac:dyDescent="0.2">
      <c r="A60" s="22">
        <v>59</v>
      </c>
      <c r="B60" s="22">
        <v>9</v>
      </c>
      <c r="C60" s="22" t="s">
        <v>289</v>
      </c>
      <c r="D60" s="23">
        <v>1</v>
      </c>
      <c r="E60" s="23">
        <v>1</v>
      </c>
      <c r="F60" s="22">
        <v>10</v>
      </c>
      <c r="G60" s="22" t="s">
        <v>27</v>
      </c>
    </row>
    <row r="61" spans="1:7" x14ac:dyDescent="0.2">
      <c r="A61">
        <v>60</v>
      </c>
      <c r="B61">
        <v>40</v>
      </c>
      <c r="C61" s="20" t="s">
        <v>290</v>
      </c>
      <c r="D61" s="5">
        <v>0</v>
      </c>
      <c r="E61" s="5">
        <v>1</v>
      </c>
      <c r="F61">
        <v>1000000</v>
      </c>
      <c r="G61" t="s">
        <v>291</v>
      </c>
    </row>
    <row r="62" spans="1:7" x14ac:dyDescent="0.2">
      <c r="A62">
        <v>61</v>
      </c>
      <c r="B62">
        <v>41</v>
      </c>
      <c r="C62" s="20" t="s">
        <v>292</v>
      </c>
      <c r="D62" s="5">
        <v>0</v>
      </c>
      <c r="E62" s="5">
        <v>1</v>
      </c>
      <c r="F62">
        <v>5000000</v>
      </c>
      <c r="G62" t="s">
        <v>293</v>
      </c>
    </row>
    <row r="63" spans="1:7" x14ac:dyDescent="0.2">
      <c r="A63">
        <v>62</v>
      </c>
      <c r="B63">
        <v>42</v>
      </c>
      <c r="C63" s="20" t="s">
        <v>294</v>
      </c>
      <c r="D63" s="5">
        <v>0</v>
      </c>
      <c r="E63" s="5">
        <v>1</v>
      </c>
      <c r="F63">
        <v>10000000</v>
      </c>
      <c r="G63" t="s">
        <v>295</v>
      </c>
    </row>
    <row r="64" spans="1:7" x14ac:dyDescent="0.2">
      <c r="A64">
        <v>63</v>
      </c>
      <c r="B64">
        <v>46</v>
      </c>
      <c r="C64" s="20" t="s">
        <v>296</v>
      </c>
      <c r="D64" s="5">
        <v>0</v>
      </c>
      <c r="E64" s="5">
        <v>1</v>
      </c>
      <c r="F64">
        <v>50000000</v>
      </c>
      <c r="G64" t="s">
        <v>297</v>
      </c>
    </row>
    <row r="65" spans="1:7" x14ac:dyDescent="0.2">
      <c r="A65">
        <v>64</v>
      </c>
      <c r="B65">
        <v>47</v>
      </c>
      <c r="C65" s="20" t="s">
        <v>298</v>
      </c>
      <c r="D65" s="5">
        <v>0</v>
      </c>
      <c r="E65" s="5">
        <v>1</v>
      </c>
      <c r="F65">
        <v>100000000</v>
      </c>
      <c r="G65" t="s">
        <v>299</v>
      </c>
    </row>
    <row r="66" spans="1:7" s="17" customFormat="1" x14ac:dyDescent="0.2">
      <c r="A66" s="17">
        <v>65</v>
      </c>
      <c r="B66" s="22">
        <v>9</v>
      </c>
      <c r="C66" s="22" t="s">
        <v>300</v>
      </c>
      <c r="D66" s="23">
        <v>0</v>
      </c>
      <c r="E66" s="23">
        <v>1</v>
      </c>
      <c r="F66" s="22">
        <v>75</v>
      </c>
      <c r="G66" s="22" t="s">
        <v>27</v>
      </c>
    </row>
    <row r="67" spans="1:7" x14ac:dyDescent="0.2">
      <c r="A67">
        <v>66</v>
      </c>
      <c r="B67" s="22">
        <v>9</v>
      </c>
      <c r="C67" s="22" t="s">
        <v>301</v>
      </c>
      <c r="D67" s="23">
        <v>0</v>
      </c>
      <c r="E67" s="23">
        <v>1</v>
      </c>
      <c r="F67" s="22">
        <v>150</v>
      </c>
      <c r="G67" s="22" t="s">
        <v>27</v>
      </c>
    </row>
    <row r="68" spans="1:7" x14ac:dyDescent="0.2">
      <c r="A68">
        <v>67</v>
      </c>
      <c r="B68" s="22">
        <v>9</v>
      </c>
      <c r="C68" s="22" t="s">
        <v>302</v>
      </c>
      <c r="D68" s="23">
        <v>0</v>
      </c>
      <c r="E68" s="23">
        <v>1</v>
      </c>
      <c r="F68" s="22">
        <v>250</v>
      </c>
      <c r="G68" s="22" t="s">
        <v>27</v>
      </c>
    </row>
    <row r="69" spans="1:7" x14ac:dyDescent="0.2">
      <c r="A69">
        <v>68</v>
      </c>
      <c r="B69" s="22">
        <v>9</v>
      </c>
      <c r="C69" s="22" t="s">
        <v>303</v>
      </c>
      <c r="D69" s="23">
        <v>1</v>
      </c>
      <c r="E69" s="23">
        <v>1</v>
      </c>
      <c r="F69" s="22">
        <v>10</v>
      </c>
      <c r="G69" s="22" t="s">
        <v>27</v>
      </c>
    </row>
    <row r="70" spans="1:7" s="18" customFormat="1" x14ac:dyDescent="0.2">
      <c r="A70" s="18">
        <v>69</v>
      </c>
      <c r="B70" s="18">
        <v>9</v>
      </c>
      <c r="C70" s="18" t="s">
        <v>304</v>
      </c>
      <c r="D70" s="25">
        <v>1</v>
      </c>
      <c r="E70" s="25">
        <v>1</v>
      </c>
      <c r="F70" s="18">
        <v>75</v>
      </c>
      <c r="G70" s="18" t="s">
        <v>305</v>
      </c>
    </row>
    <row r="71" spans="1:7" s="19" customFormat="1" x14ac:dyDescent="0.2">
      <c r="A71" s="19">
        <v>70</v>
      </c>
      <c r="B71" s="19">
        <v>9</v>
      </c>
      <c r="C71" s="19" t="s">
        <v>306</v>
      </c>
      <c r="D71" s="26">
        <v>0</v>
      </c>
      <c r="E71" s="26">
        <v>1</v>
      </c>
      <c r="F71" s="19">
        <v>75</v>
      </c>
      <c r="G71" s="19" t="s">
        <v>27</v>
      </c>
    </row>
    <row r="72" spans="1:7" s="19" customFormat="1" x14ac:dyDescent="0.2">
      <c r="A72" s="19">
        <v>71</v>
      </c>
      <c r="B72" s="19">
        <v>9</v>
      </c>
      <c r="C72" s="19" t="s">
        <v>307</v>
      </c>
      <c r="D72" s="26">
        <v>0</v>
      </c>
      <c r="E72" s="26">
        <v>1</v>
      </c>
      <c r="F72" s="19">
        <v>150</v>
      </c>
      <c r="G72" s="19" t="s">
        <v>27</v>
      </c>
    </row>
    <row r="73" spans="1:7" s="19" customFormat="1" x14ac:dyDescent="0.2">
      <c r="A73" s="19">
        <v>72</v>
      </c>
      <c r="B73" s="19">
        <v>9</v>
      </c>
      <c r="C73" s="19" t="s">
        <v>308</v>
      </c>
      <c r="D73" s="26">
        <v>0</v>
      </c>
      <c r="E73" s="26">
        <v>1</v>
      </c>
      <c r="F73" s="19">
        <v>250</v>
      </c>
      <c r="G73" s="19" t="s">
        <v>27</v>
      </c>
    </row>
    <row r="74" spans="1:7" s="19" customFormat="1" x14ac:dyDescent="0.2">
      <c r="A74" s="19">
        <v>73</v>
      </c>
      <c r="B74" s="19">
        <v>9</v>
      </c>
      <c r="C74" s="19" t="s">
        <v>309</v>
      </c>
      <c r="D74" s="26">
        <v>1</v>
      </c>
      <c r="E74" s="26">
        <v>1</v>
      </c>
      <c r="F74" s="19">
        <v>10</v>
      </c>
      <c r="G74" s="19" t="s">
        <v>27</v>
      </c>
    </row>
    <row r="75" spans="1:7" x14ac:dyDescent="0.2">
      <c r="A75" s="27">
        <v>74</v>
      </c>
      <c r="B75" s="27">
        <v>9</v>
      </c>
      <c r="C75" s="27" t="s">
        <v>310</v>
      </c>
      <c r="D75" s="28">
        <v>0</v>
      </c>
      <c r="E75" s="28">
        <v>1</v>
      </c>
      <c r="F75" s="27">
        <v>150</v>
      </c>
      <c r="G75" s="27" t="s">
        <v>27</v>
      </c>
    </row>
    <row r="76" spans="1:7" x14ac:dyDescent="0.2">
      <c r="A76" s="27">
        <v>75</v>
      </c>
      <c r="B76" s="27">
        <v>9</v>
      </c>
      <c r="C76" s="27" t="s">
        <v>311</v>
      </c>
      <c r="D76" s="28">
        <v>0</v>
      </c>
      <c r="E76" s="28">
        <v>1</v>
      </c>
      <c r="F76" s="27">
        <v>250</v>
      </c>
      <c r="G76" s="27" t="s">
        <v>27</v>
      </c>
    </row>
    <row r="77" spans="1:7" x14ac:dyDescent="0.2">
      <c r="A77" s="27">
        <v>76</v>
      </c>
      <c r="B77" s="27">
        <v>9</v>
      </c>
      <c r="C77" s="27" t="s">
        <v>312</v>
      </c>
      <c r="D77" s="28">
        <v>0</v>
      </c>
      <c r="E77" s="28">
        <v>1</v>
      </c>
      <c r="F77" s="27">
        <v>350</v>
      </c>
      <c r="G77" s="27" t="s">
        <v>27</v>
      </c>
    </row>
    <row r="78" spans="1:7" x14ac:dyDescent="0.2">
      <c r="A78" s="27">
        <v>77</v>
      </c>
      <c r="B78" s="27">
        <v>9</v>
      </c>
      <c r="C78" s="27" t="s">
        <v>313</v>
      </c>
      <c r="D78" s="28">
        <v>1</v>
      </c>
      <c r="E78" s="28">
        <v>1</v>
      </c>
      <c r="F78" s="27">
        <v>10</v>
      </c>
      <c r="G78" s="27" t="s">
        <v>27</v>
      </c>
    </row>
    <row r="79" spans="1:7" x14ac:dyDescent="0.2">
      <c r="A79" s="16">
        <v>78</v>
      </c>
      <c r="B79" s="16">
        <v>9</v>
      </c>
      <c r="C79" s="16" t="s">
        <v>314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 x14ac:dyDescent="0.2">
      <c r="A80" s="16">
        <v>79</v>
      </c>
      <c r="B80" s="16">
        <v>9</v>
      </c>
      <c r="C80" s="16" t="s">
        <v>315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 x14ac:dyDescent="0.2">
      <c r="A81" s="16">
        <v>80</v>
      </c>
      <c r="B81" s="16">
        <v>9</v>
      </c>
      <c r="C81" s="16" t="s">
        <v>316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 x14ac:dyDescent="0.2">
      <c r="A82" s="16">
        <v>81</v>
      </c>
      <c r="B82" s="16">
        <v>9</v>
      </c>
      <c r="C82" s="16" t="s">
        <v>317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pans="1:7" s="16" customFormat="1" x14ac:dyDescent="0.2">
      <c r="A83">
        <v>82</v>
      </c>
      <c r="B83" s="29">
        <v>9</v>
      </c>
      <c r="C83" s="29" t="s">
        <v>318</v>
      </c>
      <c r="D83" s="30">
        <v>0</v>
      </c>
      <c r="E83" s="30">
        <v>1</v>
      </c>
      <c r="F83" s="29">
        <v>250</v>
      </c>
      <c r="G83" s="29" t="s">
        <v>27</v>
      </c>
    </row>
    <row r="84" spans="1:7" s="16" customFormat="1" x14ac:dyDescent="0.2">
      <c r="A84">
        <v>83</v>
      </c>
      <c r="B84" s="29">
        <v>9</v>
      </c>
      <c r="C84" s="29" t="s">
        <v>319</v>
      </c>
      <c r="D84" s="30">
        <v>0</v>
      </c>
      <c r="E84" s="30">
        <v>1</v>
      </c>
      <c r="F84" s="29">
        <v>350</v>
      </c>
      <c r="G84" s="29" t="s">
        <v>27</v>
      </c>
    </row>
    <row r="85" spans="1:7" s="16" customFormat="1" x14ac:dyDescent="0.2">
      <c r="A85">
        <v>84</v>
      </c>
      <c r="B85" s="29">
        <v>9</v>
      </c>
      <c r="C85" s="29" t="s">
        <v>320</v>
      </c>
      <c r="D85" s="30">
        <v>0</v>
      </c>
      <c r="E85" s="30">
        <v>1</v>
      </c>
      <c r="F85" s="29">
        <v>450</v>
      </c>
      <c r="G85" s="29" t="s">
        <v>27</v>
      </c>
    </row>
    <row r="86" spans="1:7" s="16" customFormat="1" x14ac:dyDescent="0.2">
      <c r="A86">
        <v>85</v>
      </c>
      <c r="B86" s="29">
        <v>9</v>
      </c>
      <c r="C86" s="29" t="s">
        <v>321</v>
      </c>
      <c r="D86" s="30">
        <v>1</v>
      </c>
      <c r="E86" s="30">
        <v>1</v>
      </c>
      <c r="F86" s="29">
        <v>10</v>
      </c>
      <c r="G86" s="29" t="s">
        <v>27</v>
      </c>
    </row>
    <row r="87" spans="1:7" s="18" customFormat="1" x14ac:dyDescent="0.2">
      <c r="A87">
        <v>86</v>
      </c>
      <c r="B87" s="18">
        <v>9</v>
      </c>
      <c r="C87" s="18" t="s">
        <v>322</v>
      </c>
      <c r="D87" s="25">
        <v>1</v>
      </c>
      <c r="E87" s="25">
        <v>1</v>
      </c>
      <c r="F87" s="18">
        <v>200</v>
      </c>
      <c r="G87" s="18" t="s">
        <v>211</v>
      </c>
    </row>
    <row r="88" spans="1:7" x14ac:dyDescent="0.2">
      <c r="A88">
        <v>87</v>
      </c>
      <c r="B88" s="27">
        <v>9</v>
      </c>
      <c r="C88" s="27" t="s">
        <v>323</v>
      </c>
      <c r="D88" s="28">
        <v>0</v>
      </c>
      <c r="E88" s="28">
        <v>1</v>
      </c>
      <c r="F88" s="27">
        <v>250</v>
      </c>
      <c r="G88" s="27" t="s">
        <v>27</v>
      </c>
    </row>
    <row r="89" spans="1:7" x14ac:dyDescent="0.2">
      <c r="A89">
        <v>88</v>
      </c>
      <c r="B89" s="27">
        <v>9</v>
      </c>
      <c r="C89" s="27" t="s">
        <v>324</v>
      </c>
      <c r="D89" s="28">
        <v>0</v>
      </c>
      <c r="E89" s="28">
        <v>1</v>
      </c>
      <c r="F89" s="27">
        <v>350</v>
      </c>
      <c r="G89" s="27" t="s">
        <v>27</v>
      </c>
    </row>
    <row r="90" spans="1:7" x14ac:dyDescent="0.2">
      <c r="A90">
        <v>89</v>
      </c>
      <c r="B90" s="27">
        <v>9</v>
      </c>
      <c r="C90" s="27" t="s">
        <v>325</v>
      </c>
      <c r="D90" s="28">
        <v>0</v>
      </c>
      <c r="E90" s="28">
        <v>1</v>
      </c>
      <c r="F90" s="27">
        <v>450</v>
      </c>
      <c r="G90" s="27" t="s">
        <v>27</v>
      </c>
    </row>
    <row r="91" spans="1:7" x14ac:dyDescent="0.2">
      <c r="A91">
        <v>90</v>
      </c>
      <c r="B91" s="27">
        <v>9</v>
      </c>
      <c r="C91" s="27" t="s">
        <v>326</v>
      </c>
      <c r="D91" s="28">
        <v>1</v>
      </c>
      <c r="E91" s="28">
        <v>1</v>
      </c>
      <c r="F91" s="27">
        <v>10</v>
      </c>
      <c r="G91" s="27" t="s">
        <v>27</v>
      </c>
    </row>
    <row r="92" spans="1:7" x14ac:dyDescent="0.2">
      <c r="A92">
        <v>91</v>
      </c>
      <c r="B92">
        <v>9</v>
      </c>
      <c r="C92" s="16" t="s">
        <v>327</v>
      </c>
      <c r="D92" s="3">
        <v>0</v>
      </c>
      <c r="E92" s="3">
        <v>1</v>
      </c>
      <c r="F92">
        <v>50</v>
      </c>
      <c r="G92" s="27" t="s">
        <v>27</v>
      </c>
    </row>
    <row r="93" spans="1:7" x14ac:dyDescent="0.2">
      <c r="A93">
        <v>92</v>
      </c>
      <c r="B93">
        <v>9</v>
      </c>
      <c r="C93" s="18" t="s">
        <v>328</v>
      </c>
      <c r="D93" s="3">
        <v>0</v>
      </c>
      <c r="E93" s="3">
        <v>1</v>
      </c>
      <c r="F93">
        <v>0</v>
      </c>
      <c r="G93" t="s">
        <v>193</v>
      </c>
    </row>
  </sheetData>
  <phoneticPr fontId="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2" customFormat="1" ht="48.75" customHeight="1" x14ac:dyDescent="0.2">
      <c r="A1" s="2" t="s">
        <v>194</v>
      </c>
      <c r="B1" s="2" t="s">
        <v>329</v>
      </c>
      <c r="C1" s="2" t="s">
        <v>330</v>
      </c>
      <c r="D1" s="2" t="s">
        <v>199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15"/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4"/>
  <sheetViews>
    <sheetView workbookViewId="0">
      <pane ySplit="1" topLeftCell="A44" activePane="bottomLeft" state="frozen"/>
      <selection pane="bottomLeft" activeCell="C74" sqref="C74"/>
    </sheetView>
  </sheetViews>
  <sheetFormatPr defaultColWidth="8.625" defaultRowHeight="14.25" x14ac:dyDescent="0.2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pans="1:7" s="2" customFormat="1" ht="48.75" customHeight="1" x14ac:dyDescent="0.2">
      <c r="A1" s="2" t="s">
        <v>331</v>
      </c>
      <c r="B1" s="2" t="s">
        <v>332</v>
      </c>
      <c r="C1" s="2" t="s">
        <v>7</v>
      </c>
      <c r="D1" s="2" t="s">
        <v>169</v>
      </c>
      <c r="E1" s="2" t="s">
        <v>333</v>
      </c>
      <c r="F1" s="2" t="s">
        <v>334</v>
      </c>
      <c r="G1" s="9" t="s">
        <v>9</v>
      </c>
    </row>
    <row r="2" spans="1:7" s="6" customFormat="1" x14ac:dyDescent="0.2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335</v>
      </c>
      <c r="F2" s="6">
        <f>C2</f>
        <v>2</v>
      </c>
      <c r="G2" s="6">
        <v>0</v>
      </c>
    </row>
    <row r="3" spans="1:7" s="6" customFormat="1" x14ac:dyDescent="0.2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336</v>
      </c>
      <c r="F3" s="6">
        <f t="shared" ref="F3:F37" si="1">C3</f>
        <v>2</v>
      </c>
      <c r="G3" s="6">
        <v>0</v>
      </c>
    </row>
    <row r="4" spans="1:7" s="6" customFormat="1" x14ac:dyDescent="0.2">
      <c r="A4" s="6">
        <v>3</v>
      </c>
      <c r="B4" s="6">
        <v>1</v>
      </c>
      <c r="C4" s="6">
        <v>3</v>
      </c>
      <c r="D4" s="6">
        <f t="shared" si="0"/>
        <v>0.33333333333333331</v>
      </c>
      <c r="E4" s="10" t="s">
        <v>337</v>
      </c>
      <c r="F4" s="6">
        <f t="shared" si="1"/>
        <v>3</v>
      </c>
      <c r="G4" s="6">
        <v>0</v>
      </c>
    </row>
    <row r="5" spans="1:7" s="6" customFormat="1" x14ac:dyDescent="0.2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338</v>
      </c>
      <c r="F5" s="6">
        <f t="shared" si="1"/>
        <v>4</v>
      </c>
      <c r="G5" s="6">
        <v>0</v>
      </c>
    </row>
    <row r="6" spans="1:7" s="6" customFormat="1" x14ac:dyDescent="0.2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339</v>
      </c>
      <c r="F6" s="6">
        <f t="shared" si="1"/>
        <v>5</v>
      </c>
      <c r="G6" s="6">
        <v>0</v>
      </c>
    </row>
    <row r="7" spans="1:7" s="6" customFormat="1" x14ac:dyDescent="0.2">
      <c r="A7" s="6">
        <v>6</v>
      </c>
      <c r="B7" s="6">
        <v>1</v>
      </c>
      <c r="C7" s="6">
        <v>6</v>
      </c>
      <c r="D7" s="6">
        <f t="shared" si="0"/>
        <v>0.16666666666666666</v>
      </c>
      <c r="E7" s="10" t="s">
        <v>340</v>
      </c>
      <c r="F7" s="6">
        <f t="shared" si="1"/>
        <v>6</v>
      </c>
      <c r="G7" s="6">
        <v>0</v>
      </c>
    </row>
    <row r="8" spans="1:7" s="6" customFormat="1" x14ac:dyDescent="0.2">
      <c r="A8" s="6">
        <v>7</v>
      </c>
      <c r="B8" s="6">
        <v>1</v>
      </c>
      <c r="C8" s="6">
        <v>7</v>
      </c>
      <c r="D8" s="6">
        <f t="shared" si="0"/>
        <v>0.14285714285714285</v>
      </c>
      <c r="E8" s="10" t="s">
        <v>341</v>
      </c>
      <c r="F8" s="6">
        <f t="shared" si="1"/>
        <v>7</v>
      </c>
      <c r="G8" s="6">
        <v>0</v>
      </c>
    </row>
    <row r="9" spans="1:7" s="6" customFormat="1" x14ac:dyDescent="0.2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342</v>
      </c>
      <c r="F9" s="6">
        <f t="shared" si="1"/>
        <v>8</v>
      </c>
      <c r="G9" s="6">
        <v>0</v>
      </c>
    </row>
    <row r="10" spans="1:7" s="6" customFormat="1" x14ac:dyDescent="0.2">
      <c r="A10" s="6">
        <v>9</v>
      </c>
      <c r="B10" s="6">
        <v>1</v>
      </c>
      <c r="C10" s="6">
        <v>80</v>
      </c>
      <c r="D10" s="6">
        <f t="shared" si="0"/>
        <v>1.2500000000000001E-2</v>
      </c>
      <c r="E10" s="10" t="s">
        <v>343</v>
      </c>
      <c r="F10" s="6">
        <f t="shared" si="1"/>
        <v>80</v>
      </c>
      <c r="G10" s="6">
        <v>0</v>
      </c>
    </row>
    <row r="11" spans="1:7" s="6" customFormat="1" x14ac:dyDescent="0.2">
      <c r="A11" s="6">
        <v>10</v>
      </c>
      <c r="B11" s="6">
        <v>1</v>
      </c>
      <c r="C11" s="6">
        <v>12</v>
      </c>
      <c r="D11" s="6">
        <f t="shared" si="0"/>
        <v>8.3333333333333329E-2</v>
      </c>
      <c r="E11" s="10" t="s">
        <v>344</v>
      </c>
      <c r="F11" s="6">
        <f t="shared" si="1"/>
        <v>12</v>
      </c>
      <c r="G11" s="6">
        <v>0</v>
      </c>
    </row>
    <row r="12" spans="1:7" s="6" customFormat="1" x14ac:dyDescent="0.2">
      <c r="A12" s="6">
        <v>11</v>
      </c>
      <c r="B12" s="6">
        <v>1</v>
      </c>
      <c r="C12" s="6">
        <v>15</v>
      </c>
      <c r="D12" s="6">
        <f t="shared" si="0"/>
        <v>6.6666666666666666E-2</v>
      </c>
      <c r="E12" s="10" t="s">
        <v>345</v>
      </c>
      <c r="F12" s="6">
        <f t="shared" si="1"/>
        <v>15</v>
      </c>
      <c r="G12" s="6">
        <v>0</v>
      </c>
    </row>
    <row r="13" spans="1:7" s="6" customFormat="1" x14ac:dyDescent="0.2">
      <c r="A13" s="6">
        <v>12</v>
      </c>
      <c r="B13" s="6">
        <v>1</v>
      </c>
      <c r="C13" s="6">
        <v>18</v>
      </c>
      <c r="D13" s="6">
        <f t="shared" si="0"/>
        <v>5.5555555555555552E-2</v>
      </c>
      <c r="E13" s="10" t="s">
        <v>346</v>
      </c>
      <c r="F13" s="6">
        <f t="shared" si="1"/>
        <v>18</v>
      </c>
      <c r="G13" s="6">
        <v>0</v>
      </c>
    </row>
    <row r="14" spans="1:7" s="6" customFormat="1" x14ac:dyDescent="0.2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347</v>
      </c>
      <c r="F14" s="6">
        <f t="shared" si="1"/>
        <v>20</v>
      </c>
      <c r="G14" s="6">
        <v>0</v>
      </c>
    </row>
    <row r="15" spans="1:7" s="6" customFormat="1" x14ac:dyDescent="0.2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348</v>
      </c>
      <c r="F15" s="6">
        <f t="shared" si="1"/>
        <v>25</v>
      </c>
      <c r="G15" s="6">
        <v>0</v>
      </c>
    </row>
    <row r="16" spans="1:7" s="6" customFormat="1" x14ac:dyDescent="0.2">
      <c r="A16" s="6">
        <v>15</v>
      </c>
      <c r="B16" s="6">
        <v>1</v>
      </c>
      <c r="C16" s="6">
        <v>30</v>
      </c>
      <c r="D16" s="6">
        <f t="shared" si="0"/>
        <v>3.3333333333333333E-2</v>
      </c>
      <c r="E16" s="10" t="s">
        <v>349</v>
      </c>
      <c r="F16" s="6">
        <f t="shared" si="1"/>
        <v>30</v>
      </c>
      <c r="G16" s="6">
        <v>0</v>
      </c>
    </row>
    <row r="17" spans="1:8" s="6" customFormat="1" x14ac:dyDescent="0.2">
      <c r="A17" s="6">
        <v>16</v>
      </c>
      <c r="B17" s="6">
        <v>1</v>
      </c>
      <c r="C17" s="6">
        <v>35</v>
      </c>
      <c r="D17" s="6">
        <f t="shared" si="0"/>
        <v>2.8571428571428571E-2</v>
      </c>
      <c r="E17" s="10" t="s">
        <v>350</v>
      </c>
      <c r="F17" s="6">
        <f t="shared" si="1"/>
        <v>35</v>
      </c>
      <c r="G17" s="6">
        <v>0</v>
      </c>
      <c r="H17" s="6" t="s">
        <v>351</v>
      </c>
    </row>
    <row r="18" spans="1:8" s="6" customFormat="1" x14ac:dyDescent="0.2">
      <c r="A18" s="6">
        <v>17</v>
      </c>
      <c r="B18" s="6">
        <v>1</v>
      </c>
      <c r="C18" s="6">
        <v>40</v>
      </c>
      <c r="D18" s="6">
        <f t="shared" si="0"/>
        <v>2.5000000000000001E-2</v>
      </c>
      <c r="E18" s="10" t="s">
        <v>352</v>
      </c>
      <c r="F18" s="6">
        <f t="shared" si="1"/>
        <v>40</v>
      </c>
      <c r="G18" s="6">
        <v>0</v>
      </c>
    </row>
    <row r="19" spans="1:8" s="6" customFormat="1" x14ac:dyDescent="0.2">
      <c r="A19" s="6">
        <v>18</v>
      </c>
      <c r="B19" s="6">
        <v>1</v>
      </c>
      <c r="C19" s="6">
        <v>60</v>
      </c>
      <c r="D19" s="6">
        <f t="shared" si="0"/>
        <v>1.6666666666666666E-2</v>
      </c>
      <c r="E19" s="10" t="s">
        <v>353</v>
      </c>
      <c r="F19" s="6">
        <f t="shared" si="1"/>
        <v>60</v>
      </c>
      <c r="G19" s="6">
        <v>0</v>
      </c>
    </row>
    <row r="20" spans="1:8" s="6" customFormat="1" x14ac:dyDescent="0.2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354</v>
      </c>
      <c r="F20" s="6">
        <f t="shared" si="1"/>
        <v>100</v>
      </c>
      <c r="G20" s="6">
        <v>0</v>
      </c>
    </row>
    <row r="21" spans="1:8" s="6" customFormat="1" x14ac:dyDescent="0.2">
      <c r="A21" s="6">
        <v>20</v>
      </c>
      <c r="B21" s="6">
        <v>1</v>
      </c>
      <c r="C21" s="6">
        <v>60</v>
      </c>
      <c r="D21" s="6">
        <f t="shared" si="0"/>
        <v>1.6666666666666666E-2</v>
      </c>
      <c r="E21" s="10" t="s">
        <v>355</v>
      </c>
      <c r="F21" s="6">
        <f t="shared" si="1"/>
        <v>60</v>
      </c>
      <c r="G21" s="6">
        <v>0</v>
      </c>
    </row>
    <row r="22" spans="1:8" s="6" customFormat="1" x14ac:dyDescent="0.2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356</v>
      </c>
      <c r="F22" s="6">
        <f t="shared" si="1"/>
        <v>0</v>
      </c>
      <c r="G22" s="6">
        <v>0</v>
      </c>
    </row>
    <row r="23" spans="1:8" s="6" customFormat="1" x14ac:dyDescent="0.2">
      <c r="A23" s="6">
        <v>22</v>
      </c>
      <c r="B23" s="6">
        <v>1</v>
      </c>
      <c r="C23" s="6">
        <v>60</v>
      </c>
      <c r="D23" s="6">
        <f t="shared" si="0"/>
        <v>1.6666666666666666E-2</v>
      </c>
      <c r="E23" s="10" t="s">
        <v>357</v>
      </c>
      <c r="F23" s="6">
        <f t="shared" si="1"/>
        <v>60</v>
      </c>
      <c r="G23" s="6">
        <v>0</v>
      </c>
    </row>
    <row r="24" spans="1:8" s="6" customFormat="1" x14ac:dyDescent="0.2">
      <c r="A24" s="6">
        <v>23</v>
      </c>
      <c r="B24" s="6">
        <v>1</v>
      </c>
      <c r="C24" s="6">
        <v>60</v>
      </c>
      <c r="D24" s="6">
        <f t="shared" si="0"/>
        <v>1.6666666666666666E-2</v>
      </c>
      <c r="E24" s="10" t="s">
        <v>358</v>
      </c>
      <c r="F24" s="6">
        <f t="shared" si="1"/>
        <v>60</v>
      </c>
      <c r="G24" s="6">
        <v>0</v>
      </c>
    </row>
    <row r="25" spans="1:8" s="6" customFormat="1" x14ac:dyDescent="0.2">
      <c r="A25" s="6">
        <v>24</v>
      </c>
      <c r="B25" s="6">
        <v>1</v>
      </c>
      <c r="C25" s="6" t="s">
        <v>61</v>
      </c>
      <c r="D25" s="6" t="s">
        <v>62</v>
      </c>
      <c r="E25" s="10" t="s">
        <v>359</v>
      </c>
      <c r="F25" s="6" t="s">
        <v>61</v>
      </c>
      <c r="G25" s="6">
        <v>0</v>
      </c>
    </row>
    <row r="26" spans="1:8" s="6" customFormat="1" x14ac:dyDescent="0.2">
      <c r="A26" s="6">
        <v>25</v>
      </c>
      <c r="B26" s="6">
        <v>1</v>
      </c>
      <c r="C26" s="6">
        <v>80</v>
      </c>
      <c r="D26" s="6">
        <f t="shared" si="0"/>
        <v>1.2500000000000001E-2</v>
      </c>
      <c r="E26" s="10" t="s">
        <v>360</v>
      </c>
      <c r="F26" s="6">
        <f t="shared" si="1"/>
        <v>80</v>
      </c>
      <c r="G26" s="6">
        <v>0</v>
      </c>
    </row>
    <row r="27" spans="1:8" s="6" customFormat="1" x14ac:dyDescent="0.2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361</v>
      </c>
      <c r="F27" s="6">
        <f t="shared" si="1"/>
        <v>100</v>
      </c>
      <c r="G27" s="6">
        <v>0</v>
      </c>
    </row>
    <row r="28" spans="1:8" s="6" customFormat="1" x14ac:dyDescent="0.2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362</v>
      </c>
      <c r="F28" s="6">
        <f t="shared" si="1"/>
        <v>100</v>
      </c>
      <c r="G28" s="6">
        <v>0</v>
      </c>
    </row>
    <row r="29" spans="1:8" s="6" customFormat="1" x14ac:dyDescent="0.2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363</v>
      </c>
      <c r="F29" s="6">
        <f t="shared" si="1"/>
        <v>0</v>
      </c>
      <c r="G29" s="6">
        <v>0</v>
      </c>
    </row>
    <row r="30" spans="1:8" s="6" customFormat="1" x14ac:dyDescent="0.2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364</v>
      </c>
      <c r="F30" s="6">
        <f t="shared" si="1"/>
        <v>0</v>
      </c>
      <c r="G30" s="6">
        <v>0</v>
      </c>
    </row>
    <row r="31" spans="1:8" s="6" customFormat="1" x14ac:dyDescent="0.2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365</v>
      </c>
      <c r="F31" s="6">
        <f t="shared" si="1"/>
        <v>0</v>
      </c>
      <c r="G31" s="6">
        <v>0</v>
      </c>
    </row>
    <row r="32" spans="1:8" s="6" customFormat="1" x14ac:dyDescent="0.2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366</v>
      </c>
      <c r="F32" s="6">
        <f t="shared" si="1"/>
        <v>0</v>
      </c>
      <c r="G32" s="6">
        <v>0</v>
      </c>
    </row>
    <row r="33" spans="1:7" s="6" customFormat="1" x14ac:dyDescent="0.2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367</v>
      </c>
      <c r="F33" s="6">
        <f t="shared" si="1"/>
        <v>0</v>
      </c>
      <c r="G33" s="6">
        <v>0</v>
      </c>
    </row>
    <row r="34" spans="1:7" s="6" customFormat="1" x14ac:dyDescent="0.2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368</v>
      </c>
      <c r="F34" s="6">
        <f t="shared" si="1"/>
        <v>0</v>
      </c>
      <c r="G34" s="6">
        <v>0</v>
      </c>
    </row>
    <row r="35" spans="1:7" s="6" customFormat="1" x14ac:dyDescent="0.2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253</v>
      </c>
      <c r="F35" s="6">
        <v>0</v>
      </c>
      <c r="G35" s="6">
        <v>0</v>
      </c>
    </row>
    <row r="36" spans="1:7" s="6" customFormat="1" x14ac:dyDescent="0.2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369</v>
      </c>
      <c r="F36" s="6">
        <f t="shared" si="1"/>
        <v>0</v>
      </c>
      <c r="G36" s="6">
        <v>0</v>
      </c>
    </row>
    <row r="37" spans="1:7" s="6" customFormat="1" x14ac:dyDescent="0.2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250</v>
      </c>
      <c r="F37" s="6">
        <f t="shared" si="1"/>
        <v>0</v>
      </c>
      <c r="G37" s="6">
        <v>0</v>
      </c>
    </row>
    <row r="38" spans="1:7" s="6" customFormat="1" x14ac:dyDescent="0.2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370</v>
      </c>
      <c r="F38" s="6">
        <f t="shared" ref="F38:F51" si="4">C38</f>
        <v>0</v>
      </c>
      <c r="G38" s="6">
        <v>0</v>
      </c>
    </row>
    <row r="39" spans="1:7" s="6" customFormat="1" x14ac:dyDescent="0.2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371</v>
      </c>
      <c r="F39" s="6">
        <f t="shared" si="4"/>
        <v>100</v>
      </c>
      <c r="G39" s="6">
        <v>0</v>
      </c>
    </row>
    <row r="40" spans="1:7" s="6" customFormat="1" x14ac:dyDescent="0.2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372</v>
      </c>
      <c r="F40" s="6">
        <f t="shared" si="4"/>
        <v>100</v>
      </c>
      <c r="G40" s="6">
        <v>0</v>
      </c>
    </row>
    <row r="41" spans="1:7" s="6" customFormat="1" x14ac:dyDescent="0.2">
      <c r="A41" s="6">
        <v>40</v>
      </c>
      <c r="B41" s="6">
        <v>1</v>
      </c>
      <c r="C41" s="6">
        <v>300</v>
      </c>
      <c r="D41" s="6">
        <f t="shared" si="3"/>
        <v>3.3333333333333335E-3</v>
      </c>
      <c r="E41" s="6" t="s">
        <v>373</v>
      </c>
      <c r="F41" s="6">
        <f t="shared" si="4"/>
        <v>300</v>
      </c>
      <c r="G41" s="6">
        <v>0</v>
      </c>
    </row>
    <row r="42" spans="1:7" s="6" customFormat="1" x14ac:dyDescent="0.2">
      <c r="A42" s="6">
        <v>41</v>
      </c>
      <c r="B42" s="6">
        <v>1</v>
      </c>
      <c r="C42" s="6">
        <v>200</v>
      </c>
      <c r="D42" s="6">
        <f t="shared" si="3"/>
        <v>5.0000000000000001E-3</v>
      </c>
      <c r="E42" s="6" t="s">
        <v>374</v>
      </c>
      <c r="F42" s="6">
        <f t="shared" si="4"/>
        <v>200</v>
      </c>
      <c r="G42" s="6">
        <v>0</v>
      </c>
    </row>
    <row r="43" spans="1:7" s="6" customFormat="1" x14ac:dyDescent="0.2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375</v>
      </c>
      <c r="F43" s="6">
        <f t="shared" si="4"/>
        <v>0</v>
      </c>
      <c r="G43" s="6">
        <v>0</v>
      </c>
    </row>
    <row r="44" spans="1:7" s="6" customFormat="1" x14ac:dyDescent="0.2">
      <c r="A44" s="6">
        <v>43</v>
      </c>
      <c r="B44" s="6">
        <v>1</v>
      </c>
      <c r="C44" s="6">
        <v>200</v>
      </c>
      <c r="D44" s="6">
        <f t="shared" si="3"/>
        <v>5.0000000000000001E-3</v>
      </c>
      <c r="E44" s="6" t="s">
        <v>376</v>
      </c>
      <c r="F44" s="6">
        <f t="shared" si="4"/>
        <v>200</v>
      </c>
      <c r="G44" s="6">
        <v>0</v>
      </c>
    </row>
    <row r="45" spans="1:7" s="6" customFormat="1" x14ac:dyDescent="0.2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377</v>
      </c>
      <c r="F45" s="6">
        <f t="shared" si="4"/>
        <v>0</v>
      </c>
      <c r="G45" s="6">
        <v>0</v>
      </c>
    </row>
    <row r="46" spans="1:7" s="6" customFormat="1" x14ac:dyDescent="0.2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378</v>
      </c>
      <c r="F46" s="6">
        <f t="shared" si="4"/>
        <v>0</v>
      </c>
      <c r="G46" s="6">
        <v>0</v>
      </c>
    </row>
    <row r="47" spans="1:7" s="6" customFormat="1" x14ac:dyDescent="0.2">
      <c r="A47" s="6">
        <v>46</v>
      </c>
      <c r="B47" s="6">
        <v>1</v>
      </c>
      <c r="C47" s="6">
        <v>200</v>
      </c>
      <c r="D47" s="6">
        <f t="shared" si="3"/>
        <v>5.0000000000000001E-3</v>
      </c>
      <c r="E47" s="6" t="s">
        <v>360</v>
      </c>
      <c r="F47" s="6">
        <f t="shared" si="4"/>
        <v>200</v>
      </c>
      <c r="G47" s="6">
        <v>0</v>
      </c>
    </row>
    <row r="48" spans="1:7" s="6" customFormat="1" x14ac:dyDescent="0.2">
      <c r="A48" s="6">
        <v>47</v>
      </c>
      <c r="B48" s="6">
        <v>1</v>
      </c>
      <c r="C48" s="6">
        <v>150</v>
      </c>
      <c r="D48" s="6">
        <f t="shared" si="3"/>
        <v>6.6666666666666671E-3</v>
      </c>
      <c r="E48" s="6" t="s">
        <v>379</v>
      </c>
      <c r="F48" s="6">
        <f t="shared" si="4"/>
        <v>150</v>
      </c>
      <c r="G48" s="6">
        <v>0</v>
      </c>
    </row>
    <row r="49" spans="1:7" s="6" customFormat="1" x14ac:dyDescent="0.2">
      <c r="A49" s="6">
        <v>48</v>
      </c>
      <c r="B49" s="6">
        <v>1</v>
      </c>
      <c r="C49" s="6">
        <v>250</v>
      </c>
      <c r="D49" s="6">
        <f t="shared" si="3"/>
        <v>4.0000000000000001E-3</v>
      </c>
      <c r="E49" s="6" t="s">
        <v>380</v>
      </c>
      <c r="F49" s="6">
        <f t="shared" si="4"/>
        <v>250</v>
      </c>
      <c r="G49" s="6">
        <v>0</v>
      </c>
    </row>
    <row r="50" spans="1:7" s="6" customFormat="1" x14ac:dyDescent="0.2">
      <c r="A50" s="6">
        <v>49</v>
      </c>
      <c r="B50" s="6">
        <v>1</v>
      </c>
      <c r="C50" s="6">
        <v>200</v>
      </c>
      <c r="D50" s="6">
        <f t="shared" si="3"/>
        <v>5.0000000000000001E-3</v>
      </c>
      <c r="E50" s="6" t="s">
        <v>381</v>
      </c>
      <c r="F50" s="6">
        <f t="shared" si="4"/>
        <v>200</v>
      </c>
      <c r="G50" s="6">
        <v>0</v>
      </c>
    </row>
    <row r="51" spans="1:7" x14ac:dyDescent="0.2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 x14ac:dyDescent="0.2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382</v>
      </c>
      <c r="F52" s="7">
        <v>100</v>
      </c>
      <c r="G52" s="7">
        <v>0</v>
      </c>
    </row>
    <row r="53" spans="1:7" s="7" customFormat="1" x14ac:dyDescent="0.2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383</v>
      </c>
      <c r="F53" s="7">
        <v>100</v>
      </c>
      <c r="G53" s="7">
        <v>0</v>
      </c>
    </row>
    <row r="54" spans="1:7" s="7" customFormat="1" x14ac:dyDescent="0.2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384</v>
      </c>
      <c r="F54" s="7">
        <v>100</v>
      </c>
      <c r="G54" s="7">
        <v>0</v>
      </c>
    </row>
    <row r="55" spans="1:7" s="7" customFormat="1" x14ac:dyDescent="0.2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385</v>
      </c>
      <c r="F55" s="7">
        <v>100</v>
      </c>
      <c r="G55" s="7">
        <v>0</v>
      </c>
    </row>
    <row r="56" spans="1:7" s="7" customFormat="1" x14ac:dyDescent="0.2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386</v>
      </c>
      <c r="F56" s="7">
        <v>100</v>
      </c>
      <c r="G56" s="7">
        <v>0</v>
      </c>
    </row>
    <row r="57" spans="1:7" s="8" customFormat="1" x14ac:dyDescent="0.2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387</v>
      </c>
      <c r="F57" s="8">
        <v>0</v>
      </c>
      <c r="G57" s="8">
        <v>0</v>
      </c>
    </row>
    <row r="58" spans="1:7" s="8" customFormat="1" x14ac:dyDescent="0.2">
      <c r="A58" s="8">
        <v>57</v>
      </c>
      <c r="B58" s="8">
        <v>1</v>
      </c>
      <c r="C58" s="8">
        <v>0</v>
      </c>
      <c r="D58" s="8">
        <v>0</v>
      </c>
      <c r="E58" s="8" t="s">
        <v>388</v>
      </c>
      <c r="F58" s="8">
        <v>0</v>
      </c>
      <c r="G58" s="8">
        <v>0</v>
      </c>
    </row>
    <row r="59" spans="1:7" s="8" customFormat="1" x14ac:dyDescent="0.2">
      <c r="A59" s="8">
        <v>58</v>
      </c>
      <c r="B59" s="8">
        <v>1</v>
      </c>
      <c r="C59" s="8">
        <v>0</v>
      </c>
      <c r="D59" s="8">
        <v>0</v>
      </c>
      <c r="E59" s="8" t="s">
        <v>389</v>
      </c>
      <c r="F59" s="8">
        <v>0</v>
      </c>
      <c r="G59" s="8">
        <v>0</v>
      </c>
    </row>
    <row r="60" spans="1:7" s="8" customFormat="1" x14ac:dyDescent="0.2">
      <c r="A60" s="8">
        <v>59</v>
      </c>
      <c r="B60" s="8">
        <v>1</v>
      </c>
      <c r="C60" s="8">
        <v>0</v>
      </c>
      <c r="D60" s="8">
        <v>0</v>
      </c>
      <c r="E60" s="8" t="s">
        <v>305</v>
      </c>
      <c r="F60" s="8">
        <v>0</v>
      </c>
      <c r="G60" s="8">
        <v>0</v>
      </c>
    </row>
    <row r="61" spans="1:7" s="8" customFormat="1" x14ac:dyDescent="0.2">
      <c r="A61" s="8">
        <v>60</v>
      </c>
      <c r="B61" s="8">
        <v>1</v>
      </c>
      <c r="C61" s="8">
        <v>0</v>
      </c>
      <c r="D61" s="8">
        <v>0</v>
      </c>
      <c r="E61" s="8" t="s">
        <v>390</v>
      </c>
      <c r="F61" s="8">
        <v>0</v>
      </c>
      <c r="G61" s="8">
        <v>0</v>
      </c>
    </row>
    <row r="62" spans="1:7" s="6" customFormat="1" x14ac:dyDescent="0.2">
      <c r="A62" s="14">
        <v>61</v>
      </c>
      <c r="B62" s="14">
        <v>1</v>
      </c>
      <c r="C62" s="14">
        <v>0</v>
      </c>
      <c r="D62" s="14">
        <v>0</v>
      </c>
      <c r="E62" s="14" t="s">
        <v>391</v>
      </c>
      <c r="F62" s="14">
        <v>0</v>
      </c>
      <c r="G62" s="14">
        <v>0</v>
      </c>
    </row>
    <row r="63" spans="1:7" s="8" customFormat="1" x14ac:dyDescent="0.2">
      <c r="A63" s="4">
        <v>62</v>
      </c>
      <c r="B63" s="4">
        <v>1</v>
      </c>
      <c r="C63" s="4">
        <v>0</v>
      </c>
      <c r="D63" s="4">
        <v>0</v>
      </c>
      <c r="E63" s="4" t="s">
        <v>392</v>
      </c>
      <c r="F63" s="4">
        <v>0</v>
      </c>
      <c r="G63" s="4">
        <v>0</v>
      </c>
    </row>
    <row r="64" spans="1:7" x14ac:dyDescent="0.2">
      <c r="A64" s="4">
        <v>63</v>
      </c>
      <c r="B64" s="4">
        <v>1</v>
      </c>
      <c r="C64" s="4">
        <v>0</v>
      </c>
      <c r="D64" s="4">
        <v>0</v>
      </c>
      <c r="E64" s="4" t="s">
        <v>193</v>
      </c>
      <c r="F64" s="4">
        <v>0</v>
      </c>
      <c r="G64" s="4">
        <v>0</v>
      </c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x14ac:dyDescent="0.2"/>
  <cols>
    <col min="1" max="1" width="17.625" style="4" customWidth="1"/>
    <col min="2" max="2" width="26.375" style="4" customWidth="1"/>
    <col min="3" max="16384" width="8.625" style="4"/>
  </cols>
  <sheetData>
    <row r="1" spans="1:3" ht="38.25" customHeight="1" x14ac:dyDescent="0.2">
      <c r="A1" s="2" t="s">
        <v>393</v>
      </c>
      <c r="B1" s="2" t="s">
        <v>394</v>
      </c>
      <c r="C1" s="2" t="s">
        <v>395</v>
      </c>
    </row>
    <row r="2" spans="1:3" x14ac:dyDescent="0.2">
      <c r="A2" s="4">
        <v>1</v>
      </c>
      <c r="B2" s="4">
        <v>300</v>
      </c>
      <c r="C2" s="4">
        <v>1</v>
      </c>
    </row>
    <row r="3" spans="1:3" x14ac:dyDescent="0.2">
      <c r="A3" s="4">
        <v>2</v>
      </c>
      <c r="B3" s="4">
        <v>300</v>
      </c>
      <c r="C3" s="4">
        <v>1</v>
      </c>
    </row>
    <row r="4" spans="1:3" x14ac:dyDescent="0.2">
      <c r="A4" s="4">
        <v>3</v>
      </c>
      <c r="B4" s="4">
        <v>300</v>
      </c>
      <c r="C4" s="4">
        <v>1</v>
      </c>
    </row>
    <row r="5" spans="1:3" x14ac:dyDescent="0.2">
      <c r="A5" s="4">
        <v>4</v>
      </c>
      <c r="B5" s="4">
        <v>300</v>
      </c>
      <c r="C5" s="4">
        <v>1</v>
      </c>
    </row>
    <row r="6" spans="1:3" x14ac:dyDescent="0.2">
      <c r="A6" s="4">
        <v>5</v>
      </c>
      <c r="B6" s="4">
        <v>300</v>
      </c>
      <c r="C6" s="4">
        <v>1</v>
      </c>
    </row>
    <row r="7" spans="1:3" x14ac:dyDescent="0.2">
      <c r="A7" s="4">
        <v>6</v>
      </c>
      <c r="B7" s="4">
        <v>300</v>
      </c>
      <c r="C7" s="4">
        <v>1</v>
      </c>
    </row>
    <row r="8" spans="1:3" x14ac:dyDescent="0.2">
      <c r="A8" s="4">
        <v>7</v>
      </c>
      <c r="B8" s="4">
        <v>300</v>
      </c>
      <c r="C8" s="4">
        <v>2</v>
      </c>
    </row>
    <row r="9" spans="1:3" x14ac:dyDescent="0.2">
      <c r="A9" s="4">
        <v>8</v>
      </c>
      <c r="B9" s="4">
        <v>300</v>
      </c>
      <c r="C9" s="4">
        <v>2</v>
      </c>
    </row>
    <row r="10" spans="1:3" x14ac:dyDescent="0.2">
      <c r="A10" s="4">
        <v>9</v>
      </c>
      <c r="B10" s="4">
        <v>300</v>
      </c>
      <c r="C10" s="4">
        <v>2</v>
      </c>
    </row>
    <row r="11" spans="1:3" x14ac:dyDescent="0.2">
      <c r="A11" s="4">
        <v>10</v>
      </c>
      <c r="B11" s="4">
        <v>300</v>
      </c>
      <c r="C11" s="4">
        <v>2</v>
      </c>
    </row>
    <row r="12" spans="1:3" x14ac:dyDescent="0.2">
      <c r="A12" s="4">
        <v>11</v>
      </c>
      <c r="B12" s="4">
        <v>300</v>
      </c>
      <c r="C12" s="4">
        <v>2</v>
      </c>
    </row>
    <row r="13" spans="1:3" x14ac:dyDescent="0.2">
      <c r="A13" s="4">
        <v>12</v>
      </c>
      <c r="B13" s="4">
        <v>300</v>
      </c>
      <c r="C13" s="4">
        <v>2</v>
      </c>
    </row>
    <row r="14" spans="1:3" x14ac:dyDescent="0.2">
      <c r="A14" s="4">
        <v>13</v>
      </c>
      <c r="B14" s="4">
        <v>300</v>
      </c>
      <c r="C14" s="4">
        <v>2</v>
      </c>
    </row>
    <row r="15" spans="1:3" x14ac:dyDescent="0.2">
      <c r="A15" s="4">
        <v>14</v>
      </c>
      <c r="B15" s="4">
        <v>300</v>
      </c>
      <c r="C15" s="4">
        <v>3</v>
      </c>
    </row>
    <row r="16" spans="1:3" x14ac:dyDescent="0.2">
      <c r="A16" s="4">
        <v>15</v>
      </c>
      <c r="B16" s="4">
        <v>300</v>
      </c>
      <c r="C16" s="4">
        <v>3</v>
      </c>
    </row>
    <row r="17" spans="1:3" x14ac:dyDescent="0.2">
      <c r="A17" s="4">
        <v>16</v>
      </c>
      <c r="B17" s="4">
        <v>300</v>
      </c>
      <c r="C17" s="4">
        <v>3</v>
      </c>
    </row>
    <row r="18" spans="1:3" x14ac:dyDescent="0.2">
      <c r="A18" s="4">
        <v>17</v>
      </c>
      <c r="B18" s="4">
        <v>300</v>
      </c>
      <c r="C18" s="4">
        <v>3</v>
      </c>
    </row>
    <row r="19" spans="1:3" x14ac:dyDescent="0.2">
      <c r="A19" s="4">
        <v>18</v>
      </c>
      <c r="B19" s="4">
        <v>300</v>
      </c>
      <c r="C19" s="4">
        <v>3</v>
      </c>
    </row>
    <row r="20" spans="1:3" x14ac:dyDescent="0.2">
      <c r="A20" s="4">
        <v>19</v>
      </c>
      <c r="B20" s="4">
        <v>300</v>
      </c>
      <c r="C20" s="4">
        <v>3</v>
      </c>
    </row>
    <row r="21" spans="1:3" x14ac:dyDescent="0.2">
      <c r="A21" s="4">
        <v>20</v>
      </c>
      <c r="B21" s="4">
        <v>300</v>
      </c>
      <c r="C21" s="4">
        <v>3</v>
      </c>
    </row>
    <row r="22" spans="1:3" x14ac:dyDescent="0.2">
      <c r="A22" s="4">
        <v>21</v>
      </c>
      <c r="B22" s="4">
        <v>300</v>
      </c>
      <c r="C22" s="4">
        <v>4</v>
      </c>
    </row>
    <row r="23" spans="1:3" x14ac:dyDescent="0.2">
      <c r="A23" s="4">
        <v>22</v>
      </c>
      <c r="B23" s="4">
        <v>300</v>
      </c>
      <c r="C23" s="4">
        <v>4</v>
      </c>
    </row>
    <row r="24" spans="1:3" x14ac:dyDescent="0.2">
      <c r="A24" s="4">
        <v>23</v>
      </c>
      <c r="B24" s="4">
        <v>300</v>
      </c>
      <c r="C24" s="4">
        <v>4</v>
      </c>
    </row>
    <row r="25" spans="1:3" x14ac:dyDescent="0.2">
      <c r="A25" s="4">
        <v>24</v>
      </c>
      <c r="B25" s="4">
        <v>300</v>
      </c>
      <c r="C25" s="4">
        <v>4</v>
      </c>
    </row>
    <row r="26" spans="1:3" x14ac:dyDescent="0.2">
      <c r="A26" s="4">
        <v>25</v>
      </c>
      <c r="B26" s="4">
        <v>300</v>
      </c>
      <c r="C26" s="4">
        <v>4</v>
      </c>
    </row>
    <row r="27" spans="1:3" x14ac:dyDescent="0.2">
      <c r="A27" s="4">
        <v>26</v>
      </c>
      <c r="B27" s="4">
        <v>300</v>
      </c>
      <c r="C27" s="4">
        <v>4</v>
      </c>
    </row>
    <row r="28" spans="1:3" x14ac:dyDescent="0.2">
      <c r="A28" s="4">
        <v>27</v>
      </c>
      <c r="B28" s="4">
        <v>300</v>
      </c>
      <c r="C28" s="4">
        <v>4</v>
      </c>
    </row>
    <row r="29" spans="1:3" x14ac:dyDescent="0.2">
      <c r="A29" s="4">
        <v>28</v>
      </c>
      <c r="B29" s="4">
        <v>300</v>
      </c>
      <c r="C29" s="4">
        <v>4</v>
      </c>
    </row>
    <row r="30" spans="1:3" x14ac:dyDescent="0.2">
      <c r="A30" s="4">
        <v>29</v>
      </c>
      <c r="B30" s="4">
        <v>300</v>
      </c>
    </row>
    <row r="31" spans="1:3" x14ac:dyDescent="0.2">
      <c r="A31" s="4">
        <v>30</v>
      </c>
      <c r="B31" s="4">
        <v>300</v>
      </c>
    </row>
    <row r="32" spans="1:3" x14ac:dyDescent="0.2">
      <c r="A32" s="4">
        <v>31</v>
      </c>
      <c r="B32" s="4">
        <v>300</v>
      </c>
    </row>
    <row r="33" spans="1:2" x14ac:dyDescent="0.2">
      <c r="A33" s="4">
        <v>32</v>
      </c>
      <c r="B33" s="4">
        <v>300</v>
      </c>
    </row>
    <row r="34" spans="1:2" x14ac:dyDescent="0.2">
      <c r="A34" s="4">
        <v>33</v>
      </c>
      <c r="B34" s="4">
        <v>300</v>
      </c>
    </row>
    <row r="35" spans="1:2" x14ac:dyDescent="0.2">
      <c r="A35" s="4">
        <v>34</v>
      </c>
      <c r="B35" s="4">
        <v>300</v>
      </c>
    </row>
    <row r="36" spans="1:2" x14ac:dyDescent="0.2">
      <c r="A36" s="4">
        <v>35</v>
      </c>
      <c r="B36" s="4">
        <v>300</v>
      </c>
    </row>
    <row r="37" spans="1:2" x14ac:dyDescent="0.2">
      <c r="A37" s="4">
        <v>36</v>
      </c>
      <c r="B37" s="4">
        <v>300</v>
      </c>
    </row>
    <row r="38" spans="1:2" x14ac:dyDescent="0.2">
      <c r="A38" s="4">
        <v>37</v>
      </c>
      <c r="B38" s="4">
        <v>300</v>
      </c>
    </row>
    <row r="39" spans="1:2" x14ac:dyDescent="0.2">
      <c r="A39" s="4">
        <v>38</v>
      </c>
      <c r="B39" s="4">
        <v>300</v>
      </c>
    </row>
    <row r="40" spans="1:2" x14ac:dyDescent="0.2">
      <c r="A40" s="4">
        <v>39</v>
      </c>
      <c r="B40" s="4">
        <v>300</v>
      </c>
    </row>
    <row r="41" spans="1:2" x14ac:dyDescent="0.2">
      <c r="A41" s="4">
        <v>40</v>
      </c>
      <c r="B41" s="4">
        <v>300</v>
      </c>
    </row>
    <row r="42" spans="1:2" x14ac:dyDescent="0.2">
      <c r="A42" s="4">
        <v>41</v>
      </c>
      <c r="B42" s="4">
        <v>300</v>
      </c>
    </row>
    <row r="43" spans="1:2" x14ac:dyDescent="0.2">
      <c r="A43" s="4">
        <v>42</v>
      </c>
      <c r="B43" s="4">
        <v>300</v>
      </c>
    </row>
    <row r="44" spans="1:2" x14ac:dyDescent="0.2">
      <c r="A44" s="4">
        <v>43</v>
      </c>
      <c r="B44" s="4">
        <v>300</v>
      </c>
    </row>
    <row r="45" spans="1:2" x14ac:dyDescent="0.2">
      <c r="A45" s="4">
        <v>44</v>
      </c>
      <c r="B45" s="4">
        <v>300</v>
      </c>
    </row>
    <row r="46" spans="1:2" x14ac:dyDescent="0.2">
      <c r="A46" s="4">
        <v>45</v>
      </c>
      <c r="B46" s="4">
        <v>300</v>
      </c>
    </row>
    <row r="47" spans="1:2" x14ac:dyDescent="0.2">
      <c r="A47" s="4">
        <v>46</v>
      </c>
      <c r="B47" s="4">
        <v>300</v>
      </c>
    </row>
    <row r="48" spans="1:2" x14ac:dyDescent="0.2">
      <c r="A48" s="4">
        <v>47</v>
      </c>
      <c r="B48" s="4">
        <v>300</v>
      </c>
    </row>
    <row r="49" spans="1:2" x14ac:dyDescent="0.2">
      <c r="A49" s="4">
        <v>48</v>
      </c>
      <c r="B49" s="4">
        <v>800</v>
      </c>
    </row>
    <row r="50" spans="1:2" x14ac:dyDescent="0.2">
      <c r="A50" s="4">
        <v>49</v>
      </c>
      <c r="B50" s="4">
        <v>500</v>
      </c>
    </row>
    <row r="51" spans="1:2" x14ac:dyDescent="0.2">
      <c r="A51" s="4">
        <v>50</v>
      </c>
      <c r="B51" s="4">
        <v>500</v>
      </c>
    </row>
    <row r="52" spans="1:2" x14ac:dyDescent="0.2">
      <c r="A52" s="4">
        <v>51</v>
      </c>
      <c r="B52" s="4">
        <v>500</v>
      </c>
    </row>
    <row r="53" spans="1:2" x14ac:dyDescent="0.2">
      <c r="A53" s="4">
        <v>52</v>
      </c>
      <c r="B53" s="4">
        <v>500</v>
      </c>
    </row>
    <row r="54" spans="1:2" x14ac:dyDescent="0.2">
      <c r="A54" s="4">
        <v>53</v>
      </c>
      <c r="B54" s="4">
        <v>500</v>
      </c>
    </row>
    <row r="55" spans="1:2" x14ac:dyDescent="0.2">
      <c r="A55" s="4">
        <v>54</v>
      </c>
      <c r="B55" s="4">
        <v>500</v>
      </c>
    </row>
    <row r="56" spans="1:2" x14ac:dyDescent="0.2">
      <c r="A56" s="4">
        <v>55</v>
      </c>
      <c r="B56" s="4">
        <v>500</v>
      </c>
    </row>
    <row r="57" spans="1:2" x14ac:dyDescent="0.2">
      <c r="A57" s="4">
        <v>56</v>
      </c>
      <c r="B57" s="4">
        <v>500</v>
      </c>
    </row>
    <row r="58" spans="1:2" x14ac:dyDescent="0.2">
      <c r="A58" s="4">
        <v>57</v>
      </c>
      <c r="B58" s="4">
        <v>500</v>
      </c>
    </row>
    <row r="59" spans="1:2" x14ac:dyDescent="0.2">
      <c r="A59" s="4">
        <v>58</v>
      </c>
      <c r="B59" s="4">
        <v>500</v>
      </c>
    </row>
    <row r="60" spans="1:2" x14ac:dyDescent="0.2">
      <c r="A60" s="4">
        <v>59</v>
      </c>
      <c r="B60" s="4">
        <v>500</v>
      </c>
    </row>
    <row r="61" spans="1:2" x14ac:dyDescent="0.2">
      <c r="A61" s="4">
        <v>60</v>
      </c>
      <c r="B61" s="4">
        <v>500</v>
      </c>
    </row>
    <row r="62" spans="1:2" x14ac:dyDescent="0.2">
      <c r="A62" s="4">
        <v>61</v>
      </c>
      <c r="B62" s="4">
        <v>500</v>
      </c>
    </row>
    <row r="63" spans="1:2" x14ac:dyDescent="0.2">
      <c r="A63" s="4">
        <v>62</v>
      </c>
      <c r="B63" s="4">
        <v>500</v>
      </c>
    </row>
    <row r="64" spans="1:2" x14ac:dyDescent="0.2">
      <c r="A64" s="4">
        <v>63</v>
      </c>
      <c r="B64" s="4">
        <v>500</v>
      </c>
    </row>
    <row r="65" spans="1:2" x14ac:dyDescent="0.2">
      <c r="A65" s="4">
        <v>64</v>
      </c>
      <c r="B65" s="4">
        <v>500</v>
      </c>
    </row>
    <row r="66" spans="1:2" x14ac:dyDescent="0.2">
      <c r="A66" s="4">
        <v>65</v>
      </c>
      <c r="B66" s="4">
        <v>500</v>
      </c>
    </row>
    <row r="67" spans="1:2" x14ac:dyDescent="0.2">
      <c r="A67" s="4">
        <v>66</v>
      </c>
      <c r="B67" s="4">
        <v>500</v>
      </c>
    </row>
    <row r="68" spans="1:2" x14ac:dyDescent="0.2">
      <c r="A68" s="4">
        <v>67</v>
      </c>
      <c r="B68" s="4">
        <v>500</v>
      </c>
    </row>
    <row r="69" spans="1:2" x14ac:dyDescent="0.2">
      <c r="A69" s="4">
        <v>68</v>
      </c>
      <c r="B69" s="4">
        <v>500</v>
      </c>
    </row>
    <row r="70" spans="1:2" x14ac:dyDescent="0.2">
      <c r="A70" s="4">
        <v>69</v>
      </c>
      <c r="B70" s="4">
        <v>500</v>
      </c>
    </row>
    <row r="71" spans="1:2" x14ac:dyDescent="0.2">
      <c r="A71" s="4">
        <v>70</v>
      </c>
      <c r="B71" s="4">
        <v>500</v>
      </c>
    </row>
    <row r="72" spans="1:2" x14ac:dyDescent="0.2">
      <c r="A72" s="4">
        <v>71</v>
      </c>
      <c r="B72" s="4">
        <v>500</v>
      </c>
    </row>
    <row r="73" spans="1:2" x14ac:dyDescent="0.2">
      <c r="A73" s="4">
        <v>72</v>
      </c>
      <c r="B73" s="4">
        <v>500</v>
      </c>
    </row>
    <row r="74" spans="1:2" x14ac:dyDescent="0.2">
      <c r="A74" s="4">
        <v>73</v>
      </c>
      <c r="B74" s="4">
        <v>500</v>
      </c>
    </row>
    <row r="75" spans="1:2" x14ac:dyDescent="0.2">
      <c r="A75" s="4">
        <v>74</v>
      </c>
      <c r="B75" s="4">
        <v>500</v>
      </c>
    </row>
    <row r="76" spans="1:2" x14ac:dyDescent="0.2">
      <c r="A76" s="4">
        <v>75</v>
      </c>
      <c r="B76" s="4">
        <v>500</v>
      </c>
    </row>
    <row r="77" spans="1:2" x14ac:dyDescent="0.2">
      <c r="A77" s="4">
        <v>76</v>
      </c>
      <c r="B77" s="4">
        <v>500</v>
      </c>
    </row>
    <row r="78" spans="1:2" x14ac:dyDescent="0.2">
      <c r="A78" s="4">
        <v>77</v>
      </c>
      <c r="B78" s="4">
        <v>500</v>
      </c>
    </row>
    <row r="79" spans="1:2" x14ac:dyDescent="0.2">
      <c r="A79" s="4">
        <v>78</v>
      </c>
      <c r="B79" s="4">
        <v>500</v>
      </c>
    </row>
    <row r="80" spans="1:2" x14ac:dyDescent="0.2">
      <c r="A80" s="4">
        <v>79</v>
      </c>
      <c r="B80" s="4">
        <v>500</v>
      </c>
    </row>
    <row r="81" spans="1:2" x14ac:dyDescent="0.2">
      <c r="A81" s="4">
        <v>80</v>
      </c>
      <c r="B81" s="4">
        <v>500</v>
      </c>
    </row>
    <row r="82" spans="1:2" x14ac:dyDescent="0.2">
      <c r="A82" s="4">
        <v>81</v>
      </c>
      <c r="B82" s="4">
        <v>500</v>
      </c>
    </row>
    <row r="83" spans="1:2" x14ac:dyDescent="0.2">
      <c r="A83" s="4">
        <v>82</v>
      </c>
      <c r="B83" s="4">
        <v>500</v>
      </c>
    </row>
    <row r="84" spans="1:2" x14ac:dyDescent="0.2">
      <c r="A84" s="4">
        <v>83</v>
      </c>
      <c r="B84" s="4">
        <v>500</v>
      </c>
    </row>
    <row r="85" spans="1:2" x14ac:dyDescent="0.2">
      <c r="A85" s="4">
        <v>84</v>
      </c>
      <c r="B85" s="4">
        <v>500</v>
      </c>
    </row>
    <row r="86" spans="1:2" x14ac:dyDescent="0.2">
      <c r="A86" s="4">
        <v>85</v>
      </c>
      <c r="B86" s="4">
        <v>500</v>
      </c>
    </row>
    <row r="87" spans="1:2" x14ac:dyDescent="0.2">
      <c r="A87" s="4">
        <v>86</v>
      </c>
      <c r="B87" s="4">
        <v>500</v>
      </c>
    </row>
    <row r="88" spans="1:2" x14ac:dyDescent="0.2">
      <c r="A88" s="4">
        <v>87</v>
      </c>
      <c r="B88" s="4">
        <v>500</v>
      </c>
    </row>
    <row r="89" spans="1:2" x14ac:dyDescent="0.2">
      <c r="A89" s="4">
        <v>88</v>
      </c>
      <c r="B89" s="4">
        <v>500</v>
      </c>
    </row>
    <row r="90" spans="1:2" x14ac:dyDescent="0.2">
      <c r="A90" s="4">
        <v>89</v>
      </c>
      <c r="B90" s="4">
        <v>500</v>
      </c>
    </row>
    <row r="91" spans="1:2" x14ac:dyDescent="0.2">
      <c r="A91" s="4">
        <v>90</v>
      </c>
      <c r="B91" s="4">
        <v>500</v>
      </c>
    </row>
    <row r="92" spans="1:2" x14ac:dyDescent="0.2">
      <c r="A92" s="4">
        <v>91</v>
      </c>
      <c r="B92" s="4">
        <v>500</v>
      </c>
    </row>
    <row r="93" spans="1:2" x14ac:dyDescent="0.2">
      <c r="A93" s="4">
        <v>92</v>
      </c>
      <c r="B93" s="4">
        <v>500</v>
      </c>
    </row>
    <row r="94" spans="1:2" x14ac:dyDescent="0.2">
      <c r="A94" s="4">
        <v>93</v>
      </c>
      <c r="B94" s="4">
        <v>500</v>
      </c>
    </row>
    <row r="95" spans="1:2" x14ac:dyDescent="0.2">
      <c r="A95" s="4">
        <v>94</v>
      </c>
      <c r="B95" s="4">
        <v>500</v>
      </c>
    </row>
    <row r="96" spans="1:2" x14ac:dyDescent="0.2">
      <c r="A96" s="4">
        <v>95</v>
      </c>
      <c r="B96" s="4">
        <v>500</v>
      </c>
    </row>
    <row r="97" spans="1:2" x14ac:dyDescent="0.2">
      <c r="A97" s="4">
        <v>96</v>
      </c>
      <c r="B97" s="4">
        <v>500</v>
      </c>
    </row>
    <row r="98" spans="1:2" x14ac:dyDescent="0.2">
      <c r="A98" s="4">
        <v>97</v>
      </c>
      <c r="B98" s="4">
        <v>500</v>
      </c>
    </row>
    <row r="99" spans="1:2" x14ac:dyDescent="0.2">
      <c r="A99" s="4">
        <v>98</v>
      </c>
      <c r="B99" s="4">
        <v>500</v>
      </c>
    </row>
    <row r="100" spans="1:2" x14ac:dyDescent="0.2">
      <c r="A100" s="4">
        <v>99</v>
      </c>
      <c r="B100" s="4">
        <v>500</v>
      </c>
    </row>
    <row r="101" spans="1:2" x14ac:dyDescent="0.2">
      <c r="A101" s="4">
        <v>100</v>
      </c>
      <c r="B101" s="4">
        <v>500</v>
      </c>
    </row>
    <row r="102" spans="1:2" x14ac:dyDescent="0.2">
      <c r="A102" s="4">
        <v>101</v>
      </c>
      <c r="B102" s="4">
        <v>500</v>
      </c>
    </row>
    <row r="103" spans="1:2" x14ac:dyDescent="0.2">
      <c r="A103" s="4">
        <v>102</v>
      </c>
      <c r="B103" s="4">
        <v>500</v>
      </c>
    </row>
    <row r="104" spans="1:2" x14ac:dyDescent="0.2">
      <c r="A104" s="4">
        <v>103</v>
      </c>
      <c r="B104" s="4">
        <v>500</v>
      </c>
    </row>
    <row r="105" spans="1:2" x14ac:dyDescent="0.2">
      <c r="A105" s="4">
        <v>104</v>
      </c>
      <c r="B105" s="4">
        <v>500</v>
      </c>
    </row>
    <row r="106" spans="1:2" x14ac:dyDescent="0.2">
      <c r="A106" s="4">
        <v>11001</v>
      </c>
      <c r="B106" s="4">
        <v>500</v>
      </c>
    </row>
    <row r="107" spans="1:2" x14ac:dyDescent="0.2">
      <c r="A107" s="4">
        <v>11002</v>
      </c>
      <c r="B107" s="4">
        <v>500</v>
      </c>
    </row>
    <row r="108" spans="1:2" x14ac:dyDescent="0.2">
      <c r="A108" s="4">
        <v>11003</v>
      </c>
      <c r="B108" s="4">
        <v>500</v>
      </c>
    </row>
    <row r="109" spans="1:2" x14ac:dyDescent="0.2">
      <c r="A109" s="4">
        <v>11004</v>
      </c>
      <c r="B109" s="4">
        <v>500</v>
      </c>
    </row>
  </sheetData>
  <phoneticPr fontId="7" type="noConversion"/>
  <pageMargins left="0.7" right="0.7" top="0.75" bottom="0.75" header="0.3" footer="0.3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customWidth="1"/>
  </cols>
  <sheetData>
    <row r="1" spans="1:4 16384:16384" x14ac:dyDescent="0.2">
      <c r="A1" s="2" t="s">
        <v>396</v>
      </c>
      <c r="B1" s="2" t="s">
        <v>397</v>
      </c>
      <c r="C1" s="2" t="s">
        <v>398</v>
      </c>
      <c r="D1" s="2" t="s">
        <v>399</v>
      </c>
      <c r="XFD1" s="2"/>
    </row>
    <row r="2" spans="1:4 16384:16384" x14ac:dyDescent="0.2">
      <c r="A2">
        <v>1</v>
      </c>
      <c r="B2" t="s">
        <v>400</v>
      </c>
      <c r="C2">
        <v>10</v>
      </c>
      <c r="D2">
        <v>0</v>
      </c>
    </row>
    <row r="3" spans="1:4 16384:16384" x14ac:dyDescent="0.2">
      <c r="A3">
        <v>2</v>
      </c>
      <c r="B3" t="s">
        <v>401</v>
      </c>
      <c r="C3">
        <v>20</v>
      </c>
      <c r="D3">
        <v>0</v>
      </c>
    </row>
    <row r="4" spans="1:4 16384:16384" x14ac:dyDescent="0.2">
      <c r="A4">
        <v>3</v>
      </c>
      <c r="B4" t="s">
        <v>402</v>
      </c>
      <c r="C4">
        <v>15</v>
      </c>
      <c r="D4">
        <v>0</v>
      </c>
    </row>
    <row r="5" spans="1:4 16384:16384" x14ac:dyDescent="0.2">
      <c r="A5">
        <v>4</v>
      </c>
      <c r="B5" t="s">
        <v>403</v>
      </c>
      <c r="C5">
        <v>15</v>
      </c>
      <c r="D5">
        <v>0</v>
      </c>
    </row>
    <row r="6" spans="1:4 16384:16384" x14ac:dyDescent="0.2">
      <c r="A6">
        <v>5</v>
      </c>
      <c r="B6" t="s">
        <v>404</v>
      </c>
      <c r="C6">
        <v>15</v>
      </c>
      <c r="D6">
        <v>0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2" t="s">
        <v>405</v>
      </c>
      <c r="B1" s="2" t="s">
        <v>406</v>
      </c>
      <c r="C1" s="2" t="s">
        <v>202</v>
      </c>
      <c r="G1" s="2"/>
      <c r="H1" s="2"/>
      <c r="I1" s="2"/>
      <c r="J1" s="2"/>
      <c r="XFD1" s="2"/>
    </row>
    <row r="2" spans="1:10 16384:16384" ht="18.75" customHeight="1" x14ac:dyDescent="0.2">
      <c r="A2" s="4">
        <v>1</v>
      </c>
      <c r="B2" s="4" t="s">
        <v>407</v>
      </c>
      <c r="C2" s="4"/>
    </row>
    <row r="3" spans="1:10 16384:16384" x14ac:dyDescent="0.2">
      <c r="A3" s="4">
        <v>2</v>
      </c>
      <c r="B3" s="4" t="s">
        <v>408</v>
      </c>
      <c r="C3" s="4" t="s">
        <v>409</v>
      </c>
    </row>
    <row r="4" spans="1:10 16384:16384" x14ac:dyDescent="0.2">
      <c r="A4" s="4">
        <v>3</v>
      </c>
      <c r="B4" s="4" t="s">
        <v>410</v>
      </c>
      <c r="C4" s="4" t="s">
        <v>411</v>
      </c>
    </row>
    <row r="5" spans="1:10 16384:16384" x14ac:dyDescent="0.2">
      <c r="A5" s="4"/>
      <c r="B5" s="4"/>
      <c r="C5" s="4"/>
      <c r="D5" s="4"/>
      <c r="F5" s="4"/>
    </row>
    <row r="6" spans="1:10 16384:16384" x14ac:dyDescent="0.2">
      <c r="A6" s="4"/>
      <c r="B6" s="4"/>
      <c r="C6" s="4"/>
      <c r="D6" s="4"/>
      <c r="F6" s="4"/>
    </row>
    <row r="7" spans="1:10 16384:16384" x14ac:dyDescent="0.2">
      <c r="A7" s="4"/>
      <c r="B7" s="4"/>
      <c r="C7" s="4"/>
      <c r="D7" s="4"/>
      <c r="F7" s="4"/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2" t="s">
        <v>396</v>
      </c>
      <c r="B1" s="2" t="s">
        <v>412</v>
      </c>
      <c r="C1" s="2" t="s">
        <v>413</v>
      </c>
      <c r="D1" s="2" t="s">
        <v>414</v>
      </c>
      <c r="E1" s="2" t="s">
        <v>415</v>
      </c>
      <c r="F1" s="2" t="s">
        <v>202</v>
      </c>
      <c r="G1" s="2"/>
      <c r="H1" s="2"/>
      <c r="I1" s="2"/>
      <c r="J1" s="2"/>
      <c r="XFD1" s="2"/>
    </row>
    <row r="2" spans="1:10 16384:16384" ht="37.5" customHeight="1" x14ac:dyDescent="0.2">
      <c r="A2" s="4">
        <v>1</v>
      </c>
      <c r="B2" s="4">
        <v>1</v>
      </c>
      <c r="C2" s="4" t="s">
        <v>416</v>
      </c>
      <c r="D2" s="4">
        <v>0</v>
      </c>
      <c r="E2" s="4"/>
      <c r="F2" t="s">
        <v>417</v>
      </c>
    </row>
    <row r="3" spans="1:10 16384:16384" ht="39" customHeight="1" x14ac:dyDescent="0.2">
      <c r="A3" s="4">
        <v>2</v>
      </c>
      <c r="B3" s="4">
        <v>1</v>
      </c>
      <c r="C3" s="4" t="s">
        <v>418</v>
      </c>
      <c r="D3" s="4">
        <v>1</v>
      </c>
      <c r="E3" s="4" t="s">
        <v>419</v>
      </c>
      <c r="F3" t="s">
        <v>420</v>
      </c>
    </row>
    <row r="4" spans="1:10 16384:16384" ht="63.75" customHeight="1" x14ac:dyDescent="0.2">
      <c r="A4" s="4">
        <v>3</v>
      </c>
      <c r="B4" s="4">
        <v>1</v>
      </c>
      <c r="C4" s="4" t="s">
        <v>418</v>
      </c>
      <c r="D4" s="4">
        <v>0</v>
      </c>
      <c r="E4" s="5" t="s">
        <v>421</v>
      </c>
      <c r="F4" t="s">
        <v>422</v>
      </c>
    </row>
  </sheetData>
  <phoneticPr fontId="7" type="noConversion"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L30" sqref="L30"/>
    </sheetView>
  </sheetViews>
  <sheetFormatPr defaultColWidth="9" defaultRowHeight="14.25" x14ac:dyDescent="0.2"/>
  <cols>
    <col min="2" max="2" width="26.125" customWidth="1"/>
    <col min="3" max="3" width="27.625" customWidth="1"/>
  </cols>
  <sheetData>
    <row r="1" spans="1:3" x14ac:dyDescent="0.2">
      <c r="A1" s="2" t="s">
        <v>423</v>
      </c>
      <c r="B1" s="2" t="s">
        <v>424</v>
      </c>
      <c r="C1" t="s">
        <v>202</v>
      </c>
    </row>
    <row r="2" spans="1:3" x14ac:dyDescent="0.2">
      <c r="A2">
        <v>1</v>
      </c>
      <c r="B2" t="s">
        <v>425</v>
      </c>
      <c r="C2" t="s">
        <v>426</v>
      </c>
    </row>
  </sheetData>
  <phoneticPr fontId="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10:N25"/>
  <sheetViews>
    <sheetView workbookViewId="0">
      <selection activeCell="L22" sqref="L22"/>
    </sheetView>
  </sheetViews>
  <sheetFormatPr defaultColWidth="9" defaultRowHeight="14.25" x14ac:dyDescent="0.2"/>
  <cols>
    <col min="10" max="10" width="11.625" customWidth="1"/>
  </cols>
  <sheetData>
    <row r="10" spans="10:14" x14ac:dyDescent="0.2">
      <c r="J10" t="s">
        <v>427</v>
      </c>
      <c r="L10" t="s">
        <v>428</v>
      </c>
      <c r="N10" t="s">
        <v>429</v>
      </c>
    </row>
    <row r="11" spans="10:14" x14ac:dyDescent="0.2">
      <c r="J11">
        <v>100</v>
      </c>
      <c r="L11">
        <v>300</v>
      </c>
      <c r="N11">
        <v>15</v>
      </c>
    </row>
    <row r="12" spans="10:14" x14ac:dyDescent="0.2">
      <c r="J12">
        <v>101</v>
      </c>
      <c r="L12">
        <v>300</v>
      </c>
      <c r="N12">
        <v>16</v>
      </c>
    </row>
    <row r="13" spans="10:14" x14ac:dyDescent="0.2">
      <c r="J13">
        <v>102</v>
      </c>
      <c r="L13">
        <v>300</v>
      </c>
      <c r="N13">
        <v>17</v>
      </c>
    </row>
    <row r="15" spans="10:14" x14ac:dyDescent="0.2">
      <c r="J15" t="s">
        <v>428</v>
      </c>
    </row>
    <row r="16" spans="10:14" x14ac:dyDescent="0.2">
      <c r="J16">
        <v>10</v>
      </c>
    </row>
    <row r="22" spans="10:14" x14ac:dyDescent="0.2">
      <c r="J22">
        <v>1</v>
      </c>
      <c r="L22">
        <v>100</v>
      </c>
      <c r="N22">
        <v>2</v>
      </c>
    </row>
    <row r="25" spans="10:14" ht="15.75" x14ac:dyDescent="0.3">
      <c r="J25" s="1">
        <v>4.8611342592592602E-2</v>
      </c>
    </row>
  </sheetData>
  <phoneticPr fontId="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Darien</cp:lastModifiedBy>
  <dcterms:created xsi:type="dcterms:W3CDTF">2015-06-05T18:19:00Z</dcterms:created>
  <dcterms:modified xsi:type="dcterms:W3CDTF">2021-07-19T09:01:31Z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