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group!$I$1:$I$138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<sst xmlns="http://schemas.openxmlformats.org/spreadsheetml/2006/main" count="698" uniqueCount="423">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</sst>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name val="宋体"/>
      <charset val="134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4" fillId="2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" fillId="0" borderId="3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8" fillId="36" borderId="8" applyNumberFormat="0" applyAlignment="0" applyProtection="0">
      <alignment vertical="center"/>
    </xf>
    <xf numFmtId="0" fontId="20" fillId="36" borderId="4" applyNumberFormat="0" applyAlignment="0" applyProtection="0">
      <alignment vertical="center"/>
    </xf>
    <xf numFmtId="0" fontId="7" fillId="27" borderId="6" applyNumberFormat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0" fillId="0" borderId="0"/>
  </cellStyleXfs>
  <cellXfs count="8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8"/>
  <sheetViews>
    <sheetView workbookViewId="0">
      <pane ySplit="1" topLeftCell="A113" activePane="bottomLeft" state="frozen"/>
      <selection/>
      <selection pane="bottomLeft" activeCell="F138" sqref="F138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30" t="s">
        <v>13</v>
      </c>
      <c r="D2" s="30" t="s">
        <v>14</v>
      </c>
      <c r="F2" s="30">
        <v>5</v>
      </c>
      <c r="G2" s="39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39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30" t="s">
        <v>14</v>
      </c>
      <c r="D3" s="30" t="s">
        <v>14</v>
      </c>
      <c r="F3" s="30">
        <v>5</v>
      </c>
      <c r="G3" s="39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39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30" t="s">
        <v>16</v>
      </c>
      <c r="D4" s="30" t="s">
        <v>14</v>
      </c>
      <c r="F4" s="30">
        <v>10</v>
      </c>
      <c r="G4" s="39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39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30" t="s">
        <v>13</v>
      </c>
      <c r="D5" s="30" t="s">
        <v>14</v>
      </c>
      <c r="F5" s="30">
        <v>10</v>
      </c>
      <c r="G5" s="39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39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30" t="s">
        <v>14</v>
      </c>
      <c r="D6" s="30" t="s">
        <v>14</v>
      </c>
      <c r="F6" s="30">
        <v>10</v>
      </c>
      <c r="G6" s="39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39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75" customFormat="1" spans="1:17">
      <c r="A7" s="75">
        <v>6</v>
      </c>
      <c r="B7" s="75">
        <v>2</v>
      </c>
      <c r="C7" s="75" t="s">
        <v>17</v>
      </c>
      <c r="G7" s="79" t="s">
        <v>18</v>
      </c>
      <c r="H7" s="75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5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5">
        <v>1</v>
      </c>
    </row>
    <row r="8" s="30" customFormat="1" spans="1:17">
      <c r="A8" s="30">
        <v>7</v>
      </c>
      <c r="B8" s="30">
        <v>2</v>
      </c>
      <c r="C8" s="30" t="s">
        <v>19</v>
      </c>
      <c r="F8" s="30">
        <v>10</v>
      </c>
      <c r="G8" s="80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39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30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39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30" t="s">
        <v>22</v>
      </c>
      <c r="D10" s="30" t="s">
        <v>14</v>
      </c>
      <c r="F10" s="30">
        <v>10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39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30" t="s">
        <v>23</v>
      </c>
      <c r="D11" s="30" t="s">
        <v>21</v>
      </c>
      <c r="F11" s="30">
        <v>10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39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30" t="s">
        <v>24</v>
      </c>
      <c r="D12" s="30" t="s">
        <v>14</v>
      </c>
      <c r="F12" s="30">
        <v>10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39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76" customFormat="1" spans="1:19">
      <c r="A13" s="76">
        <v>12</v>
      </c>
      <c r="B13" s="76">
        <v>3</v>
      </c>
      <c r="C13" s="76" t="s">
        <v>25</v>
      </c>
      <c r="H13" s="76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6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6">
        <v>4</v>
      </c>
      <c r="R13" s="76">
        <v>11</v>
      </c>
      <c r="S13" s="76">
        <v>4</v>
      </c>
    </row>
    <row r="14" s="76" customFormat="1" spans="1:19">
      <c r="A14" s="76">
        <v>13</v>
      </c>
      <c r="B14" s="76">
        <v>3</v>
      </c>
      <c r="C14" s="76" t="s">
        <v>26</v>
      </c>
      <c r="H14" s="76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6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6" t="s">
        <v>27</v>
      </c>
      <c r="Q14" s="76">
        <v>5</v>
      </c>
      <c r="R14" s="76">
        <v>7</v>
      </c>
      <c r="S14" s="76">
        <v>5</v>
      </c>
    </row>
    <row r="15" s="76" customFormat="1" spans="1:19">
      <c r="A15" s="76">
        <v>14</v>
      </c>
      <c r="B15" s="76">
        <v>3</v>
      </c>
      <c r="C15" s="76" t="s">
        <v>28</v>
      </c>
      <c r="H15" s="76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6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6" t="str">
        <f t="array" ref="L15">INDEX(use_fish!A:A,SMALL(IF(group!$L$2&amp;IF(ISBLANK($L$14),$L$14,"+"&amp;$L$14)=use_fish!H:H,ROW(use_fish!H:H),4^8),ROW(1:1)))&amp;""</f>
        <v/>
      </c>
      <c r="Q15" s="76">
        <v>8</v>
      </c>
      <c r="R15" s="76">
        <v>7</v>
      </c>
      <c r="S15" s="76">
        <v>8</v>
      </c>
    </row>
    <row r="16" s="76" customFormat="1" spans="1:19">
      <c r="A16" s="76">
        <v>15</v>
      </c>
      <c r="B16" s="76">
        <v>3</v>
      </c>
      <c r="C16" s="76" t="s">
        <v>29</v>
      </c>
      <c r="H16" s="76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6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6" t="str">
        <f t="array" ref="L16">INDEX(use_fish!A:A,SMALL(IF(group!$L$2&amp;IF(ISBLANK($L$14),$L$14,"+"&amp;$L$14)=use_fish!H:H,ROW(use_fish!H:H),4^8),ROW(2:2)))&amp;""</f>
        <v/>
      </c>
      <c r="Q16" s="76">
        <v>7</v>
      </c>
      <c r="R16" s="76">
        <v>11</v>
      </c>
      <c r="S16" s="76">
        <v>7</v>
      </c>
    </row>
    <row r="17" s="76" customFormat="1" spans="1:19">
      <c r="A17" s="76">
        <v>16</v>
      </c>
      <c r="B17" s="76">
        <v>3</v>
      </c>
      <c r="C17" s="76" t="s">
        <v>30</v>
      </c>
      <c r="H17" s="76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6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6" t="str">
        <f t="array" ref="K17">INDEX(use_fish!A:A,SMALL(IF(group!$L$2&amp;IF(ISBLANK($L$14),$L$14,"+"&amp;$L$14)=use_fish!H:H,ROW(use_fish!H:H),4^8),ROW(14:14)))&amp;""</f>
        <v/>
      </c>
      <c r="Q17" s="76">
        <v>5</v>
      </c>
      <c r="R17" s="76">
        <v>12</v>
      </c>
      <c r="S17" s="76">
        <v>5</v>
      </c>
    </row>
    <row r="18" s="76" customFormat="1" spans="1:19">
      <c r="A18" s="76">
        <v>17</v>
      </c>
      <c r="B18" s="76">
        <v>3</v>
      </c>
      <c r="C18" s="76" t="s">
        <v>25</v>
      </c>
      <c r="H18" s="76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6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6" t="str">
        <f t="array" ref="K18">INDEX(use_fish!A:A,SMALL(IF(group!$L$2&amp;IF(ISBLANK($L$14),$L$14,"+"&amp;$L$14)=use_fish!H:H,ROW(use_fish!H:H),4^8),ROW(15:15)))&amp;""</f>
        <v/>
      </c>
      <c r="Q18" s="76">
        <v>4</v>
      </c>
      <c r="R18" s="76">
        <v>11</v>
      </c>
      <c r="S18" s="76">
        <v>4</v>
      </c>
    </row>
    <row r="19" s="32" customFormat="1" spans="1:19">
      <c r="A19" s="32">
        <v>18</v>
      </c>
      <c r="B19" s="32">
        <v>4</v>
      </c>
      <c r="C19" s="32" t="s">
        <v>31</v>
      </c>
      <c r="G19" s="32" t="s">
        <v>32</v>
      </c>
      <c r="H19" s="32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2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5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2">
        <v>3</v>
      </c>
      <c r="R19" s="32">
        <v>7</v>
      </c>
      <c r="S19" s="32">
        <v>17</v>
      </c>
    </row>
    <row r="20" s="32" customFormat="1" spans="1:19">
      <c r="A20" s="32">
        <v>19</v>
      </c>
      <c r="B20" s="32">
        <v>4</v>
      </c>
      <c r="C20" s="32" t="s">
        <v>33</v>
      </c>
      <c r="G20" s="32" t="s">
        <v>34</v>
      </c>
      <c r="H20" s="32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2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5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2">
        <v>4</v>
      </c>
      <c r="R20" s="32">
        <v>5</v>
      </c>
      <c r="S20" s="32">
        <v>18</v>
      </c>
    </row>
    <row r="21" s="32" customFormat="1" spans="1:19">
      <c r="A21" s="32">
        <v>20</v>
      </c>
      <c r="B21" s="32">
        <v>4</v>
      </c>
      <c r="C21" s="32" t="s">
        <v>35</v>
      </c>
      <c r="G21" s="32" t="s">
        <v>36</v>
      </c>
      <c r="H21" s="32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2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5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2">
        <v>5</v>
      </c>
      <c r="R21" s="32">
        <v>8</v>
      </c>
      <c r="S21" s="32">
        <v>18</v>
      </c>
    </row>
    <row r="22" s="32" customFormat="1" spans="1:19">
      <c r="A22" s="32">
        <v>21</v>
      </c>
      <c r="B22" s="32">
        <v>4</v>
      </c>
      <c r="C22" s="32" t="s">
        <v>37</v>
      </c>
      <c r="G22" s="32" t="s">
        <v>38</v>
      </c>
      <c r="H22" s="32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2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5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2">
        <v>12</v>
      </c>
      <c r="R22" s="32">
        <v>13</v>
      </c>
      <c r="S22" s="32">
        <v>17</v>
      </c>
    </row>
    <row r="23" s="33" customFormat="1" spans="1:20">
      <c r="A23" s="33">
        <v>22</v>
      </c>
      <c r="B23" s="33">
        <v>4</v>
      </c>
      <c r="C23" s="33" t="s">
        <v>39</v>
      </c>
      <c r="G23" s="33" t="s">
        <v>40</v>
      </c>
      <c r="H23" s="33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3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8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3">
        <v>12</v>
      </c>
      <c r="R23" s="33">
        <v>14</v>
      </c>
      <c r="S23" s="33">
        <v>16</v>
      </c>
      <c r="T23" s="33">
        <v>20</v>
      </c>
    </row>
    <row r="24" s="33" customFormat="1" spans="1:20">
      <c r="A24" s="33">
        <v>23</v>
      </c>
      <c r="B24" s="33">
        <v>4</v>
      </c>
      <c r="C24" s="33" t="s">
        <v>41</v>
      </c>
      <c r="G24" s="33" t="s">
        <v>42</v>
      </c>
      <c r="H24" s="33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3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8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3">
        <v>13</v>
      </c>
      <c r="R24" s="33">
        <v>8</v>
      </c>
      <c r="S24" s="33">
        <v>15</v>
      </c>
      <c r="T24" s="33">
        <v>23</v>
      </c>
    </row>
    <row r="25" s="33" customFormat="1" spans="1:20">
      <c r="A25" s="33">
        <v>24</v>
      </c>
      <c r="B25" s="33">
        <v>4</v>
      </c>
      <c r="C25" s="33" t="s">
        <v>43</v>
      </c>
      <c r="G25" s="33" t="s">
        <v>44</v>
      </c>
      <c r="H25" s="33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3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8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3">
        <v>13</v>
      </c>
      <c r="R25" s="33">
        <v>14</v>
      </c>
      <c r="S25" s="33">
        <v>17</v>
      </c>
      <c r="T25" s="33">
        <v>26</v>
      </c>
    </row>
    <row r="26" s="33" customFormat="1" spans="1:20">
      <c r="A26" s="33">
        <v>25</v>
      </c>
      <c r="B26" s="33">
        <v>4</v>
      </c>
      <c r="C26" s="33" t="s">
        <v>45</v>
      </c>
      <c r="G26" s="33" t="s">
        <v>44</v>
      </c>
      <c r="H26" s="33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3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8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3">
        <v>15</v>
      </c>
      <c r="R26" s="33">
        <v>16</v>
      </c>
      <c r="S26" s="33">
        <v>18</v>
      </c>
      <c r="T26" s="33">
        <v>27</v>
      </c>
    </row>
    <row r="27" s="32" customFormat="1" spans="1:17">
      <c r="A27" s="32">
        <v>26</v>
      </c>
      <c r="B27" s="32">
        <v>2</v>
      </c>
      <c r="C27" s="32" t="s">
        <v>46</v>
      </c>
      <c r="G27" s="32" t="s">
        <v>47</v>
      </c>
      <c r="H27" s="32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2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5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2">
        <v>12</v>
      </c>
    </row>
    <row r="28" s="32" customFormat="1" spans="1:17">
      <c r="A28" s="32">
        <v>27</v>
      </c>
      <c r="B28" s="32">
        <v>2</v>
      </c>
      <c r="C28" s="32" t="s">
        <v>48</v>
      </c>
      <c r="G28" s="32" t="s">
        <v>49</v>
      </c>
      <c r="H28" s="32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2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5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2">
        <v>13</v>
      </c>
    </row>
    <row r="29" s="32" customFormat="1" spans="1:17">
      <c r="A29" s="32">
        <v>28</v>
      </c>
      <c r="B29" s="32">
        <v>1</v>
      </c>
      <c r="C29" s="32" t="s">
        <v>50</v>
      </c>
      <c r="H29" s="32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2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5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2">
        <v>14</v>
      </c>
    </row>
    <row r="30" s="32" customFormat="1" spans="1:17">
      <c r="A30" s="32">
        <v>29</v>
      </c>
      <c r="B30" s="32">
        <v>1</v>
      </c>
      <c r="C30" s="32" t="s">
        <v>51</v>
      </c>
      <c r="H30" s="32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2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5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2">
        <v>15</v>
      </c>
    </row>
    <row r="31" s="32" customFormat="1" spans="1:17">
      <c r="A31" s="32">
        <v>30</v>
      </c>
      <c r="B31" s="32">
        <v>1</v>
      </c>
      <c r="C31" s="32" t="s">
        <v>52</v>
      </c>
      <c r="H31" s="32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2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5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2">
        <v>16</v>
      </c>
    </row>
    <row r="32" s="32" customFormat="1" spans="1:17">
      <c r="A32" s="32">
        <v>31</v>
      </c>
      <c r="B32" s="32">
        <v>1</v>
      </c>
      <c r="C32" s="32" t="s">
        <v>53</v>
      </c>
      <c r="H32" s="32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2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5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2">
        <v>17</v>
      </c>
    </row>
    <row r="33" s="32" customFormat="1" spans="1:17">
      <c r="A33" s="32">
        <v>32</v>
      </c>
      <c r="B33" s="32">
        <v>1</v>
      </c>
      <c r="C33" s="32" t="s">
        <v>54</v>
      </c>
      <c r="H33" s="32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2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5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2" t="str">
        <f t="array" ref="K33">INDEX(use_fish!A:A,SMALL(IF(group!$L$2&amp;IF(ISBLANK($L$14),$L$14,"+"&amp;$L$14)=use_fish!H:H,ROW(use_fish!H:H),4^8),ROW(10:10)))&amp;""</f>
        <v/>
      </c>
      <c r="Q33" s="32">
        <v>18</v>
      </c>
    </row>
    <row r="34" s="32" customFormat="1" spans="1:17">
      <c r="A34" s="32">
        <v>33</v>
      </c>
      <c r="B34" s="32">
        <v>1</v>
      </c>
      <c r="C34" s="32" t="s">
        <v>55</v>
      </c>
      <c r="H34" s="32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2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5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2" t="str">
        <f t="array" ref="K34">INDEX(use_fish!A:A,SMALL(IF(group!$L$2&amp;IF(ISBLANK($L$14),$L$14,"+"&amp;$L$14)=use_fish!H:H,ROW(use_fish!H:H),4^8),ROW(11:11)))&amp;""</f>
        <v/>
      </c>
      <c r="Q34" s="32">
        <v>19</v>
      </c>
    </row>
    <row r="35" s="33" customFormat="1" spans="1:17">
      <c r="A35" s="33">
        <v>34</v>
      </c>
      <c r="B35" s="33">
        <v>1</v>
      </c>
      <c r="C35" s="33" t="s">
        <v>56</v>
      </c>
      <c r="H35" s="33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3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8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3" t="str">
        <f t="array" ref="K35">INDEX(use_fish!A:A,SMALL(IF(group!$L$2&amp;IF(ISBLANK($L$14),$L$14,"+"&amp;$L$14)=use_fish!H:H,ROW(use_fish!H:H),4^8),ROW(12:12)))&amp;""</f>
        <v/>
      </c>
      <c r="Q35" s="33">
        <v>20</v>
      </c>
    </row>
    <row r="36" s="33" customFormat="1" spans="1:17">
      <c r="A36" s="33">
        <v>35</v>
      </c>
      <c r="B36" s="33">
        <v>1</v>
      </c>
      <c r="C36" s="33" t="s">
        <v>57</v>
      </c>
      <c r="H36" s="33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3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8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3" t="str">
        <f t="array" ref="K36">INDEX(use_fish!A:A,SMALL(IF(group!$L$2&amp;IF(ISBLANK($L$14),$L$14,"+"&amp;$L$14)=use_fish!H:H,ROW(use_fish!H:H),4^8),ROW(13:13)))&amp;""</f>
        <v/>
      </c>
      <c r="Q36" s="33">
        <v>21</v>
      </c>
    </row>
    <row r="37" s="33" customFormat="1" spans="1:17">
      <c r="A37" s="33">
        <v>36</v>
      </c>
      <c r="B37" s="33">
        <v>1</v>
      </c>
      <c r="C37" s="33" t="s">
        <v>58</v>
      </c>
      <c r="H37" s="33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3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8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3" t="str">
        <f t="array" ref="K37">INDEX(use_fish!A:A,SMALL(IF(group!$L$2&amp;IF(ISBLANK($L$14),$L$14,"+"&amp;$L$14)=use_fish!H:H,ROW(use_fish!H:H),4^8),ROW(14:14)))&amp;""</f>
        <v/>
      </c>
      <c r="Q37" s="33">
        <v>22</v>
      </c>
    </row>
    <row r="38" s="33" customFormat="1" spans="1:17">
      <c r="A38" s="33">
        <v>37</v>
      </c>
      <c r="B38" s="33">
        <v>1</v>
      </c>
      <c r="C38" s="33" t="s">
        <v>59</v>
      </c>
      <c r="H38" s="33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3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8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3" t="str">
        <f t="array" ref="K38">INDEX(use_fish!A:A,SMALL(IF(group!$L$2&amp;IF(ISBLANK($L$14),$L$14,"+"&amp;$L$14)=use_fish!H:H,ROW(use_fish!H:H),4^8),ROW(15:15)))&amp;""</f>
        <v/>
      </c>
      <c r="Q38" s="33">
        <v>23</v>
      </c>
    </row>
    <row r="39" s="33" customFormat="1" spans="1:17">
      <c r="A39" s="33">
        <v>38</v>
      </c>
      <c r="B39" s="33">
        <v>1</v>
      </c>
      <c r="C39" s="33" t="s">
        <v>60</v>
      </c>
      <c r="H39" s="48" t="s">
        <v>61</v>
      </c>
      <c r="I39" s="48" t="s">
        <v>62</v>
      </c>
      <c r="J39" s="48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3" t="str">
        <f t="array" ref="K39">INDEX(use_fish!A:A,SMALL(IF(group!$L$2&amp;IF(ISBLANK($L$14),$L$14,"+"&amp;$L$14)=use_fish!H:H,ROW(use_fish!H:H),4^8),ROW(36:36)))&amp;""</f>
        <v/>
      </c>
      <c r="Q39" s="33">
        <v>24</v>
      </c>
    </row>
    <row r="40" s="33" customFormat="1" spans="1:17">
      <c r="A40" s="33">
        <v>39</v>
      </c>
      <c r="B40" s="33">
        <v>1</v>
      </c>
      <c r="C40" s="33" t="s">
        <v>63</v>
      </c>
      <c r="H40" s="33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3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8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3" t="str">
        <f t="array" ref="K40">INDEX(use_fish!A:A,SMALL(IF(group!$L$2&amp;IF(ISBLANK($L$14),$L$14,"+"&amp;$L$14)=use_fish!H:H,ROW(use_fish!H:H),4^8),ROW(37:37)))&amp;""</f>
        <v/>
      </c>
      <c r="Q40" s="33">
        <v>25</v>
      </c>
    </row>
    <row r="41" s="33" customFormat="1" spans="1:17">
      <c r="A41" s="33">
        <v>40</v>
      </c>
      <c r="B41" s="33">
        <v>1</v>
      </c>
      <c r="C41" s="33" t="s">
        <v>64</v>
      </c>
      <c r="H41" s="33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3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8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3" t="str">
        <f t="array" ref="K41">INDEX(use_fish!A:A,SMALL(IF(group!$L$2&amp;IF(ISBLANK($L$14),$L$14,"+"&amp;$L$14)=use_fish!H:H,ROW(use_fish!H:H),4^8),ROW(38:38)))&amp;""</f>
        <v/>
      </c>
      <c r="Q41" s="33">
        <v>26</v>
      </c>
    </row>
    <row r="42" s="33" customFormat="1" spans="1:17">
      <c r="A42" s="33">
        <v>41</v>
      </c>
      <c r="B42" s="33">
        <v>1</v>
      </c>
      <c r="C42" s="33" t="s">
        <v>65</v>
      </c>
      <c r="H42" s="33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3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8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3">
        <v>27</v>
      </c>
    </row>
    <row r="43" s="77" customFormat="1" spans="1:17">
      <c r="A43" s="77">
        <v>42</v>
      </c>
      <c r="B43" s="77">
        <v>1</v>
      </c>
      <c r="C43" s="77" t="s">
        <v>66</v>
      </c>
      <c r="H43" s="77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7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2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7">
        <v>28</v>
      </c>
    </row>
    <row r="44" s="77" customFormat="1" spans="1:17">
      <c r="A44" s="77">
        <v>43</v>
      </c>
      <c r="B44" s="77">
        <v>1</v>
      </c>
      <c r="C44" s="77" t="s">
        <v>67</v>
      </c>
      <c r="H44" s="77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7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2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7" t="str">
        <f t="array" ref="K44">INDEX(use_fish!A:A,SMALL(IF(group!$L$2&amp;IF(ISBLANK($L$14),$L$14,"+"&amp;$L$14)=use_fish!H:H,ROW(use_fish!H:H),4^8),ROW(41:41)))&amp;""</f>
        <v/>
      </c>
      <c r="Q44" s="77">
        <v>29</v>
      </c>
    </row>
    <row r="45" s="77" customFormat="1" spans="1:17">
      <c r="A45" s="77">
        <v>44</v>
      </c>
      <c r="B45" s="77">
        <v>1</v>
      </c>
      <c r="C45" s="77" t="s">
        <v>68</v>
      </c>
      <c r="H45" s="77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7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2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7" t="str">
        <f t="array" ref="K45">INDEX(use_fish!A:A,SMALL(IF(group!$L$2&amp;IF(ISBLANK($L$14),$L$14,"+"&amp;$L$14)=use_fish!H:H,ROW(use_fish!H:H),4^8),ROW(42:42)))&amp;""</f>
        <v/>
      </c>
      <c r="Q45" s="77">
        <v>30</v>
      </c>
    </row>
    <row r="46" s="77" customFormat="1" spans="1:17">
      <c r="A46" s="77">
        <v>45</v>
      </c>
      <c r="B46" s="77">
        <v>1</v>
      </c>
      <c r="C46" s="77" t="s">
        <v>69</v>
      </c>
      <c r="H46" s="77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7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2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7">
        <v>31</v>
      </c>
    </row>
    <row r="47" s="77" customFormat="1" spans="1:17">
      <c r="A47" s="77">
        <v>46</v>
      </c>
      <c r="B47" s="77">
        <v>1</v>
      </c>
      <c r="C47" s="77" t="s">
        <v>70</v>
      </c>
      <c r="H47" s="77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7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2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3">
        <v>32</v>
      </c>
    </row>
    <row r="48" s="77" customFormat="1" spans="1:17">
      <c r="A48" s="77">
        <v>47</v>
      </c>
      <c r="B48" s="77">
        <v>1</v>
      </c>
      <c r="C48" s="77" t="s">
        <v>71</v>
      </c>
      <c r="H48" s="77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7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2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3">
        <v>33</v>
      </c>
    </row>
    <row r="49" s="77" customFormat="1" spans="1:17">
      <c r="A49" s="77">
        <v>48</v>
      </c>
      <c r="B49" s="77">
        <v>1</v>
      </c>
      <c r="C49" s="77" t="s">
        <v>72</v>
      </c>
      <c r="H49" s="77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7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2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3">
        <v>34</v>
      </c>
    </row>
    <row r="50" s="77" customFormat="1" spans="1:17">
      <c r="A50" s="77">
        <v>49</v>
      </c>
      <c r="B50" s="77">
        <v>1</v>
      </c>
      <c r="C50" s="77" t="s">
        <v>73</v>
      </c>
      <c r="H50" s="77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7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2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3">
        <v>35</v>
      </c>
    </row>
    <row r="51" s="77" customFormat="1" spans="1:17">
      <c r="A51" s="77">
        <v>50</v>
      </c>
      <c r="B51" s="77">
        <v>1</v>
      </c>
      <c r="C51" s="77" t="s">
        <v>74</v>
      </c>
      <c r="H51" s="77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7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2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3">
        <v>36</v>
      </c>
    </row>
    <row r="52" s="77" customFormat="1" spans="1:17">
      <c r="A52" s="77">
        <v>51</v>
      </c>
      <c r="B52" s="77">
        <v>1</v>
      </c>
      <c r="C52" s="77" t="s">
        <v>75</v>
      </c>
      <c r="H52" s="77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7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2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3">
        <v>37</v>
      </c>
    </row>
    <row r="53" s="26" customFormat="1" spans="1:17">
      <c r="A53" s="26">
        <v>52</v>
      </c>
      <c r="B53" s="26">
        <v>1</v>
      </c>
      <c r="C53" s="26" t="s">
        <v>76</v>
      </c>
      <c r="H53" s="26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6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5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4">
        <v>38</v>
      </c>
    </row>
    <row r="54" s="26" customFormat="1" spans="1:17">
      <c r="A54" s="26">
        <v>53</v>
      </c>
      <c r="B54" s="26">
        <v>1</v>
      </c>
      <c r="C54" s="26" t="s">
        <v>77</v>
      </c>
      <c r="H54" s="26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6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5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4">
        <v>39</v>
      </c>
    </row>
    <row r="55" s="26" customFormat="1" spans="1:17">
      <c r="A55" s="26">
        <v>54</v>
      </c>
      <c r="B55" s="26">
        <v>1</v>
      </c>
      <c r="C55" s="26" t="s">
        <v>78</v>
      </c>
      <c r="H55" s="26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6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5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4">
        <v>40</v>
      </c>
    </row>
    <row r="56" s="26" customFormat="1" spans="1:17">
      <c r="A56" s="26">
        <v>55</v>
      </c>
      <c r="B56" s="26">
        <v>1</v>
      </c>
      <c r="C56" s="26" t="s">
        <v>79</v>
      </c>
      <c r="H56" s="26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6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5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4">
        <v>41</v>
      </c>
    </row>
    <row r="57" s="26" customFormat="1" spans="1:17">
      <c r="A57" s="26">
        <v>56</v>
      </c>
      <c r="B57" s="26">
        <v>1</v>
      </c>
      <c r="C57" s="26" t="s">
        <v>80</v>
      </c>
      <c r="H57" s="26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6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5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4">
        <v>42</v>
      </c>
    </row>
    <row r="58" s="26" customFormat="1" spans="1:17">
      <c r="A58" s="26">
        <v>57</v>
      </c>
      <c r="B58" s="26">
        <v>1</v>
      </c>
      <c r="C58" s="26" t="s">
        <v>81</v>
      </c>
      <c r="H58" s="26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6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5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4">
        <v>43</v>
      </c>
    </row>
    <row r="59" s="26" customFormat="1" spans="1:17">
      <c r="A59" s="26">
        <v>58</v>
      </c>
      <c r="B59" s="26">
        <v>1</v>
      </c>
      <c r="C59" s="26" t="s">
        <v>82</v>
      </c>
      <c r="H59" s="26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6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5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4">
        <v>44</v>
      </c>
    </row>
    <row r="60" s="26" customFormat="1" spans="1:17">
      <c r="A60" s="26">
        <v>59</v>
      </c>
      <c r="B60" s="26">
        <v>1</v>
      </c>
      <c r="C60" s="26" t="s">
        <v>83</v>
      </c>
      <c r="H60" s="26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6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5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4">
        <v>45</v>
      </c>
    </row>
    <row r="61" s="36" customFormat="1" spans="1:17">
      <c r="A61" s="36">
        <v>60</v>
      </c>
      <c r="B61" s="36">
        <v>1</v>
      </c>
      <c r="C61" s="36" t="s">
        <v>84</v>
      </c>
      <c r="H61" s="36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6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1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0">
        <v>46</v>
      </c>
    </row>
    <row r="62" s="36" customFormat="1" spans="1:17">
      <c r="A62" s="36">
        <v>61</v>
      </c>
      <c r="B62" s="36">
        <v>1</v>
      </c>
      <c r="C62" s="36" t="s">
        <v>85</v>
      </c>
      <c r="H62" s="36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6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1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0">
        <v>47</v>
      </c>
    </row>
    <row r="63" s="36" customFormat="1" spans="1:17">
      <c r="A63" s="36">
        <v>62</v>
      </c>
      <c r="B63" s="36">
        <v>1</v>
      </c>
      <c r="C63" s="36" t="s">
        <v>86</v>
      </c>
      <c r="H63" s="36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6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1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0">
        <v>48</v>
      </c>
    </row>
    <row r="64" s="36" customFormat="1" spans="1:17">
      <c r="A64" s="36">
        <v>63</v>
      </c>
      <c r="B64" s="36">
        <v>1</v>
      </c>
      <c r="C64" s="36" t="s">
        <v>87</v>
      </c>
      <c r="H64" s="36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6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1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0">
        <v>49</v>
      </c>
    </row>
    <row r="65" s="30" customFormat="1" spans="1:17">
      <c r="A65" s="30">
        <v>64</v>
      </c>
      <c r="B65" s="30">
        <v>2</v>
      </c>
      <c r="C65" s="30" t="s">
        <v>88</v>
      </c>
      <c r="G65" s="80"/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39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30" t="s">
        <v>89</v>
      </c>
      <c r="G66" s="80" t="s">
        <v>90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39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30" t="s">
        <v>91</v>
      </c>
      <c r="G67" s="84" t="s">
        <v>92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39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6" customFormat="1" spans="1:17">
      <c r="A68" s="26">
        <v>67</v>
      </c>
      <c r="B68" s="26">
        <v>1</v>
      </c>
      <c r="C68" s="26" t="s">
        <v>93</v>
      </c>
      <c r="H68" s="26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6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5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4">
        <v>51</v>
      </c>
    </row>
    <row r="69" s="26" customFormat="1" spans="1:17">
      <c r="A69" s="26">
        <v>68</v>
      </c>
      <c r="B69" s="26">
        <v>1</v>
      </c>
      <c r="C69" s="26" t="s">
        <v>94</v>
      </c>
      <c r="H69" s="26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6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5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4">
        <v>52</v>
      </c>
    </row>
    <row r="70" s="26" customFormat="1" spans="1:17">
      <c r="A70" s="26">
        <v>69</v>
      </c>
      <c r="B70" s="26">
        <v>1</v>
      </c>
      <c r="C70" s="26" t="s">
        <v>95</v>
      </c>
      <c r="H70" s="26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6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5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4">
        <v>53</v>
      </c>
    </row>
    <row r="71" s="26" customFormat="1" spans="1:17">
      <c r="A71" s="26">
        <v>70</v>
      </c>
      <c r="B71" s="26">
        <v>1</v>
      </c>
      <c r="C71" s="26" t="s">
        <v>96</v>
      </c>
      <c r="H71" s="26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6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5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4">
        <v>54</v>
      </c>
    </row>
    <row r="72" s="26" customFormat="1" spans="1:17">
      <c r="A72" s="26">
        <v>71</v>
      </c>
      <c r="B72" s="26">
        <v>1</v>
      </c>
      <c r="C72" s="26" t="s">
        <v>97</v>
      </c>
      <c r="H72" s="26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6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5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4">
        <v>55</v>
      </c>
    </row>
    <row r="73" s="26" customFormat="1" spans="1:17">
      <c r="A73" s="26">
        <v>72</v>
      </c>
      <c r="B73" s="26">
        <v>1</v>
      </c>
      <c r="C73" s="26" t="s">
        <v>98</v>
      </c>
      <c r="H73" s="26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6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5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4">
        <v>56</v>
      </c>
    </row>
    <row r="74" s="26" customFormat="1" spans="1:17">
      <c r="A74" s="26">
        <v>73</v>
      </c>
      <c r="B74" s="26">
        <v>1</v>
      </c>
      <c r="C74" s="26" t="s">
        <v>99</v>
      </c>
      <c r="H74" s="26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6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5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4">
        <v>57</v>
      </c>
    </row>
    <row r="75" s="26" customFormat="1" spans="1:17">
      <c r="A75" s="26">
        <v>74</v>
      </c>
      <c r="B75" s="26">
        <v>1</v>
      </c>
      <c r="C75" s="26" t="s">
        <v>100</v>
      </c>
      <c r="H75" s="26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6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5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4">
        <v>58</v>
      </c>
    </row>
    <row r="76" s="26" customFormat="1" spans="1:17">
      <c r="A76" s="26">
        <v>75</v>
      </c>
      <c r="B76" s="26">
        <v>1</v>
      </c>
      <c r="C76" s="26" t="s">
        <v>101</v>
      </c>
      <c r="H76" s="26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6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4">
        <v>59</v>
      </c>
    </row>
    <row r="77" s="26" customFormat="1" spans="1:17">
      <c r="A77" s="26">
        <v>76</v>
      </c>
      <c r="B77" s="26">
        <v>1</v>
      </c>
      <c r="C77" s="26" t="s">
        <v>102</v>
      </c>
      <c r="H77" s="26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6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4">
        <v>60</v>
      </c>
    </row>
    <row r="78" s="26" customFormat="1" spans="1:17">
      <c r="A78" s="26">
        <v>77</v>
      </c>
      <c r="B78" s="26">
        <v>1</v>
      </c>
      <c r="C78" s="26" t="s">
        <v>103</v>
      </c>
      <c r="H78" s="26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6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4">
        <v>61</v>
      </c>
    </row>
    <row r="79" s="26" customFormat="1" spans="1:17">
      <c r="A79" s="26">
        <v>78</v>
      </c>
      <c r="B79" s="26">
        <v>1</v>
      </c>
      <c r="C79" s="26" t="s">
        <v>104</v>
      </c>
      <c r="H79" s="26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6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4">
        <v>62</v>
      </c>
    </row>
    <row r="80" s="26" customFormat="1" spans="1:17">
      <c r="A80" s="26">
        <v>79</v>
      </c>
      <c r="B80" s="26">
        <v>1</v>
      </c>
      <c r="C80" s="26" t="s">
        <v>105</v>
      </c>
      <c r="H80" s="26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6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4">
        <v>63</v>
      </c>
    </row>
    <row r="81" s="26" customFormat="1" spans="1:17">
      <c r="A81" s="26">
        <v>80</v>
      </c>
      <c r="B81" s="26">
        <v>1</v>
      </c>
      <c r="C81" s="26" t="s">
        <v>106</v>
      </c>
      <c r="H81" s="26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6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4">
        <v>64</v>
      </c>
    </row>
    <row r="82" s="26" customFormat="1" spans="1:17">
      <c r="A82" s="26">
        <v>81</v>
      </c>
      <c r="B82" s="26">
        <v>1</v>
      </c>
      <c r="C82" s="26" t="s">
        <v>107</v>
      </c>
      <c r="H82" s="26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6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5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4">
        <v>65</v>
      </c>
    </row>
    <row r="83" s="26" customFormat="1" spans="1:17">
      <c r="A83" s="26">
        <v>82</v>
      </c>
      <c r="B83" s="26">
        <v>1</v>
      </c>
      <c r="C83" s="26" t="s">
        <v>108</v>
      </c>
      <c r="H83" s="26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6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5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4">
        <v>66</v>
      </c>
    </row>
    <row r="84" s="26" customFormat="1" spans="1:17">
      <c r="A84" s="26">
        <v>83</v>
      </c>
      <c r="B84" s="26">
        <v>1</v>
      </c>
      <c r="C84" s="26" t="s">
        <v>109</v>
      </c>
      <c r="H84" s="26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6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5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4">
        <v>67</v>
      </c>
    </row>
    <row r="85" s="26" customFormat="1" spans="1:17">
      <c r="A85" s="26">
        <v>84</v>
      </c>
      <c r="B85" s="26">
        <v>1</v>
      </c>
      <c r="C85" s="26" t="s">
        <v>110</v>
      </c>
      <c r="H85" s="26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6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5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4">
        <v>68</v>
      </c>
    </row>
    <row r="86" s="26" customFormat="1" spans="1:17">
      <c r="A86" s="26">
        <v>85</v>
      </c>
      <c r="B86" s="26">
        <v>1</v>
      </c>
      <c r="C86" s="26" t="s">
        <v>111</v>
      </c>
      <c r="H86" s="26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6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5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4">
        <v>69</v>
      </c>
    </row>
    <row r="87" s="26" customFormat="1" spans="1:17">
      <c r="A87" s="26">
        <v>86</v>
      </c>
      <c r="B87" s="26">
        <v>1</v>
      </c>
      <c r="C87" s="26" t="s">
        <v>112</v>
      </c>
      <c r="H87" s="26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6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5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4">
        <v>70</v>
      </c>
    </row>
    <row r="88" s="26" customFormat="1" spans="1:17">
      <c r="A88" s="26">
        <v>87</v>
      </c>
      <c r="B88" s="26">
        <v>1</v>
      </c>
      <c r="C88" s="26" t="s">
        <v>113</v>
      </c>
      <c r="H88" s="26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6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5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4">
        <v>71</v>
      </c>
    </row>
    <row r="89" s="26" customFormat="1" spans="1:17">
      <c r="A89" s="26">
        <v>88</v>
      </c>
      <c r="B89" s="26">
        <v>1</v>
      </c>
      <c r="C89" s="26" t="s">
        <v>114</v>
      </c>
      <c r="H89" s="26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6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5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4">
        <v>72</v>
      </c>
    </row>
    <row r="90" s="26" customFormat="1" spans="1:17">
      <c r="A90" s="26">
        <v>89</v>
      </c>
      <c r="B90" s="26">
        <v>1</v>
      </c>
      <c r="C90" s="26" t="s">
        <v>115</v>
      </c>
      <c r="H90" s="26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6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4">
        <v>73</v>
      </c>
    </row>
    <row r="91" s="26" customFormat="1" spans="1:17">
      <c r="A91" s="26">
        <v>90</v>
      </c>
      <c r="B91" s="26">
        <v>1</v>
      </c>
      <c r="C91" s="26" t="s">
        <v>116</v>
      </c>
      <c r="H91" s="26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6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4">
        <v>74</v>
      </c>
    </row>
    <row r="92" s="26" customFormat="1" spans="1:17">
      <c r="A92" s="26">
        <v>91</v>
      </c>
      <c r="B92" s="26">
        <v>1</v>
      </c>
      <c r="C92" s="26" t="s">
        <v>117</v>
      </c>
      <c r="H92" s="26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6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4">
        <v>75</v>
      </c>
    </row>
    <row r="93" s="26" customFormat="1" spans="1:17">
      <c r="A93" s="26">
        <v>92</v>
      </c>
      <c r="B93" s="26">
        <v>1</v>
      </c>
      <c r="C93" s="26" t="s">
        <v>118</v>
      </c>
      <c r="H93" s="26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6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4">
        <v>76</v>
      </c>
    </row>
    <row r="94" s="26" customFormat="1" spans="1:17">
      <c r="A94" s="26">
        <v>93</v>
      </c>
      <c r="B94" s="26">
        <v>1</v>
      </c>
      <c r="C94" s="26" t="s">
        <v>119</v>
      </c>
      <c r="H94" s="26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6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4">
        <v>77</v>
      </c>
    </row>
    <row r="95" s="26" customFormat="1" spans="1:17">
      <c r="A95" s="26">
        <v>94</v>
      </c>
      <c r="B95" s="26">
        <v>1</v>
      </c>
      <c r="C95" s="26" t="s">
        <v>120</v>
      </c>
      <c r="H95" s="26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6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4">
        <v>78</v>
      </c>
    </row>
    <row r="96" s="17" customFormat="1" spans="1:17">
      <c r="A96" s="26">
        <v>95</v>
      </c>
      <c r="B96" s="17">
        <v>1</v>
      </c>
      <c r="C96" s="17" t="s">
        <v>121</v>
      </c>
      <c r="H96" s="1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5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4">
        <v>79</v>
      </c>
    </row>
    <row r="97" s="17" customFormat="1" spans="1:17">
      <c r="A97" s="26">
        <v>96</v>
      </c>
      <c r="B97" s="17">
        <v>1</v>
      </c>
      <c r="C97" s="17" t="s">
        <v>122</v>
      </c>
      <c r="H97" s="1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5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4">
        <v>80</v>
      </c>
    </row>
    <row r="98" s="37" customFormat="1" spans="1:17">
      <c r="A98" s="26">
        <v>97</v>
      </c>
      <c r="B98" s="37">
        <v>1</v>
      </c>
      <c r="C98" s="17" t="s">
        <v>123</v>
      </c>
      <c r="H98" s="37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7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9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4">
        <v>81</v>
      </c>
    </row>
    <row r="99" s="37" customFormat="1" spans="1:17">
      <c r="A99" s="26">
        <v>98</v>
      </c>
      <c r="B99" s="37">
        <v>1</v>
      </c>
      <c r="C99" s="17" t="s">
        <v>124</v>
      </c>
      <c r="H99" s="37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7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9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4">
        <v>82</v>
      </c>
    </row>
    <row r="100" s="37" customFormat="1" spans="1:17">
      <c r="A100" s="26">
        <v>99</v>
      </c>
      <c r="B100" s="37">
        <v>1</v>
      </c>
      <c r="C100" s="17" t="s">
        <v>125</v>
      </c>
      <c r="H100" s="37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7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9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4">
        <v>83</v>
      </c>
    </row>
    <row r="101" s="37" customFormat="1" spans="1:17">
      <c r="A101" s="26">
        <v>100</v>
      </c>
      <c r="B101" s="37">
        <v>1</v>
      </c>
      <c r="C101" s="17" t="s">
        <v>126</v>
      </c>
      <c r="H101" s="37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7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9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4">
        <v>84</v>
      </c>
    </row>
    <row r="102" s="37" customFormat="1" spans="1:17">
      <c r="A102" s="26">
        <v>101</v>
      </c>
      <c r="B102" s="37">
        <v>1</v>
      </c>
      <c r="C102" s="17" t="s">
        <v>127</v>
      </c>
      <c r="H102" s="37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7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9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4">
        <v>85</v>
      </c>
    </row>
    <row r="103" s="37" customFormat="1" spans="1:17">
      <c r="A103" s="26">
        <v>102</v>
      </c>
      <c r="B103" s="37">
        <v>1</v>
      </c>
      <c r="C103" s="17" t="s">
        <v>128</v>
      </c>
      <c r="H103" s="37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7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9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4">
        <v>86</v>
      </c>
    </row>
    <row r="104" s="33" customFormat="1" spans="1:17">
      <c r="A104" s="26">
        <v>103</v>
      </c>
      <c r="B104" s="33">
        <v>1</v>
      </c>
      <c r="C104" s="17" t="s">
        <v>129</v>
      </c>
      <c r="H104" s="33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3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8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4">
        <v>87</v>
      </c>
    </row>
    <row r="105" s="33" customFormat="1" spans="1:17">
      <c r="A105" s="26">
        <v>104</v>
      </c>
      <c r="B105" s="33">
        <v>1</v>
      </c>
      <c r="C105" s="17" t="s">
        <v>130</v>
      </c>
      <c r="H105" s="33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3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8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4">
        <v>88</v>
      </c>
    </row>
    <row r="106" s="33" customFormat="1" spans="1:17">
      <c r="A106" s="26">
        <v>105</v>
      </c>
      <c r="B106" s="33">
        <v>1</v>
      </c>
      <c r="C106" s="17" t="s">
        <v>131</v>
      </c>
      <c r="H106" s="33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3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8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4">
        <v>89</v>
      </c>
    </row>
    <row r="107" s="33" customFormat="1" spans="1:17">
      <c r="A107" s="26">
        <v>106</v>
      </c>
      <c r="B107" s="33">
        <v>1</v>
      </c>
      <c r="C107" s="17" t="s">
        <v>132</v>
      </c>
      <c r="H107" s="33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3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8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4">
        <v>90</v>
      </c>
    </row>
    <row r="108" s="33" customFormat="1" spans="1:17">
      <c r="A108" s="26">
        <v>107</v>
      </c>
      <c r="B108" s="33">
        <v>1</v>
      </c>
      <c r="C108" s="17" t="s">
        <v>133</v>
      </c>
      <c r="H108" s="33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3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8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4">
        <v>91</v>
      </c>
    </row>
    <row r="109" s="33" customFormat="1" spans="1:17">
      <c r="A109" s="26">
        <v>108</v>
      </c>
      <c r="B109" s="33">
        <v>1</v>
      </c>
      <c r="C109" s="17" t="s">
        <v>134</v>
      </c>
      <c r="H109" s="33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3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8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4">
        <v>92</v>
      </c>
    </row>
    <row r="110" s="37" customFormat="1" spans="1:17">
      <c r="A110" s="26">
        <v>109</v>
      </c>
      <c r="B110" s="37">
        <v>1</v>
      </c>
      <c r="C110" s="17" t="s">
        <v>135</v>
      </c>
      <c r="H110" s="37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7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9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4">
        <v>93</v>
      </c>
    </row>
    <row r="111" s="37" customFormat="1" spans="1:17">
      <c r="A111" s="26">
        <v>110</v>
      </c>
      <c r="B111" s="37">
        <v>1</v>
      </c>
      <c r="C111" s="17" t="s">
        <v>136</v>
      </c>
      <c r="H111" s="37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7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9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4">
        <v>94</v>
      </c>
    </row>
    <row r="112" s="37" customFormat="1" spans="1:17">
      <c r="A112" s="26">
        <v>111</v>
      </c>
      <c r="B112" s="37">
        <v>1</v>
      </c>
      <c r="C112" s="17" t="s">
        <v>137</v>
      </c>
      <c r="H112" s="37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7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9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4">
        <v>95</v>
      </c>
    </row>
    <row r="113" s="37" customFormat="1" spans="1:17">
      <c r="A113" s="26">
        <v>112</v>
      </c>
      <c r="B113" s="37">
        <v>1</v>
      </c>
      <c r="C113" s="17" t="s">
        <v>138</v>
      </c>
      <c r="H113" s="37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7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9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4">
        <v>96</v>
      </c>
    </row>
    <row r="114" s="37" customFormat="1" spans="1:17">
      <c r="A114" s="26">
        <v>113</v>
      </c>
      <c r="B114" s="37">
        <v>1</v>
      </c>
      <c r="C114" s="17" t="s">
        <v>139</v>
      </c>
      <c r="H114" s="37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7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9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4">
        <v>97</v>
      </c>
    </row>
    <row r="115" s="37" customFormat="1" spans="1:17">
      <c r="A115" s="26">
        <v>114</v>
      </c>
      <c r="B115" s="37">
        <v>1</v>
      </c>
      <c r="C115" s="17" t="s">
        <v>140</v>
      </c>
      <c r="H115" s="37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7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9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4">
        <v>98</v>
      </c>
    </row>
    <row r="116" s="33" customFormat="1" spans="1:17">
      <c r="A116" s="26">
        <v>115</v>
      </c>
      <c r="B116" s="33">
        <v>1</v>
      </c>
      <c r="C116" s="17" t="s">
        <v>141</v>
      </c>
      <c r="H116" s="33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3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8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4">
        <v>99</v>
      </c>
    </row>
    <row r="117" s="33" customFormat="1" spans="1:17">
      <c r="A117" s="26">
        <v>116</v>
      </c>
      <c r="B117" s="33">
        <v>1</v>
      </c>
      <c r="C117" s="17" t="s">
        <v>142</v>
      </c>
      <c r="H117" s="33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3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8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4">
        <v>100</v>
      </c>
    </row>
    <row r="118" s="33" customFormat="1" spans="1:17">
      <c r="A118" s="26">
        <v>117</v>
      </c>
      <c r="B118" s="33">
        <v>1</v>
      </c>
      <c r="C118" s="17" t="s">
        <v>143</v>
      </c>
      <c r="H118" s="33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3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8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4">
        <v>101</v>
      </c>
    </row>
    <row r="119" s="33" customFormat="1" spans="1:17">
      <c r="A119" s="26">
        <v>118</v>
      </c>
      <c r="B119" s="33">
        <v>1</v>
      </c>
      <c r="C119" s="17" t="s">
        <v>144</v>
      </c>
      <c r="H119" s="33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3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8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4">
        <v>102</v>
      </c>
    </row>
    <row r="120" s="33" customFormat="1" spans="1:17">
      <c r="A120" s="26">
        <v>119</v>
      </c>
      <c r="B120" s="33">
        <v>1</v>
      </c>
      <c r="C120" s="17" t="s">
        <v>145</v>
      </c>
      <c r="H120" s="33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3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8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4">
        <v>103</v>
      </c>
    </row>
    <row r="121" s="33" customFormat="1" spans="1:17">
      <c r="A121" s="26">
        <v>120</v>
      </c>
      <c r="B121" s="33">
        <v>1</v>
      </c>
      <c r="C121" s="17" t="s">
        <v>146</v>
      </c>
      <c r="H121" s="33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3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8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4">
        <v>104</v>
      </c>
    </row>
    <row r="122" s="78" customFormat="1" spans="1:17">
      <c r="A122" s="78">
        <v>121</v>
      </c>
      <c r="B122" s="78">
        <v>1</v>
      </c>
      <c r="C122" s="78" t="s">
        <v>147</v>
      </c>
      <c r="H122" s="78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8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5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6">
        <v>105</v>
      </c>
    </row>
    <row r="123" s="78" customFormat="1" spans="1:17">
      <c r="A123" s="78">
        <v>122</v>
      </c>
      <c r="B123" s="78">
        <v>1</v>
      </c>
      <c r="C123" s="78" t="s">
        <v>148</v>
      </c>
      <c r="H123" s="78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8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5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6">
        <v>106</v>
      </c>
    </row>
    <row r="124" s="78" customFormat="1" spans="1:17">
      <c r="A124" s="78">
        <v>123</v>
      </c>
      <c r="B124" s="78">
        <v>1</v>
      </c>
      <c r="C124" s="78" t="s">
        <v>149</v>
      </c>
      <c r="H124" s="78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8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5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6">
        <v>107</v>
      </c>
    </row>
    <row r="125" s="78" customFormat="1" spans="1:17">
      <c r="A125" s="78">
        <v>124</v>
      </c>
      <c r="B125" s="78">
        <v>1</v>
      </c>
      <c r="C125" s="78" t="s">
        <v>150</v>
      </c>
      <c r="H125" s="78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8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5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6">
        <v>108</v>
      </c>
    </row>
    <row r="126" s="78" customFormat="1" spans="1:17">
      <c r="A126" s="78">
        <v>125</v>
      </c>
      <c r="B126" s="78">
        <v>1</v>
      </c>
      <c r="C126" s="78" t="s">
        <v>151</v>
      </c>
      <c r="H126" s="78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8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5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6">
        <v>109</v>
      </c>
    </row>
    <row r="127" s="15" customFormat="1" spans="1:17">
      <c r="A127" s="78">
        <v>126</v>
      </c>
      <c r="B127" s="28">
        <v>1</v>
      </c>
      <c r="C127" s="78" t="s">
        <v>152</v>
      </c>
      <c r="D127" s="28"/>
      <c r="E127" s="28"/>
      <c r="F127" s="28"/>
      <c r="G127" s="28"/>
      <c r="H127" s="78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8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5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8"/>
      <c r="L127" s="28"/>
      <c r="M127" s="28"/>
      <c r="N127" s="28"/>
      <c r="O127" s="28"/>
      <c r="P127" s="28"/>
      <c r="Q127" s="86">
        <v>110</v>
      </c>
    </row>
    <row r="128" s="15" customFormat="1" spans="1:17">
      <c r="A128" s="78">
        <v>127</v>
      </c>
      <c r="B128" s="28">
        <v>1</v>
      </c>
      <c r="C128" s="78" t="s">
        <v>153</v>
      </c>
      <c r="D128" s="28"/>
      <c r="E128" s="28"/>
      <c r="F128" s="28"/>
      <c r="G128" s="28"/>
      <c r="H128" s="78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8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5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8"/>
      <c r="L128" s="28"/>
      <c r="M128" s="28"/>
      <c r="N128" s="28"/>
      <c r="O128" s="28"/>
      <c r="P128" s="28"/>
      <c r="Q128" s="86">
        <v>111</v>
      </c>
    </row>
    <row r="129" s="74" customFormat="1" spans="1:17">
      <c r="A129" s="74">
        <v>128</v>
      </c>
      <c r="B129" s="74">
        <v>1</v>
      </c>
      <c r="C129" s="74" t="s">
        <v>154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3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74" customFormat="1" spans="1:17">
      <c r="A130" s="74">
        <v>129</v>
      </c>
      <c r="B130" s="74">
        <v>1</v>
      </c>
      <c r="C130" s="74" t="s">
        <v>155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3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74" customFormat="1" spans="1:17">
      <c r="A131" s="74">
        <v>130</v>
      </c>
      <c r="B131" s="74">
        <v>1</v>
      </c>
      <c r="C131" s="74" t="s">
        <v>156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3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74" customFormat="1" spans="1:17">
      <c r="A132" s="74">
        <v>131</v>
      </c>
      <c r="B132" s="74">
        <v>1</v>
      </c>
      <c r="C132" s="74" t="s">
        <v>157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3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74" customFormat="1" spans="1:17">
      <c r="A133" s="74">
        <v>132</v>
      </c>
      <c r="B133" s="74">
        <v>1</v>
      </c>
      <c r="C133" s="74" t="s">
        <v>158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3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74" customFormat="1" spans="1:17">
      <c r="A134" s="74">
        <v>133</v>
      </c>
      <c r="B134" s="74">
        <v>1</v>
      </c>
      <c r="C134" s="74" t="s">
        <v>159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3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74" customFormat="1" spans="1:17">
      <c r="A135" s="74">
        <v>134</v>
      </c>
      <c r="B135" s="74">
        <v>1</v>
      </c>
      <c r="C135" s="74" t="s">
        <v>160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3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74" customFormat="1" spans="1:17">
      <c r="A136" s="74">
        <v>135</v>
      </c>
      <c r="B136" s="74">
        <v>1</v>
      </c>
      <c r="C136" s="74" t="s">
        <v>161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3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74" customFormat="1" spans="1:17">
      <c r="A137" s="74">
        <v>136</v>
      </c>
      <c r="B137" s="74">
        <v>1</v>
      </c>
      <c r="C137" s="74" t="s">
        <v>162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3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>
      <c r="A138">
        <v>137</v>
      </c>
      <c r="B138">
        <v>1</v>
      </c>
      <c r="C138" t="s">
        <v>163</v>
      </c>
      <c r="G138" s="74"/>
      <c r="H138" s="74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4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3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</sheetData>
  <autoFilter ref="I1:I138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2"/>
  <sheetViews>
    <sheetView tabSelected="1" workbookViewId="0">
      <pane ySplit="1" topLeftCell="A95" activePane="bottomLeft" state="frozen"/>
      <selection/>
      <selection pane="bottomLeft" activeCell="F127" sqref="F127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164</v>
      </c>
      <c r="B1" s="1" t="s">
        <v>165</v>
      </c>
      <c r="C1" s="1" t="s">
        <v>166</v>
      </c>
      <c r="D1" s="1" t="s">
        <v>167</v>
      </c>
      <c r="E1" s="1" t="s">
        <v>7</v>
      </c>
      <c r="F1" s="1" t="s">
        <v>168</v>
      </c>
      <c r="G1" s="1" t="s">
        <v>169</v>
      </c>
      <c r="H1" s="1" t="s">
        <v>170</v>
      </c>
      <c r="I1" s="63" t="s">
        <v>171</v>
      </c>
      <c r="J1" s="63" t="s">
        <v>172</v>
      </c>
      <c r="K1" s="63" t="s">
        <v>9</v>
      </c>
      <c r="L1" s="63" t="s">
        <v>173</v>
      </c>
      <c r="M1" s="63" t="s">
        <v>174</v>
      </c>
      <c r="N1" s="63" t="s">
        <v>175</v>
      </c>
      <c r="O1" s="63" t="s">
        <v>176</v>
      </c>
    </row>
    <row r="2" s="30" customFormat="1" spans="1:15">
      <c r="A2" s="38">
        <v>1</v>
      </c>
      <c r="B2" s="38">
        <v>1</v>
      </c>
      <c r="C2" s="38"/>
      <c r="D2" s="38"/>
      <c r="E2" s="39">
        <f>LOOKUP(use_fish!B2,base_fish!A:A,base_fish!C:C)+_xlfn.IFNA(INDEX(activity!F:F,MATCH(use_fish!C2,activity!A:A,0)),0)</f>
        <v>2</v>
      </c>
      <c r="F2" s="39">
        <f>1/E2</f>
        <v>0.5</v>
      </c>
      <c r="G2" s="39" t="s">
        <v>177</v>
      </c>
      <c r="H2" s="40" t="str">
        <f>INDEX(base_fish!E:E,MATCH(use_fish!B2,base_fish!A:A,0))&amp;_xlfn.IFNA("+"&amp;INDEX(activity!G:G,MATCH(use_fish!C2,activity!A:A,0)),"")</f>
        <v>小牛角</v>
      </c>
      <c r="I2" s="39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8">
        <v>2</v>
      </c>
      <c r="B3" s="38">
        <v>2</v>
      </c>
      <c r="C3" s="38"/>
      <c r="D3" s="38"/>
      <c r="E3" s="39">
        <f>LOOKUP(use_fish!B3,base_fish!A:A,base_fish!C:C)+_xlfn.IFNA(INDEX(activity!F:F,MATCH(use_fish!C3,activity!A:A,0)),0)</f>
        <v>2</v>
      </c>
      <c r="F3" s="39">
        <f>1/E3</f>
        <v>0.5</v>
      </c>
      <c r="G3" s="39" t="s">
        <v>177</v>
      </c>
      <c r="H3" s="40" t="str">
        <f>INDEX(base_fish!E:E,MATCH(use_fish!B3,base_fish!A:A,0))&amp;_xlfn.IFNA("+"&amp;INDEX(activity!G:G,MATCH(use_fish!C3,activity!A:A,0)),"")</f>
        <v>小气泡</v>
      </c>
      <c r="I3" s="39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8">
        <v>3</v>
      </c>
      <c r="B4" s="38">
        <v>3</v>
      </c>
      <c r="C4" s="38"/>
      <c r="D4" s="38"/>
      <c r="E4" s="39">
        <f>LOOKUP(use_fish!B4,base_fish!A:A,base_fish!C:C)+_xlfn.IFNA(INDEX(activity!F:F,MATCH(use_fish!C4,activity!A:A,0)),0)</f>
        <v>3</v>
      </c>
      <c r="F4" s="39">
        <f t="shared" ref="F4:F19" si="2">1/E4</f>
        <v>0.333333333333333</v>
      </c>
      <c r="G4" s="39" t="s">
        <v>177</v>
      </c>
      <c r="H4" s="40" t="str">
        <f>INDEX(base_fish!E:E,MATCH(use_fish!B4,base_fish!A:A,0))&amp;_xlfn.IFNA("+"&amp;INDEX(activity!G:G,MATCH(use_fish!C4,activity!A:A,0)),"")</f>
        <v>小丑鱼</v>
      </c>
      <c r="I4" s="39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8">
        <v>4</v>
      </c>
      <c r="B5" s="38">
        <v>4</v>
      </c>
      <c r="C5" s="38"/>
      <c r="D5" s="38"/>
      <c r="E5" s="39">
        <f>LOOKUP(use_fish!B5,base_fish!A:A,base_fish!C:C)+_xlfn.IFNA(INDEX(activity!F:F,MATCH(use_fish!C5,activity!A:A,0)),0)</f>
        <v>4</v>
      </c>
      <c r="F5" s="39">
        <f t="shared" si="2"/>
        <v>0.25</v>
      </c>
      <c r="G5" s="39" t="s">
        <v>177</v>
      </c>
      <c r="H5" s="40" t="str">
        <f>INDEX(base_fish!E:E,MATCH(use_fish!B5,base_fish!A:A,0))&amp;_xlfn.IFNA("+"&amp;INDEX(activity!G:G,MATCH(use_fish!C5,activity!A:A,0)),"")</f>
        <v>小燕鱼</v>
      </c>
      <c r="I5" s="39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8">
        <v>5</v>
      </c>
      <c r="B6" s="38">
        <v>5</v>
      </c>
      <c r="C6" s="38"/>
      <c r="D6" s="38"/>
      <c r="E6" s="39">
        <f>LOOKUP(use_fish!B6,base_fish!A:A,base_fish!C:C)+_xlfn.IFNA(INDEX(activity!F:F,MATCH(use_fish!C6,activity!A:A,0)),0)</f>
        <v>5</v>
      </c>
      <c r="F6" s="39">
        <f t="shared" si="2"/>
        <v>0.2</v>
      </c>
      <c r="G6" s="39" t="s">
        <v>177</v>
      </c>
      <c r="H6" s="40" t="str">
        <f>INDEX(base_fish!E:E,MATCH(use_fish!B6,base_fish!A:A,0))&amp;_xlfn.IFNA("+"&amp;INDEX(activity!G:G,MATCH(use_fish!C6,activity!A:A,0)),"")</f>
        <v>小黄鳍</v>
      </c>
      <c r="I6" s="39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8">
        <v>6</v>
      </c>
      <c r="B7" s="38">
        <v>6</v>
      </c>
      <c r="C7" s="38"/>
      <c r="D7" s="38"/>
      <c r="E7" s="39">
        <f>LOOKUP(use_fish!B7,base_fish!A:A,base_fish!C:C)+_xlfn.IFNA(INDEX(activity!F:F,MATCH(use_fish!C7,activity!A:A,0)),0)</f>
        <v>6</v>
      </c>
      <c r="F7" s="39">
        <f t="shared" si="2"/>
        <v>0.166666666666667</v>
      </c>
      <c r="G7" s="39" t="s">
        <v>177</v>
      </c>
      <c r="H7" s="40" t="str">
        <f>INDEX(base_fish!E:E,MATCH(use_fish!B7,base_fish!A:A,0))&amp;_xlfn.IFNA("+"&amp;INDEX(activity!G:G,MATCH(use_fish!C7,activity!A:A,0)),"")</f>
        <v>河豚</v>
      </c>
      <c r="I7" s="39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8">
        <v>7</v>
      </c>
      <c r="B8" s="38">
        <v>7</v>
      </c>
      <c r="C8" s="38"/>
      <c r="D8" s="38"/>
      <c r="E8" s="39">
        <f>LOOKUP(use_fish!B8,base_fish!A:A,base_fish!C:C)+_xlfn.IFNA(INDEX(activity!F:F,MATCH(use_fish!C8,activity!A:A,0)),0)</f>
        <v>7</v>
      </c>
      <c r="F8" s="39">
        <f t="shared" si="2"/>
        <v>0.142857142857143</v>
      </c>
      <c r="G8" s="39" t="s">
        <v>177</v>
      </c>
      <c r="H8" s="40" t="str">
        <f>INDEX(base_fish!E:E,MATCH(use_fish!B8,base_fish!A:A,0))&amp;_xlfn.IFNA("+"&amp;INDEX(activity!G:G,MATCH(use_fish!C8,activity!A:A,0)),"")</f>
        <v>小灯笼</v>
      </c>
      <c r="I8" s="39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8">
        <v>8</v>
      </c>
      <c r="B9" s="38">
        <v>8</v>
      </c>
      <c r="C9" s="38"/>
      <c r="D9" s="38"/>
      <c r="E9" s="39">
        <f>LOOKUP(use_fish!B9,base_fish!A:A,base_fish!C:C)+_xlfn.IFNA(INDEX(activity!F:F,MATCH(use_fish!C9,activity!A:A,0)),0)</f>
        <v>8</v>
      </c>
      <c r="F9" s="39">
        <f t="shared" si="2"/>
        <v>0.125</v>
      </c>
      <c r="G9" s="39" t="s">
        <v>177</v>
      </c>
      <c r="H9" s="40" t="str">
        <f>INDEX(base_fish!E:E,MATCH(use_fish!B9,base_fish!A:A,0))&amp;_xlfn.IFNA("+"&amp;INDEX(activity!G:G,MATCH(use_fish!C9,activity!A:A,0)),"")</f>
        <v>小旗鱼</v>
      </c>
      <c r="I9" s="39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1" customFormat="1" spans="1:15">
      <c r="A10" s="41">
        <v>9</v>
      </c>
      <c r="B10" s="41">
        <v>9</v>
      </c>
      <c r="C10" s="41"/>
      <c r="D10" s="41" t="s">
        <v>178</v>
      </c>
      <c r="E10" s="42">
        <f>LOOKUP(use_fish!B10,base_fish!A:A,base_fish!C:C)+_xlfn.IFNA(INDEX(activity!F:F,MATCH(use_fish!C10,activity!A:A,0)),0)</f>
        <v>80</v>
      </c>
      <c r="F10" s="42">
        <f t="shared" si="2"/>
        <v>0.0125</v>
      </c>
      <c r="G10" s="42" t="s">
        <v>177</v>
      </c>
      <c r="H10" s="43" t="str">
        <f>INDEX(base_fish!E:E,MATCH(use_fish!B10,base_fish!A:A,0))&amp;_xlfn.IFNA("+"&amp;INDEX(activity!G:G,MATCH(use_fish!C10,activity!A:A,0)),"")</f>
        <v>锤头鲨</v>
      </c>
      <c r="I10" s="42">
        <f>LOOKUP(use_fish!B10,base_fish!A:A,base_fish!F:F)+_xlfn.IFNA(INDEX(activity!F:F,MATCH(use_fish!C10,activity!A:A,0)),0)</f>
        <v>80</v>
      </c>
      <c r="J10" s="31">
        <v>1</v>
      </c>
      <c r="K10" s="31">
        <f>LOOKUP(use_fish!B10,base_fish!A:A,base_fish!G:G)</f>
        <v>0</v>
      </c>
      <c r="L10" s="31">
        <f t="shared" si="0"/>
        <v>80</v>
      </c>
      <c r="M10" s="31">
        <v>1</v>
      </c>
      <c r="N10" s="31">
        <f t="shared" si="1"/>
        <v>0</v>
      </c>
      <c r="O10" s="31">
        <v>1</v>
      </c>
    </row>
    <row r="11" s="30" customFormat="1" spans="1:15">
      <c r="A11" s="38">
        <v>10</v>
      </c>
      <c r="B11" s="38">
        <v>10</v>
      </c>
      <c r="C11" s="38"/>
      <c r="D11" s="38"/>
      <c r="E11" s="39">
        <f>LOOKUP(use_fish!B11,base_fish!A:A,base_fish!C:C)+_xlfn.IFNA(INDEX(activity!F:F,MATCH(use_fish!C11,activity!A:A,0)),0)</f>
        <v>12</v>
      </c>
      <c r="F11" s="39">
        <f t="shared" si="2"/>
        <v>0.0833333333333333</v>
      </c>
      <c r="G11" s="39" t="s">
        <v>177</v>
      </c>
      <c r="H11" s="40" t="str">
        <f>INDEX(base_fish!E:E,MATCH(use_fish!B11,base_fish!A:A,0))&amp;_xlfn.IFNA("+"&amp;INDEX(activity!G:G,MATCH(use_fish!C11,activity!A:A,0)),"")</f>
        <v>锯齿鲨</v>
      </c>
      <c r="I11" s="39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8">
        <v>11</v>
      </c>
      <c r="B12" s="38">
        <v>11</v>
      </c>
      <c r="C12" s="38"/>
      <c r="D12" s="38"/>
      <c r="E12" s="39">
        <f>LOOKUP(use_fish!B12,base_fish!A:A,base_fish!C:C)+_xlfn.IFNA(INDEX(activity!F:F,MATCH(use_fish!C12,activity!A:A,0)),0)</f>
        <v>15</v>
      </c>
      <c r="F12" s="39">
        <f t="shared" si="2"/>
        <v>0.0666666666666667</v>
      </c>
      <c r="G12" s="39" t="s">
        <v>177</v>
      </c>
      <c r="H12" s="40" t="str">
        <f>INDEX(base_fish!E:E,MATCH(use_fish!B12,base_fish!A:A,0))&amp;_xlfn.IFNA("+"&amp;INDEX(activity!G:G,MATCH(use_fish!C12,activity!A:A,0)),"")</f>
        <v>小海龟</v>
      </c>
      <c r="I12" s="39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2" customFormat="1" spans="1:15">
      <c r="A13" s="44">
        <v>12</v>
      </c>
      <c r="B13" s="44">
        <v>12</v>
      </c>
      <c r="C13" s="44"/>
      <c r="D13" s="44"/>
      <c r="E13" s="45">
        <f>LOOKUP(use_fish!B13,base_fish!A:A,base_fish!C:C)+_xlfn.IFNA(INDEX(activity!F:F,MATCH(use_fish!C13,activity!A:A,0)),0)</f>
        <v>18</v>
      </c>
      <c r="F13" s="45">
        <f t="shared" si="2"/>
        <v>0.0555555555555556</v>
      </c>
      <c r="G13" s="45" t="s">
        <v>177</v>
      </c>
      <c r="H13" s="46" t="str">
        <f>INDEX(base_fish!E:E,MATCH(use_fish!B13,base_fish!A:A,0))&amp;_xlfn.IFNA("+"&amp;INDEX(activity!G:G,MATCH(use_fish!C13,activity!A:A,0)),"")</f>
        <v>狮子鱼</v>
      </c>
      <c r="I13" s="45">
        <f>LOOKUP(use_fish!B13,base_fish!A:A,base_fish!F:F)+_xlfn.IFNA(INDEX(activity!F:F,MATCH(use_fish!C13,activity!A:A,0)),0)</f>
        <v>18</v>
      </c>
      <c r="J13" s="32">
        <v>1</v>
      </c>
      <c r="K13" s="32">
        <f>LOOKUP(use_fish!B13,base_fish!A:A,base_fish!G:G)</f>
        <v>0</v>
      </c>
      <c r="L13" s="32">
        <f t="shared" si="0"/>
        <v>18</v>
      </c>
      <c r="M13" s="32">
        <v>1</v>
      </c>
      <c r="N13" s="32">
        <f t="shared" si="1"/>
        <v>0</v>
      </c>
      <c r="O13" s="32">
        <v>1</v>
      </c>
    </row>
    <row r="14" s="32" customFormat="1" spans="1:15">
      <c r="A14" s="44">
        <v>13</v>
      </c>
      <c r="B14" s="44">
        <v>13</v>
      </c>
      <c r="C14" s="44"/>
      <c r="D14" s="44"/>
      <c r="E14" s="45">
        <f>LOOKUP(use_fish!B14,base_fish!A:A,base_fish!C:C)+_xlfn.IFNA(INDEX(activity!F:F,MATCH(use_fish!C14,activity!A:A,0)),0)</f>
        <v>20</v>
      </c>
      <c r="F14" s="45">
        <f t="shared" si="2"/>
        <v>0.05</v>
      </c>
      <c r="G14" s="45" t="s">
        <v>177</v>
      </c>
      <c r="H14" s="46" t="str">
        <f>INDEX(base_fish!E:E,MATCH(use_fish!B14,base_fish!A:A,0))&amp;_xlfn.IFNA("+"&amp;INDEX(activity!G:G,MATCH(use_fish!C14,activity!A:A,0)),"")</f>
        <v>蝴蝶鱼</v>
      </c>
      <c r="I14" s="45">
        <f>LOOKUP(use_fish!B14,base_fish!A:A,base_fish!F:F)+_xlfn.IFNA(INDEX(activity!F:F,MATCH(use_fish!C14,activity!A:A,0)),0)</f>
        <v>20</v>
      </c>
      <c r="J14" s="32">
        <v>1</v>
      </c>
      <c r="K14" s="32">
        <f>LOOKUP(use_fish!B14,base_fish!A:A,base_fish!G:G)</f>
        <v>0</v>
      </c>
      <c r="L14" s="32">
        <f t="shared" si="0"/>
        <v>20</v>
      </c>
      <c r="M14" s="32">
        <v>1</v>
      </c>
      <c r="N14" s="32">
        <f t="shared" si="1"/>
        <v>0</v>
      </c>
      <c r="O14" s="32">
        <v>1</v>
      </c>
    </row>
    <row r="15" s="32" customFormat="1" spans="1:15">
      <c r="A15" s="44">
        <v>14</v>
      </c>
      <c r="B15" s="44">
        <v>14</v>
      </c>
      <c r="C15" s="44"/>
      <c r="D15" s="44"/>
      <c r="E15" s="45">
        <f>LOOKUP(use_fish!B15,base_fish!A:A,base_fish!C:C)+_xlfn.IFNA(INDEX(activity!F:F,MATCH(use_fish!C15,activity!A:A,0)),0)</f>
        <v>25</v>
      </c>
      <c r="F15" s="45">
        <f t="shared" si="2"/>
        <v>0.04</v>
      </c>
      <c r="G15" s="45" t="s">
        <v>177</v>
      </c>
      <c r="H15" s="46" t="str">
        <f>INDEX(base_fish!E:E,MATCH(use_fish!B15,base_fish!A:A,0))&amp;_xlfn.IFNA("+"&amp;INDEX(activity!G:G,MATCH(use_fish!C15,activity!A:A,0)),"")</f>
        <v>海马</v>
      </c>
      <c r="I15" s="45">
        <f>LOOKUP(use_fish!B15,base_fish!A:A,base_fish!F:F)+_xlfn.IFNA(INDEX(activity!F:F,MATCH(use_fish!C15,activity!A:A,0)),0)</f>
        <v>25</v>
      </c>
      <c r="J15" s="32">
        <v>1</v>
      </c>
      <c r="K15" s="32">
        <f>LOOKUP(use_fish!B15,base_fish!A:A,base_fish!G:G)</f>
        <v>0</v>
      </c>
      <c r="L15" s="32">
        <f t="shared" si="0"/>
        <v>25</v>
      </c>
      <c r="M15" s="32">
        <v>1</v>
      </c>
      <c r="N15" s="32">
        <f t="shared" si="1"/>
        <v>0</v>
      </c>
      <c r="O15" s="32">
        <v>1</v>
      </c>
    </row>
    <row r="16" s="32" customFormat="1" spans="1:15">
      <c r="A16" s="44">
        <v>15</v>
      </c>
      <c r="B16" s="44">
        <v>15</v>
      </c>
      <c r="C16" s="44"/>
      <c r="D16" s="44"/>
      <c r="E16" s="45">
        <f>LOOKUP(use_fish!B16,base_fish!A:A,base_fish!C:C)+_xlfn.IFNA(INDEX(activity!F:F,MATCH(use_fish!C16,activity!A:A,0)),0)</f>
        <v>30</v>
      </c>
      <c r="F16" s="45">
        <f t="shared" si="2"/>
        <v>0.0333333333333333</v>
      </c>
      <c r="G16" s="45" t="s">
        <v>177</v>
      </c>
      <c r="H16" s="46" t="str">
        <f>INDEX(base_fish!E:E,MATCH(use_fish!B16,base_fish!A:A,0))&amp;_xlfn.IFNA("+"&amp;INDEX(activity!G:G,MATCH(use_fish!C16,activity!A:A,0)),"")</f>
        <v>鲇鱼</v>
      </c>
      <c r="I16" s="45">
        <f>LOOKUP(use_fish!B16,base_fish!A:A,base_fish!F:F)+_xlfn.IFNA(INDEX(activity!F:F,MATCH(use_fish!C16,activity!A:A,0)),0)</f>
        <v>30</v>
      </c>
      <c r="J16" s="32">
        <v>1</v>
      </c>
      <c r="K16" s="32">
        <f>LOOKUP(use_fish!B16,base_fish!A:A,base_fish!G:G)</f>
        <v>0</v>
      </c>
      <c r="L16" s="32">
        <f t="shared" si="0"/>
        <v>30</v>
      </c>
      <c r="M16" s="32">
        <v>1</v>
      </c>
      <c r="N16" s="32">
        <f t="shared" si="1"/>
        <v>0</v>
      </c>
      <c r="O16" s="32">
        <v>1</v>
      </c>
    </row>
    <row r="17" s="32" customFormat="1" spans="1:15">
      <c r="A17" s="44">
        <v>16</v>
      </c>
      <c r="B17" s="44">
        <v>16</v>
      </c>
      <c r="C17" s="44"/>
      <c r="D17" s="44"/>
      <c r="E17" s="45">
        <f>LOOKUP(use_fish!B17,base_fish!A:A,base_fish!C:C)+_xlfn.IFNA(INDEX(activity!F:F,MATCH(use_fish!C17,activity!A:A,0)),0)</f>
        <v>35</v>
      </c>
      <c r="F17" s="45">
        <f t="shared" si="2"/>
        <v>0.0285714285714286</v>
      </c>
      <c r="G17" s="45" t="s">
        <v>177</v>
      </c>
      <c r="H17" s="46" t="str">
        <f>INDEX(base_fish!E:E,MATCH(use_fish!B17,base_fish!A:A,0))&amp;_xlfn.IFNA("+"&amp;INDEX(activity!G:G,MATCH(use_fish!C17,activity!A:A,0)),"")</f>
        <v>鲨鱼</v>
      </c>
      <c r="I17" s="45">
        <f>LOOKUP(use_fish!B17,base_fish!A:A,base_fish!F:F)+_xlfn.IFNA(INDEX(activity!F:F,MATCH(use_fish!C17,activity!A:A,0)),0)</f>
        <v>35</v>
      </c>
      <c r="J17" s="32">
        <v>1</v>
      </c>
      <c r="K17" s="32">
        <f>LOOKUP(use_fish!B17,base_fish!A:A,base_fish!G:G)</f>
        <v>0</v>
      </c>
      <c r="L17" s="32">
        <f t="shared" si="0"/>
        <v>35</v>
      </c>
      <c r="M17" s="32">
        <v>1</v>
      </c>
      <c r="N17" s="32">
        <f t="shared" si="1"/>
        <v>0</v>
      </c>
      <c r="O17" s="32">
        <v>1</v>
      </c>
    </row>
    <row r="18" s="32" customFormat="1" spans="1:15">
      <c r="A18" s="44">
        <v>17</v>
      </c>
      <c r="B18" s="44">
        <v>17</v>
      </c>
      <c r="C18" s="44"/>
      <c r="D18" s="44"/>
      <c r="E18" s="45">
        <f>LOOKUP(use_fish!B18,base_fish!A:A,base_fish!C:C)+_xlfn.IFNA(INDEX(activity!F:F,MATCH(use_fish!C18,activity!A:A,0)),0)</f>
        <v>40</v>
      </c>
      <c r="F18" s="45">
        <f t="shared" si="2"/>
        <v>0.025</v>
      </c>
      <c r="G18" s="45" t="s">
        <v>177</v>
      </c>
      <c r="H18" s="46" t="str">
        <f>INDEX(base_fish!E:E,MATCH(use_fish!B18,base_fish!A:A,0))&amp;_xlfn.IFNA("+"&amp;INDEX(activity!G:G,MATCH(use_fish!C18,activity!A:A,0)),"")</f>
        <v>魔鬼鱼</v>
      </c>
      <c r="I18" s="45">
        <f>LOOKUP(use_fish!B18,base_fish!A:A,base_fish!F:F)+_xlfn.IFNA(INDEX(activity!F:F,MATCH(use_fish!C18,activity!A:A,0)),0)</f>
        <v>40</v>
      </c>
      <c r="J18" s="32">
        <v>1</v>
      </c>
      <c r="K18" s="32">
        <f>LOOKUP(use_fish!B18,base_fish!A:A,base_fish!G:G)</f>
        <v>0</v>
      </c>
      <c r="L18" s="32">
        <f t="shared" si="0"/>
        <v>40</v>
      </c>
      <c r="M18" s="32">
        <v>1</v>
      </c>
      <c r="N18" s="32">
        <v>0</v>
      </c>
      <c r="O18" s="32">
        <v>1</v>
      </c>
    </row>
    <row r="19" s="32" customFormat="1" spans="1:15">
      <c r="A19" s="44">
        <v>18</v>
      </c>
      <c r="B19" s="44">
        <v>18</v>
      </c>
      <c r="C19" s="44"/>
      <c r="D19" s="44"/>
      <c r="E19" s="45">
        <f>LOOKUP(use_fish!B19,base_fish!A:A,base_fish!C:C)+_xlfn.IFNA(INDEX(activity!F:F,MATCH(use_fish!C19,activity!A:A,0)),0)</f>
        <v>60</v>
      </c>
      <c r="F19" s="45">
        <f t="shared" si="2"/>
        <v>0.0166666666666667</v>
      </c>
      <c r="G19" s="45" t="s">
        <v>177</v>
      </c>
      <c r="H19" s="46" t="str">
        <f>INDEX(base_fish!E:E,MATCH(use_fish!B19,base_fish!A:A,0))&amp;_xlfn.IFNA("+"&amp;INDEX(activity!G:G,MATCH(use_fish!C19,activity!A:A,0)),"")</f>
        <v>虎鲨</v>
      </c>
      <c r="I19" s="45">
        <f>LOOKUP(use_fish!B19,base_fish!A:A,base_fish!F:F)+_xlfn.IFNA(INDEX(activity!F:F,MATCH(use_fish!C19,activity!A:A,0)),0)</f>
        <v>60</v>
      </c>
      <c r="J19" s="32">
        <v>1</v>
      </c>
      <c r="K19" s="32">
        <f>LOOKUP(use_fish!B19,base_fish!A:A,base_fish!G:G)</f>
        <v>0</v>
      </c>
      <c r="L19" s="32">
        <f t="shared" si="0"/>
        <v>60</v>
      </c>
      <c r="M19" s="32">
        <v>1</v>
      </c>
      <c r="N19" s="32">
        <v>0</v>
      </c>
      <c r="O19" s="32">
        <v>1</v>
      </c>
    </row>
    <row r="20" s="32" customFormat="1" spans="1:15">
      <c r="A20" s="44">
        <v>19</v>
      </c>
      <c r="B20" s="44">
        <v>19</v>
      </c>
      <c r="C20" s="44"/>
      <c r="D20" s="44" t="s">
        <v>178</v>
      </c>
      <c r="E20" s="45">
        <f>LOOKUP(use_fish!B20,base_fish!A:A,base_fish!C:C)+_xlfn.IFNA(INDEX(activity!F:F,MATCH(use_fish!C20,activity!A:A,0)),0)</f>
        <v>100</v>
      </c>
      <c r="F20" s="45">
        <f t="shared" ref="F20:F28" si="3">1/E20</f>
        <v>0.01</v>
      </c>
      <c r="G20" s="45" t="s">
        <v>177</v>
      </c>
      <c r="H20" s="46" t="str">
        <f>INDEX(base_fish!E:E,MATCH(use_fish!B20,base_fish!A:A,0))&amp;_xlfn.IFNA("+"&amp;INDEX(activity!G:G,MATCH(use_fish!C20,activity!A:A,0)),"")</f>
        <v>金鲤鱼</v>
      </c>
      <c r="I20" s="45">
        <f>LOOKUP(use_fish!B20,base_fish!A:A,base_fish!F:F)+_xlfn.IFNA(INDEX(activity!F:F,MATCH(use_fish!C20,activity!A:A,0)),0)</f>
        <v>100</v>
      </c>
      <c r="J20" s="32">
        <v>1</v>
      </c>
      <c r="K20" s="32">
        <f>LOOKUP(use_fish!B20,base_fish!A:A,base_fish!G:G)</f>
        <v>0</v>
      </c>
      <c r="L20" s="32">
        <f t="shared" ref="L20:L28" si="4">I20</f>
        <v>100</v>
      </c>
      <c r="M20" s="32">
        <v>1</v>
      </c>
      <c r="N20" s="32">
        <v>0</v>
      </c>
      <c r="O20" s="32">
        <v>2</v>
      </c>
    </row>
    <row r="21" s="33" customFormat="1" spans="1:15">
      <c r="A21" s="47">
        <v>20</v>
      </c>
      <c r="B21" s="47">
        <v>20</v>
      </c>
      <c r="C21" s="47"/>
      <c r="D21" s="47" t="s">
        <v>178</v>
      </c>
      <c r="E21" s="48">
        <v>63</v>
      </c>
      <c r="F21" s="48">
        <f t="shared" si="3"/>
        <v>0.0158730158730159</v>
      </c>
      <c r="G21" s="48" t="s">
        <v>177</v>
      </c>
      <c r="H21" s="49" t="str">
        <f>INDEX(base_fish!E:E,MATCH(use_fish!B21,base_fish!A:A,0))&amp;_xlfn.IFNA("+"&amp;INDEX(activity!G:G,MATCH(use_fish!C21,activity!A:A,0)),"")</f>
        <v>黄金灯笼鱼</v>
      </c>
      <c r="I21" s="48">
        <f>LOOKUP(use_fish!B21,base_fish!A:A,base_fish!F:F)+_xlfn.IFNA(INDEX(activity!F:F,MATCH(use_fish!C21,activity!A:A,0)),0)</f>
        <v>60</v>
      </c>
      <c r="J21" s="33">
        <v>1</v>
      </c>
      <c r="K21" s="33">
        <f>LOOKUP(use_fish!B21,base_fish!A:A,base_fish!G:G)</f>
        <v>0</v>
      </c>
      <c r="L21" s="33">
        <f t="shared" si="4"/>
        <v>60</v>
      </c>
      <c r="M21" s="33">
        <v>1</v>
      </c>
      <c r="N21" s="33">
        <v>0</v>
      </c>
      <c r="O21" s="33">
        <v>2</v>
      </c>
    </row>
    <row r="22" s="33" customFormat="1" spans="1:15">
      <c r="A22" s="47">
        <v>21</v>
      </c>
      <c r="B22" s="47">
        <v>21</v>
      </c>
      <c r="C22" s="47">
        <v>8</v>
      </c>
      <c r="D22" s="47"/>
      <c r="E22" s="48">
        <v>80</v>
      </c>
      <c r="F22" s="48">
        <f t="shared" si="3"/>
        <v>0.0125</v>
      </c>
      <c r="G22" s="48" t="s">
        <v>177</v>
      </c>
      <c r="H22" s="49" t="str">
        <f>INDEX(base_fish!E:E,MATCH(use_fish!B22,base_fish!A:A,0))&amp;_xlfn.IFNA("+"&amp;INDEX(activity!G:G,MATCH(use_fish!C22,activity!A:A,0)),"")</f>
        <v>黄金炸弹鱼+炸弹</v>
      </c>
      <c r="I22" s="48">
        <f>LOOKUP(use_fish!B22,base_fish!A:A,base_fish!F:F)+_xlfn.IFNA(INDEX(activity!F:F,MATCH(use_fish!C22,activity!A:A,0)),0)</f>
        <v>80</v>
      </c>
      <c r="J22" s="33">
        <v>1</v>
      </c>
      <c r="K22" s="33">
        <f>LOOKUP(use_fish!B22,base_fish!A:A,base_fish!G:G)</f>
        <v>0</v>
      </c>
      <c r="L22" s="33">
        <f t="shared" si="4"/>
        <v>80</v>
      </c>
      <c r="M22" s="33">
        <v>1</v>
      </c>
      <c r="N22" s="33">
        <v>0</v>
      </c>
      <c r="O22" s="33">
        <v>2</v>
      </c>
    </row>
    <row r="23" s="33" customFormat="1" spans="1:15">
      <c r="A23" s="47">
        <v>22</v>
      </c>
      <c r="B23" s="47">
        <v>22</v>
      </c>
      <c r="C23" s="47"/>
      <c r="D23" s="47" t="s">
        <v>179</v>
      </c>
      <c r="E23" s="48">
        <v>63</v>
      </c>
      <c r="F23" s="48">
        <f t="shared" si="3"/>
        <v>0.0158730158730159</v>
      </c>
      <c r="G23" s="48" t="s">
        <v>177</v>
      </c>
      <c r="H23" s="49" t="str">
        <f>INDEX(base_fish!E:E,MATCH(use_fish!B23,base_fish!A:A,0))&amp;_xlfn.IFNA("+"&amp;INDEX(activity!G:G,MATCH(use_fish!C23,activity!A:A,0)),"")</f>
        <v>黄金狮子鱼</v>
      </c>
      <c r="I23" s="48">
        <f>LOOKUP(use_fish!B23,base_fish!A:A,base_fish!F:F)+_xlfn.IFNA(INDEX(activity!F:F,MATCH(use_fish!C23,activity!A:A,0)),0)</f>
        <v>60</v>
      </c>
      <c r="J23" s="33">
        <v>1</v>
      </c>
      <c r="K23" s="33">
        <f>LOOKUP(use_fish!B23,base_fish!A:A,base_fish!G:G)</f>
        <v>0</v>
      </c>
      <c r="L23" s="33">
        <f t="shared" si="4"/>
        <v>60</v>
      </c>
      <c r="M23" s="33">
        <v>1</v>
      </c>
      <c r="N23" s="33">
        <v>0</v>
      </c>
      <c r="O23" s="33">
        <v>2</v>
      </c>
    </row>
    <row r="24" s="33" customFormat="1" spans="1:15">
      <c r="A24" s="47">
        <v>23</v>
      </c>
      <c r="B24" s="47">
        <v>23</v>
      </c>
      <c r="C24" s="47"/>
      <c r="D24" s="47" t="s">
        <v>180</v>
      </c>
      <c r="E24" s="48">
        <v>63</v>
      </c>
      <c r="F24" s="48">
        <f t="shared" si="3"/>
        <v>0.0158730158730159</v>
      </c>
      <c r="G24" s="48" t="s">
        <v>177</v>
      </c>
      <c r="H24" s="49" t="str">
        <f>INDEX(base_fish!E:E,MATCH(use_fish!B24,base_fish!A:A,0))&amp;_xlfn.IFNA("+"&amp;INDEX(activity!G:G,MATCH(use_fish!C24,activity!A:A,0)),"")</f>
        <v>黄金海龟</v>
      </c>
      <c r="I24" s="48">
        <f>LOOKUP(use_fish!B24,base_fish!A:A,base_fish!F:F)+_xlfn.IFNA(INDEX(activity!F:F,MATCH(use_fish!C24,activity!A:A,0)),0)</f>
        <v>60</v>
      </c>
      <c r="J24" s="33">
        <v>1</v>
      </c>
      <c r="K24" s="33">
        <f>LOOKUP(use_fish!B24,base_fish!A:A,base_fish!G:G)</f>
        <v>0</v>
      </c>
      <c r="L24" s="33">
        <f t="shared" si="4"/>
        <v>60</v>
      </c>
      <c r="M24" s="33">
        <v>1</v>
      </c>
      <c r="N24" s="33">
        <v>0</v>
      </c>
      <c r="O24" s="33">
        <v>2</v>
      </c>
    </row>
    <row r="25" s="33" customFormat="1" spans="1:15">
      <c r="A25" s="47">
        <v>24</v>
      </c>
      <c r="B25" s="47">
        <v>24</v>
      </c>
      <c r="C25" s="47"/>
      <c r="D25" s="47"/>
      <c r="E25" s="48" t="s">
        <v>181</v>
      </c>
      <c r="F25" s="48" t="s">
        <v>182</v>
      </c>
      <c r="G25" s="48" t="s">
        <v>177</v>
      </c>
      <c r="H25" s="49" t="str">
        <f>INDEX(base_fish!E:E,MATCH(use_fish!B25,base_fish!A:A,0))&amp;_xlfn.IFNA("+"&amp;INDEX(activity!G:G,MATCH(use_fish!C25,activity!A:A,0)),"")</f>
        <v>黄金河豚</v>
      </c>
      <c r="I25" s="48" t="s">
        <v>61</v>
      </c>
      <c r="J25" s="33">
        <v>1</v>
      </c>
      <c r="K25" s="33">
        <f>LOOKUP(use_fish!B25,base_fish!A:A,base_fish!G:G)</f>
        <v>0</v>
      </c>
      <c r="L25" s="33" t="str">
        <f t="shared" si="4"/>
        <v>50,50,50,50,100,</v>
      </c>
      <c r="M25" s="33">
        <v>1</v>
      </c>
      <c r="N25" s="33">
        <v>0</v>
      </c>
      <c r="O25" s="33">
        <v>2</v>
      </c>
    </row>
    <row r="26" s="33" customFormat="1" spans="1:15">
      <c r="A26" s="47">
        <v>25</v>
      </c>
      <c r="B26" s="47">
        <v>25</v>
      </c>
      <c r="C26" s="47"/>
      <c r="D26" s="47" t="s">
        <v>178</v>
      </c>
      <c r="E26" s="48">
        <v>84</v>
      </c>
      <c r="F26" s="48">
        <f t="shared" si="3"/>
        <v>0.0119047619047619</v>
      </c>
      <c r="G26" s="48" t="s">
        <v>177</v>
      </c>
      <c r="H26" s="49" t="str">
        <f>INDEX(base_fish!E:E,MATCH(use_fish!B26,base_fish!A:A,0))&amp;_xlfn.IFNA("+"&amp;INDEX(activity!G:G,MATCH(use_fish!C26,activity!A:A,0)),"")</f>
        <v>金蟾</v>
      </c>
      <c r="I26" s="48">
        <f>LOOKUP(use_fish!B26,base_fish!A:A,base_fish!F:F)+_xlfn.IFNA(INDEX(activity!F:F,MATCH(use_fish!C26,activity!A:A,0)),0)</f>
        <v>80</v>
      </c>
      <c r="J26" s="33">
        <v>1</v>
      </c>
      <c r="K26" s="33">
        <f>LOOKUP(use_fish!B26,base_fish!A:A,base_fish!G:G)</f>
        <v>0</v>
      </c>
      <c r="L26" s="33">
        <f t="shared" si="4"/>
        <v>80</v>
      </c>
      <c r="M26" s="33">
        <v>1</v>
      </c>
      <c r="N26" s="33">
        <v>0</v>
      </c>
      <c r="O26" s="33">
        <v>2</v>
      </c>
    </row>
    <row r="27" s="33" customFormat="1" spans="1:15">
      <c r="A27" s="47">
        <v>26</v>
      </c>
      <c r="B27" s="47">
        <v>26</v>
      </c>
      <c r="C27" s="47"/>
      <c r="D27" s="47" t="s">
        <v>178</v>
      </c>
      <c r="E27" s="48">
        <v>105</v>
      </c>
      <c r="F27" s="48">
        <f t="shared" si="3"/>
        <v>0.00952380952380952</v>
      </c>
      <c r="G27" s="48" t="s">
        <v>177</v>
      </c>
      <c r="H27" s="49" t="str">
        <f>INDEX(base_fish!E:E,MATCH(use_fish!B27,base_fish!A:A,0))&amp;_xlfn.IFNA("+"&amp;INDEX(activity!G:G,MATCH(use_fish!C27,activity!A:A,0)),"")</f>
        <v>大金鲨</v>
      </c>
      <c r="I27" s="48">
        <f>LOOKUP(use_fish!B27,base_fish!A:A,base_fish!F:F)+_xlfn.IFNA(INDEX(activity!F:F,MATCH(use_fish!C27,activity!A:A,0)),0)</f>
        <v>100</v>
      </c>
      <c r="J27" s="33">
        <v>1</v>
      </c>
      <c r="K27" s="33">
        <f>LOOKUP(use_fish!B27,base_fish!A:A,base_fish!G:G)</f>
        <v>0</v>
      </c>
      <c r="L27" s="33">
        <f t="shared" si="4"/>
        <v>100</v>
      </c>
      <c r="M27" s="33">
        <v>1</v>
      </c>
      <c r="N27" s="33">
        <v>0</v>
      </c>
      <c r="O27" s="33">
        <v>2</v>
      </c>
    </row>
    <row r="28" s="33" customFormat="1" spans="1:15">
      <c r="A28" s="47">
        <v>27</v>
      </c>
      <c r="B28" s="47">
        <v>27</v>
      </c>
      <c r="C28" s="47"/>
      <c r="D28" s="47" t="s">
        <v>179</v>
      </c>
      <c r="E28" s="48">
        <v>105</v>
      </c>
      <c r="F28" s="48">
        <f t="shared" si="3"/>
        <v>0.00952380952380952</v>
      </c>
      <c r="G28" s="48" t="s">
        <v>177</v>
      </c>
      <c r="H28" s="49" t="str">
        <f>INDEX(base_fish!E:E,MATCH(use_fish!B28,base_fish!A:A,0))&amp;_xlfn.IFNA("+"&amp;INDEX(activity!G:G,MATCH(use_fish!C28,activity!A:A,0)),"")</f>
        <v>黄金锤头鲨</v>
      </c>
      <c r="I28" s="48">
        <f>LOOKUP(use_fish!B28,base_fish!A:A,base_fish!F:F)+_xlfn.IFNA(INDEX(activity!F:F,MATCH(use_fish!C28,activity!A:A,0)),0)</f>
        <v>100</v>
      </c>
      <c r="J28" s="33">
        <v>1</v>
      </c>
      <c r="K28" s="33">
        <f>LOOKUP(use_fish!B28,base_fish!A:A,base_fish!G:G)</f>
        <v>0</v>
      </c>
      <c r="L28" s="33">
        <f t="shared" si="4"/>
        <v>100</v>
      </c>
      <c r="M28" s="33">
        <v>1</v>
      </c>
      <c r="N28" s="33">
        <v>0</v>
      </c>
      <c r="O28" s="33">
        <v>2</v>
      </c>
    </row>
    <row r="29" s="34" customFormat="1" spans="1:15">
      <c r="A29" s="50">
        <v>28</v>
      </c>
      <c r="B29" s="50">
        <v>28</v>
      </c>
      <c r="C29" s="50">
        <v>10</v>
      </c>
      <c r="D29" s="50"/>
      <c r="E29" s="51">
        <f>LOOKUP(use_fish!B29,base_fish!A:A,base_fish!C:C)+_xlfn.IFNA(INDEX(activity!F:F,MATCH(use_fish!C29,activity!A:A,0)),0)</f>
        <v>100</v>
      </c>
      <c r="F29" s="51">
        <f t="shared" ref="F29:F32" si="5">1/E29</f>
        <v>0.01</v>
      </c>
      <c r="G29" s="51" t="s">
        <v>177</v>
      </c>
      <c r="H29" s="52" t="str">
        <f>INDEX(base_fish!E:E,MATCH(use_fish!B29,base_fish!A:A,0))&amp;_xlfn.IFNA("+"&amp;INDEX(activity!G:G,MATCH(use_fish!C29,activity!A:A,0)),"")</f>
        <v>闪电海鳗+闪电</v>
      </c>
      <c r="I29" s="51">
        <f>LOOKUP(use_fish!B29,base_fish!A:A,base_fish!F:F)+_xlfn.IFNA(INDEX(activity!F:F,MATCH(use_fish!C29,activity!A:A,0)),0)</f>
        <v>100</v>
      </c>
      <c r="J29" s="34">
        <v>1</v>
      </c>
      <c r="K29" s="34">
        <f>LOOKUP(use_fish!B29,base_fish!A:A,base_fish!G:G)</f>
        <v>0</v>
      </c>
      <c r="L29" s="34">
        <f t="shared" ref="L29:L32" si="6">I29</f>
        <v>100</v>
      </c>
      <c r="M29" s="34">
        <v>1</v>
      </c>
      <c r="N29" s="34">
        <v>1</v>
      </c>
      <c r="O29" s="34">
        <v>2</v>
      </c>
    </row>
    <row r="30" s="34" customFormat="1" spans="1:15">
      <c r="A30" s="50">
        <v>29</v>
      </c>
      <c r="B30" s="50">
        <v>29</v>
      </c>
      <c r="C30" s="50">
        <v>19</v>
      </c>
      <c r="D30" s="50"/>
      <c r="E30" s="51">
        <f>LOOKUP(use_fish!B30,base_fish!A:A,base_fish!C:C)+_xlfn.IFNA(INDEX(activity!F:F,MATCH(use_fish!C30,activity!A:A,0)),0)</f>
        <v>300</v>
      </c>
      <c r="F30" s="51">
        <f t="shared" si="5"/>
        <v>0.00333333333333333</v>
      </c>
      <c r="G30" s="51" t="s">
        <v>177</v>
      </c>
      <c r="H30" s="52" t="str">
        <f>INDEX(base_fish!E:E,MATCH(use_fish!B30,base_fish!A:A,0))&amp;_xlfn.IFNA("+"&amp;INDEX(activity!G:G,MATCH(use_fish!C30,activity!A:A,0)),"")</f>
        <v>穿云蟹+钻头弹</v>
      </c>
      <c r="I30" s="51">
        <f>LOOKUP(use_fish!B30,base_fish!A:A,base_fish!F:F)+_xlfn.IFNA(INDEX(activity!F:F,MATCH(use_fish!C30,activity!A:A,0)),0)</f>
        <v>300</v>
      </c>
      <c r="J30" s="34">
        <v>1</v>
      </c>
      <c r="K30" s="34">
        <f>LOOKUP(use_fish!B30,base_fish!A:A,base_fish!G:G)</f>
        <v>0</v>
      </c>
      <c r="L30" s="34">
        <f t="shared" si="6"/>
        <v>300</v>
      </c>
      <c r="M30" s="34">
        <v>1</v>
      </c>
      <c r="N30" s="34">
        <v>1</v>
      </c>
      <c r="O30" s="34">
        <v>2</v>
      </c>
    </row>
    <row r="31" s="34" customFormat="1" spans="1:15">
      <c r="A31" s="50">
        <v>30</v>
      </c>
      <c r="B31" s="50">
        <v>30</v>
      </c>
      <c r="C31" s="50">
        <v>31</v>
      </c>
      <c r="D31" s="50"/>
      <c r="E31" s="51">
        <f>LOOKUP(use_fish!B31,base_fish!A:A,base_fish!C:C)+_xlfn.IFNA(INDEX(activity!F:F,MATCH(use_fish!C31,activity!A:A,0)),0)</f>
        <v>200</v>
      </c>
      <c r="F31" s="51">
        <f t="shared" si="5"/>
        <v>0.005</v>
      </c>
      <c r="G31" s="51" t="s">
        <v>177</v>
      </c>
      <c r="H31" s="52" t="str">
        <f>INDEX(base_fish!E:E,MATCH(use_fish!B31,base_fish!A:A,0))&amp;_xlfn.IFNA("+"&amp;INDEX(activity!G:G,MATCH(use_fish!C31,activity!A:A,0)),"")</f>
        <v>电磁蟹+电磁弹</v>
      </c>
      <c r="I31" s="51">
        <f>LOOKUP(use_fish!B31,base_fish!A:A,base_fish!F:F)+_xlfn.IFNA(INDEX(activity!F:F,MATCH(use_fish!C31,activity!A:A,0)),0)</f>
        <v>200</v>
      </c>
      <c r="J31" s="34">
        <v>1</v>
      </c>
      <c r="K31" s="34">
        <f>LOOKUP(use_fish!B31,base_fish!A:A,base_fish!G:G)</f>
        <v>0</v>
      </c>
      <c r="L31" s="34">
        <f t="shared" si="6"/>
        <v>200</v>
      </c>
      <c r="M31" s="34">
        <v>1</v>
      </c>
      <c r="N31" s="34">
        <v>1</v>
      </c>
      <c r="O31" s="34">
        <v>1</v>
      </c>
    </row>
    <row r="32" s="34" customFormat="1" spans="1:15">
      <c r="A32" s="50">
        <v>31</v>
      </c>
      <c r="B32" s="50">
        <v>31</v>
      </c>
      <c r="C32" s="50">
        <v>39</v>
      </c>
      <c r="D32" s="50"/>
      <c r="E32" s="51">
        <f>LOOKUP(use_fish!B32,base_fish!A:A,base_fish!C:C)+_xlfn.IFNA(INDEX(activity!F:F,MATCH(use_fish!C32,activity!A:A,0)),0)</f>
        <v>250</v>
      </c>
      <c r="F32" s="51">
        <f t="shared" si="5"/>
        <v>0.004</v>
      </c>
      <c r="G32" s="51" t="s">
        <v>177</v>
      </c>
      <c r="H32" s="52" t="str">
        <f>INDEX(base_fish!E:E,MATCH(use_fish!B32,base_fish!A:A,0))&amp;_xlfn.IFNA("+"&amp;INDEX(activity!G:G,MATCH(use_fish!C32,activity!A:A,0)),"")</f>
        <v>奇遇蟹+强击弹（双倍）</v>
      </c>
      <c r="I32" s="51">
        <f>LOOKUP(use_fish!B32,base_fish!A:A,base_fish!F:F)+_xlfn.IFNA(INDEX(activity!F:F,MATCH(use_fish!C32,activity!A:A,0)),0)</f>
        <v>250</v>
      </c>
      <c r="J32" s="34">
        <v>1</v>
      </c>
      <c r="K32" s="34">
        <f>LOOKUP(use_fish!B32,base_fish!A:A,base_fish!G:G)</f>
        <v>0</v>
      </c>
      <c r="L32" s="34">
        <f t="shared" si="6"/>
        <v>250</v>
      </c>
      <c r="M32" s="34">
        <v>1</v>
      </c>
      <c r="N32" s="34">
        <v>1</v>
      </c>
      <c r="O32" s="34">
        <v>1</v>
      </c>
    </row>
    <row r="33" s="34" customFormat="1" spans="1:15">
      <c r="A33" s="50">
        <v>32</v>
      </c>
      <c r="B33" s="50">
        <v>32</v>
      </c>
      <c r="C33" s="50">
        <v>32</v>
      </c>
      <c r="D33" s="50"/>
      <c r="E33" s="51">
        <f>LOOKUP(use_fish!B33,base_fish!A:A,base_fish!C:C)+_xlfn.IFNA(INDEX(activity!F:F,MATCH(use_fish!C33,activity!A:A,0)),0)</f>
        <v>200</v>
      </c>
      <c r="F33" s="51">
        <f t="shared" ref="F33:F39" si="7">1/E33</f>
        <v>0.005</v>
      </c>
      <c r="G33" s="51" t="s">
        <v>177</v>
      </c>
      <c r="H33" s="52" t="str">
        <f>INDEX(base_fish!E:E,MATCH(use_fish!B33,base_fish!A:A,0))&amp;_xlfn.IFNA("+"&amp;INDEX(activity!G:G,MATCH(use_fish!C33,activity!A:A,0)),"")</f>
        <v>宝藏章鱼+金币转盘</v>
      </c>
      <c r="I33" s="51">
        <f>LOOKUP(use_fish!B33,base_fish!A:A,base_fish!F:F)+_xlfn.IFNA(INDEX(activity!F:F,MATCH(use_fish!C33,activity!A:A,0)),0)</f>
        <v>200</v>
      </c>
      <c r="J33" s="34">
        <v>1</v>
      </c>
      <c r="K33" s="34">
        <f>LOOKUP(use_fish!B33,base_fish!A:A,base_fish!G:G)</f>
        <v>0</v>
      </c>
      <c r="L33" s="34">
        <f t="shared" ref="L33:L39" si="8">I33</f>
        <v>200</v>
      </c>
      <c r="M33" s="34">
        <v>1</v>
      </c>
      <c r="N33" s="34">
        <v>1</v>
      </c>
      <c r="O33" s="34">
        <v>1</v>
      </c>
    </row>
    <row r="34" s="34" customFormat="1" spans="1:15">
      <c r="A34" s="50">
        <v>33</v>
      </c>
      <c r="B34" s="50">
        <v>33</v>
      </c>
      <c r="C34" s="50">
        <v>33</v>
      </c>
      <c r="D34" s="50"/>
      <c r="E34" s="51">
        <f>LOOKUP(use_fish!B34,base_fish!A:A,base_fish!C:C)+_xlfn.IFNA(INDEX(activity!F:F,MATCH(use_fish!C34,activity!A:A,0)),0)</f>
        <v>300</v>
      </c>
      <c r="F34" s="51">
        <f t="shared" si="7"/>
        <v>0.00333333333333333</v>
      </c>
      <c r="G34" s="51" t="s">
        <v>177</v>
      </c>
      <c r="H34" s="52" t="str">
        <f>INDEX(base_fish!E:E,MATCH(use_fish!B34,base_fish!A:A,0))&amp;_xlfn.IFNA("+"&amp;INDEX(activity!G:G,MATCH(use_fish!C34,activity!A:A,0)),"")</f>
        <v>美人鱼+疯狂6选一</v>
      </c>
      <c r="I34" s="51">
        <f>LOOKUP(use_fish!B34,base_fish!A:A,base_fish!F:F)+_xlfn.IFNA(INDEX(activity!F:F,MATCH(use_fish!C34,activity!A:A,0)),0)</f>
        <v>300</v>
      </c>
      <c r="J34" s="34">
        <v>1</v>
      </c>
      <c r="K34" s="34">
        <f>LOOKUP(use_fish!B34,base_fish!A:A,base_fish!G:G)</f>
        <v>0</v>
      </c>
      <c r="L34" s="34">
        <f t="shared" si="8"/>
        <v>300</v>
      </c>
      <c r="M34" s="34">
        <v>1</v>
      </c>
      <c r="N34" s="34">
        <v>1</v>
      </c>
      <c r="O34" s="34">
        <v>1</v>
      </c>
    </row>
    <row r="35" s="34" customFormat="1" spans="1:15">
      <c r="A35" s="50">
        <v>34</v>
      </c>
      <c r="B35" s="50">
        <v>34</v>
      </c>
      <c r="C35" s="50">
        <v>37</v>
      </c>
      <c r="D35" s="50"/>
      <c r="E35" s="51">
        <f>LOOKUP(use_fish!B35,base_fish!A:A,base_fish!C:C)+_xlfn.IFNA(INDEX(activity!F:F,MATCH(use_fish!C35,activity!A:A,0)),0)</f>
        <v>200</v>
      </c>
      <c r="F35" s="51">
        <f t="shared" si="7"/>
        <v>0.005</v>
      </c>
      <c r="G35" s="51" t="s">
        <v>177</v>
      </c>
      <c r="H35" s="52" t="str">
        <f>INDEX(base_fish!E:E,MATCH(use_fish!B35,base_fish!A:A,0))&amp;_xlfn.IFNA("+"&amp;INDEX(activity!G:G,MATCH(use_fish!C35,activity!A:A,0)),"")</f>
        <v>骰子龟+骰子龟</v>
      </c>
      <c r="I35" s="51">
        <v>20</v>
      </c>
      <c r="J35" s="34">
        <v>1</v>
      </c>
      <c r="K35" s="34">
        <f>LOOKUP(use_fish!B35,base_fish!A:A,base_fish!G:G)</f>
        <v>0</v>
      </c>
      <c r="L35" s="34">
        <f t="shared" si="8"/>
        <v>20</v>
      </c>
      <c r="M35" s="34">
        <v>1</v>
      </c>
      <c r="N35" s="34">
        <v>1</v>
      </c>
      <c r="O35" s="34">
        <v>1</v>
      </c>
    </row>
    <row r="36" s="34" customFormat="1" spans="1:15">
      <c r="A36" s="50">
        <v>35</v>
      </c>
      <c r="B36" s="50">
        <v>35</v>
      </c>
      <c r="C36" s="50">
        <v>30</v>
      </c>
      <c r="D36" s="50"/>
      <c r="E36" s="51">
        <f>LOOKUP(use_fish!B36,base_fish!A:A,base_fish!C:C)+_xlfn.IFNA(INDEX(activity!F:F,MATCH(use_fish!C36,activity!A:A,0)),0)</f>
        <v>300</v>
      </c>
      <c r="F36" s="51">
        <f t="shared" si="7"/>
        <v>0.00333333333333333</v>
      </c>
      <c r="G36" s="51" t="s">
        <v>177</v>
      </c>
      <c r="H36" s="52" t="str">
        <f>INDEX(base_fish!E:E,MATCH(use_fish!B36,base_fish!A:A,0))&amp;_xlfn.IFNA("+"&amp;INDEX(activity!G:G,MATCH(use_fish!C36,activity!A:A,0)),"")</f>
        <v>金龙转盘+连环转盘</v>
      </c>
      <c r="I36" s="51">
        <f>LOOKUP(use_fish!B36,base_fish!A:A,base_fish!F:F)+_xlfn.IFNA(INDEX(activity!F:F,MATCH(use_fish!C36,activity!A:A,0)),0)</f>
        <v>300</v>
      </c>
      <c r="J36" s="34">
        <v>1</v>
      </c>
      <c r="K36" s="34">
        <f>LOOKUP(use_fish!B36,base_fish!A:A,base_fish!G:G)</f>
        <v>0</v>
      </c>
      <c r="L36" s="34">
        <f t="shared" si="8"/>
        <v>300</v>
      </c>
      <c r="M36" s="34">
        <v>1</v>
      </c>
      <c r="N36" s="34">
        <v>1</v>
      </c>
      <c r="O36" s="34">
        <v>1</v>
      </c>
    </row>
    <row r="37" s="34" customFormat="1" spans="1:15">
      <c r="A37" s="50">
        <v>36</v>
      </c>
      <c r="B37" s="50">
        <v>36</v>
      </c>
      <c r="C37" s="50">
        <v>36</v>
      </c>
      <c r="D37" s="50"/>
      <c r="E37" s="51">
        <f>LOOKUP(use_fish!B37,base_fish!A:A,base_fish!C:C)+_xlfn.IFNA(INDEX(activity!F:F,MATCH(use_fish!C37,activity!A:A,0)),0)</f>
        <v>300</v>
      </c>
      <c r="F37" s="51">
        <f t="shared" si="7"/>
        <v>0.00333333333333333</v>
      </c>
      <c r="G37" s="51" t="s">
        <v>177</v>
      </c>
      <c r="H37" s="52" t="str">
        <f>INDEX(base_fish!E:E,MATCH(use_fish!B37,base_fish!A:A,0))&amp;_xlfn.IFNA("+"&amp;INDEX(activity!G:G,MATCH(use_fish!C37,activity!A:A,0)),"")</f>
        <v>炽火龙王+炽火龙王</v>
      </c>
      <c r="I37" s="51">
        <f>LOOKUP(use_fish!B37,base_fish!A:A,base_fish!F:F)+_xlfn.IFNA(INDEX(activity!F:F,MATCH(use_fish!C37,activity!A:A,0)),0)</f>
        <v>300</v>
      </c>
      <c r="J37" s="34">
        <v>1</v>
      </c>
      <c r="K37" s="34">
        <f>LOOKUP(use_fish!B37,base_fish!A:A,base_fish!G:G)</f>
        <v>0</v>
      </c>
      <c r="L37" s="34">
        <f t="shared" si="8"/>
        <v>300</v>
      </c>
      <c r="M37" s="34">
        <v>1</v>
      </c>
      <c r="N37" s="34">
        <v>1</v>
      </c>
      <c r="O37" s="34">
        <v>1</v>
      </c>
    </row>
    <row r="38" s="34" customFormat="1" spans="1:15">
      <c r="A38" s="50">
        <v>37</v>
      </c>
      <c r="B38" s="50">
        <v>37</v>
      </c>
      <c r="C38" s="50"/>
      <c r="D38" s="53"/>
      <c r="E38" s="51">
        <f>LOOKUP(use_fish!B38,base_fish!A:A,base_fish!C:C)+_xlfn.IFNA(INDEX(activity!F:F,MATCH(use_fish!C38,activity!A:A,0)),0)</f>
        <v>0</v>
      </c>
      <c r="F38" s="51">
        <v>0</v>
      </c>
      <c r="G38" s="51" t="s">
        <v>177</v>
      </c>
      <c r="H38" s="52" t="str">
        <f>INDEX(base_fish!E:E,MATCH(use_fish!B38,base_fish!A:A,0))&amp;_xlfn.IFNA("+"&amp;INDEX(activity!G:G,MATCH(use_fish!C38,activity!A:A,0)),"")</f>
        <v>财神</v>
      </c>
      <c r="I38" s="51">
        <f>LOOKUP(use_fish!B38,base_fish!A:A,base_fish!F:F)+_xlfn.IFNA(INDEX(activity!F:F,MATCH(use_fish!C38,activity!A:A,0)),0)</f>
        <v>0</v>
      </c>
      <c r="J38" s="34">
        <v>1</v>
      </c>
      <c r="K38" s="34">
        <f>LOOKUP(use_fish!B38,base_fish!A:A,base_fish!G:G)</f>
        <v>0</v>
      </c>
      <c r="L38" s="34">
        <f t="shared" si="8"/>
        <v>0</v>
      </c>
      <c r="M38" s="34">
        <v>1</v>
      </c>
      <c r="N38" s="34">
        <v>1</v>
      </c>
      <c r="O38" s="34">
        <v>1</v>
      </c>
    </row>
    <row r="39" s="26" customFormat="1" spans="1:15">
      <c r="A39" s="54">
        <v>38</v>
      </c>
      <c r="B39" s="54">
        <v>38</v>
      </c>
      <c r="C39" s="54">
        <v>26</v>
      </c>
      <c r="D39" s="54" t="s">
        <v>183</v>
      </c>
      <c r="E39" s="55">
        <f>LOOKUP(use_fish!B39,base_fish!A:A,base_fish!C:C)+_xlfn.IFNA(INDEX(activity!F:F,MATCH(use_fish!C39,activity!A:A,0)),0)</f>
        <v>102</v>
      </c>
      <c r="F39" s="55">
        <f t="shared" si="7"/>
        <v>0.00980392156862745</v>
      </c>
      <c r="G39" s="55" t="s">
        <v>177</v>
      </c>
      <c r="H39" s="56" t="str">
        <f>INDEX(base_fish!E:E,MATCH(use_fish!B39,base_fish!A:A,0))&amp;_xlfn.IFNA("+"&amp;INDEX(activity!G:G,MATCH(use_fish!C39,activity!A:A,0)),"")</f>
        <v>黄金巨龙+彩贝-场次1</v>
      </c>
      <c r="I39" s="55">
        <f>LOOKUP(use_fish!B39,base_fish!A:A,base_fish!F:F)+_xlfn.IFNA(INDEX(activity!F:F,MATCH(use_fish!C39,activity!A:A,0)),0)</f>
        <v>102</v>
      </c>
      <c r="J39" s="26">
        <v>1</v>
      </c>
      <c r="K39" s="26">
        <f>LOOKUP(use_fish!B39,base_fish!A:A,base_fish!G:G)</f>
        <v>0</v>
      </c>
      <c r="L39" s="26">
        <f t="shared" si="8"/>
        <v>102</v>
      </c>
      <c r="M39" s="26">
        <v>2</v>
      </c>
      <c r="N39" s="26">
        <v>2</v>
      </c>
      <c r="O39" s="26">
        <v>1</v>
      </c>
    </row>
    <row r="40" s="26" customFormat="1" spans="1:15">
      <c r="A40" s="54">
        <v>39</v>
      </c>
      <c r="B40" s="54">
        <v>39</v>
      </c>
      <c r="C40" s="54">
        <v>25</v>
      </c>
      <c r="D40" s="54" t="s">
        <v>184</v>
      </c>
      <c r="E40" s="55">
        <f>LOOKUP(use_fish!B40,base_fish!A:A,base_fish!C:C)+_xlfn.IFNA(INDEX(activity!F:F,MATCH(use_fish!C40,activity!A:A,0)),0)</f>
        <v>105</v>
      </c>
      <c r="F40" s="55">
        <f t="shared" ref="F40:F44" si="9">1/E40</f>
        <v>0.00952380952380952</v>
      </c>
      <c r="G40" s="55" t="s">
        <v>177</v>
      </c>
      <c r="H40" s="56" t="str">
        <f>INDEX(base_fish!E:E,MATCH(use_fish!B40,base_fish!A:A,0))&amp;_xlfn.IFNA("+"&amp;INDEX(activity!G:G,MATCH(use_fish!C40,activity!A:A,0)),"")</f>
        <v>霸王蟹+彩贝-试炼场</v>
      </c>
      <c r="I40" s="55">
        <f>LOOKUP(use_fish!B40,base_fish!A:A,base_fish!F:F)+_xlfn.IFNA(INDEX(activity!F:F,MATCH(use_fish!C40,activity!A:A,0)),0)</f>
        <v>105</v>
      </c>
      <c r="J40" s="26">
        <v>1</v>
      </c>
      <c r="K40" s="26">
        <f>LOOKUP(use_fish!B40,base_fish!A:A,base_fish!G:G)</f>
        <v>0</v>
      </c>
      <c r="L40" s="26">
        <f t="shared" ref="L40:L45" si="10">I40</f>
        <v>105</v>
      </c>
      <c r="M40" s="26">
        <v>1</v>
      </c>
      <c r="N40" s="26">
        <v>2</v>
      </c>
      <c r="O40" s="26">
        <v>1</v>
      </c>
    </row>
    <row r="41" s="26" customFormat="1" spans="1:15">
      <c r="A41" s="54">
        <v>40</v>
      </c>
      <c r="B41" s="54">
        <v>40</v>
      </c>
      <c r="C41" s="54">
        <v>41</v>
      </c>
      <c r="D41" s="54" t="s">
        <v>185</v>
      </c>
      <c r="E41" s="55">
        <f>LOOKUP(use_fish!B41,base_fish!A:A,base_fish!C:C)+_xlfn.IFNA(INDEX(activity!F:F,MATCH(use_fish!C41,activity!A:A,0)),0)</f>
        <v>302</v>
      </c>
      <c r="F41" s="55">
        <f t="shared" si="9"/>
        <v>0.0033112582781457</v>
      </c>
      <c r="G41" s="55" t="s">
        <v>177</v>
      </c>
      <c r="H41" s="56" t="str">
        <f>INDEX(base_fish!E:E,MATCH(use_fish!B41,base_fish!A:A,0))&amp;_xlfn.IFNA("+"&amp;INDEX(activity!G:G,MATCH(use_fish!C41,activity!A:A,0)),"")</f>
        <v>深海鲸+彩贝-场次4</v>
      </c>
      <c r="I41" s="55">
        <f>LOOKUP(use_fish!B41,base_fish!A:A,base_fish!F:F)+_xlfn.IFNA(INDEX(activity!F:F,MATCH(use_fish!C41,activity!A:A,0)),0)</f>
        <v>302</v>
      </c>
      <c r="J41" s="26">
        <v>1</v>
      </c>
      <c r="K41" s="26">
        <f>LOOKUP(use_fish!B41,base_fish!A:A,base_fish!G:G)</f>
        <v>0</v>
      </c>
      <c r="L41" s="26">
        <f t="shared" si="10"/>
        <v>302</v>
      </c>
      <c r="M41" s="26">
        <v>1</v>
      </c>
      <c r="N41" s="26">
        <v>2</v>
      </c>
      <c r="O41" s="26">
        <v>1</v>
      </c>
    </row>
    <row r="42" s="26" customFormat="1" spans="1:15">
      <c r="A42" s="54">
        <v>41</v>
      </c>
      <c r="B42" s="54">
        <v>41</v>
      </c>
      <c r="C42" s="54">
        <v>27</v>
      </c>
      <c r="D42" s="54" t="s">
        <v>184</v>
      </c>
      <c r="E42" s="55">
        <f>LOOKUP(use_fish!B42,base_fish!A:A,base_fish!C:C)+_xlfn.IFNA(INDEX(activity!F:F,MATCH(use_fish!C42,activity!A:A,0)),0)</f>
        <v>206</v>
      </c>
      <c r="F42" s="55">
        <f t="shared" si="9"/>
        <v>0.00485436893203883</v>
      </c>
      <c r="G42" s="55" t="s">
        <v>177</v>
      </c>
      <c r="H42" s="56" t="str">
        <f>INDEX(base_fish!E:E,MATCH(use_fish!B42,base_fish!A:A,0))&amp;_xlfn.IFNA("+"&amp;INDEX(activity!G:G,MATCH(use_fish!C42,activity!A:A,0)),"")</f>
        <v>鲨鱼武士+彩贝-场次2</v>
      </c>
      <c r="I42" s="55">
        <f>LOOKUP(use_fish!B42,base_fish!A:A,base_fish!F:F)+_xlfn.IFNA(INDEX(activity!F:F,MATCH(use_fish!C42,activity!A:A,0)),0)</f>
        <v>206</v>
      </c>
      <c r="J42" s="26">
        <v>1</v>
      </c>
      <c r="K42" s="26">
        <f>LOOKUP(use_fish!B42,base_fish!A:A,base_fish!G:G)</f>
        <v>0</v>
      </c>
      <c r="L42" s="26">
        <f t="shared" si="10"/>
        <v>206</v>
      </c>
      <c r="M42" s="26">
        <v>1</v>
      </c>
      <c r="N42" s="26">
        <v>2</v>
      </c>
      <c r="O42" s="26">
        <v>1</v>
      </c>
    </row>
    <row r="43" s="35" customFormat="1" spans="1:15">
      <c r="A43" s="57">
        <v>42</v>
      </c>
      <c r="B43" s="57">
        <v>42</v>
      </c>
      <c r="C43" s="57"/>
      <c r="D43" s="57"/>
      <c r="E43" s="58">
        <f>LOOKUP(use_fish!B43,base_fish!A:A,base_fish!C:C)+_xlfn.IFNA(INDEX(activity!F:F,MATCH(use_fish!C43,activity!A:A,0)),0)</f>
        <v>0</v>
      </c>
      <c r="F43" s="58">
        <v>0</v>
      </c>
      <c r="G43" s="58" t="s">
        <v>177</v>
      </c>
      <c r="H43" s="59" t="str">
        <f>INDEX(base_fish!E:E,MATCH(use_fish!B43,base_fish!A:A,0))&amp;_xlfn.IFNA("+"&amp;INDEX(activity!G:G,MATCH(use_fish!C43,activity!A:A,0)),"")</f>
        <v>荧光女皇</v>
      </c>
      <c r="I43" s="58">
        <f>LOOKUP(use_fish!B43,base_fish!A:A,base_fish!F:F)+_xlfn.IFNA(INDEX(activity!F:F,MATCH(use_fish!C43,activity!A:A,0)),0)</f>
        <v>0</v>
      </c>
      <c r="J43" s="35">
        <v>1</v>
      </c>
      <c r="K43" s="35">
        <f>LOOKUP(use_fish!B43,base_fish!A:A,base_fish!G:G)</f>
        <v>0</v>
      </c>
      <c r="L43" s="35">
        <f t="shared" si="10"/>
        <v>0</v>
      </c>
      <c r="M43" s="35">
        <v>1</v>
      </c>
      <c r="N43" s="35">
        <v>2</v>
      </c>
      <c r="O43" s="35">
        <v>1</v>
      </c>
    </row>
    <row r="44" s="26" customFormat="1" spans="1:15">
      <c r="A44" s="54">
        <v>43</v>
      </c>
      <c r="B44" s="54">
        <v>43</v>
      </c>
      <c r="C44" s="54">
        <v>40</v>
      </c>
      <c r="D44" s="54" t="s">
        <v>185</v>
      </c>
      <c r="E44" s="55">
        <f>LOOKUP(use_fish!B44,base_fish!A:A,base_fish!C:C)+_xlfn.IFNA(INDEX(activity!F:F,MATCH(use_fish!C44,activity!A:A,0)),0)</f>
        <v>202</v>
      </c>
      <c r="F44" s="55">
        <f t="shared" si="9"/>
        <v>0.00495049504950495</v>
      </c>
      <c r="G44" s="55" t="s">
        <v>177</v>
      </c>
      <c r="H44" s="56" t="str">
        <f>INDEX(base_fish!E:E,MATCH(use_fish!B44,base_fish!A:A,0))&amp;_xlfn.IFNA("+"&amp;INDEX(activity!G:G,MATCH(use_fish!C44,activity!A:A,0)),"")</f>
        <v>龙龟+彩贝-场次3</v>
      </c>
      <c r="I44" s="55">
        <f>LOOKUP(use_fish!B44,base_fish!A:A,base_fish!F:F)+_xlfn.IFNA(INDEX(activity!F:F,MATCH(use_fish!C44,activity!A:A,0)),0)</f>
        <v>202</v>
      </c>
      <c r="J44" s="26">
        <v>1</v>
      </c>
      <c r="K44" s="26">
        <f>LOOKUP(use_fish!B44,base_fish!A:A,base_fish!G:G)</f>
        <v>0</v>
      </c>
      <c r="L44" s="26">
        <f t="shared" si="10"/>
        <v>202</v>
      </c>
      <c r="M44" s="26">
        <v>1</v>
      </c>
      <c r="N44" s="26">
        <v>2</v>
      </c>
      <c r="O44" s="26">
        <v>1</v>
      </c>
    </row>
    <row r="45" s="35" customFormat="1" spans="1:15">
      <c r="A45" s="57">
        <v>44</v>
      </c>
      <c r="B45" s="57">
        <v>44</v>
      </c>
      <c r="C45" s="57"/>
      <c r="D45" s="57"/>
      <c r="E45" s="58">
        <f>LOOKUP(use_fish!B45,base_fish!A:A,base_fish!C:C)+_xlfn.IFNA(INDEX(activity!F:F,MATCH(use_fish!C45,activity!A:A,0)),0)</f>
        <v>0</v>
      </c>
      <c r="F45" s="58">
        <v>0</v>
      </c>
      <c r="G45" s="58" t="s">
        <v>177</v>
      </c>
      <c r="H45" s="59" t="str">
        <f>INDEX(base_fish!E:E,MATCH(use_fish!B45,base_fish!A:A,0))&amp;_xlfn.IFNA("+"&amp;INDEX(activity!G:G,MATCH(use_fish!C45,activity!A:A,0)),"")</f>
        <v>麒麟兽</v>
      </c>
      <c r="I45" s="58">
        <f>LOOKUP(use_fish!B45,base_fish!A:A,base_fish!F:F)+_xlfn.IFNA(INDEX(activity!F:F,MATCH(use_fish!C45,activity!A:A,0)),0)</f>
        <v>0</v>
      </c>
      <c r="J45" s="35">
        <v>1</v>
      </c>
      <c r="K45" s="35">
        <f>LOOKUP(use_fish!B45,base_fish!A:A,base_fish!G:G)</f>
        <v>0</v>
      </c>
      <c r="L45" s="35">
        <f t="shared" si="10"/>
        <v>0</v>
      </c>
      <c r="M45" s="35">
        <v>2</v>
      </c>
      <c r="N45" s="35">
        <v>2</v>
      </c>
      <c r="O45" s="35">
        <v>1</v>
      </c>
    </row>
    <row r="46" s="35" customFormat="1" spans="1:15">
      <c r="A46" s="57">
        <v>45</v>
      </c>
      <c r="B46" s="57">
        <v>45</v>
      </c>
      <c r="C46" s="57"/>
      <c r="D46" s="57"/>
      <c r="E46" s="58">
        <f>LOOKUP(use_fish!B46,base_fish!A:A,base_fish!C:C)+_xlfn.IFNA(INDEX(activity!F:F,MATCH(use_fish!C46,activity!A:A,0)),0)</f>
        <v>0</v>
      </c>
      <c r="F46" s="58">
        <v>0</v>
      </c>
      <c r="G46" s="58" t="s">
        <v>177</v>
      </c>
      <c r="H46" s="59" t="str">
        <f>INDEX(base_fish!E:E,MATCH(use_fish!B46,base_fish!A:A,0))&amp;_xlfn.IFNA("+"&amp;INDEX(activity!G:G,MATCH(use_fish!C46,activity!A:A,0)),"")</f>
        <v>海盗船</v>
      </c>
      <c r="I46" s="58">
        <f>LOOKUP(use_fish!B46,base_fish!A:A,base_fish!F:F)+_xlfn.IFNA(INDEX(activity!F:F,MATCH(use_fish!C46,activity!A:A,0)),0)</f>
        <v>0</v>
      </c>
      <c r="J46" s="35">
        <v>1</v>
      </c>
      <c r="K46" s="35">
        <f>LOOKUP(use_fish!B46,base_fish!A:A,base_fish!G:G)</f>
        <v>0</v>
      </c>
      <c r="L46" s="35">
        <f t="shared" ref="L46:L50" si="11">I46</f>
        <v>0</v>
      </c>
      <c r="M46" s="35">
        <v>1</v>
      </c>
      <c r="N46" s="35">
        <v>2</v>
      </c>
      <c r="O46" s="35">
        <v>1</v>
      </c>
    </row>
    <row r="47" s="36" customFormat="1" spans="1:15">
      <c r="A47" s="60">
        <v>46</v>
      </c>
      <c r="B47" s="60">
        <v>46</v>
      </c>
      <c r="C47" s="60"/>
      <c r="D47" s="60" t="s">
        <v>183</v>
      </c>
      <c r="E47" s="61">
        <f>LOOKUP(use_fish!B47,base_fish!A:A,base_fish!C:C)+_xlfn.IFNA(INDEX(activity!F:F,MATCH(use_fish!C47,activity!A:A,0)),0)</f>
        <v>200</v>
      </c>
      <c r="F47" s="61">
        <f t="shared" ref="F47:F50" si="12">1/E47</f>
        <v>0.005</v>
      </c>
      <c r="G47" s="61" t="s">
        <v>177</v>
      </c>
      <c r="H47" s="62" t="str">
        <f>INDEX(base_fish!E:E,MATCH(use_fish!B47,base_fish!A:A,0))&amp;_xlfn.IFNA("+"&amp;INDEX(activity!G:G,MATCH(use_fish!C47,activity!A:A,0)),"")</f>
        <v>金蟾</v>
      </c>
      <c r="I47" s="61">
        <f>LOOKUP(use_fish!B47,base_fish!A:A,base_fish!F:F)+_xlfn.IFNA(INDEX(activity!F:F,MATCH(use_fish!C47,activity!A:A,0)),0)</f>
        <v>200</v>
      </c>
      <c r="J47" s="36">
        <v>1</v>
      </c>
      <c r="K47" s="36">
        <f>LOOKUP(use_fish!B47,base_fish!A:A,base_fish!G:G)</f>
        <v>0</v>
      </c>
      <c r="L47" s="36">
        <f t="shared" si="11"/>
        <v>200</v>
      </c>
      <c r="M47" s="36">
        <v>1</v>
      </c>
      <c r="N47" s="36">
        <v>0</v>
      </c>
      <c r="O47" s="36">
        <v>1</v>
      </c>
    </row>
    <row r="48" s="36" customFormat="1" spans="1:15">
      <c r="A48" s="60">
        <v>47</v>
      </c>
      <c r="B48" s="60">
        <v>47</v>
      </c>
      <c r="C48" s="60">
        <v>34</v>
      </c>
      <c r="D48" s="60" t="s">
        <v>183</v>
      </c>
      <c r="E48" s="61">
        <f>LOOKUP(use_fish!B48,base_fish!A:A,base_fish!C:C)+_xlfn.IFNA(INDEX(activity!F:F,MATCH(use_fish!C48,activity!A:A,0)),0)</f>
        <v>300</v>
      </c>
      <c r="F48" s="61">
        <f t="shared" si="12"/>
        <v>0.00333333333333333</v>
      </c>
      <c r="G48" s="61" t="s">
        <v>177</v>
      </c>
      <c r="H48" s="62" t="str">
        <f>INDEX(base_fish!E:E,MATCH(use_fish!B48,base_fish!A:A,0))&amp;_xlfn.IFNA("+"&amp;INDEX(activity!G:G,MATCH(use_fish!C48,activity!A:A,0)),"")</f>
        <v>深海狂鲨+吞噬天下</v>
      </c>
      <c r="I48" s="61">
        <f>LOOKUP(use_fish!B48,base_fish!A:A,base_fish!F:F)+_xlfn.IFNA(INDEX(activity!F:F,MATCH(use_fish!C48,activity!A:A,0)),0)</f>
        <v>300</v>
      </c>
      <c r="J48" s="36">
        <v>1</v>
      </c>
      <c r="K48" s="36">
        <f>LOOKUP(use_fish!B48,base_fish!A:A,base_fish!G:G)</f>
        <v>0</v>
      </c>
      <c r="L48" s="36">
        <f t="shared" si="11"/>
        <v>300</v>
      </c>
      <c r="M48" s="36">
        <v>1</v>
      </c>
      <c r="N48" s="36">
        <v>0</v>
      </c>
      <c r="O48" s="36">
        <v>1</v>
      </c>
    </row>
    <row r="49" s="36" customFormat="1" spans="1:15">
      <c r="A49" s="60">
        <v>48</v>
      </c>
      <c r="B49" s="60">
        <v>48</v>
      </c>
      <c r="C49" s="60">
        <v>17</v>
      </c>
      <c r="D49" s="60" t="s">
        <v>183</v>
      </c>
      <c r="E49" s="61">
        <f>LOOKUP(use_fish!B49,base_fish!A:A,base_fish!C:C)+_xlfn.IFNA(INDEX(activity!F:F,MATCH(use_fish!C49,activity!A:A,0)),0)</f>
        <v>400</v>
      </c>
      <c r="F49" s="61">
        <f t="shared" si="12"/>
        <v>0.0025</v>
      </c>
      <c r="G49" s="61" t="s">
        <v>177</v>
      </c>
      <c r="H49" s="62" t="str">
        <f>INDEX(base_fish!E:E,MATCH(use_fish!B49,base_fish!A:A,0))&amp;_xlfn.IFNA("+"&amp;INDEX(activity!G:G,MATCH(use_fish!C49,activity!A:A,0)),"")</f>
        <v>鳄鱼+宝箱</v>
      </c>
      <c r="I49" s="61">
        <f>LOOKUP(use_fish!B49,base_fish!A:A,base_fish!F:F)+_xlfn.IFNA(INDEX(activity!F:F,MATCH(use_fish!C49,activity!A:A,0)),0)</f>
        <v>400</v>
      </c>
      <c r="J49" s="36">
        <v>1</v>
      </c>
      <c r="K49" s="36">
        <f>LOOKUP(use_fish!B49,base_fish!A:A,base_fish!G:G)</f>
        <v>0</v>
      </c>
      <c r="L49" s="36">
        <f t="shared" si="11"/>
        <v>400</v>
      </c>
      <c r="M49" s="36">
        <v>1</v>
      </c>
      <c r="N49" s="36">
        <v>0</v>
      </c>
      <c r="O49" s="36">
        <v>1</v>
      </c>
    </row>
    <row r="50" s="36" customFormat="1" spans="1:15">
      <c r="A50" s="60">
        <v>49</v>
      </c>
      <c r="B50" s="60">
        <v>49</v>
      </c>
      <c r="C50" s="60">
        <v>35</v>
      </c>
      <c r="D50" s="60" t="s">
        <v>186</v>
      </c>
      <c r="E50" s="61">
        <f>LOOKUP(use_fish!B50,base_fish!A:A,base_fish!C:C)+_xlfn.IFNA(INDEX(activity!F:F,MATCH(use_fish!C50,activity!A:A,0)),0)</f>
        <v>400</v>
      </c>
      <c r="F50" s="61">
        <f t="shared" si="12"/>
        <v>0.0025</v>
      </c>
      <c r="G50" s="61" t="s">
        <v>177</v>
      </c>
      <c r="H50" s="62" t="str">
        <f>INDEX(base_fish!E:E,MATCH(use_fish!B50,base_fish!A:A,0))&amp;_xlfn.IFNA("+"&amp;INDEX(activity!G:G,MATCH(use_fish!C50,activity!A:A,0)),"")</f>
        <v>大王乌贼+连环炸弹</v>
      </c>
      <c r="I50" s="61">
        <f>LOOKUP(use_fish!B50,base_fish!A:A,base_fish!F:F)+_xlfn.IFNA(INDEX(activity!F:F,MATCH(use_fish!C50,activity!A:A,0)),0)</f>
        <v>400</v>
      </c>
      <c r="J50" s="36">
        <v>1</v>
      </c>
      <c r="K50" s="36">
        <f>LOOKUP(use_fish!B50,base_fish!A:A,base_fish!G:G)</f>
        <v>0</v>
      </c>
      <c r="L50" s="36">
        <f t="shared" si="11"/>
        <v>400</v>
      </c>
      <c r="M50" s="36">
        <v>1</v>
      </c>
      <c r="N50" s="36">
        <v>0</v>
      </c>
      <c r="O50" s="36">
        <v>1</v>
      </c>
    </row>
    <row r="51" s="36" customFormat="1" spans="1:15">
      <c r="A51" s="60">
        <v>50</v>
      </c>
      <c r="B51" s="60">
        <v>50</v>
      </c>
      <c r="C51" s="60"/>
      <c r="D51" s="60"/>
      <c r="E51" s="61">
        <v>0</v>
      </c>
      <c r="F51" s="60">
        <v>0</v>
      </c>
      <c r="G51" s="61" t="s">
        <v>177</v>
      </c>
      <c r="H51" s="36" t="s">
        <v>187</v>
      </c>
      <c r="I51" s="61">
        <v>0</v>
      </c>
      <c r="J51" s="36">
        <v>3</v>
      </c>
      <c r="K51" s="61">
        <v>0</v>
      </c>
      <c r="L51" s="61">
        <v>0</v>
      </c>
      <c r="M51" s="61">
        <v>1</v>
      </c>
      <c r="N51" s="36">
        <v>0</v>
      </c>
      <c r="O51" s="36">
        <v>3</v>
      </c>
    </row>
    <row r="52" s="30" customFormat="1" spans="1:15">
      <c r="A52" s="38">
        <v>51</v>
      </c>
      <c r="B52" s="38">
        <v>11</v>
      </c>
      <c r="C52" s="38">
        <v>42</v>
      </c>
      <c r="D52" s="38"/>
      <c r="E52" s="39">
        <f>LOOKUP(use_fish!B52,base_fish!A:A,base_fish!C:C)+_xlfn.IFNA(INDEX(activity!F:F,MATCH(use_fish!C52,activity!A:A,0)),0)</f>
        <v>45</v>
      </c>
      <c r="F52" s="39">
        <f t="shared" ref="F52:F65" si="13">1/E52</f>
        <v>0.0222222222222222</v>
      </c>
      <c r="G52" s="39" t="s">
        <v>177</v>
      </c>
      <c r="H52" s="40" t="str">
        <f>INDEX(base_fish!E:E,MATCH(use_fish!B52,base_fish!A:A,0))&amp;_xlfn.IFNA("+"&amp;INDEX(activity!G:G,MATCH(use_fish!C52,activity!A:A,0)),"")</f>
        <v>小海龟+炸弹</v>
      </c>
      <c r="I52" s="39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2" customFormat="1" spans="1:15">
      <c r="A53" s="44">
        <v>52</v>
      </c>
      <c r="B53" s="44">
        <v>12</v>
      </c>
      <c r="C53" s="44">
        <v>42</v>
      </c>
      <c r="D53" s="44"/>
      <c r="E53" s="45">
        <f>LOOKUP(use_fish!B53,base_fish!A:A,base_fish!C:C)+_xlfn.IFNA(INDEX(activity!F:F,MATCH(use_fish!C53,activity!A:A,0)),0)</f>
        <v>48</v>
      </c>
      <c r="F53" s="45">
        <f t="shared" si="13"/>
        <v>0.0208333333333333</v>
      </c>
      <c r="G53" s="45" t="s">
        <v>177</v>
      </c>
      <c r="H53" s="46" t="str">
        <f>INDEX(base_fish!E:E,MATCH(use_fish!B53,base_fish!A:A,0))&amp;_xlfn.IFNA("+"&amp;INDEX(activity!G:G,MATCH(use_fish!C53,activity!A:A,0)),"")</f>
        <v>狮子鱼+炸弹</v>
      </c>
      <c r="I53" s="45">
        <f>LOOKUP(use_fish!B53,base_fish!A:A,base_fish!F:F)+_xlfn.IFNA(INDEX(activity!F:F,MATCH(use_fish!C53,activity!A:A,0)),0)</f>
        <v>48</v>
      </c>
      <c r="J53" s="32">
        <v>1</v>
      </c>
      <c r="K53" s="32">
        <f>LOOKUP(use_fish!B53,base_fish!A:A,base_fish!G:G)</f>
        <v>0</v>
      </c>
      <c r="L53" s="32">
        <f t="shared" si="14"/>
        <v>48</v>
      </c>
      <c r="M53" s="32">
        <v>1</v>
      </c>
      <c r="N53" s="32">
        <f t="shared" si="15"/>
        <v>0</v>
      </c>
      <c r="O53" s="32">
        <v>1</v>
      </c>
    </row>
    <row r="54" s="32" customFormat="1" spans="1:15">
      <c r="A54" s="44">
        <v>53</v>
      </c>
      <c r="B54" s="44">
        <v>13</v>
      </c>
      <c r="C54" s="44">
        <v>42</v>
      </c>
      <c r="D54" s="44"/>
      <c r="E54" s="45">
        <f>LOOKUP(use_fish!B54,base_fish!A:A,base_fish!C:C)+_xlfn.IFNA(INDEX(activity!F:F,MATCH(use_fish!C54,activity!A:A,0)),0)</f>
        <v>50</v>
      </c>
      <c r="F54" s="45">
        <f t="shared" si="13"/>
        <v>0.02</v>
      </c>
      <c r="G54" s="45" t="s">
        <v>177</v>
      </c>
      <c r="H54" s="46" t="str">
        <f>INDEX(base_fish!E:E,MATCH(use_fish!B54,base_fish!A:A,0))&amp;_xlfn.IFNA("+"&amp;INDEX(activity!G:G,MATCH(use_fish!C54,activity!A:A,0)),"")</f>
        <v>蝴蝶鱼+炸弹</v>
      </c>
      <c r="I54" s="45">
        <f>LOOKUP(use_fish!B54,base_fish!A:A,base_fish!F:F)+_xlfn.IFNA(INDEX(activity!F:F,MATCH(use_fish!C54,activity!A:A,0)),0)</f>
        <v>50</v>
      </c>
      <c r="J54" s="32">
        <v>1</v>
      </c>
      <c r="K54" s="32">
        <f>LOOKUP(use_fish!B54,base_fish!A:A,base_fish!G:G)</f>
        <v>0</v>
      </c>
      <c r="L54" s="32">
        <f t="shared" si="14"/>
        <v>50</v>
      </c>
      <c r="M54" s="32">
        <v>1</v>
      </c>
      <c r="N54" s="32">
        <f t="shared" si="15"/>
        <v>0</v>
      </c>
      <c r="O54" s="32">
        <v>1</v>
      </c>
    </row>
    <row r="55" s="32" customFormat="1" spans="1:15">
      <c r="A55" s="44">
        <v>54</v>
      </c>
      <c r="B55" s="44">
        <v>14</v>
      </c>
      <c r="C55" s="44">
        <v>42</v>
      </c>
      <c r="D55" s="44"/>
      <c r="E55" s="45">
        <f>LOOKUP(use_fish!B55,base_fish!A:A,base_fish!C:C)+_xlfn.IFNA(INDEX(activity!F:F,MATCH(use_fish!C55,activity!A:A,0)),0)</f>
        <v>55</v>
      </c>
      <c r="F55" s="45">
        <f t="shared" si="13"/>
        <v>0.0181818181818182</v>
      </c>
      <c r="G55" s="45" t="s">
        <v>177</v>
      </c>
      <c r="H55" s="46" t="str">
        <f>INDEX(base_fish!E:E,MATCH(use_fish!B55,base_fish!A:A,0))&amp;_xlfn.IFNA("+"&amp;INDEX(activity!G:G,MATCH(use_fish!C55,activity!A:A,0)),"")</f>
        <v>海马+炸弹</v>
      </c>
      <c r="I55" s="45">
        <f>LOOKUP(use_fish!B55,base_fish!A:A,base_fish!F:F)+_xlfn.IFNA(INDEX(activity!F:F,MATCH(use_fish!C55,activity!A:A,0)),0)</f>
        <v>55</v>
      </c>
      <c r="J55" s="32">
        <v>1</v>
      </c>
      <c r="K55" s="32">
        <f>LOOKUP(use_fish!B55,base_fish!A:A,base_fish!G:G)</f>
        <v>0</v>
      </c>
      <c r="L55" s="32">
        <f t="shared" si="14"/>
        <v>55</v>
      </c>
      <c r="M55" s="32">
        <v>1</v>
      </c>
      <c r="N55" s="32">
        <f t="shared" si="15"/>
        <v>0</v>
      </c>
      <c r="O55" s="32">
        <v>1</v>
      </c>
    </row>
    <row r="56" s="32" customFormat="1" spans="1:15">
      <c r="A56" s="44">
        <v>55</v>
      </c>
      <c r="B56" s="44">
        <v>15</v>
      </c>
      <c r="C56" s="44">
        <v>42</v>
      </c>
      <c r="D56" s="44"/>
      <c r="E56" s="45">
        <f>LOOKUP(use_fish!B56,base_fish!A:A,base_fish!C:C)+_xlfn.IFNA(INDEX(activity!F:F,MATCH(use_fish!C56,activity!A:A,0)),0)</f>
        <v>60</v>
      </c>
      <c r="F56" s="45">
        <f t="shared" si="13"/>
        <v>0.0166666666666667</v>
      </c>
      <c r="G56" s="45" t="s">
        <v>177</v>
      </c>
      <c r="H56" s="46" t="str">
        <f>INDEX(base_fish!E:E,MATCH(use_fish!B56,base_fish!A:A,0))&amp;_xlfn.IFNA("+"&amp;INDEX(activity!G:G,MATCH(use_fish!C56,activity!A:A,0)),"")</f>
        <v>鲇鱼+炸弹</v>
      </c>
      <c r="I56" s="45">
        <f>LOOKUP(use_fish!B56,base_fish!A:A,base_fish!F:F)+_xlfn.IFNA(INDEX(activity!F:F,MATCH(use_fish!C56,activity!A:A,0)),0)</f>
        <v>60</v>
      </c>
      <c r="J56" s="32">
        <v>1</v>
      </c>
      <c r="K56" s="32">
        <f>LOOKUP(use_fish!B56,base_fish!A:A,base_fish!G:G)</f>
        <v>0</v>
      </c>
      <c r="L56" s="32">
        <f t="shared" si="14"/>
        <v>60</v>
      </c>
      <c r="M56" s="32">
        <v>1</v>
      </c>
      <c r="N56" s="32">
        <f t="shared" si="15"/>
        <v>0</v>
      </c>
      <c r="O56" s="32">
        <v>1</v>
      </c>
    </row>
    <row r="57" s="32" customFormat="1" spans="1:15">
      <c r="A57" s="44">
        <v>56</v>
      </c>
      <c r="B57" s="44">
        <v>16</v>
      </c>
      <c r="C57" s="44">
        <v>42</v>
      </c>
      <c r="D57" s="44"/>
      <c r="E57" s="45">
        <f>LOOKUP(use_fish!B57,base_fish!A:A,base_fish!C:C)+_xlfn.IFNA(INDEX(activity!F:F,MATCH(use_fish!C57,activity!A:A,0)),0)</f>
        <v>65</v>
      </c>
      <c r="F57" s="45">
        <f t="shared" si="13"/>
        <v>0.0153846153846154</v>
      </c>
      <c r="G57" s="45" t="s">
        <v>177</v>
      </c>
      <c r="H57" s="46" t="str">
        <f>INDEX(base_fish!E:E,MATCH(use_fish!B57,base_fish!A:A,0))&amp;_xlfn.IFNA("+"&amp;INDEX(activity!G:G,MATCH(use_fish!C57,activity!A:A,0)),"")</f>
        <v>鲨鱼+炸弹</v>
      </c>
      <c r="I57" s="45">
        <f>LOOKUP(use_fish!B57,base_fish!A:A,base_fish!F:F)+_xlfn.IFNA(INDEX(activity!F:F,MATCH(use_fish!C57,activity!A:A,0)),0)</f>
        <v>65</v>
      </c>
      <c r="J57" s="32">
        <v>1</v>
      </c>
      <c r="K57" s="32">
        <f>LOOKUP(use_fish!B57,base_fish!A:A,base_fish!G:G)</f>
        <v>0</v>
      </c>
      <c r="L57" s="32">
        <f t="shared" si="14"/>
        <v>65</v>
      </c>
      <c r="M57" s="32">
        <v>1</v>
      </c>
      <c r="N57" s="32">
        <f t="shared" si="15"/>
        <v>0</v>
      </c>
      <c r="O57" s="32">
        <v>1</v>
      </c>
    </row>
    <row r="58" s="32" customFormat="1" spans="1:15">
      <c r="A58" s="44">
        <v>57</v>
      </c>
      <c r="B58" s="44">
        <v>17</v>
      </c>
      <c r="C58" s="44">
        <v>42</v>
      </c>
      <c r="D58" s="44"/>
      <c r="E58" s="45">
        <f>LOOKUP(use_fish!B58,base_fish!A:A,base_fish!C:C)+_xlfn.IFNA(INDEX(activity!F:F,MATCH(use_fish!C58,activity!A:A,0)),0)</f>
        <v>70</v>
      </c>
      <c r="F58" s="45">
        <f t="shared" si="13"/>
        <v>0.0142857142857143</v>
      </c>
      <c r="G58" s="45" t="s">
        <v>177</v>
      </c>
      <c r="H58" s="46" t="str">
        <f>INDEX(base_fish!E:E,MATCH(use_fish!B58,base_fish!A:A,0))&amp;_xlfn.IFNA("+"&amp;INDEX(activity!G:G,MATCH(use_fish!C58,activity!A:A,0)),"")</f>
        <v>魔鬼鱼+炸弹</v>
      </c>
      <c r="I58" s="45">
        <f>LOOKUP(use_fish!B58,base_fish!A:A,base_fish!F:F)+_xlfn.IFNA(INDEX(activity!F:F,MATCH(use_fish!C58,activity!A:A,0)),0)</f>
        <v>70</v>
      </c>
      <c r="J58" s="32">
        <v>1</v>
      </c>
      <c r="K58" s="32">
        <f>LOOKUP(use_fish!B58,base_fish!A:A,base_fish!G:G)</f>
        <v>0</v>
      </c>
      <c r="L58" s="32">
        <f t="shared" si="14"/>
        <v>70</v>
      </c>
      <c r="M58" s="32">
        <v>1</v>
      </c>
      <c r="N58" s="32">
        <v>0</v>
      </c>
      <c r="O58" s="32">
        <v>1</v>
      </c>
    </row>
    <row r="59" s="32" customFormat="1" spans="1:15">
      <c r="A59" s="44">
        <v>58</v>
      </c>
      <c r="B59" s="44">
        <v>18</v>
      </c>
      <c r="C59" s="44">
        <v>42</v>
      </c>
      <c r="D59" s="44"/>
      <c r="E59" s="45">
        <f>LOOKUP(use_fish!B59,base_fish!A:A,base_fish!C:C)+_xlfn.IFNA(INDEX(activity!F:F,MATCH(use_fish!C59,activity!A:A,0)),0)</f>
        <v>90</v>
      </c>
      <c r="F59" s="45">
        <f t="shared" si="13"/>
        <v>0.0111111111111111</v>
      </c>
      <c r="G59" s="45" t="s">
        <v>177</v>
      </c>
      <c r="H59" s="46" t="str">
        <f>INDEX(base_fish!E:E,MATCH(use_fish!B59,base_fish!A:A,0))&amp;_xlfn.IFNA("+"&amp;INDEX(activity!G:G,MATCH(use_fish!C59,activity!A:A,0)),"")</f>
        <v>虎鲨+炸弹</v>
      </c>
      <c r="I59" s="45">
        <f>LOOKUP(use_fish!B59,base_fish!A:A,base_fish!F:F)+_xlfn.IFNA(INDEX(activity!F:F,MATCH(use_fish!C59,activity!A:A,0)),0)</f>
        <v>90</v>
      </c>
      <c r="J59" s="32">
        <v>1</v>
      </c>
      <c r="K59" s="32">
        <f>LOOKUP(use_fish!B59,base_fish!A:A,base_fish!G:G)</f>
        <v>0</v>
      </c>
      <c r="L59" s="32">
        <f t="shared" si="14"/>
        <v>90</v>
      </c>
      <c r="M59" s="32">
        <v>1</v>
      </c>
      <c r="N59" s="32">
        <v>0</v>
      </c>
      <c r="O59" s="32">
        <v>1</v>
      </c>
    </row>
    <row r="60" s="33" customFormat="1" spans="1:15">
      <c r="A60" s="47">
        <v>59</v>
      </c>
      <c r="B60" s="47">
        <v>20</v>
      </c>
      <c r="C60" s="47">
        <v>42</v>
      </c>
      <c r="D60" s="47" t="s">
        <v>178</v>
      </c>
      <c r="E60" s="48">
        <v>93</v>
      </c>
      <c r="F60" s="48">
        <f t="shared" si="13"/>
        <v>0.010752688172043</v>
      </c>
      <c r="G60" s="48" t="s">
        <v>177</v>
      </c>
      <c r="H60" s="49" t="str">
        <f>INDEX(base_fish!E:E,MATCH(use_fish!B60,base_fish!A:A,0))&amp;_xlfn.IFNA("+"&amp;INDEX(activity!G:G,MATCH(use_fish!C60,activity!A:A,0)),"")</f>
        <v>黄金灯笼鱼+炸弹</v>
      </c>
      <c r="I60" s="48">
        <f>LOOKUP(use_fish!B60,base_fish!A:A,base_fish!F:F)+_xlfn.IFNA(INDEX(activity!F:F,MATCH(use_fish!C60,activity!A:A,0)),0)</f>
        <v>90</v>
      </c>
      <c r="J60" s="33">
        <v>1</v>
      </c>
      <c r="K60" s="33">
        <f>LOOKUP(use_fish!B60,base_fish!A:A,base_fish!G:G)</f>
        <v>0</v>
      </c>
      <c r="L60" s="33">
        <f t="shared" si="14"/>
        <v>90</v>
      </c>
      <c r="M60" s="33">
        <v>1</v>
      </c>
      <c r="N60" s="33">
        <v>0</v>
      </c>
      <c r="O60" s="33">
        <v>2</v>
      </c>
    </row>
    <row r="61" s="33" customFormat="1" spans="1:15">
      <c r="A61" s="47">
        <v>60</v>
      </c>
      <c r="B61" s="47">
        <v>22</v>
      </c>
      <c r="C61" s="47">
        <v>42</v>
      </c>
      <c r="D61" s="47" t="s">
        <v>179</v>
      </c>
      <c r="E61" s="48">
        <v>93</v>
      </c>
      <c r="F61" s="48">
        <f t="shared" si="13"/>
        <v>0.010752688172043</v>
      </c>
      <c r="G61" s="48" t="s">
        <v>177</v>
      </c>
      <c r="H61" s="49" t="str">
        <f>INDEX(base_fish!E:E,MATCH(use_fish!B61,base_fish!A:A,0))&amp;_xlfn.IFNA("+"&amp;INDEX(activity!G:G,MATCH(use_fish!C61,activity!A:A,0)),"")</f>
        <v>黄金狮子鱼+炸弹</v>
      </c>
      <c r="I61" s="48">
        <f>LOOKUP(use_fish!B61,base_fish!A:A,base_fish!F:F)+_xlfn.IFNA(INDEX(activity!F:F,MATCH(use_fish!C61,activity!A:A,0)),0)</f>
        <v>90</v>
      </c>
      <c r="J61" s="33">
        <v>1</v>
      </c>
      <c r="K61" s="33">
        <f>LOOKUP(use_fish!B61,base_fish!A:A,base_fish!G:G)</f>
        <v>0</v>
      </c>
      <c r="L61" s="33">
        <f t="shared" si="14"/>
        <v>90</v>
      </c>
      <c r="M61" s="33">
        <v>1</v>
      </c>
      <c r="N61" s="33">
        <v>0</v>
      </c>
      <c r="O61" s="33">
        <v>2</v>
      </c>
    </row>
    <row r="62" s="33" customFormat="1" spans="1:15">
      <c r="A62" s="47">
        <v>61</v>
      </c>
      <c r="B62" s="47">
        <v>23</v>
      </c>
      <c r="C62" s="47">
        <v>42</v>
      </c>
      <c r="D62" s="47" t="s">
        <v>180</v>
      </c>
      <c r="E62" s="48">
        <v>135</v>
      </c>
      <c r="F62" s="48">
        <f t="shared" si="13"/>
        <v>0.00740740740740741</v>
      </c>
      <c r="G62" s="48" t="s">
        <v>177</v>
      </c>
      <c r="H62" s="49" t="str">
        <f>INDEX(base_fish!E:E,MATCH(use_fish!B62,base_fish!A:A,0))&amp;_xlfn.IFNA("+"&amp;INDEX(activity!G:G,MATCH(use_fish!C62,activity!A:A,0)),"")</f>
        <v>黄金海龟+炸弹</v>
      </c>
      <c r="I62" s="48">
        <f>LOOKUP(use_fish!B62,base_fish!A:A,base_fish!F:F)+_xlfn.IFNA(INDEX(activity!F:F,MATCH(use_fish!C62,activity!A:A,0)),0)</f>
        <v>90</v>
      </c>
      <c r="J62" s="33">
        <v>1</v>
      </c>
      <c r="K62" s="33">
        <f>LOOKUP(use_fish!B62,base_fish!A:A,base_fish!G:G)</f>
        <v>0</v>
      </c>
      <c r="L62" s="33">
        <f t="shared" si="14"/>
        <v>90</v>
      </c>
      <c r="M62" s="33">
        <v>1</v>
      </c>
      <c r="N62" s="33">
        <v>0</v>
      </c>
      <c r="O62" s="33">
        <v>2</v>
      </c>
    </row>
    <row r="63" s="33" customFormat="1" spans="1:15">
      <c r="A63" s="47">
        <v>62</v>
      </c>
      <c r="B63" s="47">
        <v>25</v>
      </c>
      <c r="C63" s="47">
        <v>42</v>
      </c>
      <c r="D63" s="47" t="s">
        <v>178</v>
      </c>
      <c r="E63" s="48">
        <v>114</v>
      </c>
      <c r="F63" s="48">
        <f t="shared" si="13"/>
        <v>0.0087719298245614</v>
      </c>
      <c r="G63" s="48" t="s">
        <v>177</v>
      </c>
      <c r="H63" s="49" t="str">
        <f>INDEX(base_fish!E:E,MATCH(use_fish!B63,base_fish!A:A,0))&amp;_xlfn.IFNA("+"&amp;INDEX(activity!G:G,MATCH(use_fish!C63,activity!A:A,0)),"")</f>
        <v>金蟾+炸弹</v>
      </c>
      <c r="I63" s="48">
        <f>LOOKUP(use_fish!B63,base_fish!A:A,base_fish!F:F)+_xlfn.IFNA(INDEX(activity!F:F,MATCH(use_fish!C63,activity!A:A,0)),0)</f>
        <v>110</v>
      </c>
      <c r="J63" s="33">
        <v>1</v>
      </c>
      <c r="K63" s="33">
        <f>LOOKUP(use_fish!B63,base_fish!A:A,base_fish!G:G)</f>
        <v>0</v>
      </c>
      <c r="L63" s="33">
        <f t="shared" si="14"/>
        <v>110</v>
      </c>
      <c r="M63" s="33">
        <v>1</v>
      </c>
      <c r="N63" s="33">
        <v>0</v>
      </c>
      <c r="O63" s="33">
        <v>2</v>
      </c>
    </row>
    <row r="64" s="33" customFormat="1" spans="1:15">
      <c r="A64" s="47">
        <v>63</v>
      </c>
      <c r="B64" s="47">
        <v>26</v>
      </c>
      <c r="C64" s="47">
        <v>42</v>
      </c>
      <c r="D64" s="47" t="s">
        <v>178</v>
      </c>
      <c r="E64" s="48">
        <v>135</v>
      </c>
      <c r="F64" s="48">
        <f t="shared" si="13"/>
        <v>0.00740740740740741</v>
      </c>
      <c r="G64" s="48" t="s">
        <v>177</v>
      </c>
      <c r="H64" s="49" t="str">
        <f>INDEX(base_fish!E:E,MATCH(use_fish!B64,base_fish!A:A,0))&amp;_xlfn.IFNA("+"&amp;INDEX(activity!G:G,MATCH(use_fish!C64,activity!A:A,0)),"")</f>
        <v>大金鲨+炸弹</v>
      </c>
      <c r="I64" s="48">
        <f>LOOKUP(use_fish!B64,base_fish!A:A,base_fish!F:F)+_xlfn.IFNA(INDEX(activity!F:F,MATCH(use_fish!C64,activity!A:A,0)),0)</f>
        <v>130</v>
      </c>
      <c r="J64" s="33">
        <v>1</v>
      </c>
      <c r="K64" s="33">
        <f>LOOKUP(use_fish!B64,base_fish!A:A,base_fish!G:G)</f>
        <v>0</v>
      </c>
      <c r="L64" s="33">
        <f t="shared" si="14"/>
        <v>130</v>
      </c>
      <c r="M64" s="33">
        <v>1</v>
      </c>
      <c r="N64" s="33">
        <v>0</v>
      </c>
      <c r="O64" s="33">
        <v>2</v>
      </c>
    </row>
    <row r="65" s="33" customFormat="1" spans="1:15">
      <c r="A65" s="47">
        <v>64</v>
      </c>
      <c r="B65" s="47">
        <v>27</v>
      </c>
      <c r="C65" s="47">
        <v>42</v>
      </c>
      <c r="D65" s="47" t="s">
        <v>179</v>
      </c>
      <c r="E65" s="48">
        <v>135</v>
      </c>
      <c r="F65" s="48">
        <f t="shared" si="13"/>
        <v>0.00740740740740741</v>
      </c>
      <c r="G65" s="48" t="s">
        <v>177</v>
      </c>
      <c r="H65" s="49" t="str">
        <f>INDEX(base_fish!E:E,MATCH(use_fish!B65,base_fish!A:A,0))&amp;_xlfn.IFNA("+"&amp;INDEX(activity!G:G,MATCH(use_fish!C65,activity!A:A,0)),"")</f>
        <v>黄金锤头鲨+炸弹</v>
      </c>
      <c r="I65" s="48">
        <f>LOOKUP(use_fish!B65,base_fish!A:A,base_fish!F:F)+_xlfn.IFNA(INDEX(activity!F:F,MATCH(use_fish!C65,activity!A:A,0)),0)</f>
        <v>130</v>
      </c>
      <c r="J65" s="33">
        <v>1</v>
      </c>
      <c r="K65" s="33">
        <f>LOOKUP(use_fish!B65,base_fish!A:A,base_fish!G:G)</f>
        <v>0</v>
      </c>
      <c r="L65" s="33">
        <f t="shared" si="14"/>
        <v>130</v>
      </c>
      <c r="M65" s="33">
        <v>1</v>
      </c>
      <c r="N65" s="33">
        <v>0</v>
      </c>
      <c r="O65" s="33">
        <v>2</v>
      </c>
    </row>
    <row r="66" s="30" customFormat="1" spans="1:15">
      <c r="A66" s="38">
        <v>65</v>
      </c>
      <c r="B66" s="38">
        <v>11</v>
      </c>
      <c r="C66" s="38">
        <v>43</v>
      </c>
      <c r="D66" s="38"/>
      <c r="E66" s="39">
        <f>LOOKUP(use_fish!B66,base_fish!A:A,base_fish!C:C)+_xlfn.IFNA(INDEX(activity!F:F,MATCH(use_fish!C66,activity!A:A,0)),0)</f>
        <v>65</v>
      </c>
      <c r="F66" s="39">
        <f t="shared" ref="F66:F87" si="16">1/E66</f>
        <v>0.0153846153846154</v>
      </c>
      <c r="G66" s="39" t="s">
        <v>177</v>
      </c>
      <c r="H66" s="40" t="str">
        <f>INDEX(base_fish!E:E,MATCH(use_fish!B66,base_fish!A:A,0))&amp;_xlfn.IFNA("+"&amp;INDEX(activity!G:G,MATCH(use_fish!C66,activity!A:A,0)),"")</f>
        <v>小海龟+闪电</v>
      </c>
      <c r="I66" s="39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8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2" customFormat="1" spans="1:15">
      <c r="A67" s="44">
        <v>66</v>
      </c>
      <c r="B67" s="44">
        <v>12</v>
      </c>
      <c r="C67" s="44">
        <v>43</v>
      </c>
      <c r="D67" s="44"/>
      <c r="E67" s="45">
        <f>LOOKUP(use_fish!B67,base_fish!A:A,base_fish!C:C)+_xlfn.IFNA(INDEX(activity!F:F,MATCH(use_fish!C67,activity!A:A,0)),0)</f>
        <v>68</v>
      </c>
      <c r="F67" s="45">
        <f t="shared" si="16"/>
        <v>0.0147058823529412</v>
      </c>
      <c r="G67" s="45" t="s">
        <v>177</v>
      </c>
      <c r="H67" s="46" t="str">
        <f>INDEX(base_fish!E:E,MATCH(use_fish!B67,base_fish!A:A,0))&amp;_xlfn.IFNA("+"&amp;INDEX(activity!G:G,MATCH(use_fish!C67,activity!A:A,0)),"")</f>
        <v>狮子鱼+闪电</v>
      </c>
      <c r="I67" s="45">
        <f>LOOKUP(use_fish!B67,base_fish!A:A,base_fish!F:F)+_xlfn.IFNA(INDEX(activity!F:F,MATCH(use_fish!C67,activity!A:A,0)),0)</f>
        <v>68</v>
      </c>
      <c r="J67" s="32">
        <v>1</v>
      </c>
      <c r="K67" s="32">
        <f>LOOKUP(use_fish!B67,base_fish!A:A,base_fish!G:G)</f>
        <v>0</v>
      </c>
      <c r="L67" s="32">
        <f t="shared" si="17"/>
        <v>68</v>
      </c>
      <c r="M67" s="32">
        <v>1</v>
      </c>
      <c r="N67" s="32">
        <f t="shared" si="18"/>
        <v>0</v>
      </c>
      <c r="O67" s="32">
        <v>1</v>
      </c>
    </row>
    <row r="68" s="32" customFormat="1" spans="1:15">
      <c r="A68" s="44">
        <v>67</v>
      </c>
      <c r="B68" s="44">
        <v>13</v>
      </c>
      <c r="C68" s="44">
        <v>43</v>
      </c>
      <c r="D68" s="44"/>
      <c r="E68" s="45">
        <f>LOOKUP(use_fish!B68,base_fish!A:A,base_fish!C:C)+_xlfn.IFNA(INDEX(activity!F:F,MATCH(use_fish!C68,activity!A:A,0)),0)</f>
        <v>70</v>
      </c>
      <c r="F68" s="45">
        <f t="shared" si="16"/>
        <v>0.0142857142857143</v>
      </c>
      <c r="G68" s="45" t="s">
        <v>177</v>
      </c>
      <c r="H68" s="46" t="str">
        <f>INDEX(base_fish!E:E,MATCH(use_fish!B68,base_fish!A:A,0))&amp;_xlfn.IFNA("+"&amp;INDEX(activity!G:G,MATCH(use_fish!C68,activity!A:A,0)),"")</f>
        <v>蝴蝶鱼+闪电</v>
      </c>
      <c r="I68" s="45">
        <f>LOOKUP(use_fish!B68,base_fish!A:A,base_fish!F:F)+_xlfn.IFNA(INDEX(activity!F:F,MATCH(use_fish!C68,activity!A:A,0)),0)</f>
        <v>70</v>
      </c>
      <c r="J68" s="32">
        <v>1</v>
      </c>
      <c r="K68" s="32">
        <f>LOOKUP(use_fish!B68,base_fish!A:A,base_fish!G:G)</f>
        <v>0</v>
      </c>
      <c r="L68" s="32">
        <f t="shared" si="17"/>
        <v>70</v>
      </c>
      <c r="M68" s="32">
        <v>1</v>
      </c>
      <c r="N68" s="32">
        <f t="shared" si="18"/>
        <v>0</v>
      </c>
      <c r="O68" s="32">
        <v>1</v>
      </c>
    </row>
    <row r="69" s="32" customFormat="1" spans="1:15">
      <c r="A69" s="44">
        <v>68</v>
      </c>
      <c r="B69" s="44">
        <v>14</v>
      </c>
      <c r="C69" s="44">
        <v>43</v>
      </c>
      <c r="D69" s="44"/>
      <c r="E69" s="45">
        <f>LOOKUP(use_fish!B69,base_fish!A:A,base_fish!C:C)+_xlfn.IFNA(INDEX(activity!F:F,MATCH(use_fish!C69,activity!A:A,0)),0)</f>
        <v>75</v>
      </c>
      <c r="F69" s="45">
        <f t="shared" si="16"/>
        <v>0.0133333333333333</v>
      </c>
      <c r="G69" s="45" t="s">
        <v>177</v>
      </c>
      <c r="H69" s="46" t="str">
        <f>INDEX(base_fish!E:E,MATCH(use_fish!B69,base_fish!A:A,0))&amp;_xlfn.IFNA("+"&amp;INDEX(activity!G:G,MATCH(use_fish!C69,activity!A:A,0)),"")</f>
        <v>海马+闪电</v>
      </c>
      <c r="I69" s="45">
        <f>LOOKUP(use_fish!B69,base_fish!A:A,base_fish!F:F)+_xlfn.IFNA(INDEX(activity!F:F,MATCH(use_fish!C69,activity!A:A,0)),0)</f>
        <v>75</v>
      </c>
      <c r="J69" s="32">
        <v>1</v>
      </c>
      <c r="K69" s="32">
        <f>LOOKUP(use_fish!B69,base_fish!A:A,base_fish!G:G)</f>
        <v>0</v>
      </c>
      <c r="L69" s="32">
        <f t="shared" si="17"/>
        <v>75</v>
      </c>
      <c r="M69" s="32">
        <v>1</v>
      </c>
      <c r="N69" s="32">
        <f t="shared" si="18"/>
        <v>0</v>
      </c>
      <c r="O69" s="32">
        <v>1</v>
      </c>
    </row>
    <row r="70" s="32" customFormat="1" spans="1:15">
      <c r="A70" s="44">
        <v>69</v>
      </c>
      <c r="B70" s="44">
        <v>15</v>
      </c>
      <c r="C70" s="44">
        <v>43</v>
      </c>
      <c r="D70" s="44"/>
      <c r="E70" s="45">
        <f>LOOKUP(use_fish!B70,base_fish!A:A,base_fish!C:C)+_xlfn.IFNA(INDEX(activity!F:F,MATCH(use_fish!C70,activity!A:A,0)),0)</f>
        <v>80</v>
      </c>
      <c r="F70" s="45">
        <f t="shared" si="16"/>
        <v>0.0125</v>
      </c>
      <c r="G70" s="45" t="s">
        <v>177</v>
      </c>
      <c r="H70" s="46" t="str">
        <f>INDEX(base_fish!E:E,MATCH(use_fish!B70,base_fish!A:A,0))&amp;_xlfn.IFNA("+"&amp;INDEX(activity!G:G,MATCH(use_fish!C70,activity!A:A,0)),"")</f>
        <v>鲇鱼+闪电</v>
      </c>
      <c r="I70" s="45">
        <f>LOOKUP(use_fish!B70,base_fish!A:A,base_fish!F:F)+_xlfn.IFNA(INDEX(activity!F:F,MATCH(use_fish!C70,activity!A:A,0)),0)</f>
        <v>80</v>
      </c>
      <c r="J70" s="32">
        <v>1</v>
      </c>
      <c r="K70" s="32">
        <f>LOOKUP(use_fish!B70,base_fish!A:A,base_fish!G:G)</f>
        <v>0</v>
      </c>
      <c r="L70" s="32">
        <f t="shared" si="17"/>
        <v>80</v>
      </c>
      <c r="M70" s="32">
        <v>1</v>
      </c>
      <c r="N70" s="32">
        <f t="shared" si="18"/>
        <v>0</v>
      </c>
      <c r="O70" s="32">
        <v>1</v>
      </c>
    </row>
    <row r="71" s="32" customFormat="1" spans="1:15">
      <c r="A71" s="44">
        <v>70</v>
      </c>
      <c r="B71" s="44">
        <v>16</v>
      </c>
      <c r="C71" s="44">
        <v>43</v>
      </c>
      <c r="D71" s="44"/>
      <c r="E71" s="45">
        <f>LOOKUP(use_fish!B71,base_fish!A:A,base_fish!C:C)+_xlfn.IFNA(INDEX(activity!F:F,MATCH(use_fish!C71,activity!A:A,0)),0)</f>
        <v>85</v>
      </c>
      <c r="F71" s="45">
        <f t="shared" si="16"/>
        <v>0.0117647058823529</v>
      </c>
      <c r="G71" s="45" t="s">
        <v>177</v>
      </c>
      <c r="H71" s="46" t="str">
        <f>INDEX(base_fish!E:E,MATCH(use_fish!B71,base_fish!A:A,0))&amp;_xlfn.IFNA("+"&amp;INDEX(activity!G:G,MATCH(use_fish!C71,activity!A:A,0)),"")</f>
        <v>鲨鱼+闪电</v>
      </c>
      <c r="I71" s="45">
        <f>LOOKUP(use_fish!B71,base_fish!A:A,base_fish!F:F)+_xlfn.IFNA(INDEX(activity!F:F,MATCH(use_fish!C71,activity!A:A,0)),0)</f>
        <v>85</v>
      </c>
      <c r="J71" s="32">
        <v>1</v>
      </c>
      <c r="K71" s="32">
        <f>LOOKUP(use_fish!B71,base_fish!A:A,base_fish!G:G)</f>
        <v>0</v>
      </c>
      <c r="L71" s="32">
        <f t="shared" si="17"/>
        <v>85</v>
      </c>
      <c r="M71" s="32">
        <v>1</v>
      </c>
      <c r="N71" s="32">
        <f t="shared" si="18"/>
        <v>0</v>
      </c>
      <c r="O71" s="32">
        <v>1</v>
      </c>
    </row>
    <row r="72" s="32" customFormat="1" spans="1:15">
      <c r="A72" s="44">
        <v>71</v>
      </c>
      <c r="B72" s="44">
        <v>17</v>
      </c>
      <c r="C72" s="44">
        <v>43</v>
      </c>
      <c r="D72" s="44"/>
      <c r="E72" s="45">
        <f>LOOKUP(use_fish!B72,base_fish!A:A,base_fish!C:C)+_xlfn.IFNA(INDEX(activity!F:F,MATCH(use_fish!C72,activity!A:A,0)),0)</f>
        <v>90</v>
      </c>
      <c r="F72" s="45">
        <f t="shared" si="16"/>
        <v>0.0111111111111111</v>
      </c>
      <c r="G72" s="45" t="s">
        <v>177</v>
      </c>
      <c r="H72" s="46" t="str">
        <f>INDEX(base_fish!E:E,MATCH(use_fish!B72,base_fish!A:A,0))&amp;_xlfn.IFNA("+"&amp;INDEX(activity!G:G,MATCH(use_fish!C72,activity!A:A,0)),"")</f>
        <v>魔鬼鱼+闪电</v>
      </c>
      <c r="I72" s="45">
        <f>LOOKUP(use_fish!B72,base_fish!A:A,base_fish!F:F)+_xlfn.IFNA(INDEX(activity!F:F,MATCH(use_fish!C72,activity!A:A,0)),0)</f>
        <v>90</v>
      </c>
      <c r="J72" s="32">
        <v>1</v>
      </c>
      <c r="K72" s="32">
        <f>LOOKUP(use_fish!B72,base_fish!A:A,base_fish!G:G)</f>
        <v>0</v>
      </c>
      <c r="L72" s="32">
        <f t="shared" si="17"/>
        <v>90</v>
      </c>
      <c r="M72" s="32">
        <v>1</v>
      </c>
      <c r="N72" s="32">
        <v>0</v>
      </c>
      <c r="O72" s="32">
        <v>1</v>
      </c>
    </row>
    <row r="73" s="32" customFormat="1" spans="1:15">
      <c r="A73" s="44">
        <v>72</v>
      </c>
      <c r="B73" s="44">
        <v>18</v>
      </c>
      <c r="C73" s="44">
        <v>43</v>
      </c>
      <c r="D73" s="44"/>
      <c r="E73" s="45">
        <f>LOOKUP(use_fish!B73,base_fish!A:A,base_fish!C:C)+_xlfn.IFNA(INDEX(activity!F:F,MATCH(use_fish!C73,activity!A:A,0)),0)</f>
        <v>110</v>
      </c>
      <c r="F73" s="45">
        <f t="shared" si="16"/>
        <v>0.00909090909090909</v>
      </c>
      <c r="G73" s="45" t="s">
        <v>177</v>
      </c>
      <c r="H73" s="46" t="str">
        <f>INDEX(base_fish!E:E,MATCH(use_fish!B73,base_fish!A:A,0))&amp;_xlfn.IFNA("+"&amp;INDEX(activity!G:G,MATCH(use_fish!C73,activity!A:A,0)),"")</f>
        <v>虎鲨+闪电</v>
      </c>
      <c r="I73" s="45">
        <f>LOOKUP(use_fish!B73,base_fish!A:A,base_fish!F:F)+_xlfn.IFNA(INDEX(activity!F:F,MATCH(use_fish!C73,activity!A:A,0)),0)</f>
        <v>110</v>
      </c>
      <c r="J73" s="32">
        <v>1</v>
      </c>
      <c r="K73" s="32">
        <f>LOOKUP(use_fish!B73,base_fish!A:A,base_fish!G:G)</f>
        <v>0</v>
      </c>
      <c r="L73" s="32">
        <f t="shared" si="17"/>
        <v>110</v>
      </c>
      <c r="M73" s="32">
        <v>1</v>
      </c>
      <c r="N73" s="32">
        <v>0</v>
      </c>
      <c r="O73" s="32">
        <v>1</v>
      </c>
    </row>
    <row r="74" s="33" customFormat="1" spans="1:15">
      <c r="A74" s="47">
        <v>73</v>
      </c>
      <c r="B74" s="47">
        <v>20</v>
      </c>
      <c r="C74" s="47">
        <v>43</v>
      </c>
      <c r="D74" s="47" t="s">
        <v>178</v>
      </c>
      <c r="E74" s="48">
        <v>113</v>
      </c>
      <c r="F74" s="48">
        <f t="shared" si="16"/>
        <v>0.00884955752212389</v>
      </c>
      <c r="G74" s="48" t="s">
        <v>177</v>
      </c>
      <c r="H74" s="49" t="str">
        <f>INDEX(base_fish!E:E,MATCH(use_fish!B74,base_fish!A:A,0))&amp;_xlfn.IFNA("+"&amp;INDEX(activity!G:G,MATCH(use_fish!C74,activity!A:A,0)),"")</f>
        <v>黄金灯笼鱼+闪电</v>
      </c>
      <c r="I74" s="48">
        <f>LOOKUP(use_fish!B74,base_fish!A:A,base_fish!F:F)+_xlfn.IFNA(INDEX(activity!F:F,MATCH(use_fish!C74,activity!A:A,0)),0)</f>
        <v>110</v>
      </c>
      <c r="J74" s="33">
        <v>1</v>
      </c>
      <c r="K74" s="33">
        <f>LOOKUP(use_fish!B74,base_fish!A:A,base_fish!G:G)</f>
        <v>0</v>
      </c>
      <c r="L74" s="33">
        <f t="shared" si="17"/>
        <v>110</v>
      </c>
      <c r="M74" s="33">
        <v>1</v>
      </c>
      <c r="N74" s="33">
        <v>0</v>
      </c>
      <c r="O74" s="33">
        <v>2</v>
      </c>
    </row>
    <row r="75" s="33" customFormat="1" spans="1:15">
      <c r="A75" s="47">
        <v>74</v>
      </c>
      <c r="B75" s="47">
        <v>22</v>
      </c>
      <c r="C75" s="47">
        <v>43</v>
      </c>
      <c r="D75" s="47" t="s">
        <v>179</v>
      </c>
      <c r="E75" s="48">
        <v>113</v>
      </c>
      <c r="F75" s="48">
        <f t="shared" si="16"/>
        <v>0.00884955752212389</v>
      </c>
      <c r="G75" s="48" t="s">
        <v>177</v>
      </c>
      <c r="H75" s="49" t="str">
        <f>INDEX(base_fish!E:E,MATCH(use_fish!B75,base_fish!A:A,0))&amp;_xlfn.IFNA("+"&amp;INDEX(activity!G:G,MATCH(use_fish!C75,activity!A:A,0)),"")</f>
        <v>黄金狮子鱼+闪电</v>
      </c>
      <c r="I75" s="48">
        <f>LOOKUP(use_fish!B75,base_fish!A:A,base_fish!F:F)+_xlfn.IFNA(INDEX(activity!F:F,MATCH(use_fish!C75,activity!A:A,0)),0)</f>
        <v>110</v>
      </c>
      <c r="J75" s="33">
        <v>1</v>
      </c>
      <c r="K75" s="33">
        <f>LOOKUP(use_fish!B75,base_fish!A:A,base_fish!G:G)</f>
        <v>0</v>
      </c>
      <c r="L75" s="33">
        <f t="shared" si="17"/>
        <v>110</v>
      </c>
      <c r="M75" s="33">
        <v>1</v>
      </c>
      <c r="N75" s="33">
        <v>0</v>
      </c>
      <c r="O75" s="33">
        <v>2</v>
      </c>
    </row>
    <row r="76" s="33" customFormat="1" spans="1:15">
      <c r="A76" s="47">
        <v>75</v>
      </c>
      <c r="B76" s="47">
        <v>23</v>
      </c>
      <c r="C76" s="47">
        <v>43</v>
      </c>
      <c r="D76" s="47" t="s">
        <v>180</v>
      </c>
      <c r="E76" s="48">
        <v>155</v>
      </c>
      <c r="F76" s="48">
        <f t="shared" si="16"/>
        <v>0.00645161290322581</v>
      </c>
      <c r="G76" s="48" t="s">
        <v>177</v>
      </c>
      <c r="H76" s="49" t="str">
        <f>INDEX(base_fish!E:E,MATCH(use_fish!B76,base_fish!A:A,0))&amp;_xlfn.IFNA("+"&amp;INDEX(activity!G:G,MATCH(use_fish!C76,activity!A:A,0)),"")</f>
        <v>黄金海龟+闪电</v>
      </c>
      <c r="I76" s="48">
        <f>LOOKUP(use_fish!B76,base_fish!A:A,base_fish!F:F)+_xlfn.IFNA(INDEX(activity!F:F,MATCH(use_fish!C76,activity!A:A,0)),0)</f>
        <v>110</v>
      </c>
      <c r="J76" s="33">
        <v>1</v>
      </c>
      <c r="K76" s="33">
        <f>LOOKUP(use_fish!B76,base_fish!A:A,base_fish!G:G)</f>
        <v>0</v>
      </c>
      <c r="L76" s="33">
        <f t="shared" si="17"/>
        <v>110</v>
      </c>
      <c r="M76" s="33">
        <v>1</v>
      </c>
      <c r="N76" s="33">
        <v>0</v>
      </c>
      <c r="O76" s="33">
        <v>2</v>
      </c>
    </row>
    <row r="77" s="33" customFormat="1" spans="1:15">
      <c r="A77" s="47">
        <v>76</v>
      </c>
      <c r="B77" s="47">
        <v>25</v>
      </c>
      <c r="C77" s="47">
        <v>43</v>
      </c>
      <c r="D77" s="47" t="s">
        <v>178</v>
      </c>
      <c r="E77" s="48">
        <v>134</v>
      </c>
      <c r="F77" s="48">
        <f t="shared" si="16"/>
        <v>0.00746268656716418</v>
      </c>
      <c r="G77" s="48" t="s">
        <v>177</v>
      </c>
      <c r="H77" s="49" t="str">
        <f>INDEX(base_fish!E:E,MATCH(use_fish!B77,base_fish!A:A,0))&amp;_xlfn.IFNA("+"&amp;INDEX(activity!G:G,MATCH(use_fish!C77,activity!A:A,0)),"")</f>
        <v>金蟾+闪电</v>
      </c>
      <c r="I77" s="48">
        <f>LOOKUP(use_fish!B77,base_fish!A:A,base_fish!F:F)+_xlfn.IFNA(INDEX(activity!F:F,MATCH(use_fish!C77,activity!A:A,0)),0)</f>
        <v>130</v>
      </c>
      <c r="J77" s="33">
        <v>1</v>
      </c>
      <c r="K77" s="33">
        <f>LOOKUP(use_fish!B77,base_fish!A:A,base_fish!G:G)</f>
        <v>0</v>
      </c>
      <c r="L77" s="33">
        <f t="shared" si="17"/>
        <v>130</v>
      </c>
      <c r="M77" s="33">
        <v>1</v>
      </c>
      <c r="N77" s="33">
        <v>0</v>
      </c>
      <c r="O77" s="33">
        <v>2</v>
      </c>
    </row>
    <row r="78" s="33" customFormat="1" spans="1:15">
      <c r="A78" s="47">
        <v>77</v>
      </c>
      <c r="B78" s="47">
        <v>26</v>
      </c>
      <c r="C78" s="47">
        <v>43</v>
      </c>
      <c r="D78" s="47" t="s">
        <v>178</v>
      </c>
      <c r="E78" s="48">
        <v>155</v>
      </c>
      <c r="F78" s="48">
        <f t="shared" si="16"/>
        <v>0.00645161290322581</v>
      </c>
      <c r="G78" s="48" t="s">
        <v>177</v>
      </c>
      <c r="H78" s="49" t="str">
        <f>INDEX(base_fish!E:E,MATCH(use_fish!B78,base_fish!A:A,0))&amp;_xlfn.IFNA("+"&amp;INDEX(activity!G:G,MATCH(use_fish!C78,activity!A:A,0)),"")</f>
        <v>大金鲨+闪电</v>
      </c>
      <c r="I78" s="48">
        <f>LOOKUP(use_fish!B78,base_fish!A:A,base_fish!F:F)+_xlfn.IFNA(INDEX(activity!F:F,MATCH(use_fish!C78,activity!A:A,0)),0)</f>
        <v>150</v>
      </c>
      <c r="J78" s="33">
        <v>1</v>
      </c>
      <c r="K78" s="33">
        <f>LOOKUP(use_fish!B78,base_fish!A:A,base_fish!G:G)</f>
        <v>0</v>
      </c>
      <c r="L78" s="33">
        <f t="shared" si="17"/>
        <v>150</v>
      </c>
      <c r="M78" s="33">
        <v>1</v>
      </c>
      <c r="N78" s="33">
        <v>0</v>
      </c>
      <c r="O78" s="33">
        <v>2</v>
      </c>
    </row>
    <row r="79" s="33" customFormat="1" spans="1:15">
      <c r="A79" s="47">
        <v>78</v>
      </c>
      <c r="B79" s="47">
        <v>27</v>
      </c>
      <c r="C79" s="47">
        <v>43</v>
      </c>
      <c r="D79" s="47" t="s">
        <v>179</v>
      </c>
      <c r="E79" s="48">
        <v>155</v>
      </c>
      <c r="F79" s="48">
        <f t="shared" si="16"/>
        <v>0.00645161290322581</v>
      </c>
      <c r="G79" s="48" t="s">
        <v>177</v>
      </c>
      <c r="H79" s="49" t="str">
        <f>INDEX(base_fish!E:E,MATCH(use_fish!B79,base_fish!A:A,0))&amp;_xlfn.IFNA("+"&amp;INDEX(activity!G:G,MATCH(use_fish!C79,activity!A:A,0)),"")</f>
        <v>黄金锤头鲨+闪电</v>
      </c>
      <c r="I79" s="48">
        <f>LOOKUP(use_fish!B79,base_fish!A:A,base_fish!F:F)+_xlfn.IFNA(INDEX(activity!F:F,MATCH(use_fish!C79,activity!A:A,0)),0)</f>
        <v>150</v>
      </c>
      <c r="J79" s="33">
        <v>1</v>
      </c>
      <c r="K79" s="33">
        <f>LOOKUP(use_fish!B79,base_fish!A:A,base_fish!G:G)</f>
        <v>0</v>
      </c>
      <c r="L79" s="33">
        <f t="shared" si="17"/>
        <v>150</v>
      </c>
      <c r="M79" s="33">
        <v>1</v>
      </c>
      <c r="N79" s="33">
        <v>0</v>
      </c>
      <c r="O79" s="33">
        <v>2</v>
      </c>
    </row>
    <row r="80" s="17" customFormat="1" spans="1:15">
      <c r="A80" s="47">
        <v>79</v>
      </c>
      <c r="B80" s="24">
        <v>59</v>
      </c>
      <c r="C80" s="24">
        <v>69</v>
      </c>
      <c r="D80" s="24"/>
      <c r="E80" s="64">
        <f>LOOKUP(use_fish!B80,base_fish!A:A,base_fish!C:C)+_xlfn.IFNA(INDEX(activity!F:F,MATCH(use_fish!C80,activity!A:A,0)),0)</f>
        <v>75</v>
      </c>
      <c r="F80" s="65">
        <f t="shared" si="16"/>
        <v>0.0133333333333333</v>
      </c>
      <c r="G80" s="65" t="s">
        <v>177</v>
      </c>
      <c r="H80" s="66" t="str">
        <f>INDEX(base_fish!E:E,MATCH(use_fish!B80,base_fish!A:A,0))&amp;_xlfn.IFNA("+"&amp;INDEX(activity!G:G,MATCH(use_fish!C80,activity!A:A,0)),"")</f>
        <v>话费鱼+话费鱼</v>
      </c>
      <c r="I80" s="65">
        <f>LOOKUP(use_fish!B80,base_fish!A:A,base_fish!F:F)+_xlfn.IFNA(INDEX(activity!F:F,MATCH(use_fish!C80,activity!A:A,0)),0)</f>
        <v>75</v>
      </c>
      <c r="J80" s="17">
        <v>1</v>
      </c>
      <c r="K80" s="17">
        <v>0</v>
      </c>
      <c r="L80" s="17">
        <f t="shared" si="17"/>
        <v>75</v>
      </c>
      <c r="M80" s="17">
        <v>1</v>
      </c>
      <c r="N80" s="17">
        <v>1</v>
      </c>
      <c r="O80" s="17">
        <v>1</v>
      </c>
    </row>
    <row r="81" s="17" customFormat="1" spans="1:15">
      <c r="A81" s="47">
        <v>80</v>
      </c>
      <c r="B81" s="24">
        <v>59</v>
      </c>
      <c r="C81" s="24">
        <v>0</v>
      </c>
      <c r="D81" s="67" t="s">
        <v>188</v>
      </c>
      <c r="E81" s="64">
        <v>0</v>
      </c>
      <c r="F81" s="65">
        <v>0</v>
      </c>
      <c r="G81" s="65" t="s">
        <v>177</v>
      </c>
      <c r="H81" s="66" t="str">
        <f>INDEX(base_fish!E:E,MATCH(use_fish!B81,base_fish!A:A,0))&amp;_xlfn.IFNA("+"&amp;INDEX(activity!G:G,MATCH(use_fish!C81,activity!A:A,0)),"")</f>
        <v>话费鱼</v>
      </c>
      <c r="I81" s="65">
        <f>LOOKUP(use_fish!B81,base_fish!A:A,base_fish!F:F)+_xlfn.IFNA(INDEX(activity!F:F,MATCH(use_fish!C81,activity!A:A,0)),0)</f>
        <v>0</v>
      </c>
      <c r="J81" s="17">
        <v>1</v>
      </c>
      <c r="K81" s="17">
        <v>0</v>
      </c>
      <c r="L81" s="17">
        <f t="shared" si="17"/>
        <v>0</v>
      </c>
      <c r="M81" s="17">
        <v>1</v>
      </c>
      <c r="N81" s="17">
        <v>1</v>
      </c>
      <c r="O81" s="17">
        <v>1</v>
      </c>
    </row>
    <row r="82" s="33" customFormat="1" spans="1:15">
      <c r="A82" s="47">
        <v>81</v>
      </c>
      <c r="B82" s="47">
        <v>20</v>
      </c>
      <c r="C82" s="47">
        <v>26</v>
      </c>
      <c r="D82" s="47" t="s">
        <v>178</v>
      </c>
      <c r="E82" s="48">
        <v>65</v>
      </c>
      <c r="F82" s="48">
        <f t="shared" si="16"/>
        <v>0.0153846153846154</v>
      </c>
      <c r="G82" s="48" t="s">
        <v>177</v>
      </c>
      <c r="H82" s="49" t="str">
        <f>INDEX(base_fish!E:E,MATCH(use_fish!B82,base_fish!A:A,0))&amp;_xlfn.IFNA("+"&amp;INDEX(activity!G:G,MATCH(use_fish!C82,activity!A:A,0)),"")</f>
        <v>黄金灯笼鱼+彩贝-场次1</v>
      </c>
      <c r="I82" s="48">
        <v>60</v>
      </c>
      <c r="J82" s="33">
        <v>1</v>
      </c>
      <c r="K82" s="33">
        <f>LOOKUP(use_fish!B82,base_fish!A:A,base_fish!G:G)</f>
        <v>0</v>
      </c>
      <c r="L82" s="33">
        <f t="shared" si="17"/>
        <v>60</v>
      </c>
      <c r="M82" s="33">
        <v>1</v>
      </c>
      <c r="N82" s="33">
        <v>0</v>
      </c>
      <c r="O82" s="33">
        <v>2</v>
      </c>
    </row>
    <row r="83" s="33" customFormat="1" spans="1:15">
      <c r="A83" s="47">
        <v>82</v>
      </c>
      <c r="B83" s="47">
        <v>22</v>
      </c>
      <c r="C83" s="47">
        <v>26</v>
      </c>
      <c r="D83" s="47" t="s">
        <v>179</v>
      </c>
      <c r="E83" s="48">
        <v>65</v>
      </c>
      <c r="F83" s="48">
        <f t="shared" si="16"/>
        <v>0.0153846153846154</v>
      </c>
      <c r="G83" s="48" t="s">
        <v>177</v>
      </c>
      <c r="H83" s="49" t="str">
        <f>INDEX(base_fish!E:E,MATCH(use_fish!B83,base_fish!A:A,0))&amp;_xlfn.IFNA("+"&amp;INDEX(activity!G:G,MATCH(use_fish!C83,activity!A:A,0)),"")</f>
        <v>黄金狮子鱼+彩贝-场次1</v>
      </c>
      <c r="I83" s="48">
        <v>60</v>
      </c>
      <c r="J83" s="33">
        <v>1</v>
      </c>
      <c r="K83" s="33">
        <f>LOOKUP(use_fish!B83,base_fish!A:A,base_fish!G:G)</f>
        <v>0</v>
      </c>
      <c r="L83" s="33">
        <f t="shared" si="17"/>
        <v>60</v>
      </c>
      <c r="M83" s="33">
        <v>1</v>
      </c>
      <c r="N83" s="33">
        <v>0</v>
      </c>
      <c r="O83" s="33">
        <v>2</v>
      </c>
    </row>
    <row r="84" s="33" customFormat="1" spans="1:15">
      <c r="A84" s="47">
        <v>83</v>
      </c>
      <c r="B84" s="47">
        <v>23</v>
      </c>
      <c r="C84" s="47">
        <v>26</v>
      </c>
      <c r="D84" s="47" t="s">
        <v>180</v>
      </c>
      <c r="E84" s="48">
        <v>65</v>
      </c>
      <c r="F84" s="48">
        <f t="shared" si="16"/>
        <v>0.0153846153846154</v>
      </c>
      <c r="G84" s="48" t="s">
        <v>177</v>
      </c>
      <c r="H84" s="49" t="str">
        <f>INDEX(base_fish!E:E,MATCH(use_fish!B84,base_fish!A:A,0))&amp;_xlfn.IFNA("+"&amp;INDEX(activity!G:G,MATCH(use_fish!C84,activity!A:A,0)),"")</f>
        <v>黄金海龟+彩贝-场次1</v>
      </c>
      <c r="I84" s="48">
        <v>60</v>
      </c>
      <c r="J84" s="33">
        <v>1</v>
      </c>
      <c r="K84" s="33">
        <f>LOOKUP(use_fish!B84,base_fish!A:A,base_fish!G:G)</f>
        <v>0</v>
      </c>
      <c r="L84" s="33">
        <f t="shared" si="17"/>
        <v>60</v>
      </c>
      <c r="M84" s="33">
        <v>1</v>
      </c>
      <c r="N84" s="33">
        <v>0</v>
      </c>
      <c r="O84" s="33">
        <v>2</v>
      </c>
    </row>
    <row r="85" s="33" customFormat="1" spans="1:15">
      <c r="A85" s="47">
        <v>84</v>
      </c>
      <c r="B85" s="47">
        <v>25</v>
      </c>
      <c r="C85" s="47">
        <v>26</v>
      </c>
      <c r="D85" s="47" t="s">
        <v>178</v>
      </c>
      <c r="E85" s="48">
        <v>86</v>
      </c>
      <c r="F85" s="48">
        <f t="shared" si="16"/>
        <v>0.0116279069767442</v>
      </c>
      <c r="G85" s="48" t="s">
        <v>177</v>
      </c>
      <c r="H85" s="49" t="str">
        <f>INDEX(base_fish!E:E,MATCH(use_fish!B85,base_fish!A:A,0))&amp;_xlfn.IFNA("+"&amp;INDEX(activity!G:G,MATCH(use_fish!C85,activity!A:A,0)),"")</f>
        <v>金蟾+彩贝-场次1</v>
      </c>
      <c r="I85" s="48">
        <v>80</v>
      </c>
      <c r="J85" s="33">
        <v>1</v>
      </c>
      <c r="K85" s="33">
        <f>LOOKUP(use_fish!B85,base_fish!A:A,base_fish!G:G)</f>
        <v>0</v>
      </c>
      <c r="L85" s="33">
        <f t="shared" si="17"/>
        <v>80</v>
      </c>
      <c r="M85" s="33">
        <v>1</v>
      </c>
      <c r="N85" s="33">
        <v>0</v>
      </c>
      <c r="O85" s="33">
        <v>2</v>
      </c>
    </row>
    <row r="86" s="33" customFormat="1" spans="1:15">
      <c r="A86" s="47">
        <v>85</v>
      </c>
      <c r="B86" s="47">
        <v>26</v>
      </c>
      <c r="C86" s="47">
        <v>26</v>
      </c>
      <c r="D86" s="47" t="s">
        <v>178</v>
      </c>
      <c r="E86" s="48">
        <v>107</v>
      </c>
      <c r="F86" s="48">
        <f t="shared" si="16"/>
        <v>0.00934579439252336</v>
      </c>
      <c r="G86" s="48" t="s">
        <v>177</v>
      </c>
      <c r="H86" s="49" t="str">
        <f>INDEX(base_fish!E:E,MATCH(use_fish!B86,base_fish!A:A,0))&amp;_xlfn.IFNA("+"&amp;INDEX(activity!G:G,MATCH(use_fish!C86,activity!A:A,0)),"")</f>
        <v>大金鲨+彩贝-场次1</v>
      </c>
      <c r="I86" s="48">
        <v>100</v>
      </c>
      <c r="J86" s="33">
        <v>1</v>
      </c>
      <c r="K86" s="33">
        <f>LOOKUP(use_fish!B86,base_fish!A:A,base_fish!G:G)</f>
        <v>0</v>
      </c>
      <c r="L86" s="33">
        <f t="shared" si="17"/>
        <v>100</v>
      </c>
      <c r="M86" s="33">
        <v>1</v>
      </c>
      <c r="N86" s="33">
        <v>0</v>
      </c>
      <c r="O86" s="33">
        <v>2</v>
      </c>
    </row>
    <row r="87" s="33" customFormat="1" spans="1:15">
      <c r="A87" s="47">
        <v>86</v>
      </c>
      <c r="B87" s="47">
        <v>27</v>
      </c>
      <c r="C87" s="47">
        <v>26</v>
      </c>
      <c r="D87" s="47" t="s">
        <v>179</v>
      </c>
      <c r="E87" s="48">
        <v>107</v>
      </c>
      <c r="F87" s="48">
        <f t="shared" si="16"/>
        <v>0.00934579439252336</v>
      </c>
      <c r="G87" s="48" t="s">
        <v>177</v>
      </c>
      <c r="H87" s="49" t="str">
        <f>INDEX(base_fish!E:E,MATCH(use_fish!B87,base_fish!A:A,0))&amp;_xlfn.IFNA("+"&amp;INDEX(activity!G:G,MATCH(use_fish!C87,activity!A:A,0)),"")</f>
        <v>黄金锤头鲨+彩贝-场次1</v>
      </c>
      <c r="I87" s="48">
        <v>100</v>
      </c>
      <c r="J87" s="33">
        <v>1</v>
      </c>
      <c r="K87" s="33">
        <f>LOOKUP(use_fish!B87,base_fish!A:A,base_fish!G:G)</f>
        <v>0</v>
      </c>
      <c r="L87" s="33">
        <f t="shared" si="17"/>
        <v>100</v>
      </c>
      <c r="M87" s="33">
        <v>1</v>
      </c>
      <c r="N87" s="33">
        <v>0</v>
      </c>
      <c r="O87" s="33">
        <v>2</v>
      </c>
    </row>
    <row r="88" s="37" customFormat="1" spans="1:15">
      <c r="A88" s="47">
        <v>87</v>
      </c>
      <c r="B88" s="68">
        <v>20</v>
      </c>
      <c r="C88" s="68">
        <v>27</v>
      </c>
      <c r="D88" s="68" t="s">
        <v>178</v>
      </c>
      <c r="E88" s="69">
        <v>69</v>
      </c>
      <c r="F88" s="69">
        <f t="shared" ref="F88:F93" si="19">1/E88</f>
        <v>0.0144927536231884</v>
      </c>
      <c r="G88" s="69" t="s">
        <v>177</v>
      </c>
      <c r="H88" s="70" t="str">
        <f>INDEX(base_fish!E:E,MATCH(use_fish!B88,base_fish!A:A,0))&amp;_xlfn.IFNA("+"&amp;INDEX(activity!G:G,MATCH(use_fish!C88,activity!A:A,0)),"")</f>
        <v>黄金灯笼鱼+彩贝-场次2</v>
      </c>
      <c r="I88" s="69">
        <v>60</v>
      </c>
      <c r="J88" s="37">
        <v>1</v>
      </c>
      <c r="K88" s="37">
        <f>LOOKUP(use_fish!B88,base_fish!A:A,base_fish!G:G)</f>
        <v>0</v>
      </c>
      <c r="L88" s="37">
        <f t="shared" ref="L88:L93" si="20">I88</f>
        <v>60</v>
      </c>
      <c r="M88" s="37">
        <v>1</v>
      </c>
      <c r="N88" s="37">
        <v>0</v>
      </c>
      <c r="O88" s="37">
        <v>2</v>
      </c>
    </row>
    <row r="89" s="37" customFormat="1" spans="1:15">
      <c r="A89" s="47">
        <v>88</v>
      </c>
      <c r="B89" s="68">
        <v>22</v>
      </c>
      <c r="C89" s="68">
        <v>27</v>
      </c>
      <c r="D89" s="68" t="s">
        <v>179</v>
      </c>
      <c r="E89" s="69">
        <v>69</v>
      </c>
      <c r="F89" s="69">
        <f t="shared" si="19"/>
        <v>0.0144927536231884</v>
      </c>
      <c r="G89" s="69" t="s">
        <v>177</v>
      </c>
      <c r="H89" s="70" t="str">
        <f>INDEX(base_fish!E:E,MATCH(use_fish!B89,base_fish!A:A,0))&amp;_xlfn.IFNA("+"&amp;INDEX(activity!G:G,MATCH(use_fish!C89,activity!A:A,0)),"")</f>
        <v>黄金狮子鱼+彩贝-场次2</v>
      </c>
      <c r="I89" s="69">
        <v>60</v>
      </c>
      <c r="J89" s="37">
        <v>1</v>
      </c>
      <c r="K89" s="37">
        <f>LOOKUP(use_fish!B89,base_fish!A:A,base_fish!G:G)</f>
        <v>0</v>
      </c>
      <c r="L89" s="37">
        <f t="shared" si="20"/>
        <v>60</v>
      </c>
      <c r="M89" s="37">
        <v>1</v>
      </c>
      <c r="N89" s="37">
        <v>0</v>
      </c>
      <c r="O89" s="37">
        <v>2</v>
      </c>
    </row>
    <row r="90" s="37" customFormat="1" spans="1:15">
      <c r="A90" s="47">
        <v>89</v>
      </c>
      <c r="B90" s="68">
        <v>23</v>
      </c>
      <c r="C90" s="68">
        <v>27</v>
      </c>
      <c r="D90" s="68" t="s">
        <v>180</v>
      </c>
      <c r="E90" s="69">
        <v>69</v>
      </c>
      <c r="F90" s="69">
        <f t="shared" si="19"/>
        <v>0.0144927536231884</v>
      </c>
      <c r="G90" s="69" t="s">
        <v>177</v>
      </c>
      <c r="H90" s="70" t="str">
        <f>INDEX(base_fish!E:E,MATCH(use_fish!B90,base_fish!A:A,0))&amp;_xlfn.IFNA("+"&amp;INDEX(activity!G:G,MATCH(use_fish!C90,activity!A:A,0)),"")</f>
        <v>黄金海龟+彩贝-场次2</v>
      </c>
      <c r="I90" s="69">
        <v>60</v>
      </c>
      <c r="J90" s="37">
        <v>1</v>
      </c>
      <c r="K90" s="37">
        <f>LOOKUP(use_fish!B90,base_fish!A:A,base_fish!G:G)</f>
        <v>0</v>
      </c>
      <c r="L90" s="37">
        <f t="shared" si="20"/>
        <v>60</v>
      </c>
      <c r="M90" s="37">
        <v>1</v>
      </c>
      <c r="N90" s="37">
        <v>0</v>
      </c>
      <c r="O90" s="37">
        <v>2</v>
      </c>
    </row>
    <row r="91" s="37" customFormat="1" spans="1:15">
      <c r="A91" s="47">
        <v>90</v>
      </c>
      <c r="B91" s="68">
        <v>25</v>
      </c>
      <c r="C91" s="68">
        <v>27</v>
      </c>
      <c r="D91" s="68" t="s">
        <v>178</v>
      </c>
      <c r="E91" s="69">
        <v>90</v>
      </c>
      <c r="F91" s="69">
        <f t="shared" si="19"/>
        <v>0.0111111111111111</v>
      </c>
      <c r="G91" s="69" t="s">
        <v>177</v>
      </c>
      <c r="H91" s="70" t="str">
        <f>INDEX(base_fish!E:E,MATCH(use_fish!B91,base_fish!A:A,0))&amp;_xlfn.IFNA("+"&amp;INDEX(activity!G:G,MATCH(use_fish!C91,activity!A:A,0)),"")</f>
        <v>金蟾+彩贝-场次2</v>
      </c>
      <c r="I91" s="69">
        <v>80</v>
      </c>
      <c r="J91" s="37">
        <v>1</v>
      </c>
      <c r="K91" s="37">
        <f>LOOKUP(use_fish!B91,base_fish!A:A,base_fish!G:G)</f>
        <v>0</v>
      </c>
      <c r="L91" s="37">
        <f t="shared" si="20"/>
        <v>80</v>
      </c>
      <c r="M91" s="37">
        <v>1</v>
      </c>
      <c r="N91" s="37">
        <v>0</v>
      </c>
      <c r="O91" s="37">
        <v>2</v>
      </c>
    </row>
    <row r="92" s="37" customFormat="1" spans="1:15">
      <c r="A92" s="47">
        <v>91</v>
      </c>
      <c r="B92" s="68">
        <v>26</v>
      </c>
      <c r="C92" s="68">
        <v>27</v>
      </c>
      <c r="D92" s="68" t="s">
        <v>178</v>
      </c>
      <c r="E92" s="69">
        <v>111</v>
      </c>
      <c r="F92" s="69">
        <f t="shared" si="19"/>
        <v>0.00900900900900901</v>
      </c>
      <c r="G92" s="69" t="s">
        <v>177</v>
      </c>
      <c r="H92" s="70" t="str">
        <f>INDEX(base_fish!E:E,MATCH(use_fish!B92,base_fish!A:A,0))&amp;_xlfn.IFNA("+"&amp;INDEX(activity!G:G,MATCH(use_fish!C92,activity!A:A,0)),"")</f>
        <v>大金鲨+彩贝-场次2</v>
      </c>
      <c r="I92" s="69">
        <v>100</v>
      </c>
      <c r="J92" s="37">
        <v>1</v>
      </c>
      <c r="K92" s="37">
        <f>LOOKUP(use_fish!B92,base_fish!A:A,base_fish!G:G)</f>
        <v>0</v>
      </c>
      <c r="L92" s="37">
        <f t="shared" si="20"/>
        <v>100</v>
      </c>
      <c r="M92" s="37">
        <v>1</v>
      </c>
      <c r="N92" s="37">
        <v>0</v>
      </c>
      <c r="O92" s="37">
        <v>2</v>
      </c>
    </row>
    <row r="93" s="37" customFormat="1" spans="1:15">
      <c r="A93" s="47">
        <v>92</v>
      </c>
      <c r="B93" s="68">
        <v>27</v>
      </c>
      <c r="C93" s="68">
        <v>27</v>
      </c>
      <c r="D93" s="68" t="s">
        <v>179</v>
      </c>
      <c r="E93" s="69">
        <v>111</v>
      </c>
      <c r="F93" s="69">
        <f t="shared" si="19"/>
        <v>0.00900900900900901</v>
      </c>
      <c r="G93" s="69" t="s">
        <v>177</v>
      </c>
      <c r="H93" s="70" t="str">
        <f>INDEX(base_fish!E:E,MATCH(use_fish!B93,base_fish!A:A,0))&amp;_xlfn.IFNA("+"&amp;INDEX(activity!G:G,MATCH(use_fish!C93,activity!A:A,0)),"")</f>
        <v>黄金锤头鲨+彩贝-场次2</v>
      </c>
      <c r="I93" s="69">
        <v>100</v>
      </c>
      <c r="J93" s="37">
        <v>1</v>
      </c>
      <c r="K93" s="37">
        <f>LOOKUP(use_fish!B93,base_fish!A:A,base_fish!G:G)</f>
        <v>0</v>
      </c>
      <c r="L93" s="37">
        <f t="shared" si="20"/>
        <v>100</v>
      </c>
      <c r="M93" s="37">
        <v>1</v>
      </c>
      <c r="N93" s="37">
        <v>0</v>
      </c>
      <c r="O93" s="37">
        <v>2</v>
      </c>
    </row>
    <row r="94" s="33" customFormat="1" spans="1:15">
      <c r="A94" s="47">
        <v>93</v>
      </c>
      <c r="B94" s="47">
        <v>20</v>
      </c>
      <c r="C94" s="47">
        <v>40</v>
      </c>
      <c r="D94" s="47" t="s">
        <v>178</v>
      </c>
      <c r="E94" s="48">
        <v>65</v>
      </c>
      <c r="F94" s="48">
        <f t="shared" ref="F94:F99" si="21">1/E94</f>
        <v>0.0153846153846154</v>
      </c>
      <c r="G94" s="48" t="s">
        <v>177</v>
      </c>
      <c r="H94" s="49" t="str">
        <f>INDEX(base_fish!E:E,MATCH(use_fish!B94,base_fish!A:A,0))&amp;_xlfn.IFNA("+"&amp;INDEX(activity!G:G,MATCH(use_fish!C94,activity!A:A,0)),"")</f>
        <v>黄金灯笼鱼+彩贝-场次3</v>
      </c>
      <c r="I94" s="48">
        <v>60</v>
      </c>
      <c r="J94" s="33">
        <v>1</v>
      </c>
      <c r="K94" s="33">
        <f>LOOKUP(use_fish!B94,base_fish!A:A,base_fish!G:G)</f>
        <v>0</v>
      </c>
      <c r="L94" s="33">
        <f t="shared" ref="L94:L99" si="22">I94</f>
        <v>60</v>
      </c>
      <c r="M94" s="33">
        <v>1</v>
      </c>
      <c r="N94" s="33">
        <v>0</v>
      </c>
      <c r="O94" s="33">
        <v>2</v>
      </c>
    </row>
    <row r="95" s="33" customFormat="1" spans="1:15">
      <c r="A95" s="47">
        <v>94</v>
      </c>
      <c r="B95" s="47">
        <v>22</v>
      </c>
      <c r="C95" s="47">
        <v>40</v>
      </c>
      <c r="D95" s="47" t="s">
        <v>179</v>
      </c>
      <c r="E95" s="48">
        <v>65</v>
      </c>
      <c r="F95" s="48">
        <f t="shared" si="21"/>
        <v>0.0153846153846154</v>
      </c>
      <c r="G95" s="48" t="s">
        <v>177</v>
      </c>
      <c r="H95" s="49" t="str">
        <f>INDEX(base_fish!E:E,MATCH(use_fish!B95,base_fish!A:A,0))&amp;_xlfn.IFNA("+"&amp;INDEX(activity!G:G,MATCH(use_fish!C95,activity!A:A,0)),"")</f>
        <v>黄金狮子鱼+彩贝-场次3</v>
      </c>
      <c r="I95" s="48">
        <v>60</v>
      </c>
      <c r="J95" s="33">
        <v>1</v>
      </c>
      <c r="K95" s="33">
        <f>LOOKUP(use_fish!B95,base_fish!A:A,base_fish!G:G)</f>
        <v>0</v>
      </c>
      <c r="L95" s="33">
        <f t="shared" si="22"/>
        <v>60</v>
      </c>
      <c r="M95" s="33">
        <v>1</v>
      </c>
      <c r="N95" s="33">
        <v>0</v>
      </c>
      <c r="O95" s="33">
        <v>2</v>
      </c>
    </row>
    <row r="96" s="33" customFormat="1" spans="1:15">
      <c r="A96" s="47">
        <v>95</v>
      </c>
      <c r="B96" s="47">
        <v>23</v>
      </c>
      <c r="C96" s="47">
        <v>40</v>
      </c>
      <c r="D96" s="47" t="s">
        <v>180</v>
      </c>
      <c r="E96" s="48">
        <v>65</v>
      </c>
      <c r="F96" s="48">
        <f t="shared" si="21"/>
        <v>0.0153846153846154</v>
      </c>
      <c r="G96" s="48" t="s">
        <v>177</v>
      </c>
      <c r="H96" s="49" t="str">
        <f>INDEX(base_fish!E:E,MATCH(use_fish!B96,base_fish!A:A,0))&amp;_xlfn.IFNA("+"&amp;INDEX(activity!G:G,MATCH(use_fish!C96,activity!A:A,0)),"")</f>
        <v>黄金海龟+彩贝-场次3</v>
      </c>
      <c r="I96" s="48">
        <v>60</v>
      </c>
      <c r="J96" s="33">
        <v>1</v>
      </c>
      <c r="K96" s="33">
        <f>LOOKUP(use_fish!B96,base_fish!A:A,base_fish!G:G)</f>
        <v>0</v>
      </c>
      <c r="L96" s="33">
        <f t="shared" si="22"/>
        <v>60</v>
      </c>
      <c r="M96" s="33">
        <v>1</v>
      </c>
      <c r="N96" s="33">
        <v>0</v>
      </c>
      <c r="O96" s="33">
        <v>2</v>
      </c>
    </row>
    <row r="97" s="33" customFormat="1" spans="1:15">
      <c r="A97" s="47">
        <v>96</v>
      </c>
      <c r="B97" s="47">
        <v>25</v>
      </c>
      <c r="C97" s="47">
        <v>40</v>
      </c>
      <c r="D97" s="47" t="s">
        <v>178</v>
      </c>
      <c r="E97" s="48">
        <v>86</v>
      </c>
      <c r="F97" s="48">
        <f t="shared" si="21"/>
        <v>0.0116279069767442</v>
      </c>
      <c r="G97" s="48" t="s">
        <v>177</v>
      </c>
      <c r="H97" s="49" t="str">
        <f>INDEX(base_fish!E:E,MATCH(use_fish!B97,base_fish!A:A,0))&amp;_xlfn.IFNA("+"&amp;INDEX(activity!G:G,MATCH(use_fish!C97,activity!A:A,0)),"")</f>
        <v>金蟾+彩贝-场次3</v>
      </c>
      <c r="I97" s="48">
        <v>80</v>
      </c>
      <c r="J97" s="33">
        <v>1</v>
      </c>
      <c r="K97" s="33">
        <f>LOOKUP(use_fish!B97,base_fish!A:A,base_fish!G:G)</f>
        <v>0</v>
      </c>
      <c r="L97" s="33">
        <f t="shared" si="22"/>
        <v>80</v>
      </c>
      <c r="M97" s="33">
        <v>1</v>
      </c>
      <c r="N97" s="33">
        <v>0</v>
      </c>
      <c r="O97" s="33">
        <v>2</v>
      </c>
    </row>
    <row r="98" s="33" customFormat="1" spans="1:15">
      <c r="A98" s="47">
        <v>97</v>
      </c>
      <c r="B98" s="47">
        <v>26</v>
      </c>
      <c r="C98" s="47">
        <v>40</v>
      </c>
      <c r="D98" s="47" t="s">
        <v>178</v>
      </c>
      <c r="E98" s="48">
        <v>107</v>
      </c>
      <c r="F98" s="48">
        <f t="shared" si="21"/>
        <v>0.00934579439252336</v>
      </c>
      <c r="G98" s="48" t="s">
        <v>177</v>
      </c>
      <c r="H98" s="49" t="str">
        <f>INDEX(base_fish!E:E,MATCH(use_fish!B98,base_fish!A:A,0))&amp;_xlfn.IFNA("+"&amp;INDEX(activity!G:G,MATCH(use_fish!C98,activity!A:A,0)),"")</f>
        <v>大金鲨+彩贝-场次3</v>
      </c>
      <c r="I98" s="48">
        <v>100</v>
      </c>
      <c r="J98" s="33">
        <v>1</v>
      </c>
      <c r="K98" s="33">
        <f>LOOKUP(use_fish!B98,base_fish!A:A,base_fish!G:G)</f>
        <v>0</v>
      </c>
      <c r="L98" s="33">
        <f t="shared" si="22"/>
        <v>100</v>
      </c>
      <c r="M98" s="33">
        <v>1</v>
      </c>
      <c r="N98" s="33">
        <v>0</v>
      </c>
      <c r="O98" s="33">
        <v>2</v>
      </c>
    </row>
    <row r="99" s="33" customFormat="1" spans="1:15">
      <c r="A99" s="47">
        <v>98</v>
      </c>
      <c r="B99" s="47">
        <v>27</v>
      </c>
      <c r="C99" s="47">
        <v>40</v>
      </c>
      <c r="D99" s="47" t="s">
        <v>179</v>
      </c>
      <c r="E99" s="48">
        <v>107</v>
      </c>
      <c r="F99" s="48">
        <f t="shared" si="21"/>
        <v>0.00934579439252336</v>
      </c>
      <c r="G99" s="48" t="s">
        <v>177</v>
      </c>
      <c r="H99" s="49" t="str">
        <f>INDEX(base_fish!E:E,MATCH(use_fish!B99,base_fish!A:A,0))&amp;_xlfn.IFNA("+"&amp;INDEX(activity!G:G,MATCH(use_fish!C99,activity!A:A,0)),"")</f>
        <v>黄金锤头鲨+彩贝-场次3</v>
      </c>
      <c r="I99" s="48">
        <v>100</v>
      </c>
      <c r="J99" s="33">
        <v>1</v>
      </c>
      <c r="K99" s="33">
        <f>LOOKUP(use_fish!B99,base_fish!A:A,base_fish!G:G)</f>
        <v>0</v>
      </c>
      <c r="L99" s="33">
        <f t="shared" si="22"/>
        <v>100</v>
      </c>
      <c r="M99" s="33">
        <v>1</v>
      </c>
      <c r="N99" s="33">
        <v>0</v>
      </c>
      <c r="O99" s="33">
        <v>2</v>
      </c>
    </row>
    <row r="100" s="37" customFormat="1" spans="1:15">
      <c r="A100" s="47">
        <v>99</v>
      </c>
      <c r="B100" s="68">
        <v>20</v>
      </c>
      <c r="C100" s="68">
        <v>41</v>
      </c>
      <c r="D100" s="68" t="s">
        <v>178</v>
      </c>
      <c r="E100" s="69">
        <v>65</v>
      </c>
      <c r="F100" s="69">
        <f t="shared" ref="F100:F121" si="23">1/E100</f>
        <v>0.0153846153846154</v>
      </c>
      <c r="G100" s="69" t="s">
        <v>177</v>
      </c>
      <c r="H100" s="70" t="str">
        <f>INDEX(base_fish!E:E,MATCH(use_fish!B100,base_fish!A:A,0))&amp;_xlfn.IFNA("+"&amp;INDEX(activity!G:G,MATCH(use_fish!C100,activity!A:A,0)),"")</f>
        <v>黄金灯笼鱼+彩贝-场次4</v>
      </c>
      <c r="I100" s="69">
        <v>60</v>
      </c>
      <c r="J100" s="37">
        <v>1</v>
      </c>
      <c r="K100" s="37">
        <f>LOOKUP(use_fish!B100,base_fish!A:A,base_fish!G:G)</f>
        <v>0</v>
      </c>
      <c r="L100" s="37">
        <f t="shared" ref="L100:L121" si="24">I100</f>
        <v>60</v>
      </c>
      <c r="M100" s="37">
        <v>1</v>
      </c>
      <c r="N100" s="37">
        <v>0</v>
      </c>
      <c r="O100" s="37">
        <v>2</v>
      </c>
    </row>
    <row r="101" s="37" customFormat="1" spans="1:15">
      <c r="A101" s="47">
        <v>100</v>
      </c>
      <c r="B101" s="68">
        <v>22</v>
      </c>
      <c r="C101" s="68">
        <v>41</v>
      </c>
      <c r="D101" s="68" t="s">
        <v>179</v>
      </c>
      <c r="E101" s="69">
        <v>65</v>
      </c>
      <c r="F101" s="69">
        <f t="shared" si="23"/>
        <v>0.0153846153846154</v>
      </c>
      <c r="G101" s="69" t="s">
        <v>177</v>
      </c>
      <c r="H101" s="70" t="str">
        <f>INDEX(base_fish!E:E,MATCH(use_fish!B101,base_fish!A:A,0))&amp;_xlfn.IFNA("+"&amp;INDEX(activity!G:G,MATCH(use_fish!C101,activity!A:A,0)),"")</f>
        <v>黄金狮子鱼+彩贝-场次4</v>
      </c>
      <c r="I101" s="69">
        <v>60</v>
      </c>
      <c r="J101" s="37">
        <v>1</v>
      </c>
      <c r="K101" s="37">
        <f>LOOKUP(use_fish!B101,base_fish!A:A,base_fish!G:G)</f>
        <v>0</v>
      </c>
      <c r="L101" s="37">
        <f t="shared" si="24"/>
        <v>60</v>
      </c>
      <c r="M101" s="37">
        <v>1</v>
      </c>
      <c r="N101" s="37">
        <v>0</v>
      </c>
      <c r="O101" s="37">
        <v>2</v>
      </c>
    </row>
    <row r="102" s="37" customFormat="1" spans="1:15">
      <c r="A102" s="47">
        <v>101</v>
      </c>
      <c r="B102" s="68">
        <v>23</v>
      </c>
      <c r="C102" s="68">
        <v>41</v>
      </c>
      <c r="D102" s="68" t="s">
        <v>180</v>
      </c>
      <c r="E102" s="69">
        <v>65</v>
      </c>
      <c r="F102" s="69">
        <f t="shared" si="23"/>
        <v>0.0153846153846154</v>
      </c>
      <c r="G102" s="69" t="s">
        <v>177</v>
      </c>
      <c r="H102" s="70" t="str">
        <f>INDEX(base_fish!E:E,MATCH(use_fish!B102,base_fish!A:A,0))&amp;_xlfn.IFNA("+"&amp;INDEX(activity!G:G,MATCH(use_fish!C102,activity!A:A,0)),"")</f>
        <v>黄金海龟+彩贝-场次4</v>
      </c>
      <c r="I102" s="69">
        <v>60</v>
      </c>
      <c r="J102" s="37">
        <v>1</v>
      </c>
      <c r="K102" s="37">
        <f>LOOKUP(use_fish!B102,base_fish!A:A,base_fish!G:G)</f>
        <v>0</v>
      </c>
      <c r="L102" s="37">
        <f t="shared" si="24"/>
        <v>60</v>
      </c>
      <c r="M102" s="37">
        <v>1</v>
      </c>
      <c r="N102" s="37">
        <v>0</v>
      </c>
      <c r="O102" s="37">
        <v>2</v>
      </c>
    </row>
    <row r="103" s="37" customFormat="1" spans="1:15">
      <c r="A103" s="47">
        <v>102</v>
      </c>
      <c r="B103" s="68">
        <v>25</v>
      </c>
      <c r="C103" s="68">
        <v>41</v>
      </c>
      <c r="D103" s="68" t="s">
        <v>178</v>
      </c>
      <c r="E103" s="69">
        <v>86</v>
      </c>
      <c r="F103" s="69">
        <f t="shared" si="23"/>
        <v>0.0116279069767442</v>
      </c>
      <c r="G103" s="69" t="s">
        <v>177</v>
      </c>
      <c r="H103" s="70" t="str">
        <f>INDEX(base_fish!E:E,MATCH(use_fish!B103,base_fish!A:A,0))&amp;_xlfn.IFNA("+"&amp;INDEX(activity!G:G,MATCH(use_fish!C103,activity!A:A,0)),"")</f>
        <v>金蟾+彩贝-场次4</v>
      </c>
      <c r="I103" s="69">
        <v>80</v>
      </c>
      <c r="J103" s="37">
        <v>1</v>
      </c>
      <c r="K103" s="37">
        <f>LOOKUP(use_fish!B103,base_fish!A:A,base_fish!G:G)</f>
        <v>0</v>
      </c>
      <c r="L103" s="37">
        <f t="shared" si="24"/>
        <v>80</v>
      </c>
      <c r="M103" s="37">
        <v>1</v>
      </c>
      <c r="N103" s="37">
        <v>0</v>
      </c>
      <c r="O103" s="37">
        <v>2</v>
      </c>
    </row>
    <row r="104" s="37" customFormat="1" spans="1:15">
      <c r="A104" s="47">
        <v>103</v>
      </c>
      <c r="B104" s="68">
        <v>26</v>
      </c>
      <c r="C104" s="68">
        <v>41</v>
      </c>
      <c r="D104" s="68" t="s">
        <v>178</v>
      </c>
      <c r="E104" s="69">
        <v>107</v>
      </c>
      <c r="F104" s="69">
        <f t="shared" si="23"/>
        <v>0.00934579439252336</v>
      </c>
      <c r="G104" s="69" t="s">
        <v>177</v>
      </c>
      <c r="H104" s="70" t="str">
        <f>INDEX(base_fish!E:E,MATCH(use_fish!B104,base_fish!A:A,0))&amp;_xlfn.IFNA("+"&amp;INDEX(activity!G:G,MATCH(use_fish!C104,activity!A:A,0)),"")</f>
        <v>大金鲨+彩贝-场次4</v>
      </c>
      <c r="I104" s="69">
        <v>100</v>
      </c>
      <c r="J104" s="37">
        <v>1</v>
      </c>
      <c r="K104" s="37">
        <f>LOOKUP(use_fish!B104,base_fish!A:A,base_fish!G:G)</f>
        <v>0</v>
      </c>
      <c r="L104" s="37">
        <f t="shared" si="24"/>
        <v>100</v>
      </c>
      <c r="M104" s="37">
        <v>1</v>
      </c>
      <c r="N104" s="37">
        <v>0</v>
      </c>
      <c r="O104" s="37">
        <v>2</v>
      </c>
    </row>
    <row r="105" s="37" customFormat="1" spans="1:15">
      <c r="A105" s="47">
        <v>104</v>
      </c>
      <c r="B105" s="68">
        <v>27</v>
      </c>
      <c r="C105" s="68">
        <v>41</v>
      </c>
      <c r="D105" s="68" t="s">
        <v>179</v>
      </c>
      <c r="E105" s="69">
        <v>107</v>
      </c>
      <c r="F105" s="69">
        <f t="shared" si="23"/>
        <v>0.00934579439252336</v>
      </c>
      <c r="G105" s="69" t="s">
        <v>177</v>
      </c>
      <c r="H105" s="70" t="str">
        <f>INDEX(base_fish!E:E,MATCH(use_fish!B105,base_fish!A:A,0))&amp;_xlfn.IFNA("+"&amp;INDEX(activity!G:G,MATCH(use_fish!C105,activity!A:A,0)),"")</f>
        <v>黄金锤头鲨+彩贝-场次4</v>
      </c>
      <c r="I105" s="69">
        <v>100</v>
      </c>
      <c r="J105" s="37">
        <v>1</v>
      </c>
      <c r="K105" s="37">
        <f>LOOKUP(use_fish!B105,base_fish!A:A,base_fish!G:G)</f>
        <v>0</v>
      </c>
      <c r="L105" s="37">
        <f t="shared" si="24"/>
        <v>100</v>
      </c>
      <c r="M105" s="37">
        <v>1</v>
      </c>
      <c r="N105" s="37">
        <v>0</v>
      </c>
      <c r="O105" s="37">
        <v>2</v>
      </c>
    </row>
    <row r="106" s="32" customFormat="1" spans="1:15">
      <c r="A106" s="47">
        <v>105</v>
      </c>
      <c r="B106" s="44">
        <v>51</v>
      </c>
      <c r="C106" s="44"/>
      <c r="D106" s="44" t="s">
        <v>184</v>
      </c>
      <c r="E106" s="45">
        <f>LOOKUP(use_fish!B106,base_fish!A:A,base_fish!C:C)+_xlfn.IFNA(INDEX(activity!F:F,MATCH(use_fish!C106,activity!A:A,0)),0)</f>
        <v>100</v>
      </c>
      <c r="F106" s="45">
        <f t="shared" si="23"/>
        <v>0.01</v>
      </c>
      <c r="G106" s="45" t="s">
        <v>177</v>
      </c>
      <c r="H106" s="46" t="str">
        <f>INDEX(base_fish!E:E,MATCH(use_fish!B106,base_fish!A:A,0))&amp;_xlfn.IFNA("+"&amp;INDEX(activity!G:G,MATCH(use_fish!C106,activity!A:A,0)),"")</f>
        <v>鲤鱼王</v>
      </c>
      <c r="I106" s="45">
        <f>LOOKUP(use_fish!B106,base_fish!A:A,base_fish!F:F)+_xlfn.IFNA(INDEX(activity!F:F,MATCH(use_fish!C106,activity!A:A,0)),0)</f>
        <v>200</v>
      </c>
      <c r="J106" s="32">
        <v>1</v>
      </c>
      <c r="K106" s="32">
        <f>LOOKUP(use_fish!B106,base_fish!A:A,base_fish!G:G)</f>
        <v>0</v>
      </c>
      <c r="L106" s="32">
        <f t="shared" si="24"/>
        <v>200</v>
      </c>
      <c r="M106" s="32">
        <v>1</v>
      </c>
      <c r="N106" s="32">
        <v>2</v>
      </c>
      <c r="O106" s="32">
        <v>1</v>
      </c>
    </row>
    <row r="107" s="32" customFormat="1" spans="1:15">
      <c r="A107" s="47">
        <v>106</v>
      </c>
      <c r="B107" s="44">
        <v>52</v>
      </c>
      <c r="C107" s="44"/>
      <c r="D107" s="44"/>
      <c r="E107" s="45">
        <f>LOOKUP(use_fish!B107,base_fish!A:A,base_fish!C:C)+_xlfn.IFNA(INDEX(activity!F:F,MATCH(use_fish!C107,activity!A:A,0)),0)</f>
        <v>100</v>
      </c>
      <c r="F107" s="45">
        <f t="shared" si="23"/>
        <v>0.01</v>
      </c>
      <c r="G107" s="45" t="s">
        <v>177</v>
      </c>
      <c r="H107" s="46" t="str">
        <f>INDEX(base_fish!E:E,MATCH(use_fish!B107,base_fish!A:A,0))&amp;_xlfn.IFNA("+"&amp;INDEX(activity!G:G,MATCH(use_fish!C107,activity!A:A,0)),"")</f>
        <v>龙虾王</v>
      </c>
      <c r="I107" s="45">
        <f>LOOKUP(use_fish!B107,base_fish!A:A,base_fish!F:F)+_xlfn.IFNA(INDEX(activity!F:F,MATCH(use_fish!C107,activity!A:A,0)),0)</f>
        <v>200</v>
      </c>
      <c r="J107" s="32">
        <v>1</v>
      </c>
      <c r="K107" s="32">
        <f>LOOKUP(use_fish!B107,base_fish!A:A,base_fish!G:G)</f>
        <v>0</v>
      </c>
      <c r="L107" s="32">
        <f t="shared" si="24"/>
        <v>200</v>
      </c>
      <c r="M107" s="32">
        <v>1</v>
      </c>
      <c r="N107" s="32">
        <v>2</v>
      </c>
      <c r="O107" s="32">
        <v>1</v>
      </c>
    </row>
    <row r="108" s="32" customFormat="1" spans="1:15">
      <c r="A108" s="47">
        <v>107</v>
      </c>
      <c r="B108" s="44">
        <v>53</v>
      </c>
      <c r="C108" s="44"/>
      <c r="D108" s="44"/>
      <c r="E108" s="45">
        <f>LOOKUP(use_fish!B108,base_fish!A:A,base_fish!C:C)+_xlfn.IFNA(INDEX(activity!F:F,MATCH(use_fish!C108,activity!A:A,0)),0)</f>
        <v>100</v>
      </c>
      <c r="F108" s="45">
        <f t="shared" si="23"/>
        <v>0.01</v>
      </c>
      <c r="G108" s="45" t="s">
        <v>177</v>
      </c>
      <c r="H108" s="46" t="str">
        <f>INDEX(base_fish!E:E,MATCH(use_fish!B108,base_fish!A:A,0))&amp;_xlfn.IFNA("+"&amp;INDEX(activity!G:G,MATCH(use_fish!C108,activity!A:A,0)),"")</f>
        <v>蓝鲸王</v>
      </c>
      <c r="I108" s="45">
        <f>LOOKUP(use_fish!B108,base_fish!A:A,base_fish!F:F)+_xlfn.IFNA(INDEX(activity!F:F,MATCH(use_fish!C108,activity!A:A,0)),0)</f>
        <v>200</v>
      </c>
      <c r="J108" s="32">
        <v>1</v>
      </c>
      <c r="K108" s="32">
        <f>LOOKUP(use_fish!B108,base_fish!A:A,base_fish!G:G)</f>
        <v>0</v>
      </c>
      <c r="L108" s="32">
        <f t="shared" si="24"/>
        <v>200</v>
      </c>
      <c r="M108" s="32">
        <v>1</v>
      </c>
      <c r="N108" s="32">
        <v>2</v>
      </c>
      <c r="O108" s="32">
        <v>1</v>
      </c>
    </row>
    <row r="109" s="32" customFormat="1" spans="1:15">
      <c r="A109" s="47">
        <v>108</v>
      </c>
      <c r="B109" s="44">
        <v>54</v>
      </c>
      <c r="C109" s="44"/>
      <c r="D109" s="44"/>
      <c r="E109" s="45">
        <f>LOOKUP(use_fish!B109,base_fish!A:A,base_fish!C:C)+_xlfn.IFNA(INDEX(activity!F:F,MATCH(use_fish!C109,activity!A:A,0)),0)</f>
        <v>100</v>
      </c>
      <c r="F109" s="45">
        <f t="shared" si="23"/>
        <v>0.01</v>
      </c>
      <c r="G109" s="45" t="s">
        <v>177</v>
      </c>
      <c r="H109" s="46" t="str">
        <f>INDEX(base_fish!E:E,MATCH(use_fish!B109,base_fish!A:A,0))&amp;_xlfn.IFNA("+"&amp;INDEX(activity!G:G,MATCH(use_fish!C109,activity!A:A,0)),"")</f>
        <v>海豹王</v>
      </c>
      <c r="I109" s="45">
        <f>LOOKUP(use_fish!B109,base_fish!A:A,base_fish!F:F)+_xlfn.IFNA(INDEX(activity!F:F,MATCH(use_fish!C109,activity!A:A,0)),0)</f>
        <v>200</v>
      </c>
      <c r="J109" s="32">
        <v>1</v>
      </c>
      <c r="K109" s="32">
        <f>LOOKUP(use_fish!B109,base_fish!A:A,base_fish!G:G)</f>
        <v>0</v>
      </c>
      <c r="L109" s="32">
        <f t="shared" si="24"/>
        <v>200</v>
      </c>
      <c r="M109" s="32">
        <v>1</v>
      </c>
      <c r="N109" s="32">
        <v>2</v>
      </c>
      <c r="O109" s="32">
        <v>1</v>
      </c>
    </row>
    <row r="110" s="32" customFormat="1" spans="1:15">
      <c r="A110" s="47">
        <v>109</v>
      </c>
      <c r="B110" s="44">
        <v>55</v>
      </c>
      <c r="C110" s="44"/>
      <c r="D110" s="44"/>
      <c r="E110" s="45">
        <f>LOOKUP(use_fish!B110,base_fish!A:A,base_fish!C:C)+_xlfn.IFNA(INDEX(activity!F:F,MATCH(use_fish!C110,activity!A:A,0)),0)</f>
        <v>100</v>
      </c>
      <c r="F110" s="45">
        <f t="shared" si="23"/>
        <v>0.01</v>
      </c>
      <c r="G110" s="45" t="s">
        <v>177</v>
      </c>
      <c r="H110" s="46" t="str">
        <f>INDEX(base_fish!E:E,MATCH(use_fish!B110,base_fish!A:A,0))&amp;_xlfn.IFNA("+"&amp;INDEX(activity!G:G,MATCH(use_fish!C110,activity!A:A,0)),"")</f>
        <v>熔岩鲨</v>
      </c>
      <c r="I110" s="45">
        <f>LOOKUP(use_fish!B110,base_fish!A:A,base_fish!F:F)+_xlfn.IFNA(INDEX(activity!F:F,MATCH(use_fish!C110,activity!A:A,0)),0)</f>
        <v>200</v>
      </c>
      <c r="J110" s="32">
        <v>1</v>
      </c>
      <c r="K110" s="32">
        <f>LOOKUP(use_fish!B110,base_fish!A:A,base_fish!G:G)</f>
        <v>0</v>
      </c>
      <c r="L110" s="32">
        <f t="shared" si="24"/>
        <v>200</v>
      </c>
      <c r="M110" s="32">
        <v>1</v>
      </c>
      <c r="N110" s="32">
        <v>2</v>
      </c>
      <c r="O110" s="32">
        <v>1</v>
      </c>
    </row>
    <row r="111" s="17" customFormat="1" spans="1:15">
      <c r="A111" s="24">
        <v>110</v>
      </c>
      <c r="B111" s="24">
        <v>62</v>
      </c>
      <c r="C111" s="24">
        <v>86</v>
      </c>
      <c r="D111" s="24"/>
      <c r="E111" s="45">
        <f>LOOKUP(use_fish!B111,base_fish!A:A,base_fish!C:C)+_xlfn.IFNA(INDEX(activity!F:F,MATCH(use_fish!C111,activity!A:A,0)),0)</f>
        <v>200</v>
      </c>
      <c r="F111" s="65">
        <f t="shared" si="23"/>
        <v>0.005</v>
      </c>
      <c r="G111" s="65" t="s">
        <v>177</v>
      </c>
      <c r="H111" s="46" t="str">
        <f>INDEX(base_fish!E:E,MATCH(use_fish!B111,base_fish!A:A,0))&amp;_xlfn.IFNA("+"&amp;INDEX(activity!G:G,MATCH(use_fish!C111,activity!A:A,0)),"")</f>
        <v>红包鱼+红包</v>
      </c>
      <c r="I111" s="45">
        <f>LOOKUP(use_fish!B111,base_fish!A:A,base_fish!F:F)+_xlfn.IFNA(INDEX(activity!F:F,MATCH(use_fish!C111,activity!A:A,0)),0)</f>
        <v>200</v>
      </c>
      <c r="J111" s="32">
        <v>1</v>
      </c>
      <c r="K111" s="32">
        <f>LOOKUP(use_fish!B111,base_fish!A:A,base_fish!G:G)</f>
        <v>0</v>
      </c>
      <c r="L111" s="32">
        <f t="shared" si="24"/>
        <v>200</v>
      </c>
      <c r="M111" s="32">
        <v>1</v>
      </c>
      <c r="N111" s="32">
        <v>1</v>
      </c>
      <c r="O111" s="32">
        <v>1</v>
      </c>
    </row>
    <row r="112" s="17" customFormat="1" spans="1:15">
      <c r="A112" s="24">
        <v>111</v>
      </c>
      <c r="B112" s="24">
        <v>62</v>
      </c>
      <c r="C112" s="24"/>
      <c r="D112" s="67" t="s">
        <v>189</v>
      </c>
      <c r="E112" s="45">
        <f>LOOKUP(use_fish!B112,base_fish!A:A,base_fish!C:C)+_xlfn.IFNA(INDEX(activity!F:F,MATCH(use_fish!C112,activity!A:A,0)),0)</f>
        <v>0</v>
      </c>
      <c r="F112" s="65">
        <v>0</v>
      </c>
      <c r="G112" s="65" t="s">
        <v>177</v>
      </c>
      <c r="H112" s="46" t="str">
        <f>INDEX(base_fish!E:E,MATCH(use_fish!B112,base_fish!A:A,0))&amp;_xlfn.IFNA("+"&amp;INDEX(activity!G:G,MATCH(use_fish!C112,activity!A:A,0)),"")</f>
        <v>红包鱼</v>
      </c>
      <c r="I112" s="45">
        <f>LOOKUP(use_fish!B112,base_fish!A:A,base_fish!F:F)+_xlfn.IFNA(INDEX(activity!F:F,MATCH(use_fish!C112,activity!A:A,0)),0)</f>
        <v>0</v>
      </c>
      <c r="J112" s="32">
        <v>1</v>
      </c>
      <c r="K112" s="32">
        <f>LOOKUP(use_fish!B112,base_fish!A:A,base_fish!G:G)</f>
        <v>0</v>
      </c>
      <c r="L112" s="32">
        <f t="shared" si="24"/>
        <v>0</v>
      </c>
      <c r="M112" s="32">
        <v>1</v>
      </c>
      <c r="N112" s="32">
        <v>1</v>
      </c>
      <c r="O112" s="32">
        <v>1</v>
      </c>
    </row>
    <row r="113" spans="1:15">
      <c r="A113" s="71">
        <v>112</v>
      </c>
      <c r="B113" s="71">
        <v>61</v>
      </c>
      <c r="C113" s="71">
        <v>87</v>
      </c>
      <c r="D113" s="71"/>
      <c r="E113" s="13">
        <f>LOOKUP(use_fish!B113,base_fish!A:A,base_fish!C:C)+_xlfn.IFNA(INDEX(activity!F:F,MATCH(use_fish!C113,activity!A:A,0)),0)</f>
        <v>250</v>
      </c>
      <c r="F113" s="13">
        <f t="shared" si="23"/>
        <v>0.004</v>
      </c>
      <c r="G113" s="13" t="s">
        <v>177</v>
      </c>
      <c r="H113" s="72" t="str">
        <f>INDEX(base_fish!E:E,MATCH(use_fish!B113,base_fish!A:A,0))&amp;_xlfn.IFNA("+"&amp;INDEX(activity!G:G,MATCH(use_fish!C113,activity!A:A,0)),"")</f>
        <v>袜子boss+临时活动</v>
      </c>
      <c r="I113" s="13">
        <f>LOOKUP(use_fish!B113,base_fish!A:A,base_fish!F:F)+_xlfn.IFNA(INDEX(activity!F:F,MATCH(use_fish!C113,activity!A:A,0)),0)</f>
        <v>250</v>
      </c>
      <c r="J113" s="74">
        <v>1</v>
      </c>
      <c r="K113" s="74">
        <f>LOOKUP(use_fish!B113,base_fish!A:A,base_fish!G:G)</f>
        <v>0</v>
      </c>
      <c r="L113" s="74">
        <f t="shared" si="24"/>
        <v>250</v>
      </c>
      <c r="M113" s="74">
        <v>1</v>
      </c>
      <c r="N113" s="74">
        <v>1</v>
      </c>
      <c r="O113" s="74">
        <v>1</v>
      </c>
    </row>
    <row r="114" spans="1:15">
      <c r="A114" s="71">
        <v>113</v>
      </c>
      <c r="B114" s="71">
        <v>61</v>
      </c>
      <c r="C114" s="71">
        <v>88</v>
      </c>
      <c r="D114" s="71"/>
      <c r="E114" s="13">
        <f>LOOKUP(use_fish!B114,base_fish!A:A,base_fish!C:C)+_xlfn.IFNA(INDEX(activity!F:F,MATCH(use_fish!C114,activity!A:A,0)),0)</f>
        <v>350</v>
      </c>
      <c r="F114" s="13">
        <f t="shared" si="23"/>
        <v>0.00285714285714286</v>
      </c>
      <c r="G114" s="13" t="s">
        <v>177</v>
      </c>
      <c r="H114" s="72" t="str">
        <f>INDEX(base_fish!E:E,MATCH(use_fish!B114,base_fish!A:A,0))&amp;_xlfn.IFNA("+"&amp;INDEX(activity!G:G,MATCH(use_fish!C114,activity!A:A,0)),"")</f>
        <v>袜子boss+临时活动</v>
      </c>
      <c r="I114" s="13">
        <f>LOOKUP(use_fish!B114,base_fish!A:A,base_fish!F:F)+_xlfn.IFNA(INDEX(activity!F:F,MATCH(use_fish!C114,activity!A:A,0)),0)</f>
        <v>350</v>
      </c>
      <c r="J114" s="74">
        <v>1</v>
      </c>
      <c r="K114" s="74">
        <f>LOOKUP(use_fish!B114,base_fish!A:A,base_fish!G:G)</f>
        <v>0</v>
      </c>
      <c r="L114" s="74">
        <f t="shared" si="24"/>
        <v>350</v>
      </c>
      <c r="M114" s="74">
        <v>1</v>
      </c>
      <c r="N114" s="74">
        <v>1</v>
      </c>
      <c r="O114" s="74">
        <v>1</v>
      </c>
    </row>
    <row r="115" spans="1:15">
      <c r="A115" s="71">
        <v>114</v>
      </c>
      <c r="B115" s="71">
        <v>61</v>
      </c>
      <c r="C115" s="71">
        <v>89</v>
      </c>
      <c r="D115" s="71"/>
      <c r="E115" s="13">
        <f>LOOKUP(use_fish!B115,base_fish!A:A,base_fish!C:C)+_xlfn.IFNA(INDEX(activity!F:F,MATCH(use_fish!C115,activity!A:A,0)),0)</f>
        <v>450</v>
      </c>
      <c r="F115" s="13">
        <f t="shared" si="23"/>
        <v>0.00222222222222222</v>
      </c>
      <c r="G115" s="13" t="s">
        <v>177</v>
      </c>
      <c r="H115" s="72" t="str">
        <f>INDEX(base_fish!E:E,MATCH(use_fish!B115,base_fish!A:A,0))&amp;_xlfn.IFNA("+"&amp;INDEX(activity!G:G,MATCH(use_fish!C115,activity!A:A,0)),"")</f>
        <v>袜子boss+临时活动</v>
      </c>
      <c r="I115" s="13">
        <f>LOOKUP(use_fish!B115,base_fish!A:A,base_fish!F:F)+_xlfn.IFNA(INDEX(activity!F:F,MATCH(use_fish!C115,activity!A:A,0)),0)</f>
        <v>450</v>
      </c>
      <c r="J115" s="74">
        <v>1</v>
      </c>
      <c r="K115" s="74">
        <f>LOOKUP(use_fish!B115,base_fish!A:A,base_fish!G:G)</f>
        <v>0</v>
      </c>
      <c r="L115" s="74">
        <f t="shared" si="24"/>
        <v>450</v>
      </c>
      <c r="M115" s="74">
        <v>1</v>
      </c>
      <c r="N115" s="74">
        <v>1</v>
      </c>
      <c r="O115" s="74">
        <v>1</v>
      </c>
    </row>
    <row r="116" spans="1:15">
      <c r="A116" s="71">
        <v>115</v>
      </c>
      <c r="B116" s="13">
        <v>13</v>
      </c>
      <c r="C116" s="71">
        <v>90</v>
      </c>
      <c r="D116" s="71"/>
      <c r="E116" s="13">
        <f>LOOKUP(use_fish!B116,base_fish!A:A,base_fish!C:C)+_xlfn.IFNA(INDEX(activity!F:F,MATCH(use_fish!C116,activity!A:A,0)),0)</f>
        <v>30</v>
      </c>
      <c r="F116" s="13">
        <v>1</v>
      </c>
      <c r="G116" s="13" t="s">
        <v>177</v>
      </c>
      <c r="H116" s="72" t="str">
        <f>INDEX(base_fish!E:E,MATCH(use_fish!B116,base_fish!A:A,0))&amp;_xlfn.IFNA("+"&amp;INDEX(activity!G:G,MATCH(use_fish!C116,activity!A:A,0)),"")</f>
        <v>蝴蝶鱼+临时活动</v>
      </c>
      <c r="I116" s="13">
        <f>LOOKUP(use_fish!B116,base_fish!A:A,base_fish!F:F)+_xlfn.IFNA(INDEX(activity!F:F,MATCH(use_fish!C116,activity!A:A,0)),0)</f>
        <v>30</v>
      </c>
      <c r="J116" s="74">
        <v>1</v>
      </c>
      <c r="K116" s="74">
        <f>LOOKUP(use_fish!B116,base_fish!A:A,base_fish!G:G)</f>
        <v>0</v>
      </c>
      <c r="L116" s="74">
        <f t="shared" si="24"/>
        <v>30</v>
      </c>
      <c r="M116" s="74">
        <v>1</v>
      </c>
      <c r="N116" s="74">
        <v>0</v>
      </c>
      <c r="O116" s="74">
        <v>1</v>
      </c>
    </row>
    <row r="117" spans="1:15">
      <c r="A117" s="71">
        <v>116</v>
      </c>
      <c r="B117" s="13">
        <v>14</v>
      </c>
      <c r="C117" s="71">
        <v>90</v>
      </c>
      <c r="D117" s="71"/>
      <c r="E117" s="13">
        <f>LOOKUP(use_fish!B117,base_fish!A:A,base_fish!C:C)+_xlfn.IFNA(INDEX(activity!F:F,MATCH(use_fish!C117,activity!A:A,0)),0)</f>
        <v>35</v>
      </c>
      <c r="F117" s="13">
        <f t="shared" si="23"/>
        <v>0.0285714285714286</v>
      </c>
      <c r="G117" s="13" t="s">
        <v>177</v>
      </c>
      <c r="H117" s="72" t="str">
        <f>INDEX(base_fish!E:E,MATCH(use_fish!B117,base_fish!A:A,0))&amp;_xlfn.IFNA("+"&amp;INDEX(activity!G:G,MATCH(use_fish!C117,activity!A:A,0)),"")</f>
        <v>海马+临时活动</v>
      </c>
      <c r="I117" s="13">
        <f>LOOKUP(use_fish!B117,base_fish!A:A,base_fish!F:F)+_xlfn.IFNA(INDEX(activity!F:F,MATCH(use_fish!C117,activity!A:A,0)),0)</f>
        <v>35</v>
      </c>
      <c r="J117" s="74">
        <v>1</v>
      </c>
      <c r="K117" s="74">
        <f>LOOKUP(use_fish!B117,base_fish!A:A,base_fish!G:G)</f>
        <v>0</v>
      </c>
      <c r="L117" s="74">
        <f t="shared" si="24"/>
        <v>35</v>
      </c>
      <c r="M117" s="74">
        <v>1</v>
      </c>
      <c r="N117" s="74">
        <v>0</v>
      </c>
      <c r="O117" s="74">
        <v>1</v>
      </c>
    </row>
    <row r="118" spans="1:15">
      <c r="A118" s="71">
        <v>117</v>
      </c>
      <c r="B118" s="13">
        <v>15</v>
      </c>
      <c r="C118" s="71">
        <v>90</v>
      </c>
      <c r="D118" s="71"/>
      <c r="E118" s="13">
        <f>LOOKUP(use_fish!B118,base_fish!A:A,base_fish!C:C)+_xlfn.IFNA(INDEX(activity!F:F,MATCH(use_fish!C118,activity!A:A,0)),0)</f>
        <v>40</v>
      </c>
      <c r="F118" s="13">
        <f t="shared" si="23"/>
        <v>0.025</v>
      </c>
      <c r="G118" s="13" t="s">
        <v>177</v>
      </c>
      <c r="H118" s="72" t="str">
        <f>INDEX(base_fish!E:E,MATCH(use_fish!B118,base_fish!A:A,0))&amp;_xlfn.IFNA("+"&amp;INDEX(activity!G:G,MATCH(use_fish!C118,activity!A:A,0)),"")</f>
        <v>鲇鱼+临时活动</v>
      </c>
      <c r="I118" s="13">
        <f>LOOKUP(use_fish!B118,base_fish!A:A,base_fish!F:F)+_xlfn.IFNA(INDEX(activity!F:F,MATCH(use_fish!C118,activity!A:A,0)),0)</f>
        <v>40</v>
      </c>
      <c r="J118" s="74">
        <v>1</v>
      </c>
      <c r="K118" s="74">
        <f>LOOKUP(use_fish!B118,base_fish!A:A,base_fish!G:G)</f>
        <v>0</v>
      </c>
      <c r="L118" s="74">
        <f t="shared" si="24"/>
        <v>40</v>
      </c>
      <c r="M118" s="74">
        <v>1</v>
      </c>
      <c r="N118" s="74">
        <v>0</v>
      </c>
      <c r="O118" s="74">
        <v>1</v>
      </c>
    </row>
    <row r="119" spans="1:15">
      <c r="A119" s="71">
        <v>118</v>
      </c>
      <c r="B119" s="13">
        <v>16</v>
      </c>
      <c r="C119" s="71">
        <v>90</v>
      </c>
      <c r="D119" s="71"/>
      <c r="E119" s="13">
        <f>LOOKUP(use_fish!B119,base_fish!A:A,base_fish!C:C)+_xlfn.IFNA(INDEX(activity!F:F,MATCH(use_fish!C119,activity!A:A,0)),0)</f>
        <v>45</v>
      </c>
      <c r="F119" s="13">
        <f t="shared" si="23"/>
        <v>0.0222222222222222</v>
      </c>
      <c r="G119" s="13" t="s">
        <v>177</v>
      </c>
      <c r="H119" s="72" t="str">
        <f>INDEX(base_fish!E:E,MATCH(use_fish!B119,base_fish!A:A,0))&amp;_xlfn.IFNA("+"&amp;INDEX(activity!G:G,MATCH(use_fish!C119,activity!A:A,0)),"")</f>
        <v>鲨鱼+临时活动</v>
      </c>
      <c r="I119" s="13">
        <f>LOOKUP(use_fish!B119,base_fish!A:A,base_fish!F:F)+_xlfn.IFNA(INDEX(activity!F:F,MATCH(use_fish!C119,activity!A:A,0)),0)</f>
        <v>45</v>
      </c>
      <c r="J119" s="74">
        <v>1</v>
      </c>
      <c r="K119" s="74">
        <f>LOOKUP(use_fish!B119,base_fish!A:A,base_fish!G:G)</f>
        <v>0</v>
      </c>
      <c r="L119" s="74">
        <f t="shared" si="24"/>
        <v>45</v>
      </c>
      <c r="M119" s="74">
        <v>1</v>
      </c>
      <c r="N119" s="74">
        <v>0</v>
      </c>
      <c r="O119" s="74">
        <v>1</v>
      </c>
    </row>
    <row r="120" spans="1:15">
      <c r="A120" s="71">
        <v>119</v>
      </c>
      <c r="B120" s="13">
        <v>17</v>
      </c>
      <c r="C120" s="71">
        <v>90</v>
      </c>
      <c r="D120" s="71"/>
      <c r="E120" s="13">
        <f>LOOKUP(use_fish!B120,base_fish!A:A,base_fish!C:C)+_xlfn.IFNA(INDEX(activity!F:F,MATCH(use_fish!C120,activity!A:A,0)),0)</f>
        <v>50</v>
      </c>
      <c r="F120" s="13">
        <v>2</v>
      </c>
      <c r="G120" s="13" t="s">
        <v>177</v>
      </c>
      <c r="H120" s="72" t="str">
        <f>INDEX(base_fish!E:E,MATCH(use_fish!B120,base_fish!A:A,0))&amp;_xlfn.IFNA("+"&amp;INDEX(activity!G:G,MATCH(use_fish!C120,activity!A:A,0)),"")</f>
        <v>魔鬼鱼+临时活动</v>
      </c>
      <c r="I120" s="13">
        <f>LOOKUP(use_fish!B120,base_fish!A:A,base_fish!F:F)+_xlfn.IFNA(INDEX(activity!F:F,MATCH(use_fish!C120,activity!A:A,0)),0)</f>
        <v>50</v>
      </c>
      <c r="J120" s="74">
        <v>1</v>
      </c>
      <c r="K120" s="74">
        <f>LOOKUP(use_fish!B120,base_fish!A:A,base_fish!G:G)</f>
        <v>0</v>
      </c>
      <c r="L120" s="74">
        <f t="shared" si="24"/>
        <v>50</v>
      </c>
      <c r="M120" s="74">
        <v>1</v>
      </c>
      <c r="N120" s="74">
        <v>0</v>
      </c>
      <c r="O120" s="74">
        <v>1</v>
      </c>
    </row>
    <row r="121" spans="1:15">
      <c r="A121" s="71">
        <v>120</v>
      </c>
      <c r="B121" s="13">
        <v>18</v>
      </c>
      <c r="C121" s="71">
        <v>90</v>
      </c>
      <c r="D121" s="71"/>
      <c r="E121" s="13">
        <f>LOOKUP(use_fish!B121,base_fish!A:A,base_fish!C:C)+_xlfn.IFNA(INDEX(activity!F:F,MATCH(use_fish!C121,activity!A:A,0)),0)</f>
        <v>70</v>
      </c>
      <c r="F121" s="13">
        <f t="shared" si="23"/>
        <v>0.0142857142857143</v>
      </c>
      <c r="G121" s="13" t="s">
        <v>177</v>
      </c>
      <c r="H121" s="72" t="str">
        <f>INDEX(base_fish!E:E,MATCH(use_fish!B121,base_fish!A:A,0))&amp;_xlfn.IFNA("+"&amp;INDEX(activity!G:G,MATCH(use_fish!C121,activity!A:A,0)),"")</f>
        <v>虎鲨+临时活动</v>
      </c>
      <c r="I121" s="13">
        <f>LOOKUP(use_fish!B121,base_fish!A:A,base_fish!F:F)+_xlfn.IFNA(INDEX(activity!F:F,MATCH(use_fish!C121,activity!A:A,0)),0)</f>
        <v>70</v>
      </c>
      <c r="J121" s="74">
        <v>1</v>
      </c>
      <c r="K121" s="74">
        <f>LOOKUP(use_fish!B121,base_fish!A:A,base_fish!G:G)</f>
        <v>0</v>
      </c>
      <c r="L121" s="74">
        <f t="shared" si="24"/>
        <v>70</v>
      </c>
      <c r="M121" s="74">
        <v>1</v>
      </c>
      <c r="N121" s="74">
        <v>0</v>
      </c>
      <c r="O121" s="74">
        <v>1</v>
      </c>
    </row>
    <row r="122" spans="1:15">
      <c r="A122">
        <v>121</v>
      </c>
      <c r="B122" s="2">
        <v>61</v>
      </c>
      <c r="C122" s="2">
        <v>91</v>
      </c>
      <c r="D122" s="73" t="s">
        <v>190</v>
      </c>
      <c r="E122">
        <v>50</v>
      </c>
      <c r="F122">
        <f>1/E121</f>
        <v>0.0142857142857143</v>
      </c>
      <c r="G122" s="13" t="s">
        <v>177</v>
      </c>
      <c r="H122" s="72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2"/>
  <sheetViews>
    <sheetView workbookViewId="0">
      <pane ySplit="1" topLeftCell="A68" activePane="bottomLeft" state="frozen"/>
      <selection/>
      <selection pane="bottomLeft" activeCell="A92" sqref="A92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G1" s="1" t="s">
        <v>197</v>
      </c>
      <c r="H1" s="1" t="s">
        <v>198</v>
      </c>
      <c r="I1" s="1" t="s">
        <v>198</v>
      </c>
      <c r="K1" s="1" t="s">
        <v>199</v>
      </c>
    </row>
    <row r="2" spans="1:11">
      <c r="A2">
        <v>1</v>
      </c>
      <c r="B2">
        <v>1</v>
      </c>
      <c r="C2" t="s">
        <v>105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200</v>
      </c>
      <c r="K2" t="s">
        <v>201</v>
      </c>
    </row>
    <row r="3" spans="1:11">
      <c r="A3">
        <v>2</v>
      </c>
      <c r="B3">
        <v>2</v>
      </c>
      <c r="C3" t="s">
        <v>202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203</v>
      </c>
      <c r="K3" s="23">
        <v>0.1</v>
      </c>
    </row>
    <row r="4" spans="1:9">
      <c r="A4">
        <v>3</v>
      </c>
      <c r="B4">
        <v>3</v>
      </c>
      <c r="C4" t="s">
        <v>202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204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205</v>
      </c>
    </row>
    <row r="6" spans="1:9">
      <c r="A6">
        <v>5</v>
      </c>
      <c r="B6">
        <v>5</v>
      </c>
      <c r="C6" t="s">
        <v>206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207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208</v>
      </c>
    </row>
    <row r="8" spans="1:9">
      <c r="A8">
        <v>7</v>
      </c>
      <c r="B8">
        <v>1</v>
      </c>
      <c r="C8" t="s">
        <v>206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209</v>
      </c>
    </row>
    <row r="9" spans="1:9">
      <c r="A9">
        <v>8</v>
      </c>
      <c r="B9">
        <v>4</v>
      </c>
      <c r="C9" t="s">
        <v>122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210</v>
      </c>
    </row>
    <row r="10" spans="1:9">
      <c r="A10">
        <v>9</v>
      </c>
      <c r="B10">
        <v>5</v>
      </c>
      <c r="C10" t="s">
        <v>105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211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212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213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214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215</v>
      </c>
    </row>
    <row r="16" spans="1:9">
      <c r="A16">
        <v>15</v>
      </c>
      <c r="B16">
        <v>9</v>
      </c>
      <c r="C16" t="s">
        <v>216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>
      <c r="A17">
        <v>16</v>
      </c>
      <c r="B17">
        <v>9</v>
      </c>
      <c r="C17" t="s">
        <v>216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>
      <c r="A18">
        <v>17</v>
      </c>
      <c r="B18">
        <v>10</v>
      </c>
      <c r="C18" s="87" t="s">
        <v>219</v>
      </c>
      <c r="D18" s="4">
        <v>0</v>
      </c>
      <c r="E18" s="4">
        <v>0</v>
      </c>
      <c r="F18">
        <v>150</v>
      </c>
      <c r="G18" t="s">
        <v>220</v>
      </c>
      <c r="H18">
        <v>22</v>
      </c>
      <c r="I18" t="s">
        <v>221</v>
      </c>
    </row>
    <row r="19" spans="1:9">
      <c r="A19">
        <v>18</v>
      </c>
      <c r="B19">
        <v>18</v>
      </c>
      <c r="C19" t="s">
        <v>222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223</v>
      </c>
    </row>
    <row r="20" spans="1:9">
      <c r="A20">
        <v>19</v>
      </c>
      <c r="B20">
        <v>17</v>
      </c>
      <c r="C20" s="19" t="s">
        <v>224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>
      <c r="A22">
        <v>21</v>
      </c>
      <c r="B22">
        <v>20</v>
      </c>
      <c r="C22" s="19" t="s">
        <v>227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229</v>
      </c>
    </row>
    <row r="23" spans="1:9">
      <c r="A23">
        <v>22</v>
      </c>
      <c r="B23">
        <v>20</v>
      </c>
      <c r="C23" s="19" t="s">
        <v>230</v>
      </c>
      <c r="D23" s="4">
        <v>0</v>
      </c>
      <c r="E23" s="4">
        <v>0</v>
      </c>
      <c r="F23">
        <v>150</v>
      </c>
      <c r="G23" t="s">
        <v>231</v>
      </c>
      <c r="H23">
        <v>27</v>
      </c>
      <c r="I23" t="s">
        <v>232</v>
      </c>
    </row>
    <row r="24" spans="1:9">
      <c r="A24">
        <v>23</v>
      </c>
      <c r="B24">
        <v>20</v>
      </c>
      <c r="C24" s="19" t="s">
        <v>233</v>
      </c>
      <c r="D24" s="4">
        <v>0</v>
      </c>
      <c r="E24" s="4">
        <v>0</v>
      </c>
      <c r="F24">
        <v>250</v>
      </c>
      <c r="G24" t="s">
        <v>234</v>
      </c>
      <c r="H24">
        <v>28</v>
      </c>
      <c r="I24" t="s">
        <v>235</v>
      </c>
    </row>
    <row r="25" spans="1:9">
      <c r="A25">
        <v>24</v>
      </c>
      <c r="B25">
        <v>20</v>
      </c>
      <c r="C25" s="19" t="s">
        <v>236</v>
      </c>
      <c r="D25" s="4">
        <v>0</v>
      </c>
      <c r="E25" s="4">
        <v>0</v>
      </c>
      <c r="F25">
        <v>450</v>
      </c>
      <c r="G25" t="s">
        <v>237</v>
      </c>
      <c r="H25">
        <v>29</v>
      </c>
      <c r="I25" t="s">
        <v>238</v>
      </c>
    </row>
    <row r="26" spans="1:9">
      <c r="A26">
        <v>25</v>
      </c>
      <c r="B26">
        <v>21</v>
      </c>
      <c r="C26" s="19" t="s">
        <v>239</v>
      </c>
      <c r="D26" s="4">
        <v>0</v>
      </c>
      <c r="E26" s="4">
        <v>1</v>
      </c>
      <c r="F26">
        <v>5</v>
      </c>
      <c r="G26" t="s">
        <v>240</v>
      </c>
      <c r="H26">
        <v>30</v>
      </c>
      <c r="I26" t="s">
        <v>241</v>
      </c>
    </row>
    <row r="27" spans="1:9">
      <c r="A27">
        <v>26</v>
      </c>
      <c r="B27">
        <v>21</v>
      </c>
      <c r="C27" s="19" t="s">
        <v>242</v>
      </c>
      <c r="D27" s="4">
        <v>0</v>
      </c>
      <c r="E27" s="4">
        <v>1</v>
      </c>
      <c r="F27">
        <v>2</v>
      </c>
      <c r="G27" t="s">
        <v>243</v>
      </c>
      <c r="H27">
        <v>31</v>
      </c>
      <c r="I27" t="s">
        <v>244</v>
      </c>
    </row>
    <row r="28" spans="1:9">
      <c r="A28">
        <v>27</v>
      </c>
      <c r="B28">
        <v>21</v>
      </c>
      <c r="C28" s="19" t="s">
        <v>245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247</v>
      </c>
    </row>
    <row r="29" spans="1:9">
      <c r="A29">
        <v>28</v>
      </c>
      <c r="B29">
        <v>22</v>
      </c>
      <c r="C29" s="19" t="s">
        <v>248</v>
      </c>
      <c r="D29" s="4">
        <v>0</v>
      </c>
      <c r="E29" s="4">
        <v>0</v>
      </c>
      <c r="F29">
        <v>100</v>
      </c>
      <c r="G29" t="s">
        <v>249</v>
      </c>
      <c r="H29">
        <v>33</v>
      </c>
      <c r="I29" t="s">
        <v>250</v>
      </c>
    </row>
    <row r="30" spans="1:9">
      <c r="A30">
        <v>29</v>
      </c>
      <c r="B30">
        <v>23</v>
      </c>
      <c r="C30" t="s">
        <v>251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252</v>
      </c>
    </row>
    <row r="31" spans="1:9">
      <c r="A31">
        <v>30</v>
      </c>
      <c r="B31">
        <v>24</v>
      </c>
      <c r="C31" s="19" t="s">
        <v>253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254</v>
      </c>
    </row>
    <row r="32" spans="1:9">
      <c r="A32">
        <v>31</v>
      </c>
      <c r="B32">
        <v>25</v>
      </c>
      <c r="C32" t="s">
        <v>255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256</v>
      </c>
    </row>
    <row r="33" spans="1:9">
      <c r="A33">
        <v>32</v>
      </c>
      <c r="B33">
        <v>28</v>
      </c>
      <c r="C33" s="19" t="s">
        <v>255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257</v>
      </c>
    </row>
    <row r="34" spans="1:9">
      <c r="A34">
        <v>33</v>
      </c>
      <c r="B34">
        <v>29</v>
      </c>
      <c r="C34" t="s">
        <v>258</v>
      </c>
      <c r="D34" s="4">
        <v>0</v>
      </c>
      <c r="E34" s="4">
        <v>0</v>
      </c>
      <c r="F34">
        <v>300</v>
      </c>
      <c r="G34" t="s">
        <v>238</v>
      </c>
      <c r="H34">
        <v>42</v>
      </c>
      <c r="I34" t="s">
        <v>259</v>
      </c>
    </row>
    <row r="35" spans="1:9">
      <c r="A35">
        <v>34</v>
      </c>
      <c r="B35">
        <v>30</v>
      </c>
      <c r="C35" s="19" t="s">
        <v>260</v>
      </c>
      <c r="D35" s="4">
        <v>0</v>
      </c>
      <c r="E35" s="4">
        <v>0</v>
      </c>
      <c r="F35">
        <v>150</v>
      </c>
      <c r="G35" t="s">
        <v>241</v>
      </c>
      <c r="H35">
        <v>43</v>
      </c>
      <c r="I35" t="s">
        <v>261</v>
      </c>
    </row>
    <row r="36" spans="1:9">
      <c r="A36">
        <v>35</v>
      </c>
      <c r="B36">
        <v>31</v>
      </c>
      <c r="C36" t="s">
        <v>262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263</v>
      </c>
    </row>
    <row r="37" spans="1:9">
      <c r="A37">
        <v>36</v>
      </c>
      <c r="B37">
        <v>32</v>
      </c>
      <c r="C37" s="19" t="s">
        <v>264</v>
      </c>
      <c r="D37" s="4">
        <v>0</v>
      </c>
      <c r="E37" s="4">
        <v>0</v>
      </c>
      <c r="F37">
        <v>300</v>
      </c>
      <c r="G37" t="s">
        <v>247</v>
      </c>
      <c r="H37">
        <v>45</v>
      </c>
      <c r="I37" t="s">
        <v>265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266</v>
      </c>
    </row>
    <row r="39" spans="1:9">
      <c r="A39">
        <v>38</v>
      </c>
      <c r="B39">
        <v>38</v>
      </c>
      <c r="C39" t="s">
        <v>267</v>
      </c>
      <c r="D39" s="4">
        <v>0</v>
      </c>
      <c r="E39" s="4">
        <v>0</v>
      </c>
      <c r="F39">
        <v>250</v>
      </c>
      <c r="G39" t="s">
        <v>268</v>
      </c>
      <c r="H39">
        <v>47</v>
      </c>
      <c r="I39" t="s">
        <v>269</v>
      </c>
    </row>
    <row r="40" spans="1:7">
      <c r="A40">
        <v>39</v>
      </c>
      <c r="B40">
        <v>39</v>
      </c>
      <c r="C40" t="s">
        <v>267</v>
      </c>
      <c r="D40" s="4">
        <v>0</v>
      </c>
      <c r="E40" s="4">
        <v>0</v>
      </c>
      <c r="F40">
        <v>250</v>
      </c>
      <c r="G40" t="s">
        <v>254</v>
      </c>
    </row>
    <row r="41" spans="1:7">
      <c r="A41">
        <v>40</v>
      </c>
      <c r="B41">
        <v>21</v>
      </c>
      <c r="C41" s="19" t="s">
        <v>270</v>
      </c>
      <c r="D41" s="4">
        <v>0</v>
      </c>
      <c r="E41" s="4">
        <v>1</v>
      </c>
      <c r="F41">
        <v>2</v>
      </c>
      <c r="G41" t="s">
        <v>271</v>
      </c>
    </row>
    <row r="42" spans="1:7">
      <c r="A42">
        <v>41</v>
      </c>
      <c r="B42">
        <v>21</v>
      </c>
      <c r="C42" s="19" t="s">
        <v>272</v>
      </c>
      <c r="D42" s="4">
        <v>0</v>
      </c>
      <c r="E42" s="4">
        <v>1</v>
      </c>
      <c r="F42">
        <v>2</v>
      </c>
      <c r="G42" t="s">
        <v>273</v>
      </c>
    </row>
    <row r="43" spans="1:7">
      <c r="A43">
        <v>42</v>
      </c>
      <c r="B43">
        <v>4</v>
      </c>
      <c r="C43" s="20">
        <v>30</v>
      </c>
      <c r="D43" s="4">
        <v>0</v>
      </c>
      <c r="E43" s="4">
        <v>0</v>
      </c>
      <c r="F43">
        <v>30</v>
      </c>
      <c r="G43" t="s">
        <v>205</v>
      </c>
    </row>
    <row r="44" spans="1:7">
      <c r="A44">
        <v>43</v>
      </c>
      <c r="B44">
        <v>5</v>
      </c>
      <c r="C44" s="20">
        <v>50</v>
      </c>
      <c r="D44" s="4">
        <v>0</v>
      </c>
      <c r="E44" s="4">
        <v>0</v>
      </c>
      <c r="F44">
        <v>50</v>
      </c>
      <c r="G44" t="s">
        <v>207</v>
      </c>
    </row>
    <row r="45" s="15" customFormat="1" spans="1:7">
      <c r="A45" s="15">
        <v>44</v>
      </c>
      <c r="B45" s="15">
        <v>9</v>
      </c>
      <c r="C45" s="15" t="s">
        <v>274</v>
      </c>
      <c r="D45" s="4" t="s">
        <v>275</v>
      </c>
      <c r="E45" s="4">
        <v>1</v>
      </c>
      <c r="F45" s="15">
        <v>200</v>
      </c>
      <c r="G45" s="15" t="s">
        <v>27</v>
      </c>
    </row>
    <row r="46" s="15" customFormat="1" spans="1:7">
      <c r="A46" s="15">
        <v>45</v>
      </c>
      <c r="B46" s="15">
        <v>9</v>
      </c>
      <c r="C46" s="15" t="s">
        <v>276</v>
      </c>
      <c r="D46" s="4">
        <v>1</v>
      </c>
      <c r="E46" s="4">
        <v>1</v>
      </c>
      <c r="F46" s="15">
        <v>60</v>
      </c>
      <c r="G46" s="15" t="s">
        <v>27</v>
      </c>
    </row>
    <row r="47" s="15" customFormat="1" spans="1:7">
      <c r="A47" s="15">
        <v>46</v>
      </c>
      <c r="B47" s="15">
        <v>9</v>
      </c>
      <c r="C47" s="15" t="s">
        <v>277</v>
      </c>
      <c r="D47" s="4">
        <v>1</v>
      </c>
      <c r="E47" s="4">
        <v>1</v>
      </c>
      <c r="F47" s="15">
        <v>40</v>
      </c>
      <c r="G47" s="15" t="s">
        <v>27</v>
      </c>
    </row>
    <row r="48" s="15" customFormat="1" spans="1:7">
      <c r="A48" s="15">
        <v>47</v>
      </c>
      <c r="B48" s="15">
        <v>9</v>
      </c>
      <c r="C48" s="15" t="s">
        <v>278</v>
      </c>
      <c r="D48" s="4">
        <v>1</v>
      </c>
      <c r="E48" s="4">
        <v>1</v>
      </c>
      <c r="F48" s="15">
        <v>30</v>
      </c>
      <c r="G48" s="15" t="s">
        <v>27</v>
      </c>
    </row>
    <row r="49" s="15" customFormat="1" spans="1:7">
      <c r="A49" s="15">
        <v>48</v>
      </c>
      <c r="B49" s="15">
        <v>9</v>
      </c>
      <c r="C49" s="15" t="s">
        <v>279</v>
      </c>
      <c r="D49" s="4">
        <v>1</v>
      </c>
      <c r="E49" s="4">
        <v>1</v>
      </c>
      <c r="F49" s="15">
        <v>20</v>
      </c>
      <c r="G49" s="15" t="s">
        <v>27</v>
      </c>
    </row>
    <row r="50" spans="1:7">
      <c r="A50" s="15">
        <v>49</v>
      </c>
      <c r="B50" s="15">
        <v>9</v>
      </c>
      <c r="C50" s="15" t="s">
        <v>280</v>
      </c>
      <c r="D50" s="4">
        <v>0</v>
      </c>
      <c r="E50" s="4">
        <v>1</v>
      </c>
      <c r="F50" s="15">
        <v>75</v>
      </c>
      <c r="G50" s="15" t="s">
        <v>27</v>
      </c>
    </row>
    <row r="51" spans="1:7">
      <c r="A51" s="15">
        <v>50</v>
      </c>
      <c r="B51" s="15">
        <v>9</v>
      </c>
      <c r="C51" s="15" t="s">
        <v>281</v>
      </c>
      <c r="D51" s="4">
        <v>0</v>
      </c>
      <c r="E51" s="4">
        <v>1</v>
      </c>
      <c r="F51" s="15">
        <v>150</v>
      </c>
      <c r="G51" s="15" t="s">
        <v>27</v>
      </c>
    </row>
    <row r="52" spans="1:7">
      <c r="A52" s="15">
        <v>51</v>
      </c>
      <c r="B52" s="15">
        <v>9</v>
      </c>
      <c r="C52" s="15" t="s">
        <v>282</v>
      </c>
      <c r="D52" s="4">
        <v>0</v>
      </c>
      <c r="E52" s="4">
        <v>1</v>
      </c>
      <c r="F52" s="15">
        <v>250</v>
      </c>
      <c r="G52" s="15" t="s">
        <v>27</v>
      </c>
    </row>
    <row r="53" spans="1:7">
      <c r="A53" s="15">
        <v>52</v>
      </c>
      <c r="B53" s="15">
        <v>9</v>
      </c>
      <c r="C53" s="15" t="s">
        <v>276</v>
      </c>
      <c r="D53" s="4">
        <v>1</v>
      </c>
      <c r="E53" s="4">
        <v>1</v>
      </c>
      <c r="F53" s="15">
        <v>60</v>
      </c>
      <c r="G53" s="15" t="s">
        <v>27</v>
      </c>
    </row>
    <row r="54" spans="1:7">
      <c r="A54" s="15">
        <v>53</v>
      </c>
      <c r="B54" s="15">
        <v>9</v>
      </c>
      <c r="C54" s="15" t="s">
        <v>277</v>
      </c>
      <c r="D54" s="4">
        <v>1</v>
      </c>
      <c r="E54" s="4">
        <v>1</v>
      </c>
      <c r="F54" s="15">
        <v>40</v>
      </c>
      <c r="G54" s="15" t="s">
        <v>27</v>
      </c>
    </row>
    <row r="55" spans="1:7">
      <c r="A55" s="15">
        <v>54</v>
      </c>
      <c r="B55" s="15">
        <v>9</v>
      </c>
      <c r="C55" s="15" t="s">
        <v>278</v>
      </c>
      <c r="D55" s="4">
        <v>1</v>
      </c>
      <c r="E55" s="4">
        <v>1</v>
      </c>
      <c r="F55" s="15">
        <v>30</v>
      </c>
      <c r="G55" s="15" t="s">
        <v>27</v>
      </c>
    </row>
    <row r="56" spans="1:7">
      <c r="A56" s="15">
        <v>55</v>
      </c>
      <c r="B56" s="15">
        <v>9</v>
      </c>
      <c r="C56" s="15" t="s">
        <v>279</v>
      </c>
      <c r="D56" s="4">
        <v>1</v>
      </c>
      <c r="E56" s="4">
        <v>1</v>
      </c>
      <c r="F56" s="15">
        <v>20</v>
      </c>
      <c r="G56" s="15" t="s">
        <v>27</v>
      </c>
    </row>
    <row r="57" spans="1:7">
      <c r="A57" s="21">
        <v>56</v>
      </c>
      <c r="B57" s="21">
        <v>9</v>
      </c>
      <c r="C57" s="21" t="s">
        <v>283</v>
      </c>
      <c r="D57" s="22">
        <v>0</v>
      </c>
      <c r="E57" s="22">
        <v>1</v>
      </c>
      <c r="F57" s="21">
        <v>75</v>
      </c>
      <c r="G57" s="21" t="s">
        <v>27</v>
      </c>
    </row>
    <row r="58" spans="1:7">
      <c r="A58" s="21">
        <v>57</v>
      </c>
      <c r="B58" s="21">
        <v>9</v>
      </c>
      <c r="C58" s="21" t="s">
        <v>284</v>
      </c>
      <c r="D58" s="22">
        <v>0</v>
      </c>
      <c r="E58" s="22">
        <v>1</v>
      </c>
      <c r="F58" s="21">
        <v>150</v>
      </c>
      <c r="G58" s="21" t="s">
        <v>27</v>
      </c>
    </row>
    <row r="59" spans="1:7">
      <c r="A59" s="21">
        <v>58</v>
      </c>
      <c r="B59" s="21">
        <v>9</v>
      </c>
      <c r="C59" s="21" t="s">
        <v>285</v>
      </c>
      <c r="D59" s="22">
        <v>0</v>
      </c>
      <c r="E59" s="22">
        <v>1</v>
      </c>
      <c r="F59" s="21">
        <v>250</v>
      </c>
      <c r="G59" s="21" t="s">
        <v>27</v>
      </c>
    </row>
    <row r="60" spans="1:7">
      <c r="A60" s="21">
        <v>59</v>
      </c>
      <c r="B60" s="21">
        <v>9</v>
      </c>
      <c r="C60" s="21" t="s">
        <v>286</v>
      </c>
      <c r="D60" s="22">
        <v>1</v>
      </c>
      <c r="E60" s="22">
        <v>1</v>
      </c>
      <c r="F60" s="21">
        <v>10</v>
      </c>
      <c r="G60" s="21" t="s">
        <v>27</v>
      </c>
    </row>
    <row r="61" spans="1:7">
      <c r="A61">
        <v>60</v>
      </c>
      <c r="B61">
        <v>40</v>
      </c>
      <c r="C61" s="19" t="s">
        <v>287</v>
      </c>
      <c r="D61" s="4">
        <v>0</v>
      </c>
      <c r="E61" s="4">
        <v>1</v>
      </c>
      <c r="F61">
        <v>1000000</v>
      </c>
      <c r="G61" t="s">
        <v>288</v>
      </c>
    </row>
    <row r="62" spans="1:7">
      <c r="A62">
        <v>61</v>
      </c>
      <c r="B62">
        <v>41</v>
      </c>
      <c r="C62" s="19" t="s">
        <v>289</v>
      </c>
      <c r="D62" s="4">
        <v>0</v>
      </c>
      <c r="E62" s="4">
        <v>1</v>
      </c>
      <c r="F62">
        <v>5000000</v>
      </c>
      <c r="G62" t="s">
        <v>290</v>
      </c>
    </row>
    <row r="63" spans="1:7">
      <c r="A63">
        <v>62</v>
      </c>
      <c r="B63">
        <v>42</v>
      </c>
      <c r="C63" s="19" t="s">
        <v>291</v>
      </c>
      <c r="D63" s="4">
        <v>0</v>
      </c>
      <c r="E63" s="4">
        <v>1</v>
      </c>
      <c r="F63">
        <v>10000000</v>
      </c>
      <c r="G63" t="s">
        <v>292</v>
      </c>
    </row>
    <row r="64" spans="1:7">
      <c r="A64">
        <v>63</v>
      </c>
      <c r="B64">
        <v>46</v>
      </c>
      <c r="C64" s="19" t="s">
        <v>293</v>
      </c>
      <c r="D64" s="4">
        <v>0</v>
      </c>
      <c r="E64" s="4">
        <v>1</v>
      </c>
      <c r="F64">
        <v>50000000</v>
      </c>
      <c r="G64" t="s">
        <v>294</v>
      </c>
    </row>
    <row r="65" spans="1:7">
      <c r="A65">
        <v>64</v>
      </c>
      <c r="B65">
        <v>47</v>
      </c>
      <c r="C65" s="19" t="s">
        <v>295</v>
      </c>
      <c r="D65" s="4">
        <v>0</v>
      </c>
      <c r="E65" s="4">
        <v>1</v>
      </c>
      <c r="F65">
        <v>100000000</v>
      </c>
      <c r="G65" t="s">
        <v>296</v>
      </c>
    </row>
    <row r="66" s="16" customFormat="1" spans="1:7">
      <c r="A66" s="16">
        <v>65</v>
      </c>
      <c r="B66" s="21">
        <v>9</v>
      </c>
      <c r="C66" s="21" t="s">
        <v>297</v>
      </c>
      <c r="D66" s="22">
        <v>0</v>
      </c>
      <c r="E66" s="22">
        <v>1</v>
      </c>
      <c r="F66" s="21">
        <v>75</v>
      </c>
      <c r="G66" s="21" t="s">
        <v>27</v>
      </c>
    </row>
    <row r="67" spans="1:7">
      <c r="A67">
        <v>66</v>
      </c>
      <c r="B67" s="21">
        <v>9</v>
      </c>
      <c r="C67" s="21" t="s">
        <v>298</v>
      </c>
      <c r="D67" s="22">
        <v>0</v>
      </c>
      <c r="E67" s="22">
        <v>1</v>
      </c>
      <c r="F67" s="21">
        <v>150</v>
      </c>
      <c r="G67" s="21" t="s">
        <v>27</v>
      </c>
    </row>
    <row r="68" spans="1:7">
      <c r="A68">
        <v>67</v>
      </c>
      <c r="B68" s="21">
        <v>9</v>
      </c>
      <c r="C68" s="21" t="s">
        <v>299</v>
      </c>
      <c r="D68" s="22">
        <v>0</v>
      </c>
      <c r="E68" s="22">
        <v>1</v>
      </c>
      <c r="F68" s="21">
        <v>250</v>
      </c>
      <c r="G68" s="21" t="s">
        <v>27</v>
      </c>
    </row>
    <row r="69" spans="1:7">
      <c r="A69">
        <v>68</v>
      </c>
      <c r="B69" s="21">
        <v>9</v>
      </c>
      <c r="C69" s="21" t="s">
        <v>300</v>
      </c>
      <c r="D69" s="22">
        <v>1</v>
      </c>
      <c r="E69" s="22">
        <v>1</v>
      </c>
      <c r="F69" s="21">
        <v>10</v>
      </c>
      <c r="G69" s="21" t="s">
        <v>27</v>
      </c>
    </row>
    <row r="70" s="17" customFormat="1" spans="1:7">
      <c r="A70" s="17">
        <v>69</v>
      </c>
      <c r="B70" s="17">
        <v>9</v>
      </c>
      <c r="C70" s="17" t="s">
        <v>301</v>
      </c>
      <c r="D70" s="24">
        <v>1</v>
      </c>
      <c r="E70" s="24">
        <v>1</v>
      </c>
      <c r="F70" s="17">
        <v>75</v>
      </c>
      <c r="G70" s="17" t="s">
        <v>302</v>
      </c>
    </row>
    <row r="71" s="18" customFormat="1" spans="1:7">
      <c r="A71" s="18">
        <v>70</v>
      </c>
      <c r="B71" s="18">
        <v>9</v>
      </c>
      <c r="C71" s="18" t="s">
        <v>303</v>
      </c>
      <c r="D71" s="25">
        <v>0</v>
      </c>
      <c r="E71" s="25">
        <v>1</v>
      </c>
      <c r="F71" s="18">
        <v>75</v>
      </c>
      <c r="G71" s="18" t="s">
        <v>27</v>
      </c>
    </row>
    <row r="72" s="18" customFormat="1" spans="1:7">
      <c r="A72" s="18">
        <v>71</v>
      </c>
      <c r="B72" s="18">
        <v>9</v>
      </c>
      <c r="C72" s="18" t="s">
        <v>304</v>
      </c>
      <c r="D72" s="25">
        <v>0</v>
      </c>
      <c r="E72" s="25">
        <v>1</v>
      </c>
      <c r="F72" s="18">
        <v>150</v>
      </c>
      <c r="G72" s="18" t="s">
        <v>27</v>
      </c>
    </row>
    <row r="73" s="18" customFormat="1" spans="1:7">
      <c r="A73" s="18">
        <v>72</v>
      </c>
      <c r="B73" s="18">
        <v>9</v>
      </c>
      <c r="C73" s="18" t="s">
        <v>305</v>
      </c>
      <c r="D73" s="25">
        <v>0</v>
      </c>
      <c r="E73" s="25">
        <v>1</v>
      </c>
      <c r="F73" s="18">
        <v>250</v>
      </c>
      <c r="G73" s="18" t="s">
        <v>27</v>
      </c>
    </row>
    <row r="74" s="18" customFormat="1" spans="1:7">
      <c r="A74" s="18">
        <v>73</v>
      </c>
      <c r="B74" s="18">
        <v>9</v>
      </c>
      <c r="C74" s="18" t="s">
        <v>306</v>
      </c>
      <c r="D74" s="25">
        <v>1</v>
      </c>
      <c r="E74" s="25">
        <v>1</v>
      </c>
      <c r="F74" s="18">
        <v>10</v>
      </c>
      <c r="G74" s="18" t="s">
        <v>27</v>
      </c>
    </row>
    <row r="75" spans="1:7">
      <c r="A75" s="26">
        <v>74</v>
      </c>
      <c r="B75" s="26">
        <v>9</v>
      </c>
      <c r="C75" s="26" t="s">
        <v>307</v>
      </c>
      <c r="D75" s="27">
        <v>0</v>
      </c>
      <c r="E75" s="27">
        <v>1</v>
      </c>
      <c r="F75" s="26">
        <v>150</v>
      </c>
      <c r="G75" s="26" t="s">
        <v>27</v>
      </c>
    </row>
    <row r="76" spans="1:7">
      <c r="A76" s="26">
        <v>75</v>
      </c>
      <c r="B76" s="26">
        <v>9</v>
      </c>
      <c r="C76" s="26" t="s">
        <v>308</v>
      </c>
      <c r="D76" s="27">
        <v>0</v>
      </c>
      <c r="E76" s="27">
        <v>1</v>
      </c>
      <c r="F76" s="26">
        <v>250</v>
      </c>
      <c r="G76" s="26" t="s">
        <v>27</v>
      </c>
    </row>
    <row r="77" spans="1:7">
      <c r="A77" s="26">
        <v>76</v>
      </c>
      <c r="B77" s="26">
        <v>9</v>
      </c>
      <c r="C77" s="26" t="s">
        <v>309</v>
      </c>
      <c r="D77" s="27">
        <v>0</v>
      </c>
      <c r="E77" s="27">
        <v>1</v>
      </c>
      <c r="F77" s="26">
        <v>350</v>
      </c>
      <c r="G77" s="26" t="s">
        <v>27</v>
      </c>
    </row>
    <row r="78" spans="1:7">
      <c r="A78" s="26">
        <v>77</v>
      </c>
      <c r="B78" s="26">
        <v>9</v>
      </c>
      <c r="C78" s="26" t="s">
        <v>310</v>
      </c>
      <c r="D78" s="27">
        <v>1</v>
      </c>
      <c r="E78" s="27">
        <v>1</v>
      </c>
      <c r="F78" s="26">
        <v>10</v>
      </c>
      <c r="G78" s="26" t="s">
        <v>27</v>
      </c>
    </row>
    <row r="79" spans="1:7">
      <c r="A79" s="15">
        <v>78</v>
      </c>
      <c r="B79" s="15">
        <v>9</v>
      </c>
      <c r="C79" s="15" t="s">
        <v>311</v>
      </c>
      <c r="D79" s="10">
        <v>0</v>
      </c>
      <c r="E79" s="10">
        <v>1</v>
      </c>
      <c r="F79" s="15">
        <v>150</v>
      </c>
      <c r="G79" s="15" t="str">
        <f t="shared" ref="G79:G82" si="2">LOOKUP(B79,H:H,I:I)</f>
        <v>临时活动</v>
      </c>
    </row>
    <row r="80" spans="1:7">
      <c r="A80" s="15">
        <v>79</v>
      </c>
      <c r="B80" s="15">
        <v>9</v>
      </c>
      <c r="C80" s="15" t="s">
        <v>312</v>
      </c>
      <c r="D80" s="10">
        <v>0</v>
      </c>
      <c r="E80" s="10">
        <v>1</v>
      </c>
      <c r="F80" s="15">
        <v>250</v>
      </c>
      <c r="G80" s="15" t="str">
        <f t="shared" si="2"/>
        <v>临时活动</v>
      </c>
    </row>
    <row r="81" spans="1:7">
      <c r="A81" s="15">
        <v>80</v>
      </c>
      <c r="B81" s="15">
        <v>9</v>
      </c>
      <c r="C81" s="15" t="s">
        <v>313</v>
      </c>
      <c r="D81" s="10">
        <v>0</v>
      </c>
      <c r="E81" s="10">
        <v>1</v>
      </c>
      <c r="F81" s="15">
        <v>350</v>
      </c>
      <c r="G81" s="15" t="str">
        <f t="shared" si="2"/>
        <v>临时活动</v>
      </c>
    </row>
    <row r="82" spans="1:7">
      <c r="A82" s="15">
        <v>81</v>
      </c>
      <c r="B82" s="15">
        <v>9</v>
      </c>
      <c r="C82" s="15" t="s">
        <v>314</v>
      </c>
      <c r="D82" s="2">
        <v>1</v>
      </c>
      <c r="E82" s="2">
        <v>1</v>
      </c>
      <c r="F82" s="15">
        <v>10</v>
      </c>
      <c r="G82" s="15" t="str">
        <f t="shared" si="2"/>
        <v>临时活动</v>
      </c>
    </row>
    <row r="83" s="15" customFormat="1" spans="1:7">
      <c r="A83">
        <v>82</v>
      </c>
      <c r="B83" s="28">
        <v>9</v>
      </c>
      <c r="C83" s="28" t="s">
        <v>315</v>
      </c>
      <c r="D83" s="29">
        <v>0</v>
      </c>
      <c r="E83" s="29">
        <v>1</v>
      </c>
      <c r="F83" s="28">
        <v>250</v>
      </c>
      <c r="G83" s="28" t="s">
        <v>27</v>
      </c>
    </row>
    <row r="84" s="15" customFormat="1" spans="1:7">
      <c r="A84">
        <v>83</v>
      </c>
      <c r="B84" s="28">
        <v>9</v>
      </c>
      <c r="C84" s="28" t="s">
        <v>316</v>
      </c>
      <c r="D84" s="29">
        <v>0</v>
      </c>
      <c r="E84" s="29">
        <v>1</v>
      </c>
      <c r="F84" s="28">
        <v>350</v>
      </c>
      <c r="G84" s="28" t="s">
        <v>27</v>
      </c>
    </row>
    <row r="85" s="15" customFormat="1" spans="1:7">
      <c r="A85">
        <v>84</v>
      </c>
      <c r="B85" s="28">
        <v>9</v>
      </c>
      <c r="C85" s="28" t="s">
        <v>317</v>
      </c>
      <c r="D85" s="29">
        <v>0</v>
      </c>
      <c r="E85" s="29">
        <v>1</v>
      </c>
      <c r="F85" s="28">
        <v>450</v>
      </c>
      <c r="G85" s="28" t="s">
        <v>27</v>
      </c>
    </row>
    <row r="86" s="15" customFormat="1" spans="1:7">
      <c r="A86">
        <v>85</v>
      </c>
      <c r="B86" s="28">
        <v>9</v>
      </c>
      <c r="C86" s="28" t="s">
        <v>318</v>
      </c>
      <c r="D86" s="29">
        <v>1</v>
      </c>
      <c r="E86" s="29">
        <v>1</v>
      </c>
      <c r="F86" s="28">
        <v>10</v>
      </c>
      <c r="G86" s="28" t="s">
        <v>27</v>
      </c>
    </row>
    <row r="87" s="17" customFormat="1" spans="1:7">
      <c r="A87">
        <v>86</v>
      </c>
      <c r="B87" s="17">
        <v>9</v>
      </c>
      <c r="C87" s="17" t="s">
        <v>319</v>
      </c>
      <c r="D87" s="24">
        <v>1</v>
      </c>
      <c r="E87" s="24">
        <v>1</v>
      </c>
      <c r="F87" s="17">
        <v>200</v>
      </c>
      <c r="G87" s="17" t="s">
        <v>208</v>
      </c>
    </row>
    <row r="88" spans="1:7">
      <c r="A88">
        <v>87</v>
      </c>
      <c r="B88" s="26">
        <v>9</v>
      </c>
      <c r="C88" s="26" t="s">
        <v>320</v>
      </c>
      <c r="D88" s="27">
        <v>0</v>
      </c>
      <c r="E88" s="27">
        <v>1</v>
      </c>
      <c r="F88" s="26">
        <v>250</v>
      </c>
      <c r="G88" s="26" t="s">
        <v>27</v>
      </c>
    </row>
    <row r="89" spans="1:7">
      <c r="A89">
        <v>88</v>
      </c>
      <c r="B89" s="26">
        <v>9</v>
      </c>
      <c r="C89" s="26" t="s">
        <v>321</v>
      </c>
      <c r="D89" s="27">
        <v>0</v>
      </c>
      <c r="E89" s="27">
        <v>1</v>
      </c>
      <c r="F89" s="26">
        <v>350</v>
      </c>
      <c r="G89" s="26" t="s">
        <v>27</v>
      </c>
    </row>
    <row r="90" spans="1:7">
      <c r="A90">
        <v>89</v>
      </c>
      <c r="B90" s="26">
        <v>9</v>
      </c>
      <c r="C90" s="26" t="s">
        <v>322</v>
      </c>
      <c r="D90" s="27">
        <v>0</v>
      </c>
      <c r="E90" s="27">
        <v>1</v>
      </c>
      <c r="F90" s="26">
        <v>450</v>
      </c>
      <c r="G90" s="26" t="s">
        <v>27</v>
      </c>
    </row>
    <row r="91" spans="1:7">
      <c r="A91">
        <v>90</v>
      </c>
      <c r="B91" s="26">
        <v>9</v>
      </c>
      <c r="C91" s="26" t="s">
        <v>323</v>
      </c>
      <c r="D91" s="27">
        <v>1</v>
      </c>
      <c r="E91" s="27">
        <v>1</v>
      </c>
      <c r="F91" s="26">
        <v>10</v>
      </c>
      <c r="G91" s="26" t="s">
        <v>27</v>
      </c>
    </row>
    <row r="92" spans="1:7">
      <c r="A92">
        <v>91</v>
      </c>
      <c r="B92">
        <v>9</v>
      </c>
      <c r="C92" s="15" t="s">
        <v>324</v>
      </c>
      <c r="D92" s="2">
        <v>0</v>
      </c>
      <c r="E92" s="2">
        <v>1</v>
      </c>
      <c r="F92">
        <v>50</v>
      </c>
      <c r="G92" s="26" t="s">
        <v>27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191</v>
      </c>
      <c r="B1" s="1" t="s">
        <v>325</v>
      </c>
      <c r="C1" s="1" t="s">
        <v>326</v>
      </c>
      <c r="D1" s="1" t="s">
        <v>196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4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3"/>
  <sheetViews>
    <sheetView workbookViewId="0">
      <pane ySplit="1" topLeftCell="A38" activePane="bottomLeft" state="frozen"/>
      <selection/>
      <selection pane="bottomLeft" activeCell="E65" sqref="E65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327</v>
      </c>
      <c r="B1" s="1" t="s">
        <v>328</v>
      </c>
      <c r="C1" s="1" t="s">
        <v>7</v>
      </c>
      <c r="D1" s="1" t="s">
        <v>168</v>
      </c>
      <c r="E1" s="1" t="s">
        <v>329</v>
      </c>
      <c r="F1" s="1" t="s">
        <v>330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331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332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333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334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335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336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337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338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80</v>
      </c>
      <c r="D10" s="5">
        <f t="shared" si="0"/>
        <v>0.0125</v>
      </c>
      <c r="E10" s="9" t="s">
        <v>339</v>
      </c>
      <c r="F10" s="5">
        <f t="shared" si="1"/>
        <v>80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340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341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342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343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344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345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346</v>
      </c>
      <c r="F17" s="5">
        <f t="shared" si="1"/>
        <v>35</v>
      </c>
      <c r="G17" s="5">
        <v>0</v>
      </c>
      <c r="H17" s="5" t="s">
        <v>347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348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349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100</v>
      </c>
      <c r="D20" s="5">
        <f t="shared" si="0"/>
        <v>0.01</v>
      </c>
      <c r="E20" s="10" t="s">
        <v>350</v>
      </c>
      <c r="F20" s="5">
        <f t="shared" si="1"/>
        <v>100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351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352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353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354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355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356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357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358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359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360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361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362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363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364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250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365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247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366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367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368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369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370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371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372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373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374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356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375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376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377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187</v>
      </c>
      <c r="F51" s="3">
        <f t="shared" si="4"/>
        <v>0</v>
      </c>
      <c r="G51" s="3">
        <v>0</v>
      </c>
    </row>
    <row r="52" spans="1:7">
      <c r="A52" s="6">
        <v>51</v>
      </c>
      <c r="B52" s="6">
        <v>1</v>
      </c>
      <c r="C52" s="6">
        <v>100</v>
      </c>
      <c r="D52" s="6">
        <f t="shared" si="3"/>
        <v>0.01</v>
      </c>
      <c r="E52" s="6" t="s">
        <v>378</v>
      </c>
      <c r="F52" s="6">
        <v>200</v>
      </c>
      <c r="G52" s="6">
        <v>0</v>
      </c>
    </row>
    <row r="53" s="6" customFormat="1" spans="1:7">
      <c r="A53" s="6">
        <v>52</v>
      </c>
      <c r="B53" s="6">
        <v>1</v>
      </c>
      <c r="C53" s="6">
        <v>100</v>
      </c>
      <c r="D53" s="6">
        <f t="shared" si="3"/>
        <v>0.01</v>
      </c>
      <c r="E53" s="6" t="s">
        <v>379</v>
      </c>
      <c r="F53" s="6">
        <v>200</v>
      </c>
      <c r="G53" s="6">
        <v>0</v>
      </c>
    </row>
    <row r="54" s="6" customFormat="1" spans="1:7">
      <c r="A54" s="6">
        <v>53</v>
      </c>
      <c r="B54" s="6">
        <v>1</v>
      </c>
      <c r="C54" s="6">
        <v>100</v>
      </c>
      <c r="D54" s="6">
        <f t="shared" si="3"/>
        <v>0.01</v>
      </c>
      <c r="E54" s="11" t="s">
        <v>380</v>
      </c>
      <c r="F54" s="6">
        <v>200</v>
      </c>
      <c r="G54" s="6">
        <v>0</v>
      </c>
    </row>
    <row r="55" s="6" customFormat="1" spans="1:7">
      <c r="A55" s="6">
        <v>54</v>
      </c>
      <c r="B55" s="6">
        <v>1</v>
      </c>
      <c r="C55" s="6">
        <v>100</v>
      </c>
      <c r="D55" s="6">
        <f t="shared" si="3"/>
        <v>0.01</v>
      </c>
      <c r="E55" s="11" t="s">
        <v>381</v>
      </c>
      <c r="F55" s="6">
        <v>200</v>
      </c>
      <c r="G55" s="6">
        <v>0</v>
      </c>
    </row>
    <row r="56" s="6" customFormat="1" spans="1:7">
      <c r="A56" s="6">
        <v>55</v>
      </c>
      <c r="B56" s="6">
        <v>1</v>
      </c>
      <c r="C56" s="6">
        <v>100</v>
      </c>
      <c r="D56" s="6">
        <f t="shared" si="3"/>
        <v>0.01</v>
      </c>
      <c r="E56" s="11" t="s">
        <v>382</v>
      </c>
      <c r="F56" s="6">
        <v>200</v>
      </c>
      <c r="G56" s="6">
        <v>0</v>
      </c>
    </row>
    <row r="57" s="7" customFormat="1" spans="1:7">
      <c r="A57" s="7">
        <v>56</v>
      </c>
      <c r="B57" s="7">
        <v>1</v>
      </c>
      <c r="C57" s="7">
        <v>0</v>
      </c>
      <c r="D57" s="7">
        <f t="shared" si="3"/>
        <v>0</v>
      </c>
      <c r="E57" s="12" t="s">
        <v>383</v>
      </c>
      <c r="F57" s="7">
        <v>0</v>
      </c>
      <c r="G57" s="7">
        <v>0</v>
      </c>
    </row>
    <row r="58" s="7" customFormat="1" spans="1:7">
      <c r="A58" s="7">
        <v>57</v>
      </c>
      <c r="B58" s="7">
        <v>1</v>
      </c>
      <c r="C58" s="7">
        <v>0</v>
      </c>
      <c r="D58" s="7">
        <v>0</v>
      </c>
      <c r="E58" s="7" t="s">
        <v>384</v>
      </c>
      <c r="F58" s="7">
        <v>0</v>
      </c>
      <c r="G58" s="7">
        <v>0</v>
      </c>
    </row>
    <row r="59" s="7" customFormat="1" spans="1:7">
      <c r="A59" s="7">
        <v>58</v>
      </c>
      <c r="B59" s="7">
        <v>1</v>
      </c>
      <c r="C59" s="7">
        <v>0</v>
      </c>
      <c r="D59" s="7">
        <v>0</v>
      </c>
      <c r="E59" s="7" t="s">
        <v>385</v>
      </c>
      <c r="F59" s="7">
        <v>0</v>
      </c>
      <c r="G59" s="7">
        <v>0</v>
      </c>
    </row>
    <row r="60" s="7" customFormat="1" spans="1:7">
      <c r="A60" s="7">
        <v>59</v>
      </c>
      <c r="B60" s="7">
        <v>1</v>
      </c>
      <c r="C60" s="7">
        <v>0</v>
      </c>
      <c r="D60" s="7">
        <v>0</v>
      </c>
      <c r="E60" s="7" t="s">
        <v>302</v>
      </c>
      <c r="F60" s="7">
        <v>0</v>
      </c>
      <c r="G60" s="7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386</v>
      </c>
      <c r="F61" s="7">
        <v>0</v>
      </c>
      <c r="G61" s="7">
        <v>0</v>
      </c>
    </row>
    <row r="62" s="5" customFormat="1" spans="1:7">
      <c r="A62" s="13">
        <v>61</v>
      </c>
      <c r="B62" s="13">
        <v>1</v>
      </c>
      <c r="C62" s="13">
        <v>0</v>
      </c>
      <c r="D62" s="13">
        <v>0</v>
      </c>
      <c r="E62" s="13" t="s">
        <v>387</v>
      </c>
      <c r="F62" s="13">
        <v>0</v>
      </c>
      <c r="G62" s="13">
        <v>0</v>
      </c>
    </row>
    <row r="63" s="7" customFormat="1" spans="1:7">
      <c r="A63" s="3">
        <v>62</v>
      </c>
      <c r="B63" s="3">
        <v>1</v>
      </c>
      <c r="C63" s="3">
        <v>0</v>
      </c>
      <c r="D63" s="3">
        <v>0</v>
      </c>
      <c r="E63" s="3" t="s">
        <v>388</v>
      </c>
      <c r="F63" s="3">
        <v>0</v>
      </c>
      <c r="G63" s="3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workbookViewId="0">
      <selection activeCell="I119" sqref="I119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389</v>
      </c>
      <c r="B1" s="1" t="s">
        <v>390</v>
      </c>
      <c r="C1" s="1" t="s">
        <v>391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392</v>
      </c>
      <c r="B1" s="1" t="s">
        <v>393</v>
      </c>
      <c r="C1" s="1" t="s">
        <v>394</v>
      </c>
      <c r="D1" s="1" t="s">
        <v>395</v>
      </c>
      <c r="XFD1" s="1"/>
    </row>
    <row r="2" spans="1:4">
      <c r="A2">
        <v>1</v>
      </c>
      <c r="B2" t="s">
        <v>396</v>
      </c>
      <c r="C2">
        <v>10</v>
      </c>
      <c r="D2">
        <v>0</v>
      </c>
    </row>
    <row r="3" spans="1:4">
      <c r="A3">
        <v>2</v>
      </c>
      <c r="B3" t="s">
        <v>397</v>
      </c>
      <c r="C3">
        <v>20</v>
      </c>
      <c r="D3">
        <v>0</v>
      </c>
    </row>
    <row r="4" spans="1:4">
      <c r="A4">
        <v>3</v>
      </c>
      <c r="B4" t="s">
        <v>398</v>
      </c>
      <c r="C4">
        <v>15</v>
      </c>
      <c r="D4">
        <v>0</v>
      </c>
    </row>
    <row r="5" spans="1:4">
      <c r="A5">
        <v>4</v>
      </c>
      <c r="B5" t="s">
        <v>399</v>
      </c>
      <c r="C5">
        <v>15</v>
      </c>
      <c r="D5">
        <v>0</v>
      </c>
    </row>
    <row r="6" spans="1:4">
      <c r="A6">
        <v>5</v>
      </c>
      <c r="B6" t="s">
        <v>400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401</v>
      </c>
      <c r="B1" s="1" t="s">
        <v>402</v>
      </c>
      <c r="C1" s="1" t="s">
        <v>199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403</v>
      </c>
      <c r="C2" s="3"/>
    </row>
    <row r="3" spans="1:3">
      <c r="A3" s="3">
        <v>2</v>
      </c>
      <c r="B3" s="3" t="s">
        <v>404</v>
      </c>
      <c r="C3" s="3" t="s">
        <v>405</v>
      </c>
    </row>
    <row r="4" spans="1:3">
      <c r="A4" s="3">
        <v>3</v>
      </c>
      <c r="B4" s="3" t="s">
        <v>406</v>
      </c>
      <c r="C4" s="3" t="s">
        <v>407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392</v>
      </c>
      <c r="B1" s="1" t="s">
        <v>408</v>
      </c>
      <c r="C1" s="1" t="s">
        <v>409</v>
      </c>
      <c r="D1" s="1" t="s">
        <v>410</v>
      </c>
      <c r="E1" s="1" t="s">
        <v>411</v>
      </c>
      <c r="F1" s="1" t="s">
        <v>199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412</v>
      </c>
      <c r="D2" s="3">
        <v>0</v>
      </c>
      <c r="E2" s="3"/>
      <c r="F2" t="s">
        <v>413</v>
      </c>
    </row>
    <row r="3" ht="39" customHeight="1" spans="1:6">
      <c r="A3" s="3">
        <v>2</v>
      </c>
      <c r="B3" s="3">
        <v>1</v>
      </c>
      <c r="C3" s="3" t="s">
        <v>414</v>
      </c>
      <c r="D3" s="3">
        <v>1</v>
      </c>
      <c r="E3" s="3" t="s">
        <v>415</v>
      </c>
      <c r="F3" t="s">
        <v>416</v>
      </c>
    </row>
    <row r="4" ht="63.75" customHeight="1" spans="1:6">
      <c r="A4" s="3">
        <v>3</v>
      </c>
      <c r="B4" s="3">
        <v>1</v>
      </c>
      <c r="C4" s="3" t="s">
        <v>414</v>
      </c>
      <c r="D4" s="3">
        <v>0</v>
      </c>
      <c r="E4" s="4" t="s">
        <v>417</v>
      </c>
      <c r="F4" t="s">
        <v>418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419</v>
      </c>
      <c r="B1" s="1" t="s">
        <v>420</v>
      </c>
      <c r="C1" t="s">
        <v>199</v>
      </c>
    </row>
    <row r="2" spans="1:3">
      <c r="A2">
        <v>1</v>
      </c>
      <c r="B2" t="s">
        <v>421</v>
      </c>
      <c r="C2" t="s">
        <v>422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2021-07-09T06:45:52Z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