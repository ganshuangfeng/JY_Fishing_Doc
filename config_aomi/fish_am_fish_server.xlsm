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26" i="7" l="1"/>
  <c r="J125" i="7"/>
  <c r="J124" i="7"/>
  <c r="J123" i="7"/>
  <c r="H123" i="7"/>
  <c r="J122" i="7"/>
  <c r="K110" i="14"/>
  <c r="I110" i="14"/>
  <c r="L110" i="14" s="1"/>
  <c r="H110" i="14"/>
  <c r="E110" i="14"/>
  <c r="F110" i="14" s="1"/>
  <c r="K109" i="14"/>
  <c r="I109" i="14"/>
  <c r="L109" i="14" s="1"/>
  <c r="H109" i="14"/>
  <c r="E109" i="14"/>
  <c r="F109" i="14" s="1"/>
  <c r="K108" i="14"/>
  <c r="I108" i="14"/>
  <c r="L108" i="14" s="1"/>
  <c r="H108" i="14"/>
  <c r="E108" i="14"/>
  <c r="F108" i="14" s="1"/>
  <c r="K107" i="14"/>
  <c r="I107" i="14"/>
  <c r="L107" i="14" s="1"/>
  <c r="H107" i="14"/>
  <c r="E107" i="14"/>
  <c r="F107" i="14" s="1"/>
  <c r="K106" i="14"/>
  <c r="I106" i="14"/>
  <c r="L106" i="14" s="1"/>
  <c r="H106" i="14"/>
  <c r="E106" i="14"/>
  <c r="F106" i="14" s="1"/>
  <c r="I124" i="7" l="1"/>
  <c r="H122" i="7"/>
  <c r="I123" i="7"/>
  <c r="H126" i="7"/>
  <c r="I122" i="7"/>
  <c r="H125" i="7"/>
  <c r="I126" i="7"/>
  <c r="H124" i="7"/>
  <c r="I125" i="7"/>
  <c r="G82" i="5"/>
  <c r="G81" i="5"/>
  <c r="G80" i="5"/>
  <c r="G79" i="5"/>
  <c r="H98" i="7" l="1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I98" i="7" l="1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L105" i="14" l="1"/>
  <c r="K105" i="14"/>
  <c r="H105" i="14"/>
  <c r="F105" i="14"/>
  <c r="L104" i="14"/>
  <c r="K104" i="14"/>
  <c r="J120" i="7" s="1"/>
  <c r="H104" i="14"/>
  <c r="F104" i="14"/>
  <c r="L103" i="14"/>
  <c r="K103" i="14"/>
  <c r="J119" i="7" s="1"/>
  <c r="H103" i="14"/>
  <c r="F103" i="14"/>
  <c r="L102" i="14"/>
  <c r="K102" i="14"/>
  <c r="J118" i="7" s="1"/>
  <c r="H102" i="14"/>
  <c r="F102" i="14"/>
  <c r="L101" i="14"/>
  <c r="K101" i="14"/>
  <c r="J117" i="7" s="1"/>
  <c r="H101" i="14"/>
  <c r="F101" i="14"/>
  <c r="L100" i="14"/>
  <c r="K100" i="14"/>
  <c r="J116" i="7" s="1"/>
  <c r="H100" i="14"/>
  <c r="F100" i="14"/>
  <c r="L99" i="14"/>
  <c r="K99" i="14"/>
  <c r="J115" i="7" s="1"/>
  <c r="H99" i="14"/>
  <c r="F99" i="14"/>
  <c r="L98" i="14"/>
  <c r="K98" i="14"/>
  <c r="J114" i="7" s="1"/>
  <c r="H98" i="14"/>
  <c r="F98" i="14"/>
  <c r="L97" i="14"/>
  <c r="K97" i="14"/>
  <c r="J113" i="7" s="1"/>
  <c r="H97" i="14"/>
  <c r="F97" i="14"/>
  <c r="L96" i="14"/>
  <c r="K96" i="14"/>
  <c r="J112" i="7" s="1"/>
  <c r="H96" i="14"/>
  <c r="F96" i="14"/>
  <c r="L95" i="14"/>
  <c r="K95" i="14"/>
  <c r="J111" i="7" s="1"/>
  <c r="H95" i="14"/>
  <c r="F95" i="14"/>
  <c r="L94" i="14"/>
  <c r="K94" i="14"/>
  <c r="J110" i="7" s="1"/>
  <c r="H94" i="14"/>
  <c r="F94" i="14"/>
  <c r="L93" i="14"/>
  <c r="K93" i="14"/>
  <c r="J109" i="7" s="1"/>
  <c r="H93" i="14"/>
  <c r="F93" i="14"/>
  <c r="L92" i="14"/>
  <c r="K92" i="14"/>
  <c r="J108" i="7" s="1"/>
  <c r="H92" i="14"/>
  <c r="F92" i="14"/>
  <c r="L91" i="14"/>
  <c r="K91" i="14"/>
  <c r="J107" i="7" s="1"/>
  <c r="H91" i="14"/>
  <c r="F91" i="14"/>
  <c r="L90" i="14"/>
  <c r="K90" i="14"/>
  <c r="J106" i="7" s="1"/>
  <c r="H90" i="14"/>
  <c r="F90" i="14"/>
  <c r="L89" i="14"/>
  <c r="K89" i="14"/>
  <c r="J105" i="7" s="1"/>
  <c r="H89" i="14"/>
  <c r="F89" i="14"/>
  <c r="L88" i="14"/>
  <c r="K88" i="14"/>
  <c r="J104" i="7" s="1"/>
  <c r="H88" i="14"/>
  <c r="F88" i="14"/>
  <c r="F85" i="14"/>
  <c r="F86" i="14"/>
  <c r="F87" i="14"/>
  <c r="F82" i="14"/>
  <c r="K87" i="14"/>
  <c r="J103" i="7" s="1"/>
  <c r="L87" i="14"/>
  <c r="H87" i="14"/>
  <c r="K86" i="14"/>
  <c r="J102" i="7" s="1"/>
  <c r="L86" i="14"/>
  <c r="H86" i="14"/>
  <c r="K85" i="14"/>
  <c r="J101" i="7" s="1"/>
  <c r="L85" i="14"/>
  <c r="H85" i="14"/>
  <c r="K84" i="14"/>
  <c r="J100" i="7" s="1"/>
  <c r="L84" i="14"/>
  <c r="H84" i="14"/>
  <c r="F84" i="14"/>
  <c r="K83" i="14"/>
  <c r="J99" i="7" s="1"/>
  <c r="L83" i="14"/>
  <c r="H83" i="14"/>
  <c r="F83" i="14"/>
  <c r="K82" i="14"/>
  <c r="J98" i="7" s="1"/>
  <c r="L82" i="14"/>
  <c r="H82" i="14"/>
  <c r="J121" i="7" l="1"/>
  <c r="E80" i="14" l="1"/>
  <c r="J96" i="7" l="1"/>
  <c r="J97" i="7"/>
  <c r="I80" i="14"/>
  <c r="I96" i="7" s="1"/>
  <c r="I81" i="14"/>
  <c r="H80" i="14"/>
  <c r="H81" i="14"/>
  <c r="H96" i="7"/>
  <c r="H97" i="7"/>
  <c r="I97" i="7" l="1"/>
  <c r="F80" i="14"/>
  <c r="L81" i="14"/>
  <c r="L80" i="14"/>
  <c r="D57" i="1" l="1"/>
  <c r="D56" i="1"/>
  <c r="D55" i="1"/>
  <c r="D54" i="1"/>
  <c r="E72" i="14"/>
  <c r="F72" i="14" s="1"/>
  <c r="E73" i="14"/>
  <c r="F73" i="14" s="1"/>
  <c r="D53" i="1"/>
  <c r="D52" i="1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K79" i="14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I72" i="14"/>
  <c r="I88" i="7" s="1"/>
  <c r="K72" i="14"/>
  <c r="J88" i="7" s="1"/>
  <c r="H72" i="14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H33" i="14"/>
  <c r="F42" i="1"/>
  <c r="F39" i="1"/>
  <c r="H40" i="7"/>
  <c r="F26" i="1"/>
  <c r="I26" i="14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5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F67" i="14" l="1"/>
  <c r="H83" i="7"/>
  <c r="J16" i="7"/>
  <c r="J67" i="7"/>
  <c r="L72" i="14"/>
  <c r="J19" i="7"/>
  <c r="J95" i="7"/>
  <c r="L56" i="14"/>
  <c r="I83" i="7"/>
  <c r="I95" i="7"/>
  <c r="L30" i="14"/>
  <c r="L17" i="14"/>
  <c r="H53" i="7"/>
  <c r="F52" i="14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J4" i="7"/>
  <c r="J26" i="7"/>
  <c r="J14" i="7"/>
  <c r="J22" i="7"/>
  <c r="J7" i="7"/>
  <c r="J2" i="7"/>
  <c r="J18" i="7"/>
  <c r="J3" i="7"/>
  <c r="L16" i="14"/>
  <c r="L9" i="14"/>
  <c r="L66" i="14"/>
  <c r="L59" i="14"/>
  <c r="L55" i="14"/>
  <c r="L61" i="14"/>
  <c r="L31" i="14"/>
  <c r="F41" i="14"/>
  <c r="I34" i="7"/>
  <c r="H66" i="7"/>
  <c r="I56" i="7"/>
  <c r="I29" i="7"/>
  <c r="L13" i="14"/>
  <c r="I12" i="7"/>
  <c r="J12" i="7"/>
  <c r="I35" i="7"/>
  <c r="L22" i="14"/>
  <c r="L73" i="14"/>
  <c r="I87" i="7"/>
  <c r="I54" i="7"/>
  <c r="L48" i="14"/>
  <c r="H65" i="7"/>
  <c r="L52" i="14"/>
  <c r="I55" i="7"/>
  <c r="F2" i="14"/>
  <c r="I38" i="7"/>
  <c r="F37" i="14"/>
  <c r="H11" i="7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H8" i="7"/>
  <c r="H14" i="7"/>
  <c r="F8" i="14"/>
  <c r="H18" i="7"/>
  <c r="I66" i="7"/>
  <c r="F55" i="14"/>
  <c r="L65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I25" i="7"/>
  <c r="I58" i="7"/>
  <c r="L16" i="7" a="1"/>
  <c r="L16" i="7" s="1"/>
  <c r="H44" i="7"/>
  <c r="F17" i="14"/>
  <c r="H47" i="7"/>
  <c r="H3" i="7"/>
  <c r="H19" i="7"/>
  <c r="H5" i="7"/>
  <c r="H87" i="7"/>
  <c r="H9" i="7"/>
  <c r="H25" i="7"/>
  <c r="F18" i="14"/>
  <c r="H88" i="7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J13" i="7"/>
  <c r="L77" i="14"/>
  <c r="K37" i="7" a="1"/>
  <c r="K37" i="7" s="1"/>
  <c r="J17" i="7"/>
  <c r="L50" i="14"/>
  <c r="I74" i="7"/>
  <c r="I86" i="7"/>
  <c r="H13" i="7"/>
  <c r="H89" i="7"/>
  <c r="L23" i="14"/>
  <c r="I2" i="7"/>
  <c r="F35" i="14"/>
  <c r="I53" i="7"/>
  <c r="I3" i="7"/>
  <c r="H16" i="7"/>
  <c r="F36" i="14"/>
  <c r="J20" i="7"/>
  <c r="J23" i="7"/>
  <c r="I70" i="7"/>
  <c r="H70" i="7"/>
  <c r="H63" i="7"/>
  <c r="I47" i="7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K11" i="7" a="1"/>
  <c r="K11" i="7" s="1"/>
  <c r="I15" i="7"/>
  <c r="I16" i="7"/>
  <c r="I19" i="7"/>
  <c r="I67" i="7"/>
  <c r="K18" i="7" a="1"/>
  <c r="K18" i="7" s="1"/>
  <c r="K40" i="7" a="1"/>
  <c r="K40" i="7" s="1"/>
  <c r="K38" i="7" a="1"/>
  <c r="K38" i="7" s="1"/>
  <c r="F68" i="14"/>
  <c r="I78" i="7"/>
  <c r="F70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K41" i="7" a="1"/>
  <c r="K41" i="7" s="1"/>
  <c r="H85" i="7"/>
  <c r="I50" i="7"/>
  <c r="I33" i="7"/>
  <c r="L60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<sst xmlns="http://schemas.openxmlformats.org/spreadsheetml/2006/main" count="651" uniqueCount="440">
  <si>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</si>
  <si>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</si>
  <si>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</si>
  <si>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</si>
  <si>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</si>
  <si>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</si>
  <si>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</si>
  <si>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</si>
  <si>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</si>
  <si>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</si>
  <si>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</si>
  <si>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</si>
  <si>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</si>
  <si>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</si>
  <si>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</si>
  <si>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</si>
  <si>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</si>
  <si>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</si>
  <si>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</si>
  <si>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</si>
  <si>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</si>
  <si>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</si>
  <si>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</si>
  <si>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</si>
  <si>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</si>
  <si>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</si>
  <si>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</si>
  <si>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</si>
  <si>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</si>
  <si>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</si>
  <si>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</si>
  <si>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</si>
  <si>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</si>
  <si>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</si>
  <si>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</si>
  <si>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</si>
  <si>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</si>
  <si>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</si>
  <si>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</si>
  <si>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</si>
  <si>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</si>
  <si>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</si>
  <si>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</si>
  <si>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</si>
  <si>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</si>
  <si>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</si>
  <si>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</si>
  <si>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</si>
  <si>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</si>
  <si>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</si>
  <si>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</si>
  <si>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</si>
  <si>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</si>
  <si>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</si>
  <si>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</si>
  <si>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</si>
  <si>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</si>
  <si>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</si>
  <si>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</si>
  <si>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</si>
  <si>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</si>
  <si>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</si>
  <si>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</si>
  <si>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</si>
  <si>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</si>
  <si>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</si>
  <si>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</si>
  <si>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</si>
  <si>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</si>
  <si>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</si>
  <si>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</si>
  <si>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</si>
  <si>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</si>
  <si>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</si>
  <si>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</si>
  <si>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</si>
  <si>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</si>
  <si>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</si>
  <si>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</si>
  <si>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</si>
  <si>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</si>
  <si>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</si>
  <si>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</si>
  <si>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</si>
  <si>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</si>
  <si>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</si>
  <si>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</si>
  <si>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</si>
  <si>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</si>
  <si>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</si>
  <si>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</si>
  <si>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</si>
  <si>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</si>
  <si>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</si>
  <si>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</si>
  <si>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</si>
  <si>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</si>
  <si>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</si>
  <si>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</si>
  <si>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</si>
  <si>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</si>
  <si>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</si>
  <si>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</si>
  <si>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</si>
  <si>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</si>
  <si>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</si>
  <si>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</si>
  <si>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</si>
  <si>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</si>
  <si>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</si>
  <si>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</si>
  <si>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</si>
  <si>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</si>
  <si>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</si>
  <si>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</si>
  <si>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</si>
  <si>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</si>
  <si>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</si>
  <si>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</si>
  <si>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</si>
  <si>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</si>
  <si>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</si>
  <si>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</si>
  <si>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</si>
  <si>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</si>
  <si>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</si>
  <si>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</si>
  <si>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</si>
  <si>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</si>
  <si>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</si>
  <si>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</si>
  <si>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</si>
  <si>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</si>
  <si>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</si>
  <si>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</si>
  <si>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</si>
  <si>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</si>
  <si>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</si>
  <si>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</si>
  <si>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</si>
  <si>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</si>
  <si>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</si>
  <si>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</si>
  <si>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</si>
  <si>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</si>
  <si>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</si>
  <si>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</si>
  <si>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</si>
  <si>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</si>
  <si>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</si>
  <si>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</si>
  <si>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</si>
  <si>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</si>
  <si>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</si>
  <si>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</si>
  <si>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</si>
  <si>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</si>
  <si>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</si>
  <si>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</si>
  <si>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</si>
  <si>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</si>
  <si>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</si>
  <si>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</si>
  <si>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</si>
  <si>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</si>
  <si>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</si>
  <si>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</si>
  <si>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</si>
  <si>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</si>
  <si>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</si>
  <si>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</si>
  <si>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</si>
  <si>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</si>
  <si>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</si>
  <si>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</si>
  <si>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</si>
  <si>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</si>
  <si>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</si>
  <si>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</si>
  <si>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</si>
  <si>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</si>
  <si>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</si>
  <si>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</si>
  <si>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</si>
  <si>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</si>
  <si>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</si>
  <si>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</si>
  <si>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</si>
  <si>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</si>
  <si>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小海龟</t>
  </si>
  <si>
    <t>狮子鱼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</si>
  <si>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</si>
  <si>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</si>
  <si>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</si>
  <si>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</si>
  <si>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</si>
  <si>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</si>
  <si>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</si>
  <si>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</si>
  <si>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</si>
  <si>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</si>
  <si>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</si>
  <si>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</si>
  <si>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</si>
  <si>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</si>
  <si>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</si>
  <si>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</si>
  <si>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</si>
  <si>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</si>
  <si>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</si>
  <si>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</si>
  <si>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</si>
  <si>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</si>
  <si>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</si>
  <si>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</si>
  <si>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</si>
  <si>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</si>
  <si>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</si>
  <si>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</si>
  <si>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</si>
  <si>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</si>
  <si>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</si>
  <si>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</si>
  <si>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</si>
  <si>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</si>
  <si>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</si>
  <si>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</si>
  <si>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</si>
  <si>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</si>
  <si>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</si>
  <si>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</si>
  <si>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</si>
  <si>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</si>
  <si>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</si>
  <si>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</si>
  <si>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</si>
  <si>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</si>
  <si>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</si>
  <si>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</si>
  <si>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</si>
  <si>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</si>
  <si>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</si>
  <si>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</si>
  <si>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</si>
  <si>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</si>
  <si>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</si>
  <si>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</si>
  <si>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</si>
  <si>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</si>
  <si>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</si>
  <si>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</si>
  <si>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</si>
  <si>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</si>
  <si>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</si>
  <si>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</si>
  <si>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</si>
  <si>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</si>
  <si>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</si>
  <si>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</si>
  <si>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</si>
  <si>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</si>
  <si>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</si>
  <si>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</si>
  <si>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</si>
  <si>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</si>
  <si>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</si>
  <si>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</si>
  <si>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</si>
  <si>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</si>
  <si>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</si>
  <si>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</si>
  <si>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</si>
  <si>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</si>
  <si>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</si>
  <si>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</si>
  <si>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</si>
  <si>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</si>
  <si>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</si>
  <si>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</si>
  <si>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</si>
  <si>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</si>
  <si>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</si>
  <si>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</si>
  <si>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</si>
  <si>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</si>
  <si>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</si>
  <si>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</si>
  <si>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</si>
  <si>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</si>
  <si>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</si>
  <si>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</si>
  <si>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</si>
  <si>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</si>
  <si>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</si>
  <si>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</si>
  <si>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</si>
  <si>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</si>
  <si>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</si>
  <si>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</si>
  <si>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</si>
  <si>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</si>
  <si>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</si>
  <si>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</si>
  <si>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</si>
  <si>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</si>
  <si>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</si>
  <si>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</si>
  <si>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</si>
  <si>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</si>
  <si>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</si>
  <si>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</si>
  <si>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</si>
  <si>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</si>
  <si>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</si>
  <si>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</si>
  <si>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</si>
  <si>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</si>
  <si>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</si>
  <si>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</si>
  <si>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</si>
  <si>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</si>
  <si>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</si>
  <si>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</si>
  <si>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</si>
  <si>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</si>
  <si>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</si>
  <si>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</si>
  <si>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activity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</si>
  <si>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</si>
  <si>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</si>
  <si>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</si>
  <si>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</si>
  <si>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</si>
  <si>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</si>
  <si>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</si>
  <si>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</si>
  <si>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</si>
  <si>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</si>
  <si>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</si>
  <si>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</si>
  <si>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</si>
  <si>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</si>
  <si>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</si>
  <si>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</si>
  <si>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</si>
  <si>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</si>
  <si>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</si>
  <si>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</si>
  <si>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</si>
  <si>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</si>
  <si>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</si>
  <si>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</si>
  <si>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</si>
  <si>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</si>
  <si>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</si>
  <si>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</si>
  <si>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</si>
  <si>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</si>
  <si>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</si>
  <si>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</si>
  <si>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</si>
  <si>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</si>
  <si>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</si>
  <si>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</si>
  <si>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</si>
  <si>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</si>
  <si>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</si>
  <si>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</si>
  <si>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</si>
  <si>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</si>
  <si>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</si>
  <si>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</si>
  <si>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</si>
  <si>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</si>
  <si>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</si>
  <si>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</si>
  <si>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</si>
  <si>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</si>
  <si>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</si>
  <si>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</si>
  <si>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</si>
  <si>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</si>
  <si>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</si>
  <si>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</si>
  <si>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</si>
  <si>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</si>
  <si>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</si>
  <si>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</si>
  <si>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50,100</t>
    <phoneticPr fontId="1" type="noConversion"/>
  </si>
  <si>
    <t>袜子boss</t>
    <phoneticPr fontId="1" type="noConversion"/>
  </si>
  <si>
    <t>星星boss</t>
    <phoneticPr fontId="1" type="noConversion"/>
  </si>
  <si>
    <t>"prop_qdlb_xx",0,0.2,0.3</t>
  </si>
  <si>
    <t>"prop_qdlb_xx",0,0.3,0.4</t>
  </si>
  <si>
    <t>小丑boss</t>
    <phoneticPr fontId="1" type="noConversion"/>
  </si>
  <si>
    <t>0,0,0.2,0.3</t>
    <phoneticPr fontId="1" type="noConversion"/>
  </si>
  <si>
    <t>0,0,0.2,0.4</t>
    <phoneticPr fontId="1" type="noConversion"/>
  </si>
  <si>
    <t>0,0,0.01</t>
    <phoneticPr fontId="1" type="noConversion"/>
  </si>
  <si>
    <t>"prop_qdlb_xx",0,0.1,0.2</t>
    <phoneticPr fontId="1" type="noConversion"/>
  </si>
  <si>
    <t>0,0,0.1,0.2</t>
    <phoneticPr fontId="1" type="noConversion"/>
  </si>
  <si>
    <t>"prop_qdlb_xx",1,0.01,</t>
    <phoneticPr fontId="1" type="noConversion"/>
  </si>
  <si>
    <t>79,</t>
    <phoneticPr fontId="1" type="noConversion"/>
  </si>
  <si>
    <t>80,</t>
    <phoneticPr fontId="1" type="noConversion"/>
  </si>
  <si>
    <t>81,</t>
  </si>
  <si>
    <t>82,</t>
  </si>
  <si>
    <t>83,</t>
  </si>
  <si>
    <t>84,</t>
  </si>
  <si>
    <t>85,</t>
  </si>
  <si>
    <t>86,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</si>
  <si>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</si>
  <si>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</si>
  <si>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</si>
  <si>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</si>
  <si>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</si>
  <si>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</si>
  <si>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</si>
  <si>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</si>
  <si>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</si>
  <si>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</si>
  <si>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鲤鱼王</t>
  </si>
  <si>
    <t>龙虾王</t>
  </si>
  <si>
    <t>蓝鲸王</t>
  </si>
  <si>
    <t>海豹王</t>
  </si>
  <si>
    <t>熔岩鲨</t>
  </si>
  <si>
    <t>105,</t>
  </si>
  <si>
    <t>106,</t>
  </si>
  <si>
    <t>107,</t>
  </si>
  <si>
    <t>108,</t>
  </si>
  <si>
    <t>109,</t>
  </si>
  <si>
    <t>海豚</t>
  </si>
  <si>
    <t>锯齿鲨</t>
  </si>
  <si>
    <t>海马</t>
  </si>
  <si>
    <t>鲇鱼</t>
  </si>
  <si>
    <t>鲨鱼</t>
  </si>
  <si>
    <t>虎鲨</t>
  </si>
  <si>
    <t>9,</t>
    <phoneticPr fontId="1" type="noConversion"/>
  </si>
  <si>
    <t>10,10,10,10,</t>
    <phoneticPr fontId="1" type="noConversion"/>
  </si>
  <si>
    <t>11,11,11,11,</t>
    <phoneticPr fontId="1" type="noConversion"/>
  </si>
  <si>
    <t>4,11,19,5,34,26,</t>
    <phoneticPr fontId="1" type="noConversion"/>
  </si>
  <si>
    <t>39,12,35,16,15,29,</t>
    <phoneticPr fontId="1" type="noConversion"/>
  </si>
  <si>
    <t>0,100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</si>
</sst>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7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 vertical="center"/>
    </xf>
    <xf numFmtId="0" fontId="0" fillId="0" borderId="0" xfId="0" applyFill="1"/>
    <xf numFmtId="0" fontId="0" fillId="13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/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0" fillId="18" borderId="0" xfId="0" applyFont="1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7" fillId="12" borderId="0" xfId="0" applyFont="1" applyFill="1" applyAlignment="1">
      <alignment horizontal="center"/>
    </xf>
    <xf numFmtId="0" fontId="10" fillId="12" borderId="0" xfId="0" applyFont="1" applyFill="1" applyAlignment="1">
      <alignment horizontal="center"/>
    </xf>
    <xf numFmtId="0" fontId="0" fillId="19" borderId="0" xfId="0" applyFill="1"/>
    <xf numFmtId="0" fontId="0" fillId="19" borderId="0" xfId="0" applyFill="1" applyAlignment="1">
      <alignment horizontal="center"/>
    </xf>
    <xf numFmtId="0" fontId="0" fillId="18" borderId="0" xfId="0" applyFill="1"/>
    <xf numFmtId="0" fontId="0" fillId="18" borderId="0" xfId="0" applyFill="1" applyAlignment="1">
      <alignment horizontal="left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26"/>
  <sheetViews>
    <sheetView workbookViewId="0">
      <pane ySplit="1" topLeftCell="A48" activePane="bottomLeft" state="frozen"/>
      <selection pane="bottomLeft" activeCell="G67" sqref="G6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217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213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231</v>
      </c>
      <c r="D2" s="27" t="s">
        <v>117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232</v>
      </c>
      <c r="D3" s="27" t="s">
        <v>117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210</v>
      </c>
      <c r="D4" s="27" t="s">
        <v>117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174</v>
      </c>
      <c r="D5" s="27" t="s">
        <v>117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175</v>
      </c>
      <c r="D6" s="27" t="s">
        <v>117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76" customFormat="1" x14ac:dyDescent="0.2">
      <c r="A7" s="76">
        <v>6</v>
      </c>
      <c r="B7" s="76">
        <v>2</v>
      </c>
      <c r="C7" s="76" t="s">
        <v>261</v>
      </c>
      <c r="G7" s="77" t="s">
        <v>262</v>
      </c>
      <c r="H7" s="76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76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69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76">
        <v>1</v>
      </c>
    </row>
    <row r="8" spans="1:23" s="27" customFormat="1" x14ac:dyDescent="0.2">
      <c r="A8" s="27">
        <v>7</v>
      </c>
      <c r="B8" s="27">
        <v>2</v>
      </c>
      <c r="C8" s="27" t="s">
        <v>263</v>
      </c>
      <c r="G8" s="43" t="s">
        <v>264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118</v>
      </c>
      <c r="D9" s="27" t="s">
        <v>228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216</v>
      </c>
      <c r="D10" s="27" t="s">
        <v>117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118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212</v>
      </c>
      <c r="D12" s="27" t="s">
        <v>117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340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159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211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341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342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343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221</v>
      </c>
      <c r="G19" s="39" t="s">
        <v>137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220</v>
      </c>
      <c r="G20" s="39" t="s">
        <v>138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219</v>
      </c>
      <c r="G21" s="39" t="s">
        <v>136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218</v>
      </c>
      <c r="G22" s="39" t="s">
        <v>171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222</v>
      </c>
      <c r="G23" s="19" t="s">
        <v>226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223</v>
      </c>
      <c r="G24" s="19" t="s">
        <v>139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224</v>
      </c>
      <c r="G25" s="19" t="s">
        <v>140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225</v>
      </c>
      <c r="G26" s="19" t="s">
        <v>140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326</v>
      </c>
      <c r="G27" s="39" t="s">
        <v>230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229</v>
      </c>
      <c r="G28" s="39" t="s">
        <v>233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119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120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121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122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123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124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50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50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125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126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127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128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129</v>
      </c>
      <c r="H39" s="17" t="s">
        <v>207</v>
      </c>
      <c r="I39" s="17" t="s">
        <v>208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130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131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135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132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133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134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142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141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143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144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145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146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147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148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149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150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151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152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153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154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155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227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156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157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158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434</v>
      </c>
      <c r="G65" s="43"/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435</v>
      </c>
      <c r="G66" s="43" t="s">
        <v>438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436</v>
      </c>
      <c r="G67" s="44" t="s">
        <v>437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298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299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300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301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302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303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304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305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306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307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308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309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310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311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312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313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314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315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316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317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318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319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320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321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322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323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324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325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7" customFormat="1" x14ac:dyDescent="0.2">
      <c r="A96" s="29">
        <v>95</v>
      </c>
      <c r="B96" s="57">
        <v>1</v>
      </c>
      <c r="C96" s="57" t="s">
        <v>400</v>
      </c>
      <c r="H96" s="57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57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59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8">
        <v>79</v>
      </c>
    </row>
    <row r="97" spans="1:17" s="57" customFormat="1" x14ac:dyDescent="0.2">
      <c r="A97" s="29">
        <v>96</v>
      </c>
      <c r="B97" s="57">
        <v>1</v>
      </c>
      <c r="C97" s="57" t="s">
        <v>401</v>
      </c>
      <c r="H97" s="57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57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59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58">
        <v>80</v>
      </c>
    </row>
    <row r="98" spans="1:17" s="66" customFormat="1" x14ac:dyDescent="0.2">
      <c r="A98" s="29">
        <v>97</v>
      </c>
      <c r="B98" s="66">
        <v>1</v>
      </c>
      <c r="C98" s="57" t="s">
        <v>402</v>
      </c>
      <c r="H98" s="66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66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64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58">
        <v>81</v>
      </c>
    </row>
    <row r="99" spans="1:17" s="66" customFormat="1" x14ac:dyDescent="0.2">
      <c r="A99" s="29">
        <v>98</v>
      </c>
      <c r="B99" s="66">
        <v>1</v>
      </c>
      <c r="C99" s="57" t="s">
        <v>403</v>
      </c>
      <c r="H99" s="66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66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64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58">
        <v>82</v>
      </c>
    </row>
    <row r="100" spans="1:17" s="66" customFormat="1" x14ac:dyDescent="0.2">
      <c r="A100" s="29">
        <v>99</v>
      </c>
      <c r="B100" s="66">
        <v>1</v>
      </c>
      <c r="C100" s="57" t="s">
        <v>404</v>
      </c>
      <c r="H100" s="66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66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64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58">
        <v>83</v>
      </c>
    </row>
    <row r="101" spans="1:17" s="66" customFormat="1" x14ac:dyDescent="0.2">
      <c r="A101" s="29">
        <v>100</v>
      </c>
      <c r="B101" s="66">
        <v>1</v>
      </c>
      <c r="C101" s="57" t="s">
        <v>405</v>
      </c>
      <c r="H101" s="66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66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64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58">
        <v>84</v>
      </c>
    </row>
    <row r="102" spans="1:17" s="66" customFormat="1" x14ac:dyDescent="0.2">
      <c r="A102" s="29">
        <v>101</v>
      </c>
      <c r="B102" s="66">
        <v>1</v>
      </c>
      <c r="C102" s="57" t="s">
        <v>406</v>
      </c>
      <c r="H102" s="66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66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64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58">
        <v>85</v>
      </c>
    </row>
    <row r="103" spans="1:17" s="66" customFormat="1" x14ac:dyDescent="0.2">
      <c r="A103" s="29">
        <v>102</v>
      </c>
      <c r="B103" s="66">
        <v>1</v>
      </c>
      <c r="C103" s="57" t="s">
        <v>407</v>
      </c>
      <c r="H103" s="66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66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64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58">
        <v>86</v>
      </c>
    </row>
    <row r="104" spans="1:17" s="19" customFormat="1" x14ac:dyDescent="0.2">
      <c r="A104" s="29">
        <v>103</v>
      </c>
      <c r="B104" s="19">
        <v>1</v>
      </c>
      <c r="C104" s="57" t="s">
        <v>336</v>
      </c>
      <c r="H104" s="1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1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17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58">
        <v>87</v>
      </c>
    </row>
    <row r="105" spans="1:17" s="19" customFormat="1" x14ac:dyDescent="0.2">
      <c r="A105" s="29">
        <v>104</v>
      </c>
      <c r="B105" s="19">
        <v>1</v>
      </c>
      <c r="C105" s="57" t="s">
        <v>337</v>
      </c>
      <c r="H105" s="1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1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17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58">
        <v>88</v>
      </c>
    </row>
    <row r="106" spans="1:17" s="19" customFormat="1" x14ac:dyDescent="0.2">
      <c r="A106" s="29">
        <v>105</v>
      </c>
      <c r="B106" s="19">
        <v>1</v>
      </c>
      <c r="C106" s="57" t="s">
        <v>338</v>
      </c>
      <c r="H106" s="1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1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17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58">
        <v>89</v>
      </c>
    </row>
    <row r="107" spans="1:17" s="19" customFormat="1" x14ac:dyDescent="0.2">
      <c r="A107" s="29">
        <v>106</v>
      </c>
      <c r="B107" s="19">
        <v>1</v>
      </c>
      <c r="C107" s="57" t="s">
        <v>339</v>
      </c>
      <c r="H107" s="1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1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17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58">
        <v>90</v>
      </c>
    </row>
    <row r="108" spans="1:17" s="19" customFormat="1" x14ac:dyDescent="0.2">
      <c r="A108" s="29">
        <v>107</v>
      </c>
      <c r="B108" s="19">
        <v>1</v>
      </c>
      <c r="C108" s="57" t="s">
        <v>408</v>
      </c>
      <c r="H108" s="1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1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1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8">
        <v>91</v>
      </c>
    </row>
    <row r="109" spans="1:17" s="19" customFormat="1" x14ac:dyDescent="0.2">
      <c r="A109" s="29">
        <v>108</v>
      </c>
      <c r="B109" s="19">
        <v>1</v>
      </c>
      <c r="C109" s="57" t="s">
        <v>409</v>
      </c>
      <c r="H109" s="1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1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1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8">
        <v>92</v>
      </c>
    </row>
    <row r="110" spans="1:17" s="66" customFormat="1" x14ac:dyDescent="0.2">
      <c r="A110" s="29">
        <v>109</v>
      </c>
      <c r="B110" s="66">
        <v>1</v>
      </c>
      <c r="C110" s="57" t="s">
        <v>410</v>
      </c>
      <c r="H110" s="66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66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64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8">
        <v>93</v>
      </c>
    </row>
    <row r="111" spans="1:17" s="66" customFormat="1" x14ac:dyDescent="0.2">
      <c r="A111" s="29">
        <v>110</v>
      </c>
      <c r="B111" s="66">
        <v>1</v>
      </c>
      <c r="C111" s="57" t="s">
        <v>411</v>
      </c>
      <c r="H111" s="66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66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64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8">
        <v>94</v>
      </c>
    </row>
    <row r="112" spans="1:17" s="66" customFormat="1" x14ac:dyDescent="0.2">
      <c r="A112" s="29">
        <v>111</v>
      </c>
      <c r="B112" s="66">
        <v>1</v>
      </c>
      <c r="C112" s="57" t="s">
        <v>412</v>
      </c>
      <c r="H112" s="66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66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64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8">
        <v>95</v>
      </c>
    </row>
    <row r="113" spans="1:17" s="66" customFormat="1" x14ac:dyDescent="0.2">
      <c r="A113" s="29">
        <v>112</v>
      </c>
      <c r="B113" s="66">
        <v>1</v>
      </c>
      <c r="C113" s="57" t="s">
        <v>413</v>
      </c>
      <c r="H113" s="66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66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64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8">
        <v>96</v>
      </c>
    </row>
    <row r="114" spans="1:17" s="66" customFormat="1" x14ac:dyDescent="0.2">
      <c r="A114" s="29">
        <v>113</v>
      </c>
      <c r="B114" s="66">
        <v>1</v>
      </c>
      <c r="C114" s="57" t="s">
        <v>414</v>
      </c>
      <c r="H114" s="66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66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64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8">
        <v>97</v>
      </c>
    </row>
    <row r="115" spans="1:17" s="66" customFormat="1" x14ac:dyDescent="0.2">
      <c r="A115" s="29">
        <v>114</v>
      </c>
      <c r="B115" s="66">
        <v>1</v>
      </c>
      <c r="C115" s="57" t="s">
        <v>415</v>
      </c>
      <c r="H115" s="66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66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64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8">
        <v>98</v>
      </c>
    </row>
    <row r="116" spans="1:17" s="19" customFormat="1" x14ac:dyDescent="0.2">
      <c r="A116" s="29">
        <v>115</v>
      </c>
      <c r="B116" s="19">
        <v>1</v>
      </c>
      <c r="C116" s="57" t="s">
        <v>416</v>
      </c>
      <c r="H116" s="1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1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1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8">
        <v>99</v>
      </c>
    </row>
    <row r="117" spans="1:17" s="19" customFormat="1" x14ac:dyDescent="0.2">
      <c r="A117" s="29">
        <v>116</v>
      </c>
      <c r="B117" s="19">
        <v>1</v>
      </c>
      <c r="C117" s="57" t="s">
        <v>417</v>
      </c>
      <c r="H117" s="1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1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1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8">
        <v>100</v>
      </c>
    </row>
    <row r="118" spans="1:17" s="19" customFormat="1" x14ac:dyDescent="0.2">
      <c r="A118" s="29">
        <v>117</v>
      </c>
      <c r="B118" s="19">
        <v>1</v>
      </c>
      <c r="C118" s="57" t="s">
        <v>372</v>
      </c>
      <c r="H118" s="19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19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17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58">
        <v>101</v>
      </c>
    </row>
    <row r="119" spans="1:17" s="19" customFormat="1" x14ac:dyDescent="0.2">
      <c r="A119" s="29">
        <v>118</v>
      </c>
      <c r="B119" s="19">
        <v>1</v>
      </c>
      <c r="C119" s="57" t="s">
        <v>373</v>
      </c>
      <c r="H119" s="19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19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17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58">
        <v>102</v>
      </c>
    </row>
    <row r="120" spans="1:17" s="19" customFormat="1" x14ac:dyDescent="0.2">
      <c r="A120" s="29">
        <v>119</v>
      </c>
      <c r="B120" s="19">
        <v>1</v>
      </c>
      <c r="C120" s="57" t="s">
        <v>374</v>
      </c>
      <c r="H120" s="19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19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17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58">
        <v>103</v>
      </c>
    </row>
    <row r="121" spans="1:17" s="19" customFormat="1" x14ac:dyDescent="0.2">
      <c r="A121" s="29">
        <v>120</v>
      </c>
      <c r="B121" s="19">
        <v>1</v>
      </c>
      <c r="C121" s="57" t="s">
        <v>375</v>
      </c>
      <c r="H121" s="19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19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17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58">
        <v>104</v>
      </c>
    </row>
    <row r="122" spans="1:17" s="74" customFormat="1" x14ac:dyDescent="0.2">
      <c r="A122" s="74">
        <v>121</v>
      </c>
      <c r="B122" s="74">
        <v>1</v>
      </c>
      <c r="C122" s="74" t="s">
        <v>423</v>
      </c>
      <c r="H122" s="74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4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7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75">
        <v>105</v>
      </c>
    </row>
    <row r="123" spans="1:17" s="74" customFormat="1" x14ac:dyDescent="0.2">
      <c r="A123" s="74">
        <v>122</v>
      </c>
      <c r="B123" s="74">
        <v>1</v>
      </c>
      <c r="C123" s="74" t="s">
        <v>424</v>
      </c>
      <c r="H123" s="74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4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7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75">
        <v>106</v>
      </c>
    </row>
    <row r="124" spans="1:17" s="74" customFormat="1" x14ac:dyDescent="0.2">
      <c r="A124" s="74">
        <v>123</v>
      </c>
      <c r="B124" s="74">
        <v>1</v>
      </c>
      <c r="C124" s="74" t="s">
        <v>425</v>
      </c>
      <c r="H124" s="74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4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7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75">
        <v>107</v>
      </c>
    </row>
    <row r="125" spans="1:17" s="74" customFormat="1" x14ac:dyDescent="0.2">
      <c r="A125" s="74">
        <v>124</v>
      </c>
      <c r="B125" s="74">
        <v>1</v>
      </c>
      <c r="C125" s="74" t="s">
        <v>426</v>
      </c>
      <c r="H125" s="74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4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7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75">
        <v>108</v>
      </c>
    </row>
    <row r="126" spans="1:17" s="74" customFormat="1" x14ac:dyDescent="0.2">
      <c r="A126" s="74">
        <v>125</v>
      </c>
      <c r="B126" s="74">
        <v>1</v>
      </c>
      <c r="C126" s="74" t="s">
        <v>427</v>
      </c>
      <c r="H126" s="74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4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7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75">
        <v>109</v>
      </c>
    </row>
  </sheetData>
  <autoFilter ref="I1:I46"/>
  <dataConsolidate/>
  <phoneticPr fontId="1" type="noConversion"/>
  <conditionalFormatting sqref="J12">
    <cfRule type="iconSet" priority="3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7:J1048576 K1 J2:J11 J13:J25 J27:J64">
    <cfRule type="iconSet" priority="18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7:I1048576 I13:I25 I1:I11 I27:I64">
    <cfRule type="iconSet" priority="19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26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26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10"/>
  <sheetViews>
    <sheetView tabSelected="1" zoomScaleNormal="100" workbookViewId="0">
      <pane ySplit="1" topLeftCell="A86" activePane="bottomLeft" state="frozen"/>
      <selection pane="bottomLeft" activeCell="D106" sqref="D106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170</v>
      </c>
      <c r="C1" s="1" t="s">
        <v>16</v>
      </c>
      <c r="D1" s="1" t="s">
        <v>239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162</v>
      </c>
      <c r="O1" s="7" t="s">
        <v>169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锯齿鲨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海马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鲇鱼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鲨鱼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虎鲨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/>
      <c r="D20" s="36"/>
      <c r="E20" s="37">
        <f>LOOKUP(use_fish!B20,base_fish!A:A,base_fish!C:C)+_xlfn.IFNA(INDEX(activity!F:F,MATCH(use_fish!C20,activity!A:A,0)),0)</f>
        <v>50</v>
      </c>
      <c r="F20" s="37">
        <f t="shared" ref="F20:F28" si="3">1/E20</f>
        <v>0.02</v>
      </c>
      <c r="G20" s="37" t="s">
        <v>22</v>
      </c>
      <c r="H20" s="38" t="str">
        <f>INDEX(base_fish!E:E,MATCH(use_fish!B20,base_fish!A:A,0))&amp;_xlfn.IFNA("+"&amp;INDEX(activity!G:G,MATCH(use_fish!C20,activity!A:A,0)),"")</f>
        <v>海豚</v>
      </c>
      <c r="I20" s="37">
        <f>LOOKUP(use_fish!B20,base_fish!A:A,base_fish!F:F)+_xlfn.IFNA(INDEX(activity!F:F,MATCH(use_fish!C20,activity!A:A,0)),0)</f>
        <v>50</v>
      </c>
      <c r="J20" s="39">
        <v>1</v>
      </c>
      <c r="K20" s="39">
        <f>LOOKUP(use_fish!B20,base_fish!A:A,base_fish!G:G)</f>
        <v>0</v>
      </c>
      <c r="L20" s="39">
        <f t="shared" ref="L20:L28" si="4">I20</f>
        <v>50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243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266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267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280</v>
      </c>
      <c r="F25" s="17" t="s">
        <v>281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207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243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243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268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252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269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270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269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271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272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274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275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276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244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海马+炸弹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鲇鱼+炸弹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鲨鱼+炸弹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虎鲨+炸弹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243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266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267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243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243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266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8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8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海马+闪电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鲇鱼+闪电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鲨鱼+闪电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虎鲨+闪电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243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266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267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243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243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266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7" customFormat="1" x14ac:dyDescent="0.2">
      <c r="A80" s="16">
        <v>79</v>
      </c>
      <c r="B80" s="58">
        <v>59</v>
      </c>
      <c r="C80" s="58">
        <v>69</v>
      </c>
      <c r="D80" s="58"/>
      <c r="E80" s="53">
        <f>LOOKUP(use_fish!B80,base_fish!A:A,base_fish!C:C)+_xlfn.IFNA(INDEX(activity!F:F,MATCH(use_fish!C80,activity!A:A,0)),0)</f>
        <v>75</v>
      </c>
      <c r="F80" s="59">
        <f t="shared" si="16"/>
        <v>1.3333333333333334E-2</v>
      </c>
      <c r="G80" s="59" t="s">
        <v>327</v>
      </c>
      <c r="H80" s="60" t="str">
        <f>INDEX(base_fish!E:E,MATCH(use_fish!B80,base_fish!A:A,0))&amp;_xlfn.IFNA("+"&amp;INDEX(activity!G:G,MATCH(use_fish!C80,activity!A:A,0)),"")</f>
        <v>话费鱼+话费鱼</v>
      </c>
      <c r="I80" s="59">
        <f>LOOKUP(use_fish!B80,base_fish!A:A,base_fish!F:F)+_xlfn.IFNA(INDEX(activity!F:F,MATCH(use_fish!C80,activity!A:A,0)),0)</f>
        <v>75</v>
      </c>
      <c r="J80" s="57">
        <v>1</v>
      </c>
      <c r="K80" s="57">
        <v>0</v>
      </c>
      <c r="L80" s="57">
        <f t="shared" si="17"/>
        <v>75</v>
      </c>
      <c r="M80" s="57">
        <v>1</v>
      </c>
      <c r="N80" s="57">
        <v>1</v>
      </c>
      <c r="O80" s="57">
        <v>1</v>
      </c>
    </row>
    <row r="81" spans="1:15" s="57" customFormat="1" x14ac:dyDescent="0.2">
      <c r="A81" s="16">
        <v>80</v>
      </c>
      <c r="B81" s="58">
        <v>59</v>
      </c>
      <c r="C81" s="58">
        <v>0</v>
      </c>
      <c r="D81" s="67" t="s">
        <v>388</v>
      </c>
      <c r="E81" s="53">
        <v>0</v>
      </c>
      <c r="F81" s="59">
        <v>0</v>
      </c>
      <c r="G81" s="59" t="s">
        <v>327</v>
      </c>
      <c r="H81" s="60" t="str">
        <f>INDEX(base_fish!E:E,MATCH(use_fish!B81,base_fish!A:A,0))&amp;_xlfn.IFNA("+"&amp;INDEX(activity!G:G,MATCH(use_fish!C81,activity!A:A,0)),"")</f>
        <v>话费鱼</v>
      </c>
      <c r="I81" s="59">
        <f>LOOKUP(use_fish!B81,base_fish!A:A,base_fish!F:F)+_xlfn.IFNA(INDEX(activity!F:F,MATCH(use_fish!C81,activity!A:A,0)),0)</f>
        <v>0</v>
      </c>
      <c r="J81" s="57">
        <v>1</v>
      </c>
      <c r="K81" s="57">
        <v>0</v>
      </c>
      <c r="L81" s="57">
        <f t="shared" si="17"/>
        <v>0</v>
      </c>
      <c r="M81" s="57">
        <v>1</v>
      </c>
      <c r="N81" s="57">
        <v>1</v>
      </c>
      <c r="O81" s="57">
        <v>1</v>
      </c>
    </row>
    <row r="82" spans="1:15" s="19" customFormat="1" x14ac:dyDescent="0.2">
      <c r="A82" s="16">
        <v>81</v>
      </c>
      <c r="B82" s="16">
        <v>20</v>
      </c>
      <c r="C82" s="16">
        <v>26</v>
      </c>
      <c r="D82" s="16" t="s">
        <v>243</v>
      </c>
      <c r="E82" s="17">
        <v>65</v>
      </c>
      <c r="F82" s="17">
        <f t="shared" si="16"/>
        <v>1.5384615384615385E-2</v>
      </c>
      <c r="G82" s="17" t="s">
        <v>22</v>
      </c>
      <c r="H82" s="18" t="str">
        <f>INDEX(base_fish!E:E,MATCH(use_fish!B82,base_fish!A:A,0))&amp;_xlfn.IFNA("+"&amp;INDEX(activity!G:G,MATCH(use_fish!C82,activity!A:A,0)),"")</f>
        <v>黄金灯笼鱼+彩贝-场次1</v>
      </c>
      <c r="I82" s="17">
        <v>60</v>
      </c>
      <c r="J82" s="19">
        <v>1</v>
      </c>
      <c r="K82" s="19">
        <f>LOOKUP(use_fish!B82,base_fish!A:A,base_fish!G:G)</f>
        <v>0</v>
      </c>
      <c r="L82" s="19">
        <f t="shared" si="17"/>
        <v>60</v>
      </c>
      <c r="M82" s="19">
        <v>1</v>
      </c>
      <c r="N82" s="19">
        <v>0</v>
      </c>
      <c r="O82" s="19">
        <v>2</v>
      </c>
    </row>
    <row r="83" spans="1:15" s="19" customFormat="1" x14ac:dyDescent="0.2">
      <c r="A83" s="16">
        <v>82</v>
      </c>
      <c r="B83" s="16">
        <v>22</v>
      </c>
      <c r="C83" s="16">
        <v>26</v>
      </c>
      <c r="D83" s="16" t="s">
        <v>266</v>
      </c>
      <c r="E83" s="17">
        <v>65</v>
      </c>
      <c r="F83" s="17">
        <f t="shared" si="16"/>
        <v>1.5384615384615385E-2</v>
      </c>
      <c r="G83" s="17" t="s">
        <v>22</v>
      </c>
      <c r="H83" s="18" t="str">
        <f>INDEX(base_fish!E:E,MATCH(use_fish!B83,base_fish!A:A,0))&amp;_xlfn.IFNA("+"&amp;INDEX(activity!G:G,MATCH(use_fish!C83,activity!A:A,0)),"")</f>
        <v>黄金狮子鱼+彩贝-场次1</v>
      </c>
      <c r="I83" s="17">
        <v>60</v>
      </c>
      <c r="J83" s="19">
        <v>1</v>
      </c>
      <c r="K83" s="19">
        <f>LOOKUP(use_fish!B83,base_fish!A:A,base_fish!G:G)</f>
        <v>0</v>
      </c>
      <c r="L83" s="19">
        <f t="shared" si="17"/>
        <v>60</v>
      </c>
      <c r="M83" s="19">
        <v>1</v>
      </c>
      <c r="N83" s="19">
        <v>0</v>
      </c>
      <c r="O83" s="19">
        <v>2</v>
      </c>
    </row>
    <row r="84" spans="1:15" s="19" customFormat="1" x14ac:dyDescent="0.2">
      <c r="A84" s="16">
        <v>83</v>
      </c>
      <c r="B84" s="16">
        <v>23</v>
      </c>
      <c r="C84" s="16">
        <v>26</v>
      </c>
      <c r="D84" s="16" t="s">
        <v>267</v>
      </c>
      <c r="E84" s="17">
        <v>65</v>
      </c>
      <c r="F84" s="17">
        <f t="shared" si="16"/>
        <v>1.5384615384615385E-2</v>
      </c>
      <c r="G84" s="17" t="s">
        <v>22</v>
      </c>
      <c r="H84" s="18" t="str">
        <f>INDEX(base_fish!E:E,MATCH(use_fish!B84,base_fish!A:A,0))&amp;_xlfn.IFNA("+"&amp;INDEX(activity!G:G,MATCH(use_fish!C84,activity!A:A,0)),"")</f>
        <v>黄金海龟+彩贝-场次1</v>
      </c>
      <c r="I84" s="17">
        <v>60</v>
      </c>
      <c r="J84" s="19">
        <v>1</v>
      </c>
      <c r="K84" s="19">
        <f>LOOKUP(use_fish!B84,base_fish!A:A,base_fish!G:G)</f>
        <v>0</v>
      </c>
      <c r="L84" s="19">
        <f t="shared" si="17"/>
        <v>60</v>
      </c>
      <c r="M84" s="19">
        <v>1</v>
      </c>
      <c r="N84" s="19">
        <v>0</v>
      </c>
      <c r="O84" s="19">
        <v>2</v>
      </c>
    </row>
    <row r="85" spans="1:15" s="19" customFormat="1" x14ac:dyDescent="0.2">
      <c r="A85" s="16">
        <v>84</v>
      </c>
      <c r="B85" s="16">
        <v>25</v>
      </c>
      <c r="C85" s="16">
        <v>26</v>
      </c>
      <c r="D85" s="16" t="s">
        <v>243</v>
      </c>
      <c r="E85" s="17">
        <v>86</v>
      </c>
      <c r="F85" s="17">
        <f t="shared" si="16"/>
        <v>1.1627906976744186E-2</v>
      </c>
      <c r="G85" s="17" t="s">
        <v>22</v>
      </c>
      <c r="H85" s="18" t="str">
        <f>INDEX(base_fish!E:E,MATCH(use_fish!B85,base_fish!A:A,0))&amp;_xlfn.IFNA("+"&amp;INDEX(activity!G:G,MATCH(use_fish!C85,activity!A:A,0)),"")</f>
        <v>金蟾+彩贝-场次1</v>
      </c>
      <c r="I85" s="17">
        <v>80</v>
      </c>
      <c r="J85" s="19">
        <v>1</v>
      </c>
      <c r="K85" s="19">
        <f>LOOKUP(use_fish!B85,base_fish!A:A,base_fish!G:G)</f>
        <v>0</v>
      </c>
      <c r="L85" s="19">
        <f t="shared" si="17"/>
        <v>80</v>
      </c>
      <c r="M85" s="19">
        <v>1</v>
      </c>
      <c r="N85" s="19">
        <v>0</v>
      </c>
      <c r="O85" s="19">
        <v>2</v>
      </c>
    </row>
    <row r="86" spans="1:15" s="19" customFormat="1" x14ac:dyDescent="0.2">
      <c r="A86" s="16">
        <v>85</v>
      </c>
      <c r="B86" s="16">
        <v>26</v>
      </c>
      <c r="C86" s="16">
        <v>26</v>
      </c>
      <c r="D86" s="16" t="s">
        <v>243</v>
      </c>
      <c r="E86" s="17">
        <v>107</v>
      </c>
      <c r="F86" s="17">
        <f t="shared" si="16"/>
        <v>9.3457943925233638E-3</v>
      </c>
      <c r="G86" s="17" t="s">
        <v>22</v>
      </c>
      <c r="H86" s="18" t="str">
        <f>INDEX(base_fish!E:E,MATCH(use_fish!B86,base_fish!A:A,0))&amp;_xlfn.IFNA("+"&amp;INDEX(activity!G:G,MATCH(use_fish!C86,activity!A:A,0)),"")</f>
        <v>大金鲨+彩贝-场次1</v>
      </c>
      <c r="I86" s="17">
        <v>100</v>
      </c>
      <c r="J86" s="19">
        <v>1</v>
      </c>
      <c r="K86" s="19">
        <f>LOOKUP(use_fish!B86,base_fish!A:A,base_fish!G:G)</f>
        <v>0</v>
      </c>
      <c r="L86" s="19">
        <f t="shared" si="17"/>
        <v>100</v>
      </c>
      <c r="M86" s="19">
        <v>1</v>
      </c>
      <c r="N86" s="19">
        <v>0</v>
      </c>
      <c r="O86" s="19">
        <v>2</v>
      </c>
    </row>
    <row r="87" spans="1:15" s="19" customFormat="1" x14ac:dyDescent="0.2">
      <c r="A87" s="16">
        <v>86</v>
      </c>
      <c r="B87" s="16">
        <v>27</v>
      </c>
      <c r="C87" s="16">
        <v>26</v>
      </c>
      <c r="D87" s="16" t="s">
        <v>266</v>
      </c>
      <c r="E87" s="17">
        <v>107</v>
      </c>
      <c r="F87" s="17">
        <f t="shared" si="16"/>
        <v>9.3457943925233638E-3</v>
      </c>
      <c r="G87" s="17" t="s">
        <v>22</v>
      </c>
      <c r="H87" s="18" t="str">
        <f>INDEX(base_fish!E:E,MATCH(use_fish!B87,base_fish!A:A,0))&amp;_xlfn.IFNA("+"&amp;INDEX(activity!G:G,MATCH(use_fish!C87,activity!A:A,0)),"")</f>
        <v>黄金锤头鲨+彩贝-场次1</v>
      </c>
      <c r="I87" s="17">
        <v>100</v>
      </c>
      <c r="J87" s="19">
        <v>1</v>
      </c>
      <c r="K87" s="19">
        <f>LOOKUP(use_fish!B87,base_fish!A:A,base_fish!G:G)</f>
        <v>0</v>
      </c>
      <c r="L87" s="19">
        <f t="shared" si="17"/>
        <v>100</v>
      </c>
      <c r="M87" s="19">
        <v>1</v>
      </c>
      <c r="N87" s="19">
        <v>0</v>
      </c>
      <c r="O87" s="19">
        <v>2</v>
      </c>
    </row>
    <row r="88" spans="1:15" s="66" customFormat="1" x14ac:dyDescent="0.2">
      <c r="A88" s="16">
        <v>87</v>
      </c>
      <c r="B88" s="63">
        <v>20</v>
      </c>
      <c r="C88" s="63">
        <v>27</v>
      </c>
      <c r="D88" s="63" t="s">
        <v>243</v>
      </c>
      <c r="E88" s="64">
        <v>69</v>
      </c>
      <c r="F88" s="64">
        <f t="shared" ref="F88:F93" si="19">1/E88</f>
        <v>1.4492753623188406E-2</v>
      </c>
      <c r="G88" s="64" t="s">
        <v>22</v>
      </c>
      <c r="H88" s="65" t="str">
        <f>INDEX(base_fish!E:E,MATCH(use_fish!B88,base_fish!A:A,0))&amp;_xlfn.IFNA("+"&amp;INDEX(activity!G:G,MATCH(use_fish!C88,activity!A:A,0)),"")</f>
        <v>黄金灯笼鱼+彩贝-场次2</v>
      </c>
      <c r="I88" s="64">
        <v>60</v>
      </c>
      <c r="J88" s="66">
        <v>1</v>
      </c>
      <c r="K88" s="66">
        <f>LOOKUP(use_fish!B88,base_fish!A:A,base_fish!G:G)</f>
        <v>0</v>
      </c>
      <c r="L88" s="66">
        <f t="shared" ref="L88:L93" si="20">I88</f>
        <v>60</v>
      </c>
      <c r="M88" s="66">
        <v>1</v>
      </c>
      <c r="N88" s="66">
        <v>0</v>
      </c>
      <c r="O88" s="66">
        <v>2</v>
      </c>
    </row>
    <row r="89" spans="1:15" s="66" customFormat="1" x14ac:dyDescent="0.2">
      <c r="A89" s="16">
        <v>88</v>
      </c>
      <c r="B89" s="63">
        <v>22</v>
      </c>
      <c r="C89" s="63">
        <v>27</v>
      </c>
      <c r="D89" s="63" t="s">
        <v>266</v>
      </c>
      <c r="E89" s="64">
        <v>69</v>
      </c>
      <c r="F89" s="64">
        <f t="shared" si="19"/>
        <v>1.4492753623188406E-2</v>
      </c>
      <c r="G89" s="64" t="s">
        <v>22</v>
      </c>
      <c r="H89" s="65" t="str">
        <f>INDEX(base_fish!E:E,MATCH(use_fish!B89,base_fish!A:A,0))&amp;_xlfn.IFNA("+"&amp;INDEX(activity!G:G,MATCH(use_fish!C89,activity!A:A,0)),"")</f>
        <v>黄金狮子鱼+彩贝-场次2</v>
      </c>
      <c r="I89" s="64">
        <v>60</v>
      </c>
      <c r="J89" s="66">
        <v>1</v>
      </c>
      <c r="K89" s="66">
        <f>LOOKUP(use_fish!B89,base_fish!A:A,base_fish!G:G)</f>
        <v>0</v>
      </c>
      <c r="L89" s="66">
        <f t="shared" si="20"/>
        <v>60</v>
      </c>
      <c r="M89" s="66">
        <v>1</v>
      </c>
      <c r="N89" s="66">
        <v>0</v>
      </c>
      <c r="O89" s="66">
        <v>2</v>
      </c>
    </row>
    <row r="90" spans="1:15" s="66" customFormat="1" x14ac:dyDescent="0.2">
      <c r="A90" s="16">
        <v>89</v>
      </c>
      <c r="B90" s="63">
        <v>23</v>
      </c>
      <c r="C90" s="63">
        <v>27</v>
      </c>
      <c r="D90" s="63" t="s">
        <v>267</v>
      </c>
      <c r="E90" s="64">
        <v>69</v>
      </c>
      <c r="F90" s="64">
        <f t="shared" si="19"/>
        <v>1.4492753623188406E-2</v>
      </c>
      <c r="G90" s="64" t="s">
        <v>22</v>
      </c>
      <c r="H90" s="65" t="str">
        <f>INDEX(base_fish!E:E,MATCH(use_fish!B90,base_fish!A:A,0))&amp;_xlfn.IFNA("+"&amp;INDEX(activity!G:G,MATCH(use_fish!C90,activity!A:A,0)),"")</f>
        <v>黄金海龟+彩贝-场次2</v>
      </c>
      <c r="I90" s="64">
        <v>60</v>
      </c>
      <c r="J90" s="66">
        <v>1</v>
      </c>
      <c r="K90" s="66">
        <f>LOOKUP(use_fish!B90,base_fish!A:A,base_fish!G:G)</f>
        <v>0</v>
      </c>
      <c r="L90" s="66">
        <f t="shared" si="20"/>
        <v>60</v>
      </c>
      <c r="M90" s="66">
        <v>1</v>
      </c>
      <c r="N90" s="66">
        <v>0</v>
      </c>
      <c r="O90" s="66">
        <v>2</v>
      </c>
    </row>
    <row r="91" spans="1:15" s="66" customFormat="1" x14ac:dyDescent="0.2">
      <c r="A91" s="16">
        <v>90</v>
      </c>
      <c r="B91" s="63">
        <v>25</v>
      </c>
      <c r="C91" s="63">
        <v>27</v>
      </c>
      <c r="D91" s="63" t="s">
        <v>243</v>
      </c>
      <c r="E91" s="64">
        <v>90</v>
      </c>
      <c r="F91" s="64">
        <f t="shared" si="19"/>
        <v>1.1111111111111112E-2</v>
      </c>
      <c r="G91" s="64" t="s">
        <v>22</v>
      </c>
      <c r="H91" s="65" t="str">
        <f>INDEX(base_fish!E:E,MATCH(use_fish!B91,base_fish!A:A,0))&amp;_xlfn.IFNA("+"&amp;INDEX(activity!G:G,MATCH(use_fish!C91,activity!A:A,0)),"")</f>
        <v>金蟾+彩贝-场次2</v>
      </c>
      <c r="I91" s="64">
        <v>80</v>
      </c>
      <c r="J91" s="66">
        <v>1</v>
      </c>
      <c r="K91" s="66">
        <f>LOOKUP(use_fish!B91,base_fish!A:A,base_fish!G:G)</f>
        <v>0</v>
      </c>
      <c r="L91" s="66">
        <f t="shared" si="20"/>
        <v>80</v>
      </c>
      <c r="M91" s="66">
        <v>1</v>
      </c>
      <c r="N91" s="66">
        <v>0</v>
      </c>
      <c r="O91" s="66">
        <v>2</v>
      </c>
    </row>
    <row r="92" spans="1:15" s="66" customFormat="1" x14ac:dyDescent="0.2">
      <c r="A92" s="16">
        <v>91</v>
      </c>
      <c r="B92" s="63">
        <v>26</v>
      </c>
      <c r="C92" s="63">
        <v>27</v>
      </c>
      <c r="D92" s="63" t="s">
        <v>243</v>
      </c>
      <c r="E92" s="64">
        <v>111</v>
      </c>
      <c r="F92" s="64">
        <f t="shared" si="19"/>
        <v>9.0090090090090089E-3</v>
      </c>
      <c r="G92" s="64" t="s">
        <v>22</v>
      </c>
      <c r="H92" s="65" t="str">
        <f>INDEX(base_fish!E:E,MATCH(use_fish!B92,base_fish!A:A,0))&amp;_xlfn.IFNA("+"&amp;INDEX(activity!G:G,MATCH(use_fish!C92,activity!A:A,0)),"")</f>
        <v>大金鲨+彩贝-场次2</v>
      </c>
      <c r="I92" s="64">
        <v>100</v>
      </c>
      <c r="J92" s="66">
        <v>1</v>
      </c>
      <c r="K92" s="66">
        <f>LOOKUP(use_fish!B92,base_fish!A:A,base_fish!G:G)</f>
        <v>0</v>
      </c>
      <c r="L92" s="66">
        <f t="shared" si="20"/>
        <v>100</v>
      </c>
      <c r="M92" s="66">
        <v>1</v>
      </c>
      <c r="N92" s="66">
        <v>0</v>
      </c>
      <c r="O92" s="66">
        <v>2</v>
      </c>
    </row>
    <row r="93" spans="1:15" s="66" customFormat="1" x14ac:dyDescent="0.2">
      <c r="A93" s="16">
        <v>92</v>
      </c>
      <c r="B93" s="63">
        <v>27</v>
      </c>
      <c r="C93" s="63">
        <v>27</v>
      </c>
      <c r="D93" s="63" t="s">
        <v>266</v>
      </c>
      <c r="E93" s="64">
        <v>111</v>
      </c>
      <c r="F93" s="64">
        <f t="shared" si="19"/>
        <v>9.0090090090090089E-3</v>
      </c>
      <c r="G93" s="64" t="s">
        <v>22</v>
      </c>
      <c r="H93" s="65" t="str">
        <f>INDEX(base_fish!E:E,MATCH(use_fish!B93,base_fish!A:A,0))&amp;_xlfn.IFNA("+"&amp;INDEX(activity!G:G,MATCH(use_fish!C93,activity!A:A,0)),"")</f>
        <v>黄金锤头鲨+彩贝-场次2</v>
      </c>
      <c r="I93" s="64">
        <v>100</v>
      </c>
      <c r="J93" s="66">
        <v>1</v>
      </c>
      <c r="K93" s="66">
        <f>LOOKUP(use_fish!B93,base_fish!A:A,base_fish!G:G)</f>
        <v>0</v>
      </c>
      <c r="L93" s="66">
        <f t="shared" si="20"/>
        <v>100</v>
      </c>
      <c r="M93" s="66">
        <v>1</v>
      </c>
      <c r="N93" s="66">
        <v>0</v>
      </c>
      <c r="O93" s="66">
        <v>2</v>
      </c>
    </row>
    <row r="94" spans="1:15" s="19" customFormat="1" x14ac:dyDescent="0.2">
      <c r="A94" s="16">
        <v>93</v>
      </c>
      <c r="B94" s="16">
        <v>20</v>
      </c>
      <c r="C94" s="16">
        <v>40</v>
      </c>
      <c r="D94" s="16" t="s">
        <v>243</v>
      </c>
      <c r="E94" s="17">
        <v>65</v>
      </c>
      <c r="F94" s="17">
        <f t="shared" ref="F94:F99" si="21">1/E94</f>
        <v>1.5384615384615385E-2</v>
      </c>
      <c r="G94" s="17" t="s">
        <v>22</v>
      </c>
      <c r="H94" s="18" t="str">
        <f>INDEX(base_fish!E:E,MATCH(use_fish!B94,base_fish!A:A,0))&amp;_xlfn.IFNA("+"&amp;INDEX(activity!G:G,MATCH(use_fish!C94,activity!A:A,0)),"")</f>
        <v>黄金灯笼鱼+彩贝-场次3</v>
      </c>
      <c r="I94" s="17">
        <v>60</v>
      </c>
      <c r="J94" s="19">
        <v>1</v>
      </c>
      <c r="K94" s="19">
        <f>LOOKUP(use_fish!B94,base_fish!A:A,base_fish!G:G)</f>
        <v>0</v>
      </c>
      <c r="L94" s="19">
        <f t="shared" ref="L94:L99" si="22">I94</f>
        <v>60</v>
      </c>
      <c r="M94" s="19">
        <v>1</v>
      </c>
      <c r="N94" s="19">
        <v>0</v>
      </c>
      <c r="O94" s="19">
        <v>2</v>
      </c>
    </row>
    <row r="95" spans="1:15" s="19" customFormat="1" x14ac:dyDescent="0.2">
      <c r="A95" s="16">
        <v>94</v>
      </c>
      <c r="B95" s="16">
        <v>22</v>
      </c>
      <c r="C95" s="16">
        <v>40</v>
      </c>
      <c r="D95" s="16" t="s">
        <v>266</v>
      </c>
      <c r="E95" s="17">
        <v>65</v>
      </c>
      <c r="F95" s="17">
        <f t="shared" si="21"/>
        <v>1.5384615384615385E-2</v>
      </c>
      <c r="G95" s="17" t="s">
        <v>22</v>
      </c>
      <c r="H95" s="18" t="str">
        <f>INDEX(base_fish!E:E,MATCH(use_fish!B95,base_fish!A:A,0))&amp;_xlfn.IFNA("+"&amp;INDEX(activity!G:G,MATCH(use_fish!C95,activity!A:A,0)),"")</f>
        <v>黄金狮子鱼+彩贝-场次3</v>
      </c>
      <c r="I95" s="17">
        <v>60</v>
      </c>
      <c r="J95" s="19">
        <v>1</v>
      </c>
      <c r="K95" s="19">
        <f>LOOKUP(use_fish!B95,base_fish!A:A,base_fish!G:G)</f>
        <v>0</v>
      </c>
      <c r="L95" s="19">
        <f t="shared" si="22"/>
        <v>60</v>
      </c>
      <c r="M95" s="19">
        <v>1</v>
      </c>
      <c r="N95" s="19">
        <v>0</v>
      </c>
      <c r="O95" s="19">
        <v>2</v>
      </c>
    </row>
    <row r="96" spans="1:15" s="19" customFormat="1" x14ac:dyDescent="0.2">
      <c r="A96" s="16">
        <v>95</v>
      </c>
      <c r="B96" s="16">
        <v>23</v>
      </c>
      <c r="C96" s="16">
        <v>40</v>
      </c>
      <c r="D96" s="16" t="s">
        <v>267</v>
      </c>
      <c r="E96" s="17">
        <v>65</v>
      </c>
      <c r="F96" s="17">
        <f t="shared" si="21"/>
        <v>1.5384615384615385E-2</v>
      </c>
      <c r="G96" s="17" t="s">
        <v>22</v>
      </c>
      <c r="H96" s="18" t="str">
        <f>INDEX(base_fish!E:E,MATCH(use_fish!B96,base_fish!A:A,0))&amp;_xlfn.IFNA("+"&amp;INDEX(activity!G:G,MATCH(use_fish!C96,activity!A:A,0)),"")</f>
        <v>黄金海龟+彩贝-场次3</v>
      </c>
      <c r="I96" s="17">
        <v>60</v>
      </c>
      <c r="J96" s="19">
        <v>1</v>
      </c>
      <c r="K96" s="19">
        <f>LOOKUP(use_fish!B96,base_fish!A:A,base_fish!G:G)</f>
        <v>0</v>
      </c>
      <c r="L96" s="19">
        <f t="shared" si="22"/>
        <v>60</v>
      </c>
      <c r="M96" s="19">
        <v>1</v>
      </c>
      <c r="N96" s="19">
        <v>0</v>
      </c>
      <c r="O96" s="19">
        <v>2</v>
      </c>
    </row>
    <row r="97" spans="1:15" s="19" customFormat="1" x14ac:dyDescent="0.2">
      <c r="A97" s="16">
        <v>96</v>
      </c>
      <c r="B97" s="16">
        <v>25</v>
      </c>
      <c r="C97" s="16">
        <v>40</v>
      </c>
      <c r="D97" s="16" t="s">
        <v>243</v>
      </c>
      <c r="E97" s="17">
        <v>86</v>
      </c>
      <c r="F97" s="17">
        <f t="shared" si="21"/>
        <v>1.1627906976744186E-2</v>
      </c>
      <c r="G97" s="17" t="s">
        <v>22</v>
      </c>
      <c r="H97" s="18" t="str">
        <f>INDEX(base_fish!E:E,MATCH(use_fish!B97,base_fish!A:A,0))&amp;_xlfn.IFNA("+"&amp;INDEX(activity!G:G,MATCH(use_fish!C97,activity!A:A,0)),"")</f>
        <v>金蟾+彩贝-场次3</v>
      </c>
      <c r="I97" s="17">
        <v>80</v>
      </c>
      <c r="J97" s="19">
        <v>1</v>
      </c>
      <c r="K97" s="19">
        <f>LOOKUP(use_fish!B97,base_fish!A:A,base_fish!G:G)</f>
        <v>0</v>
      </c>
      <c r="L97" s="19">
        <f t="shared" si="22"/>
        <v>80</v>
      </c>
      <c r="M97" s="19">
        <v>1</v>
      </c>
      <c r="N97" s="19">
        <v>0</v>
      </c>
      <c r="O97" s="19">
        <v>2</v>
      </c>
    </row>
    <row r="98" spans="1:15" s="19" customFormat="1" x14ac:dyDescent="0.2">
      <c r="A98" s="16">
        <v>97</v>
      </c>
      <c r="B98" s="16">
        <v>26</v>
      </c>
      <c r="C98" s="16">
        <v>40</v>
      </c>
      <c r="D98" s="16" t="s">
        <v>243</v>
      </c>
      <c r="E98" s="17">
        <v>107</v>
      </c>
      <c r="F98" s="17">
        <f t="shared" si="21"/>
        <v>9.3457943925233638E-3</v>
      </c>
      <c r="G98" s="17" t="s">
        <v>22</v>
      </c>
      <c r="H98" s="18" t="str">
        <f>INDEX(base_fish!E:E,MATCH(use_fish!B98,base_fish!A:A,0))&amp;_xlfn.IFNA("+"&amp;INDEX(activity!G:G,MATCH(use_fish!C98,activity!A:A,0)),"")</f>
        <v>大金鲨+彩贝-场次3</v>
      </c>
      <c r="I98" s="17">
        <v>100</v>
      </c>
      <c r="J98" s="19">
        <v>1</v>
      </c>
      <c r="K98" s="19">
        <f>LOOKUP(use_fish!B98,base_fish!A:A,base_fish!G:G)</f>
        <v>0</v>
      </c>
      <c r="L98" s="19">
        <f t="shared" si="22"/>
        <v>100</v>
      </c>
      <c r="M98" s="19">
        <v>1</v>
      </c>
      <c r="N98" s="19">
        <v>0</v>
      </c>
      <c r="O98" s="19">
        <v>2</v>
      </c>
    </row>
    <row r="99" spans="1:15" s="19" customFormat="1" x14ac:dyDescent="0.2">
      <c r="A99" s="16">
        <v>98</v>
      </c>
      <c r="B99" s="16">
        <v>27</v>
      </c>
      <c r="C99" s="16">
        <v>40</v>
      </c>
      <c r="D99" s="16" t="s">
        <v>266</v>
      </c>
      <c r="E99" s="17">
        <v>107</v>
      </c>
      <c r="F99" s="17">
        <f t="shared" si="21"/>
        <v>9.3457943925233638E-3</v>
      </c>
      <c r="G99" s="17" t="s">
        <v>22</v>
      </c>
      <c r="H99" s="18" t="str">
        <f>INDEX(base_fish!E:E,MATCH(use_fish!B99,base_fish!A:A,0))&amp;_xlfn.IFNA("+"&amp;INDEX(activity!G:G,MATCH(use_fish!C99,activity!A:A,0)),"")</f>
        <v>黄金锤头鲨+彩贝-场次3</v>
      </c>
      <c r="I99" s="17">
        <v>100</v>
      </c>
      <c r="J99" s="19">
        <v>1</v>
      </c>
      <c r="K99" s="19">
        <f>LOOKUP(use_fish!B99,base_fish!A:A,base_fish!G:G)</f>
        <v>0</v>
      </c>
      <c r="L99" s="19">
        <f t="shared" si="22"/>
        <v>100</v>
      </c>
      <c r="M99" s="19">
        <v>1</v>
      </c>
      <c r="N99" s="19">
        <v>0</v>
      </c>
      <c r="O99" s="19">
        <v>2</v>
      </c>
    </row>
    <row r="100" spans="1:15" s="66" customFormat="1" x14ac:dyDescent="0.2">
      <c r="A100" s="16">
        <v>99</v>
      </c>
      <c r="B100" s="63">
        <v>20</v>
      </c>
      <c r="C100" s="63">
        <v>41</v>
      </c>
      <c r="D100" s="63" t="s">
        <v>243</v>
      </c>
      <c r="E100" s="64">
        <v>65</v>
      </c>
      <c r="F100" s="64">
        <f t="shared" ref="F100:F110" si="23">1/E100</f>
        <v>1.5384615384615385E-2</v>
      </c>
      <c r="G100" s="64" t="s">
        <v>22</v>
      </c>
      <c r="H100" s="65" t="str">
        <f>INDEX(base_fish!E:E,MATCH(use_fish!B100,base_fish!A:A,0))&amp;_xlfn.IFNA("+"&amp;INDEX(activity!G:G,MATCH(use_fish!C100,activity!A:A,0)),"")</f>
        <v>黄金灯笼鱼+彩贝-场次4</v>
      </c>
      <c r="I100" s="64">
        <v>60</v>
      </c>
      <c r="J100" s="66">
        <v>1</v>
      </c>
      <c r="K100" s="66">
        <f>LOOKUP(use_fish!B100,base_fish!A:A,base_fish!G:G)</f>
        <v>0</v>
      </c>
      <c r="L100" s="66">
        <f t="shared" ref="L100:L110" si="24">I100</f>
        <v>60</v>
      </c>
      <c r="M100" s="66">
        <v>1</v>
      </c>
      <c r="N100" s="66">
        <v>0</v>
      </c>
      <c r="O100" s="66">
        <v>2</v>
      </c>
    </row>
    <row r="101" spans="1:15" s="66" customFormat="1" x14ac:dyDescent="0.2">
      <c r="A101" s="16">
        <v>100</v>
      </c>
      <c r="B101" s="63">
        <v>22</v>
      </c>
      <c r="C101" s="63">
        <v>41</v>
      </c>
      <c r="D101" s="63" t="s">
        <v>266</v>
      </c>
      <c r="E101" s="64">
        <v>65</v>
      </c>
      <c r="F101" s="64">
        <f t="shared" si="23"/>
        <v>1.5384615384615385E-2</v>
      </c>
      <c r="G101" s="64" t="s">
        <v>22</v>
      </c>
      <c r="H101" s="65" t="str">
        <f>INDEX(base_fish!E:E,MATCH(use_fish!B101,base_fish!A:A,0))&amp;_xlfn.IFNA("+"&amp;INDEX(activity!G:G,MATCH(use_fish!C101,activity!A:A,0)),"")</f>
        <v>黄金狮子鱼+彩贝-场次4</v>
      </c>
      <c r="I101" s="64">
        <v>60</v>
      </c>
      <c r="J101" s="66">
        <v>1</v>
      </c>
      <c r="K101" s="66">
        <f>LOOKUP(use_fish!B101,base_fish!A:A,base_fish!G:G)</f>
        <v>0</v>
      </c>
      <c r="L101" s="66">
        <f t="shared" si="24"/>
        <v>60</v>
      </c>
      <c r="M101" s="66">
        <v>1</v>
      </c>
      <c r="N101" s="66">
        <v>0</v>
      </c>
      <c r="O101" s="66">
        <v>2</v>
      </c>
    </row>
    <row r="102" spans="1:15" s="66" customFormat="1" x14ac:dyDescent="0.2">
      <c r="A102" s="16">
        <v>101</v>
      </c>
      <c r="B102" s="63">
        <v>23</v>
      </c>
      <c r="C102" s="63">
        <v>41</v>
      </c>
      <c r="D102" s="63" t="s">
        <v>267</v>
      </c>
      <c r="E102" s="64">
        <v>65</v>
      </c>
      <c r="F102" s="64">
        <f t="shared" si="23"/>
        <v>1.5384615384615385E-2</v>
      </c>
      <c r="G102" s="64" t="s">
        <v>22</v>
      </c>
      <c r="H102" s="65" t="str">
        <f>INDEX(base_fish!E:E,MATCH(use_fish!B102,base_fish!A:A,0))&amp;_xlfn.IFNA("+"&amp;INDEX(activity!G:G,MATCH(use_fish!C102,activity!A:A,0)),"")</f>
        <v>黄金海龟+彩贝-场次4</v>
      </c>
      <c r="I102" s="64">
        <v>60</v>
      </c>
      <c r="J102" s="66">
        <v>1</v>
      </c>
      <c r="K102" s="66">
        <f>LOOKUP(use_fish!B102,base_fish!A:A,base_fish!G:G)</f>
        <v>0</v>
      </c>
      <c r="L102" s="66">
        <f t="shared" si="24"/>
        <v>60</v>
      </c>
      <c r="M102" s="66">
        <v>1</v>
      </c>
      <c r="N102" s="66">
        <v>0</v>
      </c>
      <c r="O102" s="66">
        <v>2</v>
      </c>
    </row>
    <row r="103" spans="1:15" s="66" customFormat="1" x14ac:dyDescent="0.2">
      <c r="A103" s="16">
        <v>102</v>
      </c>
      <c r="B103" s="63">
        <v>25</v>
      </c>
      <c r="C103" s="63">
        <v>41</v>
      </c>
      <c r="D103" s="63" t="s">
        <v>243</v>
      </c>
      <c r="E103" s="64">
        <v>86</v>
      </c>
      <c r="F103" s="64">
        <f t="shared" si="23"/>
        <v>1.1627906976744186E-2</v>
      </c>
      <c r="G103" s="64" t="s">
        <v>22</v>
      </c>
      <c r="H103" s="65" t="str">
        <f>INDEX(base_fish!E:E,MATCH(use_fish!B103,base_fish!A:A,0))&amp;_xlfn.IFNA("+"&amp;INDEX(activity!G:G,MATCH(use_fish!C103,activity!A:A,0)),"")</f>
        <v>金蟾+彩贝-场次4</v>
      </c>
      <c r="I103" s="64">
        <v>80</v>
      </c>
      <c r="J103" s="66">
        <v>1</v>
      </c>
      <c r="K103" s="66">
        <f>LOOKUP(use_fish!B103,base_fish!A:A,base_fish!G:G)</f>
        <v>0</v>
      </c>
      <c r="L103" s="66">
        <f t="shared" si="24"/>
        <v>80</v>
      </c>
      <c r="M103" s="66">
        <v>1</v>
      </c>
      <c r="N103" s="66">
        <v>0</v>
      </c>
      <c r="O103" s="66">
        <v>2</v>
      </c>
    </row>
    <row r="104" spans="1:15" s="66" customFormat="1" x14ac:dyDescent="0.2">
      <c r="A104" s="16">
        <v>103</v>
      </c>
      <c r="B104" s="63">
        <v>26</v>
      </c>
      <c r="C104" s="63">
        <v>41</v>
      </c>
      <c r="D104" s="63" t="s">
        <v>243</v>
      </c>
      <c r="E104" s="64">
        <v>107</v>
      </c>
      <c r="F104" s="64">
        <f t="shared" si="23"/>
        <v>9.3457943925233638E-3</v>
      </c>
      <c r="G104" s="64" t="s">
        <v>22</v>
      </c>
      <c r="H104" s="65" t="str">
        <f>INDEX(base_fish!E:E,MATCH(use_fish!B104,base_fish!A:A,0))&amp;_xlfn.IFNA("+"&amp;INDEX(activity!G:G,MATCH(use_fish!C104,activity!A:A,0)),"")</f>
        <v>大金鲨+彩贝-场次4</v>
      </c>
      <c r="I104" s="64">
        <v>100</v>
      </c>
      <c r="J104" s="66">
        <v>1</v>
      </c>
      <c r="K104" s="66">
        <f>LOOKUP(use_fish!B104,base_fish!A:A,base_fish!G:G)</f>
        <v>0</v>
      </c>
      <c r="L104" s="66">
        <f t="shared" si="24"/>
        <v>100</v>
      </c>
      <c r="M104" s="66">
        <v>1</v>
      </c>
      <c r="N104" s="66">
        <v>0</v>
      </c>
      <c r="O104" s="66">
        <v>2</v>
      </c>
    </row>
    <row r="105" spans="1:15" s="66" customFormat="1" x14ac:dyDescent="0.2">
      <c r="A105" s="16">
        <v>104</v>
      </c>
      <c r="B105" s="63">
        <v>27</v>
      </c>
      <c r="C105" s="63">
        <v>41</v>
      </c>
      <c r="D105" s="63" t="s">
        <v>266</v>
      </c>
      <c r="E105" s="64">
        <v>107</v>
      </c>
      <c r="F105" s="64">
        <f t="shared" si="23"/>
        <v>9.3457943925233638E-3</v>
      </c>
      <c r="G105" s="64" t="s">
        <v>22</v>
      </c>
      <c r="H105" s="65" t="str">
        <f>INDEX(base_fish!E:E,MATCH(use_fish!B105,base_fish!A:A,0))&amp;_xlfn.IFNA("+"&amp;INDEX(activity!G:G,MATCH(use_fish!C105,activity!A:A,0)),"")</f>
        <v>黄金锤头鲨+彩贝-场次4</v>
      </c>
      <c r="I105" s="64">
        <v>100</v>
      </c>
      <c r="J105" s="66">
        <v>1</v>
      </c>
      <c r="K105" s="66">
        <f>LOOKUP(use_fish!B105,base_fish!A:A,base_fish!G:G)</f>
        <v>0</v>
      </c>
      <c r="L105" s="66">
        <f t="shared" si="24"/>
        <v>100</v>
      </c>
      <c r="M105" s="66">
        <v>1</v>
      </c>
      <c r="N105" s="66">
        <v>0</v>
      </c>
      <c r="O105" s="66">
        <v>2</v>
      </c>
    </row>
    <row r="106" spans="1:15" s="39" customFormat="1" x14ac:dyDescent="0.2">
      <c r="A106" s="16">
        <v>105</v>
      </c>
      <c r="B106" s="36">
        <v>51</v>
      </c>
      <c r="C106" s="36"/>
      <c r="D106" s="36" t="s">
        <v>439</v>
      </c>
      <c r="E106" s="37">
        <f>LOOKUP(use_fish!B106,base_fish!A:A,base_fish!C:C)+_xlfn.IFNA(INDEX(activity!F:F,MATCH(use_fish!C106,activity!A:A,0)),0)</f>
        <v>100</v>
      </c>
      <c r="F106" s="37">
        <f t="shared" si="23"/>
        <v>0.01</v>
      </c>
      <c r="G106" s="37" t="s">
        <v>22</v>
      </c>
      <c r="H106" s="38" t="str">
        <f>INDEX(base_fish!E:E,MATCH(use_fish!B106,base_fish!A:A,0))&amp;_xlfn.IFNA("+"&amp;INDEX(activity!G:G,MATCH(use_fish!C106,activity!A:A,0)),"")</f>
        <v>鲤鱼王</v>
      </c>
      <c r="I106" s="37">
        <f>LOOKUP(use_fish!B106,base_fish!A:A,base_fish!F:F)+_xlfn.IFNA(INDEX(activity!F:F,MATCH(use_fish!C106,activity!A:A,0)),0)</f>
        <v>200</v>
      </c>
      <c r="J106" s="39">
        <v>1</v>
      </c>
      <c r="K106" s="39">
        <f>LOOKUP(use_fish!B106,base_fish!A:A,base_fish!G:G)</f>
        <v>0</v>
      </c>
      <c r="L106" s="39">
        <f t="shared" si="24"/>
        <v>200</v>
      </c>
      <c r="M106" s="39">
        <v>1</v>
      </c>
      <c r="N106" s="39">
        <v>2</v>
      </c>
      <c r="O106" s="39">
        <v>1</v>
      </c>
    </row>
    <row r="107" spans="1:15" s="39" customFormat="1" x14ac:dyDescent="0.2">
      <c r="A107" s="16">
        <v>106</v>
      </c>
      <c r="B107" s="36">
        <v>52</v>
      </c>
      <c r="C107" s="36"/>
      <c r="D107" s="36"/>
      <c r="E107" s="37">
        <f>LOOKUP(use_fish!B107,base_fish!A:A,base_fish!C:C)+_xlfn.IFNA(INDEX(activity!F:F,MATCH(use_fish!C107,activity!A:A,0)),0)</f>
        <v>100</v>
      </c>
      <c r="F107" s="37">
        <f t="shared" si="23"/>
        <v>0.01</v>
      </c>
      <c r="G107" s="37" t="s">
        <v>22</v>
      </c>
      <c r="H107" s="38" t="str">
        <f>INDEX(base_fish!E:E,MATCH(use_fish!B107,base_fish!A:A,0))&amp;_xlfn.IFNA("+"&amp;INDEX(activity!G:G,MATCH(use_fish!C107,activity!A:A,0)),"")</f>
        <v>龙虾王</v>
      </c>
      <c r="I107" s="37">
        <f>LOOKUP(use_fish!B107,base_fish!A:A,base_fish!F:F)+_xlfn.IFNA(INDEX(activity!F:F,MATCH(use_fish!C107,activity!A:A,0)),0)</f>
        <v>200</v>
      </c>
      <c r="J107" s="39">
        <v>1</v>
      </c>
      <c r="K107" s="39">
        <f>LOOKUP(use_fish!B107,base_fish!A:A,base_fish!G:G)</f>
        <v>0</v>
      </c>
      <c r="L107" s="39">
        <f t="shared" si="24"/>
        <v>200</v>
      </c>
      <c r="M107" s="39">
        <v>1</v>
      </c>
      <c r="N107" s="39">
        <v>2</v>
      </c>
      <c r="O107" s="39">
        <v>1</v>
      </c>
    </row>
    <row r="108" spans="1:15" s="39" customFormat="1" x14ac:dyDescent="0.2">
      <c r="A108" s="16">
        <v>107</v>
      </c>
      <c r="B108" s="36">
        <v>53</v>
      </c>
      <c r="C108" s="36"/>
      <c r="D108" s="36"/>
      <c r="E108" s="37">
        <f>LOOKUP(use_fish!B108,base_fish!A:A,base_fish!C:C)+_xlfn.IFNA(INDEX(activity!F:F,MATCH(use_fish!C108,activity!A:A,0)),0)</f>
        <v>100</v>
      </c>
      <c r="F108" s="37">
        <f t="shared" si="23"/>
        <v>0.01</v>
      </c>
      <c r="G108" s="37" t="s">
        <v>22</v>
      </c>
      <c r="H108" s="38" t="str">
        <f>INDEX(base_fish!E:E,MATCH(use_fish!B108,base_fish!A:A,0))&amp;_xlfn.IFNA("+"&amp;INDEX(activity!G:G,MATCH(use_fish!C108,activity!A:A,0)),"")</f>
        <v>蓝鲸王</v>
      </c>
      <c r="I108" s="37">
        <f>LOOKUP(use_fish!B108,base_fish!A:A,base_fish!F:F)+_xlfn.IFNA(INDEX(activity!F:F,MATCH(use_fish!C108,activity!A:A,0)),0)</f>
        <v>200</v>
      </c>
      <c r="J108" s="39">
        <v>1</v>
      </c>
      <c r="K108" s="39">
        <f>LOOKUP(use_fish!B108,base_fish!A:A,base_fish!G:G)</f>
        <v>0</v>
      </c>
      <c r="L108" s="39">
        <f t="shared" si="24"/>
        <v>200</v>
      </c>
      <c r="M108" s="39">
        <v>1</v>
      </c>
      <c r="N108" s="39">
        <v>2</v>
      </c>
      <c r="O108" s="39">
        <v>1</v>
      </c>
    </row>
    <row r="109" spans="1:15" s="39" customFormat="1" x14ac:dyDescent="0.2">
      <c r="A109" s="16">
        <v>108</v>
      </c>
      <c r="B109" s="36">
        <v>54</v>
      </c>
      <c r="C109" s="36"/>
      <c r="D109" s="36"/>
      <c r="E109" s="37">
        <f>LOOKUP(use_fish!B109,base_fish!A:A,base_fish!C:C)+_xlfn.IFNA(INDEX(activity!F:F,MATCH(use_fish!C109,activity!A:A,0)),0)</f>
        <v>100</v>
      </c>
      <c r="F109" s="37">
        <f t="shared" si="23"/>
        <v>0.01</v>
      </c>
      <c r="G109" s="37" t="s">
        <v>22</v>
      </c>
      <c r="H109" s="38" t="str">
        <f>INDEX(base_fish!E:E,MATCH(use_fish!B109,base_fish!A:A,0))&amp;_xlfn.IFNA("+"&amp;INDEX(activity!G:G,MATCH(use_fish!C109,activity!A:A,0)),"")</f>
        <v>海豹王</v>
      </c>
      <c r="I109" s="37">
        <f>LOOKUP(use_fish!B109,base_fish!A:A,base_fish!F:F)+_xlfn.IFNA(INDEX(activity!F:F,MATCH(use_fish!C109,activity!A:A,0)),0)</f>
        <v>200</v>
      </c>
      <c r="J109" s="39">
        <v>1</v>
      </c>
      <c r="K109" s="39">
        <f>LOOKUP(use_fish!B109,base_fish!A:A,base_fish!G:G)</f>
        <v>0</v>
      </c>
      <c r="L109" s="39">
        <f t="shared" si="24"/>
        <v>200</v>
      </c>
      <c r="M109" s="39">
        <v>1</v>
      </c>
      <c r="N109" s="39">
        <v>2</v>
      </c>
      <c r="O109" s="39">
        <v>1</v>
      </c>
    </row>
    <row r="110" spans="1:15" s="39" customFormat="1" x14ac:dyDescent="0.2">
      <c r="A110" s="16">
        <v>109</v>
      </c>
      <c r="B110" s="36">
        <v>55</v>
      </c>
      <c r="C110" s="36"/>
      <c r="D110" s="36"/>
      <c r="E110" s="37">
        <f>LOOKUP(use_fish!B110,base_fish!A:A,base_fish!C:C)+_xlfn.IFNA(INDEX(activity!F:F,MATCH(use_fish!C110,activity!A:A,0)),0)</f>
        <v>100</v>
      </c>
      <c r="F110" s="37">
        <f t="shared" si="23"/>
        <v>0.01</v>
      </c>
      <c r="G110" s="37" t="s">
        <v>22</v>
      </c>
      <c r="H110" s="38" t="str">
        <f>INDEX(base_fish!E:E,MATCH(use_fish!B110,base_fish!A:A,0))&amp;_xlfn.IFNA("+"&amp;INDEX(activity!G:G,MATCH(use_fish!C110,activity!A:A,0)),"")</f>
        <v>熔岩鲨</v>
      </c>
      <c r="I110" s="37">
        <f>LOOKUP(use_fish!B110,base_fish!A:A,base_fish!F:F)+_xlfn.IFNA(INDEX(activity!F:F,MATCH(use_fish!C110,activity!A:A,0)),0)</f>
        <v>200</v>
      </c>
      <c r="J110" s="39">
        <v>1</v>
      </c>
      <c r="K110" s="39">
        <f>LOOKUP(use_fish!B110,base_fish!A:A,base_fish!G:G)</f>
        <v>0</v>
      </c>
      <c r="L110" s="39">
        <f t="shared" si="24"/>
        <v>200</v>
      </c>
      <c r="M110" s="39">
        <v>1</v>
      </c>
      <c r="N110" s="39">
        <v>2</v>
      </c>
      <c r="O110" s="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2"/>
  <sheetViews>
    <sheetView zoomScale="130" zoomScaleNormal="130" workbookViewId="0">
      <pane ySplit="1" topLeftCell="A44" activePane="bottomLeft" state="frozen"/>
      <selection pane="bottomLeft" activeCell="A78" sqref="A71:XFD78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134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265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214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242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160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161</v>
      </c>
    </row>
    <row r="18" spans="1:9" x14ac:dyDescent="0.2">
      <c r="A18">
        <v>17</v>
      </c>
      <c r="B18">
        <v>10</v>
      </c>
      <c r="C18" s="6" t="s">
        <v>240</v>
      </c>
      <c r="D18" s="4">
        <v>0</v>
      </c>
      <c r="E18" s="4">
        <v>0</v>
      </c>
      <c r="F18">
        <v>150</v>
      </c>
      <c r="G18" t="s">
        <v>241</v>
      </c>
      <c r="H18">
        <v>22</v>
      </c>
      <c r="I18" t="s">
        <v>163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253</v>
      </c>
    </row>
    <row r="20" spans="1:9" x14ac:dyDescent="0.2">
      <c r="A20">
        <v>19</v>
      </c>
      <c r="B20">
        <v>17</v>
      </c>
      <c r="C20" s="9" t="s">
        <v>254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284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167</v>
      </c>
    </row>
    <row r="22" spans="1:9" x14ac:dyDescent="0.2">
      <c r="A22">
        <v>21</v>
      </c>
      <c r="B22">
        <v>20</v>
      </c>
      <c r="C22" s="9" t="s">
        <v>164</v>
      </c>
      <c r="D22" s="4">
        <v>0</v>
      </c>
      <c r="E22" s="4">
        <v>0</v>
      </c>
      <c r="F22">
        <v>50</v>
      </c>
      <c r="G22" t="s">
        <v>177</v>
      </c>
      <c r="H22">
        <v>26</v>
      </c>
      <c r="I22" t="s">
        <v>173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178</v>
      </c>
      <c r="H23">
        <v>27</v>
      </c>
      <c r="I23" t="s">
        <v>282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179</v>
      </c>
      <c r="H24">
        <v>28</v>
      </c>
      <c r="I24" t="s">
        <v>283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180</v>
      </c>
      <c r="H25">
        <v>29</v>
      </c>
      <c r="I25" t="s">
        <v>172</v>
      </c>
    </row>
    <row r="26" spans="1:9" x14ac:dyDescent="0.2">
      <c r="A26">
        <v>25</v>
      </c>
      <c r="B26">
        <v>21</v>
      </c>
      <c r="C26" s="9" t="s">
        <v>286</v>
      </c>
      <c r="D26" s="4">
        <v>0</v>
      </c>
      <c r="E26" s="4">
        <v>1</v>
      </c>
      <c r="F26">
        <v>5</v>
      </c>
      <c r="G26" t="s">
        <v>287</v>
      </c>
      <c r="H26">
        <v>30</v>
      </c>
      <c r="I26" t="s">
        <v>236</v>
      </c>
    </row>
    <row r="27" spans="1:9" x14ac:dyDescent="0.2">
      <c r="A27">
        <v>26</v>
      </c>
      <c r="B27">
        <v>21</v>
      </c>
      <c r="C27" s="9" t="s">
        <v>289</v>
      </c>
      <c r="D27" s="4">
        <v>0</v>
      </c>
      <c r="E27" s="4">
        <v>1</v>
      </c>
      <c r="F27">
        <v>2</v>
      </c>
      <c r="G27" t="s">
        <v>288</v>
      </c>
      <c r="H27">
        <v>31</v>
      </c>
      <c r="I27" t="s">
        <v>246</v>
      </c>
    </row>
    <row r="28" spans="1:9" x14ac:dyDescent="0.2">
      <c r="A28">
        <v>27</v>
      </c>
      <c r="B28">
        <v>21</v>
      </c>
      <c r="C28" s="9" t="s">
        <v>291</v>
      </c>
      <c r="D28" s="4">
        <v>0</v>
      </c>
      <c r="E28" s="4">
        <v>1</v>
      </c>
      <c r="F28">
        <v>6</v>
      </c>
      <c r="G28" t="s">
        <v>290</v>
      </c>
      <c r="H28">
        <v>32</v>
      </c>
      <c r="I28" t="s">
        <v>247</v>
      </c>
    </row>
    <row r="29" spans="1:9" x14ac:dyDescent="0.2">
      <c r="A29">
        <v>28</v>
      </c>
      <c r="B29">
        <v>22</v>
      </c>
      <c r="C29" s="9" t="s">
        <v>166</v>
      </c>
      <c r="D29" s="4">
        <v>0</v>
      </c>
      <c r="E29" s="4">
        <v>0</v>
      </c>
      <c r="F29">
        <v>100</v>
      </c>
      <c r="G29" t="s">
        <v>165</v>
      </c>
      <c r="H29">
        <v>33</v>
      </c>
      <c r="I29" t="s">
        <v>248</v>
      </c>
    </row>
    <row r="30" spans="1:9" x14ac:dyDescent="0.2">
      <c r="A30">
        <v>29</v>
      </c>
      <c r="B30">
        <v>23</v>
      </c>
      <c r="C30" t="s">
        <v>176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256</v>
      </c>
    </row>
    <row r="31" spans="1:9" x14ac:dyDescent="0.2">
      <c r="A31">
        <v>30</v>
      </c>
      <c r="B31">
        <v>24</v>
      </c>
      <c r="C31" s="9" t="s">
        <v>273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258</v>
      </c>
    </row>
    <row r="32" spans="1:9" x14ac:dyDescent="0.2">
      <c r="A32">
        <v>31</v>
      </c>
      <c r="B32">
        <v>25</v>
      </c>
      <c r="C32" t="s">
        <v>237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349</v>
      </c>
    </row>
    <row r="33" spans="1:9" x14ac:dyDescent="0.2">
      <c r="A33">
        <v>32</v>
      </c>
      <c r="B33">
        <v>28</v>
      </c>
      <c r="C33" s="9" t="s">
        <v>285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350</v>
      </c>
    </row>
    <row r="34" spans="1:9" x14ac:dyDescent="0.2">
      <c r="A34">
        <v>33</v>
      </c>
      <c r="B34">
        <v>29</v>
      </c>
      <c r="C34" t="s">
        <v>260</v>
      </c>
      <c r="D34" s="4">
        <v>0</v>
      </c>
      <c r="E34" s="4">
        <v>0</v>
      </c>
      <c r="F34">
        <v>300</v>
      </c>
      <c r="G34" t="s">
        <v>172</v>
      </c>
      <c r="H34">
        <v>42</v>
      </c>
      <c r="I34" t="s">
        <v>357</v>
      </c>
    </row>
    <row r="35" spans="1:9" x14ac:dyDescent="0.2">
      <c r="A35">
        <v>34</v>
      </c>
      <c r="B35">
        <v>30</v>
      </c>
      <c r="C35" s="9" t="s">
        <v>279</v>
      </c>
      <c r="D35" s="4">
        <v>0</v>
      </c>
      <c r="E35" s="4">
        <v>0</v>
      </c>
      <c r="F35">
        <v>150</v>
      </c>
      <c r="G35" t="s">
        <v>238</v>
      </c>
      <c r="H35">
        <v>43</v>
      </c>
      <c r="I35" t="s">
        <v>353</v>
      </c>
    </row>
    <row r="36" spans="1:9" x14ac:dyDescent="0.2">
      <c r="A36">
        <v>35</v>
      </c>
      <c r="B36">
        <v>31</v>
      </c>
      <c r="C36" t="s">
        <v>277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354</v>
      </c>
    </row>
    <row r="37" spans="1:9" x14ac:dyDescent="0.2">
      <c r="A37">
        <v>36</v>
      </c>
      <c r="B37">
        <v>32</v>
      </c>
      <c r="C37" s="9" t="s">
        <v>278</v>
      </c>
      <c r="D37" s="4">
        <v>0</v>
      </c>
      <c r="E37" s="4">
        <v>0</v>
      </c>
      <c r="F37">
        <v>300</v>
      </c>
      <c r="G37" t="s">
        <v>249</v>
      </c>
      <c r="H37">
        <v>45</v>
      </c>
      <c r="I37" t="s">
        <v>355</v>
      </c>
    </row>
    <row r="38" spans="1:9" x14ac:dyDescent="0.2">
      <c r="A38">
        <v>37</v>
      </c>
      <c r="B38">
        <v>33</v>
      </c>
      <c r="C38" t="s">
        <v>125</v>
      </c>
      <c r="D38" s="4">
        <v>0</v>
      </c>
      <c r="E38" s="4">
        <v>0</v>
      </c>
      <c r="F38">
        <v>200</v>
      </c>
      <c r="G38" t="s">
        <v>250</v>
      </c>
      <c r="H38">
        <v>46</v>
      </c>
      <c r="I38" t="s">
        <v>358</v>
      </c>
    </row>
    <row r="39" spans="1:9" x14ac:dyDescent="0.2">
      <c r="A39">
        <v>38</v>
      </c>
      <c r="B39">
        <v>38</v>
      </c>
      <c r="C39" t="s">
        <v>255</v>
      </c>
      <c r="D39" s="4">
        <v>0</v>
      </c>
      <c r="E39" s="4">
        <v>0</v>
      </c>
      <c r="F39">
        <v>250</v>
      </c>
      <c r="G39" t="s">
        <v>257</v>
      </c>
      <c r="H39">
        <v>47</v>
      </c>
      <c r="I39" t="s">
        <v>359</v>
      </c>
    </row>
    <row r="40" spans="1:9" x14ac:dyDescent="0.2">
      <c r="A40">
        <v>39</v>
      </c>
      <c r="B40">
        <v>39</v>
      </c>
      <c r="C40" t="s">
        <v>255</v>
      </c>
      <c r="D40" s="4">
        <v>0</v>
      </c>
      <c r="E40" s="4">
        <v>0</v>
      </c>
      <c r="F40">
        <v>250</v>
      </c>
      <c r="G40" t="s">
        <v>259</v>
      </c>
    </row>
    <row r="41" spans="1:9" x14ac:dyDescent="0.2">
      <c r="A41">
        <v>40</v>
      </c>
      <c r="B41">
        <v>21</v>
      </c>
      <c r="C41" s="9" t="s">
        <v>294</v>
      </c>
      <c r="D41" s="4">
        <v>0</v>
      </c>
      <c r="E41" s="4">
        <v>1</v>
      </c>
      <c r="F41">
        <v>2</v>
      </c>
      <c r="G41" t="s">
        <v>292</v>
      </c>
    </row>
    <row r="42" spans="1:9" x14ac:dyDescent="0.2">
      <c r="A42">
        <v>41</v>
      </c>
      <c r="B42">
        <v>21</v>
      </c>
      <c r="C42" s="9" t="s">
        <v>295</v>
      </c>
      <c r="D42" s="4">
        <v>0</v>
      </c>
      <c r="E42" s="4">
        <v>1</v>
      </c>
      <c r="F42">
        <v>2</v>
      </c>
      <c r="G42" t="s">
        <v>293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296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297</v>
      </c>
    </row>
    <row r="45" spans="1:9" s="52" customFormat="1" x14ac:dyDescent="0.2">
      <c r="A45" s="52">
        <v>44</v>
      </c>
      <c r="B45" s="52">
        <v>9</v>
      </c>
      <c r="C45" s="52" t="s">
        <v>328</v>
      </c>
      <c r="D45" s="4" t="s">
        <v>356</v>
      </c>
      <c r="E45" s="4">
        <v>1</v>
      </c>
      <c r="F45" s="52">
        <v>200</v>
      </c>
      <c r="G45" s="52" t="s">
        <v>88</v>
      </c>
    </row>
    <row r="46" spans="1:9" s="52" customFormat="1" x14ac:dyDescent="0.2">
      <c r="A46" s="52">
        <v>45</v>
      </c>
      <c r="B46" s="52">
        <v>9</v>
      </c>
      <c r="C46" s="52" t="s">
        <v>329</v>
      </c>
      <c r="D46" s="4">
        <v>1</v>
      </c>
      <c r="E46" s="4">
        <v>1</v>
      </c>
      <c r="F46" s="52">
        <v>60</v>
      </c>
      <c r="G46" s="52" t="s">
        <v>88</v>
      </c>
    </row>
    <row r="47" spans="1:9" s="52" customFormat="1" x14ac:dyDescent="0.2">
      <c r="A47" s="52">
        <v>46</v>
      </c>
      <c r="B47" s="52">
        <v>9</v>
      </c>
      <c r="C47" s="52" t="s">
        <v>330</v>
      </c>
      <c r="D47" s="4">
        <v>1</v>
      </c>
      <c r="E47" s="4">
        <v>1</v>
      </c>
      <c r="F47" s="52">
        <v>40</v>
      </c>
      <c r="G47" s="52" t="s">
        <v>88</v>
      </c>
    </row>
    <row r="48" spans="1:9" s="52" customFormat="1" x14ac:dyDescent="0.2">
      <c r="A48" s="52">
        <v>47</v>
      </c>
      <c r="B48" s="52">
        <v>9</v>
      </c>
      <c r="C48" s="52" t="s">
        <v>332</v>
      </c>
      <c r="D48" s="4">
        <v>1</v>
      </c>
      <c r="E48" s="4">
        <v>1</v>
      </c>
      <c r="F48" s="52">
        <v>30</v>
      </c>
      <c r="G48" s="52" t="s">
        <v>88</v>
      </c>
    </row>
    <row r="49" spans="1:7" s="52" customFormat="1" x14ac:dyDescent="0.2">
      <c r="A49" s="52">
        <v>48</v>
      </c>
      <c r="B49" s="52">
        <v>9</v>
      </c>
      <c r="C49" s="52" t="s">
        <v>331</v>
      </c>
      <c r="D49" s="4">
        <v>1</v>
      </c>
      <c r="E49" s="4">
        <v>1</v>
      </c>
      <c r="F49" s="52">
        <v>20</v>
      </c>
      <c r="G49" s="52" t="s">
        <v>88</v>
      </c>
    </row>
    <row r="50" spans="1:7" x14ac:dyDescent="0.2">
      <c r="A50" s="52">
        <v>49</v>
      </c>
      <c r="B50" s="52">
        <v>9</v>
      </c>
      <c r="C50" s="52" t="s">
        <v>333</v>
      </c>
      <c r="D50" s="4">
        <v>0</v>
      </c>
      <c r="E50" s="4">
        <v>1</v>
      </c>
      <c r="F50" s="52">
        <v>75</v>
      </c>
      <c r="G50" s="52" t="s">
        <v>88</v>
      </c>
    </row>
    <row r="51" spans="1:7" x14ac:dyDescent="0.2">
      <c r="A51" s="52">
        <v>50</v>
      </c>
      <c r="B51" s="52">
        <v>9</v>
      </c>
      <c r="C51" s="52" t="s">
        <v>334</v>
      </c>
      <c r="D51" s="4">
        <v>0</v>
      </c>
      <c r="E51" s="4">
        <v>1</v>
      </c>
      <c r="F51" s="52">
        <v>150</v>
      </c>
      <c r="G51" s="52" t="s">
        <v>88</v>
      </c>
    </row>
    <row r="52" spans="1:7" x14ac:dyDescent="0.2">
      <c r="A52" s="52">
        <v>51</v>
      </c>
      <c r="B52" s="52">
        <v>9</v>
      </c>
      <c r="C52" s="52" t="s">
        <v>335</v>
      </c>
      <c r="D52" s="4">
        <v>0</v>
      </c>
      <c r="E52" s="4">
        <v>1</v>
      </c>
      <c r="F52" s="52">
        <v>250</v>
      </c>
      <c r="G52" s="52" t="s">
        <v>88</v>
      </c>
    </row>
    <row r="53" spans="1:7" x14ac:dyDescent="0.2">
      <c r="A53" s="52">
        <v>52</v>
      </c>
      <c r="B53" s="52">
        <v>9</v>
      </c>
      <c r="C53" s="52" t="s">
        <v>329</v>
      </c>
      <c r="D53" s="4">
        <v>1</v>
      </c>
      <c r="E53" s="4">
        <v>1</v>
      </c>
      <c r="F53" s="52">
        <v>60</v>
      </c>
      <c r="G53" s="52" t="s">
        <v>88</v>
      </c>
    </row>
    <row r="54" spans="1:7" x14ac:dyDescent="0.2">
      <c r="A54" s="52">
        <v>53</v>
      </c>
      <c r="B54" s="52">
        <v>9</v>
      </c>
      <c r="C54" s="52" t="s">
        <v>330</v>
      </c>
      <c r="D54" s="4">
        <v>1</v>
      </c>
      <c r="E54" s="4">
        <v>1</v>
      </c>
      <c r="F54" s="52">
        <v>40</v>
      </c>
      <c r="G54" s="52" t="s">
        <v>88</v>
      </c>
    </row>
    <row r="55" spans="1:7" x14ac:dyDescent="0.2">
      <c r="A55" s="52">
        <v>54</v>
      </c>
      <c r="B55" s="52">
        <v>9</v>
      </c>
      <c r="C55" s="52" t="s">
        <v>332</v>
      </c>
      <c r="D55" s="4">
        <v>1</v>
      </c>
      <c r="E55" s="4">
        <v>1</v>
      </c>
      <c r="F55" s="52">
        <v>30</v>
      </c>
      <c r="G55" s="52" t="s">
        <v>88</v>
      </c>
    </row>
    <row r="56" spans="1:7" x14ac:dyDescent="0.2">
      <c r="A56" s="52">
        <v>55</v>
      </c>
      <c r="B56" s="52">
        <v>9</v>
      </c>
      <c r="C56" s="52" t="s">
        <v>331</v>
      </c>
      <c r="D56" s="4">
        <v>1</v>
      </c>
      <c r="E56" s="4">
        <v>1</v>
      </c>
      <c r="F56" s="52">
        <v>20</v>
      </c>
      <c r="G56" s="52" t="s">
        <v>88</v>
      </c>
    </row>
    <row r="57" spans="1:7" x14ac:dyDescent="0.2">
      <c r="A57" s="54">
        <v>56</v>
      </c>
      <c r="B57" s="54">
        <v>9</v>
      </c>
      <c r="C57" s="54" t="s">
        <v>345</v>
      </c>
      <c r="D57" s="55">
        <v>0</v>
      </c>
      <c r="E57" s="55">
        <v>1</v>
      </c>
      <c r="F57" s="54">
        <v>75</v>
      </c>
      <c r="G57" s="54" t="s">
        <v>88</v>
      </c>
    </row>
    <row r="58" spans="1:7" x14ac:dyDescent="0.2">
      <c r="A58" s="54">
        <v>57</v>
      </c>
      <c r="B58" s="54">
        <v>9</v>
      </c>
      <c r="C58" s="54" t="s">
        <v>346</v>
      </c>
      <c r="D58" s="55">
        <v>0</v>
      </c>
      <c r="E58" s="55">
        <v>1</v>
      </c>
      <c r="F58" s="54">
        <v>150</v>
      </c>
      <c r="G58" s="54" t="s">
        <v>88</v>
      </c>
    </row>
    <row r="59" spans="1:7" x14ac:dyDescent="0.2">
      <c r="A59" s="54">
        <v>58</v>
      </c>
      <c r="B59" s="54">
        <v>9</v>
      </c>
      <c r="C59" s="54" t="s">
        <v>347</v>
      </c>
      <c r="D59" s="55">
        <v>0</v>
      </c>
      <c r="E59" s="55">
        <v>1</v>
      </c>
      <c r="F59" s="54">
        <v>250</v>
      </c>
      <c r="G59" s="54" t="s">
        <v>88</v>
      </c>
    </row>
    <row r="60" spans="1:7" x14ac:dyDescent="0.2">
      <c r="A60" s="54">
        <v>59</v>
      </c>
      <c r="B60" s="54">
        <v>9</v>
      </c>
      <c r="C60" s="54" t="s">
        <v>348</v>
      </c>
      <c r="D60" s="55">
        <v>1</v>
      </c>
      <c r="E60" s="55">
        <v>1</v>
      </c>
      <c r="F60" s="54">
        <v>10</v>
      </c>
      <c r="G60" s="54" t="s">
        <v>88</v>
      </c>
    </row>
    <row r="61" spans="1:7" x14ac:dyDescent="0.2">
      <c r="A61">
        <v>60</v>
      </c>
      <c r="B61">
        <v>40</v>
      </c>
      <c r="C61" s="9" t="s">
        <v>361</v>
      </c>
      <c r="D61" s="4">
        <v>0</v>
      </c>
      <c r="E61" s="4">
        <v>1</v>
      </c>
      <c r="F61">
        <v>1000000</v>
      </c>
      <c r="G61" t="s">
        <v>363</v>
      </c>
    </row>
    <row r="62" spans="1:7" x14ac:dyDescent="0.2">
      <c r="A62">
        <v>61</v>
      </c>
      <c r="B62">
        <v>41</v>
      </c>
      <c r="C62" s="9" t="s">
        <v>362</v>
      </c>
      <c r="D62" s="4">
        <v>0</v>
      </c>
      <c r="E62" s="4">
        <v>1</v>
      </c>
      <c r="F62">
        <v>5000000</v>
      </c>
      <c r="G62" t="s">
        <v>364</v>
      </c>
    </row>
    <row r="63" spans="1:7" x14ac:dyDescent="0.2">
      <c r="A63">
        <v>62</v>
      </c>
      <c r="B63">
        <v>42</v>
      </c>
      <c r="C63" s="9" t="s">
        <v>360</v>
      </c>
      <c r="D63" s="4">
        <v>0</v>
      </c>
      <c r="E63" s="4">
        <v>1</v>
      </c>
      <c r="F63">
        <v>10000000</v>
      </c>
      <c r="G63" t="s">
        <v>365</v>
      </c>
    </row>
    <row r="64" spans="1:7" x14ac:dyDescent="0.2">
      <c r="A64">
        <v>63</v>
      </c>
      <c r="B64">
        <v>46</v>
      </c>
      <c r="C64" s="9" t="s">
        <v>351</v>
      </c>
      <c r="D64" s="4">
        <v>0</v>
      </c>
      <c r="E64" s="4">
        <v>1</v>
      </c>
      <c r="F64">
        <v>50000000</v>
      </c>
      <c r="G64" t="s">
        <v>366</v>
      </c>
    </row>
    <row r="65" spans="1:7" x14ac:dyDescent="0.2">
      <c r="A65">
        <v>64</v>
      </c>
      <c r="B65">
        <v>47</v>
      </c>
      <c r="C65" s="9" t="s">
        <v>352</v>
      </c>
      <c r="D65" s="4">
        <v>0</v>
      </c>
      <c r="E65" s="4">
        <v>1</v>
      </c>
      <c r="F65">
        <v>100000000</v>
      </c>
      <c r="G65" t="s">
        <v>367</v>
      </c>
    </row>
    <row r="66" spans="1:7" s="56" customFormat="1" x14ac:dyDescent="0.2">
      <c r="A66" s="56">
        <v>65</v>
      </c>
      <c r="B66" s="54">
        <v>9</v>
      </c>
      <c r="C66" s="54" t="s">
        <v>376</v>
      </c>
      <c r="D66" s="55">
        <v>0</v>
      </c>
      <c r="E66" s="55">
        <v>1</v>
      </c>
      <c r="F66" s="54">
        <v>75</v>
      </c>
      <c r="G66" s="54" t="s">
        <v>88</v>
      </c>
    </row>
    <row r="67" spans="1:7" x14ac:dyDescent="0.2">
      <c r="A67">
        <v>66</v>
      </c>
      <c r="B67" s="54">
        <v>9</v>
      </c>
      <c r="C67" s="54" t="s">
        <v>377</v>
      </c>
      <c r="D67" s="55">
        <v>0</v>
      </c>
      <c r="E67" s="55">
        <v>1</v>
      </c>
      <c r="F67" s="54">
        <v>150</v>
      </c>
      <c r="G67" s="54" t="s">
        <v>88</v>
      </c>
    </row>
    <row r="68" spans="1:7" x14ac:dyDescent="0.2">
      <c r="A68">
        <v>67</v>
      </c>
      <c r="B68" s="54">
        <v>9</v>
      </c>
      <c r="C68" s="54" t="s">
        <v>378</v>
      </c>
      <c r="D68" s="55">
        <v>0</v>
      </c>
      <c r="E68" s="55">
        <v>1</v>
      </c>
      <c r="F68" s="54">
        <v>250</v>
      </c>
      <c r="G68" s="54" t="s">
        <v>88</v>
      </c>
    </row>
    <row r="69" spans="1:7" x14ac:dyDescent="0.2">
      <c r="A69">
        <v>68</v>
      </c>
      <c r="B69" s="54">
        <v>9</v>
      </c>
      <c r="C69" s="54" t="s">
        <v>379</v>
      </c>
      <c r="D69" s="55">
        <v>1</v>
      </c>
      <c r="E69" s="55">
        <v>1</v>
      </c>
      <c r="F69" s="54">
        <v>10</v>
      </c>
      <c r="G69" s="54" t="s">
        <v>88</v>
      </c>
    </row>
    <row r="70" spans="1:7" s="57" customFormat="1" x14ac:dyDescent="0.2">
      <c r="A70" s="57">
        <v>69</v>
      </c>
      <c r="B70" s="57">
        <v>9</v>
      </c>
      <c r="C70" s="57" t="s">
        <v>382</v>
      </c>
      <c r="D70" s="58">
        <v>1</v>
      </c>
      <c r="E70" s="58">
        <v>1</v>
      </c>
      <c r="F70" s="57">
        <v>75</v>
      </c>
      <c r="G70" s="57" t="s">
        <v>381</v>
      </c>
    </row>
    <row r="71" spans="1:7" s="61" customFormat="1" x14ac:dyDescent="0.2">
      <c r="A71" s="61">
        <v>70</v>
      </c>
      <c r="B71" s="61">
        <v>9</v>
      </c>
      <c r="C71" s="61" t="s">
        <v>384</v>
      </c>
      <c r="D71" s="62">
        <v>0</v>
      </c>
      <c r="E71" s="62">
        <v>1</v>
      </c>
      <c r="F71" s="61">
        <v>75</v>
      </c>
      <c r="G71" s="61" t="s">
        <v>88</v>
      </c>
    </row>
    <row r="72" spans="1:7" s="61" customFormat="1" x14ac:dyDescent="0.2">
      <c r="A72" s="61">
        <v>71</v>
      </c>
      <c r="B72" s="61">
        <v>9</v>
      </c>
      <c r="C72" s="61" t="s">
        <v>385</v>
      </c>
      <c r="D72" s="62">
        <v>0</v>
      </c>
      <c r="E72" s="62">
        <v>1</v>
      </c>
      <c r="F72" s="61">
        <v>150</v>
      </c>
      <c r="G72" s="61" t="s">
        <v>88</v>
      </c>
    </row>
    <row r="73" spans="1:7" s="61" customFormat="1" x14ac:dyDescent="0.2">
      <c r="A73" s="61">
        <v>72</v>
      </c>
      <c r="B73" s="61">
        <v>9</v>
      </c>
      <c r="C73" s="61" t="s">
        <v>386</v>
      </c>
      <c r="D73" s="62">
        <v>0</v>
      </c>
      <c r="E73" s="62">
        <v>1</v>
      </c>
      <c r="F73" s="61">
        <v>250</v>
      </c>
      <c r="G73" s="61" t="s">
        <v>88</v>
      </c>
    </row>
    <row r="74" spans="1:7" s="61" customFormat="1" x14ac:dyDescent="0.2">
      <c r="A74" s="61">
        <v>73</v>
      </c>
      <c r="B74" s="61">
        <v>9</v>
      </c>
      <c r="C74" s="61" t="s">
        <v>387</v>
      </c>
      <c r="D74" s="62">
        <v>1</v>
      </c>
      <c r="E74" s="62">
        <v>1</v>
      </c>
      <c r="F74" s="61">
        <v>10</v>
      </c>
      <c r="G74" s="61" t="s">
        <v>88</v>
      </c>
    </row>
    <row r="75" spans="1:7" x14ac:dyDescent="0.2">
      <c r="A75" s="29">
        <v>74</v>
      </c>
      <c r="B75" s="29">
        <v>9</v>
      </c>
      <c r="C75" s="29" t="s">
        <v>397</v>
      </c>
      <c r="D75" s="68">
        <v>0</v>
      </c>
      <c r="E75" s="68">
        <v>1</v>
      </c>
      <c r="F75" s="29">
        <v>150</v>
      </c>
      <c r="G75" s="29" t="s">
        <v>88</v>
      </c>
    </row>
    <row r="76" spans="1:7" x14ac:dyDescent="0.2">
      <c r="A76" s="29">
        <v>75</v>
      </c>
      <c r="B76" s="29">
        <v>9</v>
      </c>
      <c r="C76" s="29" t="s">
        <v>391</v>
      </c>
      <c r="D76" s="68">
        <v>0</v>
      </c>
      <c r="E76" s="68">
        <v>1</v>
      </c>
      <c r="F76" s="29">
        <v>250</v>
      </c>
      <c r="G76" s="29" t="s">
        <v>88</v>
      </c>
    </row>
    <row r="77" spans="1:7" x14ac:dyDescent="0.2">
      <c r="A77" s="29">
        <v>76</v>
      </c>
      <c r="B77" s="29">
        <v>9</v>
      </c>
      <c r="C77" s="29" t="s">
        <v>392</v>
      </c>
      <c r="D77" s="68">
        <v>0</v>
      </c>
      <c r="E77" s="68">
        <v>1</v>
      </c>
      <c r="F77" s="29">
        <v>350</v>
      </c>
      <c r="G77" s="29" t="s">
        <v>88</v>
      </c>
    </row>
    <row r="78" spans="1:7" x14ac:dyDescent="0.2">
      <c r="A78" s="29">
        <v>77</v>
      </c>
      <c r="B78" s="29">
        <v>9</v>
      </c>
      <c r="C78" s="29" t="s">
        <v>399</v>
      </c>
      <c r="D78" s="68">
        <v>1</v>
      </c>
      <c r="E78" s="68">
        <v>1</v>
      </c>
      <c r="F78" s="29">
        <v>10</v>
      </c>
      <c r="G78" s="29" t="s">
        <v>88</v>
      </c>
    </row>
    <row r="79" spans="1:7" x14ac:dyDescent="0.2">
      <c r="A79" s="52">
        <v>78</v>
      </c>
      <c r="B79" s="52">
        <v>9</v>
      </c>
      <c r="C79" s="52" t="s">
        <v>398</v>
      </c>
      <c r="D79" s="12">
        <v>0</v>
      </c>
      <c r="E79" s="12">
        <v>1</v>
      </c>
      <c r="F79" s="52">
        <v>150</v>
      </c>
      <c r="G79" s="52" t="str">
        <f t="shared" ref="G79:G82" si="2">LOOKUP(B79,H:H,I:I)</f>
        <v>临时活动</v>
      </c>
    </row>
    <row r="80" spans="1:7" x14ac:dyDescent="0.2">
      <c r="A80" s="52">
        <v>79</v>
      </c>
      <c r="B80" s="52">
        <v>9</v>
      </c>
      <c r="C80" s="52" t="s">
        <v>394</v>
      </c>
      <c r="D80" s="12">
        <v>0</v>
      </c>
      <c r="E80" s="12">
        <v>1</v>
      </c>
      <c r="F80" s="52">
        <v>250</v>
      </c>
      <c r="G80" s="52" t="str">
        <f t="shared" si="2"/>
        <v>临时活动</v>
      </c>
    </row>
    <row r="81" spans="1:7" x14ac:dyDescent="0.2">
      <c r="A81" s="52">
        <v>80</v>
      </c>
      <c r="B81" s="52">
        <v>9</v>
      </c>
      <c r="C81" s="52" t="s">
        <v>395</v>
      </c>
      <c r="D81" s="12">
        <v>0</v>
      </c>
      <c r="E81" s="12">
        <v>1</v>
      </c>
      <c r="F81" s="52">
        <v>350</v>
      </c>
      <c r="G81" s="52" t="str">
        <f t="shared" si="2"/>
        <v>临时活动</v>
      </c>
    </row>
    <row r="82" spans="1:7" x14ac:dyDescent="0.2">
      <c r="A82" s="52">
        <v>81</v>
      </c>
      <c r="B82" s="52">
        <v>9</v>
      </c>
      <c r="C82" s="52" t="s">
        <v>396</v>
      </c>
      <c r="D82" s="3">
        <v>1</v>
      </c>
      <c r="E82" s="3">
        <v>1</v>
      </c>
      <c r="F82" s="52">
        <v>10</v>
      </c>
      <c r="G82" s="52" t="str">
        <f t="shared" si="2"/>
        <v>临时活动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4"/>
  <sheetViews>
    <sheetView zoomScaleNormal="100" workbookViewId="0">
      <pane ySplit="1" topLeftCell="A29" activePane="bottomLeft" state="frozen"/>
      <selection pane="bottomLeft" activeCell="C52" sqref="C52:C56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182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183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184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185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186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187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188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429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189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190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430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431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432</v>
      </c>
      <c r="F17" s="13">
        <f t="shared" si="1"/>
        <v>35</v>
      </c>
      <c r="G17" s="13">
        <v>0</v>
      </c>
      <c r="H17" s="13" t="s">
        <v>168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433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50</v>
      </c>
      <c r="D20" s="13">
        <f t="shared" si="0"/>
        <v>0.02</v>
      </c>
      <c r="E20" s="12" t="s">
        <v>428</v>
      </c>
      <c r="F20" s="13">
        <f t="shared" si="1"/>
        <v>50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209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191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192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193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207</v>
      </c>
      <c r="D25" s="13" t="s">
        <v>208</v>
      </c>
      <c r="E25" s="14" t="s">
        <v>194</v>
      </c>
      <c r="F25" s="13" t="s">
        <v>207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110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109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195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113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112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114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116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215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111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196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197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198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181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115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199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234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200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201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202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203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204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110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235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205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206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245</v>
      </c>
      <c r="F51" s="2">
        <f t="shared" si="4"/>
        <v>0</v>
      </c>
      <c r="G51" s="2">
        <v>0</v>
      </c>
    </row>
    <row r="52" spans="1:7" x14ac:dyDescent="0.2">
      <c r="A52" s="51">
        <v>51</v>
      </c>
      <c r="B52" s="51">
        <v>1</v>
      </c>
      <c r="C52" s="51">
        <v>100</v>
      </c>
      <c r="D52" s="51">
        <f t="shared" si="3"/>
        <v>0.01</v>
      </c>
      <c r="E52" s="51" t="s">
        <v>418</v>
      </c>
      <c r="F52" s="51">
        <v>200</v>
      </c>
      <c r="G52" s="51">
        <v>0</v>
      </c>
    </row>
    <row r="53" spans="1:7" s="51" customFormat="1" x14ac:dyDescent="0.2">
      <c r="A53" s="51">
        <v>52</v>
      </c>
      <c r="B53" s="51">
        <v>1</v>
      </c>
      <c r="C53" s="51">
        <v>100</v>
      </c>
      <c r="D53" s="51">
        <f t="shared" si="3"/>
        <v>0.01</v>
      </c>
      <c r="E53" s="51" t="s">
        <v>419</v>
      </c>
      <c r="F53" s="51">
        <v>200</v>
      </c>
      <c r="G53" s="51">
        <v>0</v>
      </c>
    </row>
    <row r="54" spans="1:7" s="51" customFormat="1" x14ac:dyDescent="0.2">
      <c r="A54" s="51">
        <v>53</v>
      </c>
      <c r="B54" s="51">
        <v>1</v>
      </c>
      <c r="C54" s="51">
        <v>100</v>
      </c>
      <c r="D54" s="51">
        <f t="shared" si="3"/>
        <v>0.01</v>
      </c>
      <c r="E54" s="72" t="s">
        <v>420</v>
      </c>
      <c r="F54" s="51">
        <v>200</v>
      </c>
      <c r="G54" s="51">
        <v>0</v>
      </c>
    </row>
    <row r="55" spans="1:7" s="51" customFormat="1" x14ac:dyDescent="0.2">
      <c r="A55" s="51">
        <v>54</v>
      </c>
      <c r="B55" s="51">
        <v>1</v>
      </c>
      <c r="C55" s="51">
        <v>100</v>
      </c>
      <c r="D55" s="51">
        <f t="shared" si="3"/>
        <v>0.01</v>
      </c>
      <c r="E55" s="73" t="s">
        <v>421</v>
      </c>
      <c r="F55" s="51">
        <v>200</v>
      </c>
      <c r="G55" s="51">
        <v>0</v>
      </c>
    </row>
    <row r="56" spans="1:7" s="51" customFormat="1" x14ac:dyDescent="0.2">
      <c r="A56" s="51">
        <v>55</v>
      </c>
      <c r="B56" s="51">
        <v>1</v>
      </c>
      <c r="C56" s="51">
        <v>100</v>
      </c>
      <c r="D56" s="51">
        <f t="shared" si="3"/>
        <v>0.01</v>
      </c>
      <c r="E56" s="73" t="s">
        <v>422</v>
      </c>
      <c r="F56" s="51">
        <v>200</v>
      </c>
      <c r="G56" s="51">
        <v>0</v>
      </c>
    </row>
    <row r="57" spans="1:7" s="69" customFormat="1" x14ac:dyDescent="0.2">
      <c r="A57" s="69">
        <v>56</v>
      </c>
      <c r="B57" s="69">
        <v>1</v>
      </c>
      <c r="C57" s="69">
        <v>0</v>
      </c>
      <c r="D57" s="69">
        <f t="shared" si="3"/>
        <v>0</v>
      </c>
      <c r="E57" s="70" t="s">
        <v>50</v>
      </c>
      <c r="F57" s="69">
        <v>0</v>
      </c>
      <c r="G57" s="69">
        <v>0</v>
      </c>
    </row>
    <row r="58" spans="1:7" s="69" customFormat="1" x14ac:dyDescent="0.2">
      <c r="A58" s="69">
        <v>57</v>
      </c>
      <c r="B58" s="69">
        <v>1</v>
      </c>
      <c r="C58" s="69">
        <v>0</v>
      </c>
      <c r="D58" s="69">
        <v>0</v>
      </c>
      <c r="E58" s="69" t="s">
        <v>344</v>
      </c>
      <c r="F58" s="69">
        <v>0</v>
      </c>
      <c r="G58" s="69">
        <v>0</v>
      </c>
    </row>
    <row r="59" spans="1:7" s="69" customFormat="1" x14ac:dyDescent="0.2">
      <c r="A59" s="69">
        <v>58</v>
      </c>
      <c r="B59" s="69">
        <v>1</v>
      </c>
      <c r="C59" s="69">
        <v>0</v>
      </c>
      <c r="D59" s="69">
        <v>0</v>
      </c>
      <c r="E59" s="69" t="s">
        <v>371</v>
      </c>
      <c r="F59" s="69">
        <v>0</v>
      </c>
      <c r="G59" s="69">
        <v>0</v>
      </c>
    </row>
    <row r="60" spans="1:7" s="69" customFormat="1" x14ac:dyDescent="0.2">
      <c r="A60" s="69">
        <v>59</v>
      </c>
      <c r="B60" s="69">
        <v>1</v>
      </c>
      <c r="C60" s="69">
        <v>0</v>
      </c>
      <c r="D60" s="69">
        <v>0</v>
      </c>
      <c r="E60" s="69" t="s">
        <v>380</v>
      </c>
      <c r="F60" s="69">
        <v>0</v>
      </c>
      <c r="G60" s="69">
        <v>0</v>
      </c>
    </row>
    <row r="61" spans="1:7" s="69" customFormat="1" x14ac:dyDescent="0.2">
      <c r="A61" s="69">
        <v>60</v>
      </c>
      <c r="B61" s="69">
        <v>1</v>
      </c>
      <c r="C61" s="69">
        <v>0</v>
      </c>
      <c r="D61" s="69">
        <v>0</v>
      </c>
      <c r="E61" s="69" t="s">
        <v>383</v>
      </c>
      <c r="F61" s="69">
        <v>0</v>
      </c>
      <c r="G61" s="69">
        <v>0</v>
      </c>
    </row>
    <row r="62" spans="1:7" s="69" customFormat="1" x14ac:dyDescent="0.2">
      <c r="A62" s="69">
        <v>61</v>
      </c>
      <c r="B62" s="69">
        <v>1</v>
      </c>
      <c r="C62" s="69">
        <v>0</v>
      </c>
      <c r="D62" s="69">
        <v>0</v>
      </c>
      <c r="E62" s="69" t="s">
        <v>389</v>
      </c>
      <c r="F62" s="69">
        <v>0</v>
      </c>
      <c r="G62" s="69">
        <v>0</v>
      </c>
    </row>
    <row r="63" spans="1:7" s="69" customFormat="1" x14ac:dyDescent="0.2">
      <c r="A63" s="69">
        <v>62</v>
      </c>
      <c r="B63" s="69">
        <v>1</v>
      </c>
      <c r="C63" s="69">
        <v>0</v>
      </c>
      <c r="D63" s="69">
        <v>0</v>
      </c>
      <c r="E63" s="69" t="s">
        <v>390</v>
      </c>
      <c r="F63" s="69">
        <v>0</v>
      </c>
      <c r="G63" s="69">
        <v>0</v>
      </c>
    </row>
    <row r="64" spans="1:7" s="69" customFormat="1" x14ac:dyDescent="0.2">
      <c r="A64" s="69">
        <v>63</v>
      </c>
      <c r="B64" s="69">
        <v>1</v>
      </c>
      <c r="C64" s="69">
        <v>0</v>
      </c>
      <c r="D64" s="69">
        <v>0</v>
      </c>
      <c r="E64" s="69" t="s">
        <v>393</v>
      </c>
      <c r="F64" s="69">
        <v>0</v>
      </c>
      <c r="G64" s="69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368</v>
      </c>
      <c r="C4">
        <v>15</v>
      </c>
      <c r="D4">
        <v>0</v>
      </c>
    </row>
    <row r="5" spans="1:4 16384:16384" x14ac:dyDescent="0.2">
      <c r="A5">
        <v>4</v>
      </c>
      <c r="B5" t="s">
        <v>369</v>
      </c>
      <c r="C5">
        <v>15</v>
      </c>
      <c r="D5">
        <v>0</v>
      </c>
    </row>
    <row r="6" spans="1:4 16384:16384" x14ac:dyDescent="0.2">
      <c r="A6">
        <v>5</v>
      </c>
      <c r="B6" t="s">
        <v>370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251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2021-02-01T09:29:34Z</dcterms:modified>
</cp:coreProperties>
</file>