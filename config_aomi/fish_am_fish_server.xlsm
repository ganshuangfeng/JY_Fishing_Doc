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I128" i="7"/>
  <c r="H127" i="7"/>
  <c r="H128" i="7"/>
  <c r="L111" i="14"/>
  <c r="L112" i="14"/>
  <c r="K111" i="14"/>
  <c r="K112" i="14"/>
  <c r="I111" i="14"/>
  <c r="I112" i="14"/>
  <c r="H111" i="14"/>
  <c r="H112" i="14"/>
  <c r="E111" i="14"/>
  <c r="F111" i="14" s="1"/>
  <c r="E112" i="14"/>
  <c r="K110" i="14" l="1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F47" i="1"/>
  <c r="F48" i="1"/>
  <c r="I48" i="14" s="1"/>
  <c r="I62" i="7" s="1"/>
  <c r="F49" i="1"/>
  <c r="F50" i="1"/>
  <c r="F28" i="1"/>
  <c r="I79" i="14" s="1"/>
  <c r="F29" i="1"/>
  <c r="F30" i="1"/>
  <c r="F24" i="1"/>
  <c r="I24" i="14" s="1"/>
  <c r="L24" i="14" s="1"/>
  <c r="D24" i="1"/>
  <c r="F9" i="1"/>
  <c r="I9" i="14" s="1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I49" i="14"/>
  <c r="I63" i="7" s="1"/>
  <c r="F15" i="1"/>
  <c r="I69" i="14" s="1"/>
  <c r="L69" i="14" s="1"/>
  <c r="I15" i="14"/>
  <c r="L15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23" i="14"/>
  <c r="I37" i="7" s="1"/>
  <c r="I38" i="14"/>
  <c r="I52" i="7" s="1"/>
  <c r="I36" i="14"/>
  <c r="L36" i="14" s="1"/>
  <c r="I14" i="14"/>
  <c r="L14" i="14" s="1"/>
  <c r="F27" i="14"/>
  <c r="I50" i="14"/>
  <c r="I64" i="7" s="1"/>
  <c r="I44" i="14"/>
  <c r="L44" i="14" s="1"/>
  <c r="I37" i="14"/>
  <c r="I51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49" i="7"/>
  <c r="L35" i="14"/>
  <c r="I67" i="14" l="1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L56" i="14"/>
  <c r="I83" i="7"/>
  <c r="I95" i="7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6" i="14"/>
  <c r="L55" i="14"/>
  <c r="L61" i="14"/>
  <c r="L31" i="14"/>
  <c r="F41" i="14"/>
  <c r="I34" i="7"/>
  <c r="H66" i="7"/>
  <c r="I56" i="7"/>
  <c r="I29" i="7"/>
  <c r="L13" i="14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6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I25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9" i="14" l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<sst xmlns="http://schemas.openxmlformats.org/spreadsheetml/2006/main" count="665" uniqueCount="449">
  <si>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</si>
  <si>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</si>
  <si>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</si>
  <si>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</si>
  <si>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</si>
  <si>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</si>
  <si>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</si>
  <si>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</si>
  <si>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</si>
  <si>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</si>
  <si>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</si>
  <si>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</si>
  <si>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</si>
  <si>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</si>
  <si>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</si>
  <si>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</si>
  <si>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</si>
  <si>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</si>
  <si>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</si>
  <si>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</si>
  <si>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</si>
  <si>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</si>
  <si>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</si>
  <si>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</si>
  <si>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</si>
  <si>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</si>
  <si>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</si>
  <si>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</si>
  <si>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</si>
  <si>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</si>
  <si>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</si>
  <si>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</si>
  <si>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</si>
  <si>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</si>
  <si>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</si>
  <si>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</si>
  <si>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</si>
  <si>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</si>
  <si>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</si>
  <si>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</si>
  <si>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</si>
  <si>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</si>
  <si>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</si>
  <si>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</si>
  <si>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</si>
  <si>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</si>
  <si>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</si>
  <si>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</si>
  <si>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</si>
  <si>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</si>
  <si>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</si>
  <si>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</si>
  <si>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</si>
  <si>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</si>
  <si>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</si>
  <si>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</si>
  <si>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</si>
  <si>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</si>
  <si>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</si>
  <si>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</si>
  <si>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</si>
  <si>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</si>
  <si>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</si>
  <si>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</si>
  <si>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</si>
  <si>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</si>
  <si>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</si>
  <si>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</si>
  <si>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</si>
  <si>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</si>
  <si>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</si>
  <si>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</si>
  <si>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</si>
  <si>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</si>
  <si>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</si>
  <si>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</si>
  <si>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</si>
  <si>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</si>
  <si>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</si>
  <si>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</si>
  <si>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</si>
  <si>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</si>
  <si>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</si>
  <si>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</si>
  <si>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</si>
  <si>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</si>
  <si>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</si>
  <si>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</si>
  <si>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</si>
  <si>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</si>
  <si>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</si>
  <si>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</si>
  <si>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</si>
  <si>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</si>
  <si>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</si>
  <si>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</si>
  <si>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</si>
  <si>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</si>
  <si>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</si>
  <si>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</si>
  <si>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</si>
  <si>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</si>
  <si>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</si>
  <si>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</si>
  <si>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</si>
  <si>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</si>
  <si>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</si>
  <si>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</si>
  <si>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</si>
  <si>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</si>
  <si>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</si>
  <si>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</si>
  <si>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</si>
  <si>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</si>
  <si>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</si>
  <si>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</si>
  <si>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</si>
  <si>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</si>
  <si>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</si>
  <si>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</si>
  <si>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</si>
  <si>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</si>
  <si>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</si>
  <si>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</si>
  <si>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</si>
  <si>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</si>
  <si>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</si>
  <si>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</si>
  <si>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</si>
  <si>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</si>
  <si>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</si>
  <si>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</si>
  <si>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</si>
  <si>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</si>
  <si>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</si>
  <si>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</si>
  <si>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</si>
  <si>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</si>
  <si>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</si>
  <si>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</si>
  <si>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</si>
  <si>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</si>
  <si>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</si>
  <si>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</si>
  <si>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</si>
  <si>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</si>
  <si>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</si>
  <si>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</si>
  <si>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</si>
  <si>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</si>
  <si>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</si>
  <si>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</si>
  <si>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</si>
  <si>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</si>
  <si>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</si>
  <si>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</si>
  <si>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</si>
  <si>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</si>
  <si>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</si>
  <si>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</si>
  <si>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</si>
  <si>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</si>
  <si>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</si>
  <si>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</si>
  <si>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</si>
  <si>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</si>
  <si>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</si>
  <si>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</si>
  <si>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</si>
  <si>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</si>
  <si>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</si>
  <si>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</si>
  <si>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</si>
  <si>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</si>
  <si>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</si>
  <si>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</si>
  <si>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</si>
  <si>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</si>
  <si>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</si>
  <si>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</si>
  <si>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</si>
  <si>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</si>
  <si>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</si>
  <si>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</si>
  <si>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</si>
  <si>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</si>
  <si>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</si>
  <si>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</si>
  <si>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</si>
  <si>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</si>
  <si>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</si>
  <si>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</si>
  <si>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</si>
  <si>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</si>
  <si>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</si>
  <si>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</si>
  <si>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</si>
  <si>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</si>
  <si>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</si>
  <si>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</si>
  <si>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</si>
  <si>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</si>
  <si>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</si>
  <si>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</si>
  <si>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</si>
  <si>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</si>
  <si>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</si>
  <si>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</si>
  <si>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</si>
  <si>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</si>
  <si>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</si>
  <si>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</si>
  <si>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</si>
  <si>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</si>
  <si>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</si>
  <si>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</si>
  <si>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</si>
  <si>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</si>
  <si>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</si>
  <si>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</si>
  <si>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</si>
  <si>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</si>
  <si>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</si>
  <si>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</si>
  <si>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</si>
  <si>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</si>
  <si>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</si>
  <si>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</si>
  <si>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</si>
  <si>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</si>
  <si>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</si>
  <si>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</si>
  <si>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</si>
  <si>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</si>
  <si>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</si>
  <si>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</si>
  <si>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</si>
  <si>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</si>
  <si>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</si>
  <si>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</si>
  <si>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</si>
  <si>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</si>
  <si>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</si>
  <si>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</si>
  <si>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</si>
  <si>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</si>
  <si>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</si>
  <si>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</si>
  <si>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</si>
  <si>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</si>
  <si>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</si>
  <si>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</si>
  <si>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</si>
  <si>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</si>
  <si>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</si>
  <si>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</si>
  <si>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</si>
  <si>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</si>
  <si>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</si>
  <si>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</si>
  <si>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</si>
  <si>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</si>
  <si>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</si>
  <si>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</si>
  <si>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</si>
  <si>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</si>
  <si>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</si>
  <si>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</si>
  <si>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</si>
  <si>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</si>
  <si>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</si>
  <si>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</si>
  <si>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</si>
  <si>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</si>
  <si>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</si>
  <si>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</si>
  <si>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</si>
  <si>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</si>
  <si>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</si>
  <si>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</si>
  <si>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</si>
  <si>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</si>
  <si>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</si>
  <si>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</si>
  <si>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</si>
  <si>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</si>
  <si>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</si>
  <si>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</si>
  <si>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</si>
  <si>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</si>
  <si>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</si>
  <si>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</si>
  <si>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</si>
  <si>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</si>
  <si>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</si>
  <si>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</si>
  <si>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</si>
  <si>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</si>
  <si>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</si>
  <si>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</si>
  <si>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</si>
  <si>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</si>
  <si>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</si>
  <si>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</si>
  <si>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</si>
  <si>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</si>
  <si>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</si>
  <si>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</si>
  <si>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</si>
  <si>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</si>
  <si>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</si>
  <si>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</si>
  <si>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</si>
  <si>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</si>
  <si>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</si>
  <si>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</si>
  <si>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</si>
  <si>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</si>
  <si>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</si>
  <si>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</si>
  <si>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</si>
  <si>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</si>
  <si>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</si>
  <si>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</si>
  <si>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</si>
  <si>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</si>
  <si>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</si>
  <si>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</si>
  <si>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</si>
  <si>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</si>
  <si>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</si>
  <si>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</si>
  <si>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</si>
  <si>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</si>
  <si>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</si>
  <si>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</si>
  <si>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</si>
  <si>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</si>
  <si>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</si>
  <si>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</si>
  <si>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</si>
  <si>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</si>
  <si>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</si>
  <si>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</si>
  <si>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</si>
  <si>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</si>
  <si>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</si>
  <si>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</si>
  <si>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</si>
  <si>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</si>
  <si>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</si>
  <si>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</si>
  <si>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</si>
  <si>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</si>
  <si>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</si>
  <si>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</si>
  <si>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</si>
  <si>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</si>
  <si>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</si>
  <si>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</si>
  <si>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</si>
  <si>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</si>
  <si>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</si>
  <si>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</si>
  <si>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</si>
  <si>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</si>
  <si>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</si>
  <si>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</si>
  <si>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</si>
  <si>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</si>
  <si>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</si>
  <si>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</si>
  <si>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</si>
  <si>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</si>
  <si>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</si>
  <si>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</si>
  <si>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</si>
  <si>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</si>
  <si>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</si>
  <si>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</si>
  <si>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</si>
  <si>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</si>
  <si>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</si>
  <si>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</si>
  <si>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</si>
  <si>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</si>
  <si>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</si>
  <si>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</si>
  <si>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</si>
  <si>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</si>
  <si>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</si>
  <si>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</si>
  <si>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</si>
  <si>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</si>
  <si>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</si>
  <si>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</si>
  <si>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</si>
  <si>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</si>
  <si>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</si>
  <si>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</si>
  <si>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</si>
  <si>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</si>
  <si>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</si>
  <si>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</si>
  <si>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</si>
  <si>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</si>
  <si>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</si>
  <si>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</si>
  <si>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</si>
  <si>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</si>
  <si>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</si>
  <si>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</si>
  <si>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</si>
  <si>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</si>
  <si>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</si>
  <si>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</si>
  <si>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</si>
  <si>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</si>
  <si>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</si>
  <si>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</si>
  <si>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</si>
  <si>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</si>
  <si>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</si>
  <si>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</si>
  <si>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</si>
  <si>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</si>
  <si>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</si>
  <si>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</si>
  <si>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</si>
  <si>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</si>
  <si>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</si>
  <si>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</si>
  <si>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</si>
  <si>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</si>
  <si>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</si>
  <si>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</si>
  <si>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</si>
  <si>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</si>
  <si>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</si>
  <si>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</si>
  <si>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</si>
  <si>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</si>
  <si>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</si>
  <si>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</si>
  <si>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</si>
  <si>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</si>
  <si>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</si>
  <si>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锤头鲨</t>
    <phoneticPr fontId="1" type="noConversion"/>
  </si>
  <si>
    <t>金鲤鱼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</si>
</sst>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workbookViewId="0">
      <pane ySplit="1" topLeftCell="A38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230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231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209</v>
      </c>
      <c r="D4" s="27" t="s">
        <v>117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260</v>
      </c>
      <c r="G7" s="77" t="s">
        <v>261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262</v>
      </c>
      <c r="G8" s="43" t="s">
        <v>263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215</v>
      </c>
      <c r="D10" s="27" t="s">
        <v>117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211</v>
      </c>
      <c r="D12" s="27" t="s">
        <v>117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339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220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219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218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217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221</v>
      </c>
      <c r="G23" s="19" t="s">
        <v>225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222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223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224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325</v>
      </c>
      <c r="G27" s="39" t="s">
        <v>229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228</v>
      </c>
      <c r="G28" s="39" t="s">
        <v>232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50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50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206</v>
      </c>
      <c r="I39" s="17" t="s">
        <v>207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430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431</v>
      </c>
      <c r="G66" s="43" t="s">
        <v>434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432</v>
      </c>
      <c r="G67" s="44" t="s">
        <v>433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297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298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299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300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301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302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303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304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305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306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307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308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309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310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311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312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313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314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315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316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317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318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319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320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321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322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323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324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397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398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399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400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401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402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403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404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335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336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337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338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405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406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407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408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409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410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411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412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413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414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371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372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373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374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420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421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422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423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424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  <row r="127" spans="1:17" s="52" customFormat="1" x14ac:dyDescent="0.2">
      <c r="A127" s="74">
        <v>126</v>
      </c>
      <c r="B127" s="78">
        <v>1</v>
      </c>
      <c r="C127" s="74" t="s">
        <v>445</v>
      </c>
      <c r="D127" s="78"/>
      <c r="E127" s="78"/>
      <c r="F127" s="78"/>
      <c r="G127" s="78"/>
      <c r="H127" s="74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4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1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8"/>
      <c r="L127" s="78"/>
      <c r="M127" s="78"/>
      <c r="N127" s="78"/>
      <c r="O127" s="78"/>
      <c r="P127" s="78"/>
      <c r="Q127" s="75">
        <v>110</v>
      </c>
    </row>
    <row r="128" spans="1:17" s="52" customFormat="1" x14ac:dyDescent="0.2">
      <c r="A128" s="74">
        <v>127</v>
      </c>
      <c r="B128" s="78">
        <v>1</v>
      </c>
      <c r="C128" s="74" t="s">
        <v>446</v>
      </c>
      <c r="D128" s="78"/>
      <c r="E128" s="78"/>
      <c r="F128" s="78"/>
      <c r="G128" s="78"/>
      <c r="H128" s="74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4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1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8"/>
      <c r="L128" s="78"/>
      <c r="M128" s="78"/>
      <c r="N128" s="78"/>
      <c r="O128" s="78"/>
      <c r="P128" s="78"/>
      <c r="Q128" s="75">
        <v>111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2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2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2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zoomScaleNormal="100" workbookViewId="0">
      <pane ySplit="1" topLeftCell="A2" activePane="bottomLeft" state="frozen"/>
      <selection pane="bottomLeft" activeCell="H10" sqref="H1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83" customFormat="1" x14ac:dyDescent="0.2">
      <c r="A10" s="80">
        <v>9</v>
      </c>
      <c r="B10" s="80">
        <v>9</v>
      </c>
      <c r="C10" s="80"/>
      <c r="D10" s="80"/>
      <c r="E10" s="81">
        <f>LOOKUP(use_fish!B10,base_fish!A:A,base_fish!C:C)+_xlfn.IFNA(INDEX(activity!F:F,MATCH(use_fish!C10,activity!A:A,0)),0)</f>
        <v>10</v>
      </c>
      <c r="F10" s="81">
        <f t="shared" si="2"/>
        <v>0.1</v>
      </c>
      <c r="G10" s="81" t="s">
        <v>22</v>
      </c>
      <c r="H10" s="82" t="str">
        <f>INDEX(base_fish!E:E,MATCH(use_fish!B10,base_fish!A:A,0))&amp;_xlfn.IFNA("+"&amp;INDEX(activity!G:G,MATCH(use_fish!C10,activity!A:A,0)),"")</f>
        <v>锤头鲨</v>
      </c>
      <c r="I10" s="81">
        <f>LOOKUP(use_fish!B10,base_fish!A:A,base_fish!F:F)+_xlfn.IFNA(INDEX(activity!F:F,MATCH(use_fish!C10,activity!A:A,0)),0)</f>
        <v>10</v>
      </c>
      <c r="J10" s="83">
        <v>1</v>
      </c>
      <c r="K10" s="83">
        <f>LOOKUP(use_fish!B10,base_fish!A:A,base_fish!G:G)</f>
        <v>0</v>
      </c>
      <c r="L10" s="83">
        <f t="shared" si="0"/>
        <v>10</v>
      </c>
      <c r="M10" s="83">
        <v>1</v>
      </c>
      <c r="N10" s="83">
        <f t="shared" si="1"/>
        <v>0</v>
      </c>
      <c r="O10" s="83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/>
      <c r="E20" s="37">
        <f>LOOKUP(use_fish!B20,base_fish!A:A,base_fish!C:C)+_xlfn.IFNA(INDEX(activity!F:F,MATCH(use_fish!C20,activity!A:A,0)),0)</f>
        <v>50</v>
      </c>
      <c r="F20" s="37">
        <f t="shared" ref="F20:F28" si="3">1/E20</f>
        <v>0.02</v>
      </c>
      <c r="G20" s="37" t="s">
        <v>22</v>
      </c>
      <c r="H20" s="38" t="str">
        <f>INDEX(base_fish!E:E,MATCH(use_fish!B20,base_fish!A:A,0))&amp;_xlfn.IFNA("+"&amp;INDEX(activity!G:G,MATCH(use_fish!C20,activity!A:A,0)),"")</f>
        <v>金鲤鱼</v>
      </c>
      <c r="I20" s="37">
        <f>LOOKUP(use_fish!B20,base_fish!A:A,base_fish!F:F)+_xlfn.IFNA(INDEX(activity!F:F,MATCH(use_fish!C20,activity!A:A,0)),0)</f>
        <v>50</v>
      </c>
      <c r="J20" s="39">
        <v>1</v>
      </c>
      <c r="K20" s="39">
        <f>LOOKUP(use_fish!B20,base_fish!A:A,base_fish!G:G)</f>
        <v>0</v>
      </c>
      <c r="L20" s="39">
        <f t="shared" ref="L20:L28" si="4">I20</f>
        <v>50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265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266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279</v>
      </c>
      <c r="F25" s="17" t="s">
        <v>280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267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268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269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268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270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271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273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274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275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265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266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265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265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266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265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326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387</v>
      </c>
      <c r="E81" s="53">
        <v>0</v>
      </c>
      <c r="F81" s="59">
        <v>0</v>
      </c>
      <c r="G81" s="59" t="s">
        <v>326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242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265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266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242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242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265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242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265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266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242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242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265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242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265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266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242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242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265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242</v>
      </c>
      <c r="E100" s="64">
        <v>65</v>
      </c>
      <c r="F100" s="64">
        <f t="shared" ref="F100:F111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12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265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266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242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242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265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435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  <row r="111" spans="1:15" s="57" customFormat="1" x14ac:dyDescent="0.2">
      <c r="A111" s="58">
        <v>110</v>
      </c>
      <c r="B111" s="58">
        <v>62</v>
      </c>
      <c r="C111" s="58">
        <v>86</v>
      </c>
      <c r="D111" s="58"/>
      <c r="E111" s="37">
        <f>LOOKUP(use_fish!B111,base_fish!A:A,base_fish!C:C)+_xlfn.IFNA(INDEX(activity!F:F,MATCH(use_fish!C111,activity!A:A,0)),0)</f>
        <v>200</v>
      </c>
      <c r="F111" s="59">
        <f t="shared" si="23"/>
        <v>5.0000000000000001E-3</v>
      </c>
      <c r="G111" s="59" t="s">
        <v>443</v>
      </c>
      <c r="H111" s="38" t="str">
        <f>INDEX(base_fish!E:E,MATCH(use_fish!B111,base_fish!A:A,0))&amp;_xlfn.IFNA("+"&amp;INDEX(activity!G:G,MATCH(use_fish!C111,activity!A:A,0)),"")</f>
        <v>红包鱼+红包</v>
      </c>
      <c r="I111" s="37">
        <f>LOOKUP(use_fish!B111,base_fish!A:A,base_fish!F:F)+_xlfn.IFNA(INDEX(activity!F:F,MATCH(use_fish!C111,activity!A:A,0)),0)</f>
        <v>200</v>
      </c>
      <c r="J111" s="39">
        <v>1</v>
      </c>
      <c r="K111" s="39">
        <f>LOOKUP(use_fish!B111,base_fish!A:A,base_fish!G:G)</f>
        <v>0</v>
      </c>
      <c r="L111" s="39">
        <f t="shared" si="24"/>
        <v>200</v>
      </c>
      <c r="M111" s="39">
        <v>1</v>
      </c>
      <c r="N111" s="39">
        <v>1</v>
      </c>
      <c r="O111" s="39">
        <v>1</v>
      </c>
    </row>
    <row r="112" spans="1:15" s="57" customFormat="1" x14ac:dyDescent="0.2">
      <c r="A112" s="58">
        <v>111</v>
      </c>
      <c r="B112" s="58">
        <v>62</v>
      </c>
      <c r="C112" s="58"/>
      <c r="D112" s="67" t="s">
        <v>444</v>
      </c>
      <c r="E112" s="37">
        <f>LOOKUP(use_fish!B112,base_fish!A:A,base_fish!C:C)+_xlfn.IFNA(INDEX(activity!F:F,MATCH(use_fish!C112,activity!A:A,0)),0)</f>
        <v>0</v>
      </c>
      <c r="F112" s="59">
        <v>0</v>
      </c>
      <c r="G112" s="59" t="s">
        <v>443</v>
      </c>
      <c r="H112" s="38" t="str">
        <f>INDEX(base_fish!E:E,MATCH(use_fish!B112,base_fish!A:A,0))&amp;_xlfn.IFNA("+"&amp;INDEX(activity!G:G,MATCH(use_fish!C112,activity!A:A,0)),"")</f>
        <v>红包鱼</v>
      </c>
      <c r="I112" s="37">
        <f>LOOKUP(use_fish!B112,base_fish!A:A,base_fish!F:F)+_xlfn.IFNA(INDEX(activity!F:F,MATCH(use_fish!C112,activity!A:A,0)),0)</f>
        <v>0</v>
      </c>
      <c r="J112" s="39">
        <v>1</v>
      </c>
      <c r="K112" s="39">
        <f>LOOKUP(use_fish!B112,base_fish!A:A,base_fish!G:G)</f>
        <v>0</v>
      </c>
      <c r="L112" s="39">
        <f t="shared" si="24"/>
        <v>0</v>
      </c>
      <c r="M112" s="39">
        <v>1</v>
      </c>
      <c r="N112" s="39">
        <v>1</v>
      </c>
      <c r="O112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7"/>
  <sheetViews>
    <sheetView zoomScaleNormal="100" workbookViewId="0">
      <pane ySplit="1" topLeftCell="A65" activePane="bottomLeft" state="frozen"/>
      <selection pane="bottomLeft" activeCell="D82" sqref="D8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239</v>
      </c>
      <c r="D18" s="4">
        <v>0</v>
      </c>
      <c r="E18" s="4">
        <v>0</v>
      </c>
      <c r="F18">
        <v>150</v>
      </c>
      <c r="G18" t="s">
        <v>240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252</v>
      </c>
    </row>
    <row r="20" spans="1:9" x14ac:dyDescent="0.2">
      <c r="A20">
        <v>19</v>
      </c>
      <c r="B20">
        <v>17</v>
      </c>
      <c r="C20" s="9" t="s">
        <v>253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283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281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282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285</v>
      </c>
      <c r="D26" s="4">
        <v>0</v>
      </c>
      <c r="E26" s="4">
        <v>1</v>
      </c>
      <c r="F26">
        <v>5</v>
      </c>
      <c r="G26" t="s">
        <v>286</v>
      </c>
      <c r="H26">
        <v>30</v>
      </c>
      <c r="I26" t="s">
        <v>235</v>
      </c>
    </row>
    <row r="27" spans="1:9" x14ac:dyDescent="0.2">
      <c r="A27">
        <v>26</v>
      </c>
      <c r="B27">
        <v>21</v>
      </c>
      <c r="C27" s="9" t="s">
        <v>288</v>
      </c>
      <c r="D27" s="4">
        <v>0</v>
      </c>
      <c r="E27" s="4">
        <v>1</v>
      </c>
      <c r="F27">
        <v>2</v>
      </c>
      <c r="G27" t="s">
        <v>287</v>
      </c>
      <c r="H27">
        <v>31</v>
      </c>
      <c r="I27" t="s">
        <v>245</v>
      </c>
    </row>
    <row r="28" spans="1:9" x14ac:dyDescent="0.2">
      <c r="A28">
        <v>27</v>
      </c>
      <c r="B28">
        <v>21</v>
      </c>
      <c r="C28" s="9" t="s">
        <v>290</v>
      </c>
      <c r="D28" s="4">
        <v>0</v>
      </c>
      <c r="E28" s="4">
        <v>1</v>
      </c>
      <c r="F28">
        <v>6</v>
      </c>
      <c r="G28" t="s">
        <v>289</v>
      </c>
      <c r="H28">
        <v>32</v>
      </c>
      <c r="I28" t="s">
        <v>246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247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9" t="s">
        <v>272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236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348</v>
      </c>
    </row>
    <row r="33" spans="1:9" x14ac:dyDescent="0.2">
      <c r="A33">
        <v>32</v>
      </c>
      <c r="B33">
        <v>28</v>
      </c>
      <c r="C33" s="9" t="s">
        <v>284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349</v>
      </c>
    </row>
    <row r="34" spans="1:9" x14ac:dyDescent="0.2">
      <c r="A34">
        <v>33</v>
      </c>
      <c r="B34">
        <v>29</v>
      </c>
      <c r="C34" t="s">
        <v>259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356</v>
      </c>
    </row>
    <row r="35" spans="1:9" x14ac:dyDescent="0.2">
      <c r="A35">
        <v>34</v>
      </c>
      <c r="B35">
        <v>30</v>
      </c>
      <c r="C35" s="9" t="s">
        <v>278</v>
      </c>
      <c r="D35" s="4">
        <v>0</v>
      </c>
      <c r="E35" s="4">
        <v>0</v>
      </c>
      <c r="F35">
        <v>150</v>
      </c>
      <c r="G35" t="s">
        <v>237</v>
      </c>
      <c r="H35">
        <v>43</v>
      </c>
      <c r="I35" t="s">
        <v>352</v>
      </c>
    </row>
    <row r="36" spans="1:9" x14ac:dyDescent="0.2">
      <c r="A36">
        <v>35</v>
      </c>
      <c r="B36">
        <v>31</v>
      </c>
      <c r="C36" t="s">
        <v>276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353</v>
      </c>
    </row>
    <row r="37" spans="1:9" x14ac:dyDescent="0.2">
      <c r="A37">
        <v>36</v>
      </c>
      <c r="B37">
        <v>32</v>
      </c>
      <c r="C37" s="9" t="s">
        <v>277</v>
      </c>
      <c r="D37" s="4">
        <v>0</v>
      </c>
      <c r="E37" s="4">
        <v>0</v>
      </c>
      <c r="F37">
        <v>300</v>
      </c>
      <c r="G37" t="s">
        <v>248</v>
      </c>
      <c r="H37">
        <v>45</v>
      </c>
      <c r="I37" t="s">
        <v>354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357</v>
      </c>
    </row>
    <row r="39" spans="1:9" x14ac:dyDescent="0.2">
      <c r="A39">
        <v>38</v>
      </c>
      <c r="B39">
        <v>38</v>
      </c>
      <c r="C39" t="s">
        <v>254</v>
      </c>
      <c r="D39" s="4">
        <v>0</v>
      </c>
      <c r="E39" s="4">
        <v>0</v>
      </c>
      <c r="F39">
        <v>250</v>
      </c>
      <c r="G39" t="s">
        <v>256</v>
      </c>
      <c r="H39">
        <v>47</v>
      </c>
      <c r="I39" t="s">
        <v>358</v>
      </c>
    </row>
    <row r="40" spans="1:9" x14ac:dyDescent="0.2">
      <c r="A40">
        <v>39</v>
      </c>
      <c r="B40">
        <v>39</v>
      </c>
      <c r="C40" t="s">
        <v>254</v>
      </c>
      <c r="D40" s="4">
        <v>0</v>
      </c>
      <c r="E40" s="4">
        <v>0</v>
      </c>
      <c r="F40">
        <v>250</v>
      </c>
      <c r="G40" t="s">
        <v>258</v>
      </c>
    </row>
    <row r="41" spans="1:9" x14ac:dyDescent="0.2">
      <c r="A41">
        <v>40</v>
      </c>
      <c r="B41">
        <v>21</v>
      </c>
      <c r="C41" s="9" t="s">
        <v>293</v>
      </c>
      <c r="D41" s="4">
        <v>0</v>
      </c>
      <c r="E41" s="4">
        <v>1</v>
      </c>
      <c r="F41">
        <v>2</v>
      </c>
      <c r="G41" t="s">
        <v>291</v>
      </c>
    </row>
    <row r="42" spans="1:9" x14ac:dyDescent="0.2">
      <c r="A42">
        <v>41</v>
      </c>
      <c r="B42">
        <v>21</v>
      </c>
      <c r="C42" s="9" t="s">
        <v>294</v>
      </c>
      <c r="D42" s="4">
        <v>0</v>
      </c>
      <c r="E42" s="4">
        <v>1</v>
      </c>
      <c r="F42">
        <v>2</v>
      </c>
      <c r="G42" t="s">
        <v>292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295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296</v>
      </c>
    </row>
    <row r="45" spans="1:9" s="52" customFormat="1" x14ac:dyDescent="0.2">
      <c r="A45" s="52">
        <v>44</v>
      </c>
      <c r="B45" s="52">
        <v>9</v>
      </c>
      <c r="C45" s="52" t="s">
        <v>327</v>
      </c>
      <c r="D45" s="4" t="s">
        <v>355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328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329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331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330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332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333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334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328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329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331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330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344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345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346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347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360</v>
      </c>
      <c r="D61" s="4">
        <v>0</v>
      </c>
      <c r="E61" s="4">
        <v>1</v>
      </c>
      <c r="F61">
        <v>1000000</v>
      </c>
      <c r="G61" t="s">
        <v>362</v>
      </c>
    </row>
    <row r="62" spans="1:7" x14ac:dyDescent="0.2">
      <c r="A62">
        <v>61</v>
      </c>
      <c r="B62">
        <v>41</v>
      </c>
      <c r="C62" s="9" t="s">
        <v>361</v>
      </c>
      <c r="D62" s="4">
        <v>0</v>
      </c>
      <c r="E62" s="4">
        <v>1</v>
      </c>
      <c r="F62">
        <v>5000000</v>
      </c>
      <c r="G62" t="s">
        <v>363</v>
      </c>
    </row>
    <row r="63" spans="1:7" x14ac:dyDescent="0.2">
      <c r="A63">
        <v>62</v>
      </c>
      <c r="B63">
        <v>42</v>
      </c>
      <c r="C63" s="9" t="s">
        <v>359</v>
      </c>
      <c r="D63" s="4">
        <v>0</v>
      </c>
      <c r="E63" s="4">
        <v>1</v>
      </c>
      <c r="F63">
        <v>10000000</v>
      </c>
      <c r="G63" t="s">
        <v>364</v>
      </c>
    </row>
    <row r="64" spans="1:7" x14ac:dyDescent="0.2">
      <c r="A64">
        <v>63</v>
      </c>
      <c r="B64">
        <v>46</v>
      </c>
      <c r="C64" s="9" t="s">
        <v>350</v>
      </c>
      <c r="D64" s="4">
        <v>0</v>
      </c>
      <c r="E64" s="4">
        <v>1</v>
      </c>
      <c r="F64">
        <v>50000000</v>
      </c>
      <c r="G64" t="s">
        <v>365</v>
      </c>
    </row>
    <row r="65" spans="1:7" x14ac:dyDescent="0.2">
      <c r="A65">
        <v>64</v>
      </c>
      <c r="B65">
        <v>47</v>
      </c>
      <c r="C65" s="9" t="s">
        <v>351</v>
      </c>
      <c r="D65" s="4">
        <v>0</v>
      </c>
      <c r="E65" s="4">
        <v>1</v>
      </c>
      <c r="F65">
        <v>100000000</v>
      </c>
      <c r="G65" t="s">
        <v>366</v>
      </c>
    </row>
    <row r="66" spans="1:7" s="56" customFormat="1" x14ac:dyDescent="0.2">
      <c r="A66" s="56">
        <v>65</v>
      </c>
      <c r="B66" s="54">
        <v>9</v>
      </c>
      <c r="C66" s="54" t="s">
        <v>375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376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377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378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381</v>
      </c>
      <c r="D70" s="58">
        <v>1</v>
      </c>
      <c r="E70" s="58">
        <v>1</v>
      </c>
      <c r="F70" s="57">
        <v>75</v>
      </c>
      <c r="G70" s="57" t="s">
        <v>380</v>
      </c>
    </row>
    <row r="71" spans="1:7" s="61" customFormat="1" x14ac:dyDescent="0.2">
      <c r="A71" s="61">
        <v>70</v>
      </c>
      <c r="B71" s="61">
        <v>9</v>
      </c>
      <c r="C71" s="61" t="s">
        <v>383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384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385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386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394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389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390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396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395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391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392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393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  <row r="83" spans="1:7" s="52" customFormat="1" x14ac:dyDescent="0.2">
      <c r="A83">
        <v>82</v>
      </c>
      <c r="B83" s="78">
        <v>9</v>
      </c>
      <c r="C83" s="78" t="s">
        <v>437</v>
      </c>
      <c r="D83" s="79">
        <v>0</v>
      </c>
      <c r="E83" s="79">
        <v>1</v>
      </c>
      <c r="F83" s="78">
        <v>250</v>
      </c>
      <c r="G83" s="78" t="s">
        <v>88</v>
      </c>
    </row>
    <row r="84" spans="1:7" s="52" customFormat="1" x14ac:dyDescent="0.2">
      <c r="A84">
        <v>83</v>
      </c>
      <c r="B84" s="78">
        <v>9</v>
      </c>
      <c r="C84" s="78" t="s">
        <v>438</v>
      </c>
      <c r="D84" s="79">
        <v>0</v>
      </c>
      <c r="E84" s="79">
        <v>1</v>
      </c>
      <c r="F84" s="78">
        <v>350</v>
      </c>
      <c r="G84" s="78" t="s">
        <v>88</v>
      </c>
    </row>
    <row r="85" spans="1:7" s="52" customFormat="1" x14ac:dyDescent="0.2">
      <c r="A85">
        <v>84</v>
      </c>
      <c r="B85" s="78">
        <v>9</v>
      </c>
      <c r="C85" s="78" t="s">
        <v>439</v>
      </c>
      <c r="D85" s="79">
        <v>0</v>
      </c>
      <c r="E85" s="79">
        <v>1</v>
      </c>
      <c r="F85" s="78">
        <v>450</v>
      </c>
      <c r="G85" s="78" t="s">
        <v>88</v>
      </c>
    </row>
    <row r="86" spans="1:7" s="52" customFormat="1" x14ac:dyDescent="0.2">
      <c r="A86">
        <v>85</v>
      </c>
      <c r="B86" s="78">
        <v>9</v>
      </c>
      <c r="C86" s="78" t="s">
        <v>440</v>
      </c>
      <c r="D86" s="79">
        <v>1</v>
      </c>
      <c r="E86" s="79">
        <v>1</v>
      </c>
      <c r="F86" s="78">
        <v>10</v>
      </c>
      <c r="G86" s="78" t="s">
        <v>88</v>
      </c>
    </row>
    <row r="87" spans="1:7" s="57" customFormat="1" x14ac:dyDescent="0.2">
      <c r="A87">
        <v>86</v>
      </c>
      <c r="B87" s="57">
        <v>9</v>
      </c>
      <c r="C87" s="57" t="s">
        <v>441</v>
      </c>
      <c r="D87" s="58">
        <v>1</v>
      </c>
      <c r="E87" s="58">
        <v>1</v>
      </c>
      <c r="F87" s="57">
        <v>200</v>
      </c>
      <c r="G87" s="57" t="s">
        <v>442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tabSelected="1" zoomScaleNormal="100" workbookViewId="0">
      <pane ySplit="1" topLeftCell="A2" activePane="bottomLeft" state="frozen"/>
      <selection pane="bottomLeft" activeCell="E20" sqref="E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5" t="s">
        <v>447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425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188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189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426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427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428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429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50</v>
      </c>
      <c r="D20" s="13">
        <f t="shared" si="0"/>
        <v>0.02</v>
      </c>
      <c r="E20" s="12" t="s">
        <v>448</v>
      </c>
      <c r="F20" s="13">
        <f t="shared" si="1"/>
        <v>50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206</v>
      </c>
      <c r="D25" s="13" t="s">
        <v>207</v>
      </c>
      <c r="E25" s="14" t="s">
        <v>193</v>
      </c>
      <c r="F25" s="13" t="s">
        <v>206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244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415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416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417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418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419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343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370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379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382</v>
      </c>
      <c r="F61" s="69">
        <v>0</v>
      </c>
      <c r="G61" s="69">
        <v>0</v>
      </c>
    </row>
    <row r="62" spans="1:7" s="69" customFormat="1" x14ac:dyDescent="0.2">
      <c r="A62" s="69">
        <v>61</v>
      </c>
      <c r="B62" s="69">
        <v>1</v>
      </c>
      <c r="C62" s="69">
        <v>0</v>
      </c>
      <c r="D62" s="69">
        <v>0</v>
      </c>
      <c r="E62" s="69" t="s">
        <v>388</v>
      </c>
      <c r="F62" s="69">
        <v>0</v>
      </c>
      <c r="G62" s="69">
        <v>0</v>
      </c>
    </row>
    <row r="63" spans="1:7" s="69" customFormat="1" x14ac:dyDescent="0.2">
      <c r="A63" s="2">
        <v>62</v>
      </c>
      <c r="B63" s="2">
        <v>1</v>
      </c>
      <c r="C63" s="2">
        <v>0</v>
      </c>
      <c r="D63" s="2">
        <v>0</v>
      </c>
      <c r="E63" s="2" t="s">
        <v>436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367</v>
      </c>
      <c r="C4">
        <v>15</v>
      </c>
      <c r="D4">
        <v>0</v>
      </c>
    </row>
    <row r="5" spans="1:4 16384:16384" x14ac:dyDescent="0.2">
      <c r="A5">
        <v>4</v>
      </c>
      <c r="B5" t="s">
        <v>368</v>
      </c>
      <c r="C5">
        <v>15</v>
      </c>
      <c r="D5">
        <v>0</v>
      </c>
    </row>
    <row r="6" spans="1:4 16384:16384" x14ac:dyDescent="0.2">
      <c r="A6">
        <v>5</v>
      </c>
      <c r="B6" t="s">
        <v>369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2021-03-08T09:35:30Z</dcterms:modified>
</cp:coreProperties>
</file>