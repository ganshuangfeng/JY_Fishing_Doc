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134" i="7" l="1"/>
  <c r="J135" i="7"/>
  <c r="J136" i="7"/>
  <c r="J137" i="7"/>
  <c r="I133" i="7"/>
  <c r="I134" i="7"/>
  <c r="I135" i="7"/>
  <c r="I136" i="7"/>
  <c r="I137" i="7"/>
  <c r="H134" i="7"/>
  <c r="H135" i="7"/>
  <c r="H136" i="7"/>
  <c r="H137" i="7"/>
  <c r="J129" i="7" l="1"/>
  <c r="J130" i="7"/>
  <c r="J131" i="7"/>
  <c r="J132" i="7"/>
  <c r="J133" i="7"/>
  <c r="I129" i="7"/>
  <c r="I130" i="7"/>
  <c r="I131" i="7"/>
  <c r="I132" i="7"/>
  <c r="H129" i="7"/>
  <c r="H130" i="7"/>
  <c r="H131" i="7"/>
  <c r="H132" i="7"/>
  <c r="H133" i="7"/>
  <c r="L113" i="14"/>
  <c r="L114" i="14"/>
  <c r="L115" i="14"/>
  <c r="L116" i="14"/>
  <c r="L117" i="14"/>
  <c r="L118" i="14"/>
  <c r="I113" i="14"/>
  <c r="I114" i="14"/>
  <c r="I115" i="14"/>
  <c r="I116" i="14"/>
  <c r="I117" i="14"/>
  <c r="I118" i="14"/>
  <c r="I119" i="14"/>
  <c r="I120" i="14"/>
  <c r="L120" i="14" s="1"/>
  <c r="I121" i="14"/>
  <c r="H113" i="14"/>
  <c r="H114" i="14"/>
  <c r="H115" i="14"/>
  <c r="H116" i="14"/>
  <c r="H117" i="14"/>
  <c r="H118" i="14"/>
  <c r="H119" i="14"/>
  <c r="H120" i="14"/>
  <c r="H121" i="14"/>
  <c r="F113" i="14"/>
  <c r="F114" i="14"/>
  <c r="F115" i="14"/>
  <c r="F116" i="14"/>
  <c r="F117" i="14"/>
  <c r="F118" i="14"/>
  <c r="F120" i="14"/>
  <c r="E111" i="14"/>
  <c r="E112" i="14"/>
  <c r="E113" i="14"/>
  <c r="E114" i="14"/>
  <c r="E115" i="14"/>
  <c r="E116" i="14"/>
  <c r="E117" i="14"/>
  <c r="E118" i="14"/>
  <c r="E119" i="14"/>
  <c r="F119" i="14" s="1"/>
  <c r="E120" i="14"/>
  <c r="E121" i="14"/>
  <c r="F121" i="14" s="1"/>
  <c r="L121" i="14" l="1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F112" i="14"/>
  <c r="J126" i="7"/>
  <c r="J118" i="7" l="1"/>
  <c r="J119" i="7"/>
  <c r="J120" i="7"/>
  <c r="J121" i="7"/>
  <c r="J122" i="7"/>
  <c r="J123" i="7"/>
  <c r="J124" i="7"/>
  <c r="J125" i="7"/>
  <c r="I102" i="14"/>
  <c r="I118" i="7" s="1"/>
  <c r="I103" i="14"/>
  <c r="I119" i="7" s="1"/>
  <c r="I104" i="14"/>
  <c r="I120" i="7" s="1"/>
  <c r="I105" i="14"/>
  <c r="I121" i="7" s="1"/>
  <c r="I106" i="14"/>
  <c r="I122" i="7" s="1"/>
  <c r="I107" i="14"/>
  <c r="I123" i="7" s="1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L105" i="14"/>
  <c r="F110" i="14"/>
  <c r="H125" i="7"/>
  <c r="H121" i="7"/>
  <c r="L108" i="14"/>
  <c r="L104" i="14"/>
  <c r="H124" i="7"/>
  <c r="H120" i="7"/>
  <c r="L107" i="14"/>
  <c r="L103" i="14"/>
  <c r="H123" i="7"/>
  <c r="H119" i="7"/>
  <c r="L110" i="14"/>
  <c r="L106" i="14"/>
  <c r="L102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3" i="14"/>
  <c r="I80" i="14"/>
  <c r="L80" i="14" s="1"/>
  <c r="I81" i="14"/>
  <c r="L81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I72" i="14"/>
  <c r="I88" i="7" s="1"/>
  <c r="K72" i="14"/>
  <c r="J88" i="7" s="1"/>
  <c r="H72" i="14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/>
  <c r="G32" i="5"/>
  <c r="H31" i="14"/>
  <c r="G33" i="5"/>
  <c r="H33" i="14"/>
  <c r="F42" i="1"/>
  <c r="F39" i="1"/>
  <c r="H40" i="7"/>
  <c r="F26" i="1"/>
  <c r="I26" i="14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/>
  <c r="G13" i="5"/>
  <c r="H35" i="14"/>
  <c r="G15" i="5"/>
  <c r="H41" i="14"/>
  <c r="G5" i="5"/>
  <c r="G7" i="5"/>
  <c r="H20" i="14"/>
  <c r="H19" i="14"/>
  <c r="G14" i="5"/>
  <c r="G12" i="5"/>
  <c r="G2" i="5"/>
  <c r="G9" i="5"/>
  <c r="H22" i="14" s="1"/>
  <c r="G10" i="5"/>
  <c r="I45" i="14"/>
  <c r="I59" i="7" s="1"/>
  <c r="J50" i="7"/>
  <c r="J55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5" i="7"/>
  <c r="I23" i="14"/>
  <c r="I37" i="7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L56" i="14"/>
  <c r="J67" i="7"/>
  <c r="L72" i="14"/>
  <c r="I83" i="7"/>
  <c r="F52" i="14"/>
  <c r="J19" i="7"/>
  <c r="J21" i="7"/>
  <c r="F31" i="14"/>
  <c r="J16" i="7"/>
  <c r="L30" i="14"/>
  <c r="I99" i="7"/>
  <c r="L83" i="14"/>
  <c r="H53" i="7"/>
  <c r="F16" i="14"/>
  <c r="F56" i="14"/>
  <c r="L17" i="14"/>
  <c r="I32" i="7"/>
  <c r="I85" i="7"/>
  <c r="F40" i="14" l="1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L66" i="14"/>
  <c r="I97" i="7"/>
  <c r="L59" i="14"/>
  <c r="L55" i="14"/>
  <c r="L61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L73" i="14"/>
  <c r="I98" i="7"/>
  <c r="I87" i="7"/>
  <c r="H97" i="7"/>
  <c r="I54" i="7"/>
  <c r="L48" i="14"/>
  <c r="H65" i="7"/>
  <c r="L52" i="14"/>
  <c r="L95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I26" i="7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L97" i="14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I20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<sst xmlns="http://schemas.openxmlformats.org/spreadsheetml/2006/main" count="635" uniqueCount="438">
  <si>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</si>
  <si>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</si>
  <si>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</si>
  <si>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</si>
  <si>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</si>
  <si>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</si>
  <si>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</si>
  <si>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</si>
  <si>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</si>
  <si>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</si>
  <si>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</si>
  <si>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</si>
  <si>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</si>
  <si>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</si>
  <si>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</si>
  <si>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</si>
  <si>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</si>
  <si>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</si>
  <si>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</si>
  <si>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</si>
  <si>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</si>
  <si>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</si>
  <si>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</si>
  <si>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</si>
  <si>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</si>
  <si>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</si>
  <si>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</si>
  <si>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</si>
  <si>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</si>
  <si>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</si>
  <si>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</si>
  <si>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</si>
  <si>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</si>
  <si>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</si>
  <si>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</si>
  <si>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</si>
  <si>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</si>
  <si>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</si>
  <si>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</si>
  <si>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</si>
  <si>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</si>
  <si>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</si>
  <si>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</si>
  <si>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</si>
  <si>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</si>
  <si>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</si>
  <si>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</si>
  <si>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</si>
  <si>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</si>
  <si>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</si>
  <si>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</si>
  <si>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</si>
  <si>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</si>
  <si>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</si>
  <si>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</si>
  <si>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</si>
  <si>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</si>
  <si>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</si>
  <si>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</si>
  <si>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</si>
  <si>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</si>
  <si>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</si>
  <si>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</si>
  <si>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</si>
  <si>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</si>
  <si>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</si>
  <si>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</si>
  <si>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</si>
  <si>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</si>
  <si>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</si>
  <si>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</si>
  <si>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</si>
  <si>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</si>
  <si>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</si>
  <si>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</si>
  <si>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</si>
  <si>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</si>
  <si>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</si>
  <si>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</si>
  <si>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</si>
  <si>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</si>
  <si>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</si>
  <si>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</si>
  <si>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</si>
  <si>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</si>
  <si>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</si>
  <si>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</si>
  <si>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</si>
  <si>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</si>
  <si>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</si>
  <si>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</si>
  <si>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</si>
  <si>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</si>
  <si>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</si>
  <si>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</si>
  <si>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</si>
  <si>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</si>
  <si>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</si>
  <si>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</si>
  <si>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</si>
  <si>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</si>
  <si>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</si>
  <si>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</si>
  <si>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</si>
  <si>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</si>
  <si>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</si>
  <si>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</si>
  <si>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</si>
  <si>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</si>
  <si>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</si>
  <si>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</si>
  <si>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</si>
  <si>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</si>
  <si>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</si>
  <si>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</si>
  <si>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</si>
  <si>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</si>
  <si>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</si>
  <si>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</si>
  <si>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</si>
  <si>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</si>
  <si>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</si>
  <si>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</si>
  <si>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</si>
  <si>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</si>
  <si>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</si>
  <si>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</si>
  <si>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</si>
  <si>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</si>
  <si>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</si>
  <si>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</si>
  <si>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</si>
  <si>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</si>
  <si>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</si>
  <si>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</si>
  <si>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</si>
  <si>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</si>
  <si>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</si>
  <si>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</si>
  <si>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</si>
  <si>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</si>
  <si>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</si>
  <si>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</si>
  <si>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</si>
  <si>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</si>
  <si>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</si>
  <si>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</si>
  <si>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</si>
  <si>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</si>
  <si>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</si>
  <si>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</si>
  <si>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</si>
  <si>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</si>
  <si>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</si>
  <si>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</si>
  <si>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</si>
  <si>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</si>
  <si>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</si>
  <si>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</si>
  <si>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</si>
  <si>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</si>
  <si>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</si>
  <si>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</si>
  <si>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</si>
  <si>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</si>
  <si>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</si>
  <si>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</si>
  <si>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</si>
  <si>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</si>
  <si>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</si>
  <si>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</si>
  <si>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</si>
  <si>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</si>
  <si>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</si>
  <si>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</si>
  <si>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</si>
  <si>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</si>
  <si>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</si>
  <si>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</si>
  <si>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</si>
  <si>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</si>
  <si>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</si>
  <si>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</si>
  <si>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</si>
  <si>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</si>
  <si>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</si>
  <si>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</si>
  <si>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</si>
  <si>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</si>
  <si>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</si>
  <si>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</si>
  <si>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</si>
  <si>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</si>
  <si>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</si>
  <si>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</si>
  <si>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</si>
  <si>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</si>
  <si>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</si>
  <si>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</si>
  <si>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</si>
  <si>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</si>
  <si>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</si>
  <si>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</si>
  <si>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</si>
  <si>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</si>
  <si>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</si>
  <si>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</si>
  <si>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</si>
  <si>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</si>
  <si>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</si>
  <si>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</si>
  <si>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</si>
  <si>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</si>
  <si>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</si>
  <si>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</si>
  <si>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</si>
  <si>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</si>
  <si>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</si>
  <si>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</si>
  <si>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</si>
  <si>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</si>
  <si>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</si>
  <si>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</si>
  <si>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</si>
  <si>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</si>
  <si>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</si>
  <si>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</si>
  <si>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</si>
  <si>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</si>
  <si>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</si>
  <si>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</si>
  <si>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</si>
  <si>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</si>
  <si>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</si>
  <si>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</si>
  <si>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</si>
  <si>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</si>
  <si>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</si>
  <si>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</si>
  <si>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</si>
  <si>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</si>
  <si>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</si>
  <si>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</si>
  <si>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</si>
  <si>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</si>
  <si>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</si>
  <si>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</si>
  <si>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</si>
  <si>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</si>
  <si>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</si>
  <si>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</si>
  <si>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</si>
  <si>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</si>
  <si>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</si>
  <si>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</si>
  <si>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</si>
  <si>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</si>
  <si>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</si>
  <si>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</si>
  <si>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</si>
  <si>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</si>
  <si>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</si>
  <si>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</si>
  <si>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</si>
  <si>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</si>
  <si>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</si>
  <si>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</si>
  <si>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</si>
  <si>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</si>
  <si>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</si>
  <si>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</si>
  <si>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</si>
  <si>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</si>
  <si>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</si>
  <si>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</si>
  <si>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</si>
  <si>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</si>
  <si>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</si>
  <si>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</si>
  <si>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</si>
  <si>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</si>
  <si>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</si>
  <si>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</si>
  <si>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</si>
  <si>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</si>
  <si>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</si>
  <si>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</si>
  <si>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</si>
  <si>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</si>
  <si>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</si>
  <si>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</si>
  <si>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</si>
  <si>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</si>
  <si>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</si>
  <si>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</si>
  <si>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</si>
  <si>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</si>
  <si>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</si>
  <si>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</si>
  <si>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</si>
  <si>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</si>
  <si>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</si>
  <si>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</si>
  <si>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</si>
  <si>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</si>
  <si>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</si>
  <si>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</si>
  <si>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</si>
  <si>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</si>
  <si>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</si>
  <si>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</si>
  <si>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</si>
  <si>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</si>
  <si>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</si>
  <si>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</si>
  <si>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</si>
  <si>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</si>
  <si>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</si>
  <si>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</si>
  <si>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</si>
  <si>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</si>
  <si>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</si>
  <si>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</si>
  <si>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</si>
  <si>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</si>
  <si>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</si>
  <si>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</si>
  <si>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</si>
  <si>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</si>
  <si>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</si>
  <si>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</si>
  <si>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</si>
  <si>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</si>
  <si>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</si>
  <si>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</si>
  <si>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</si>
  <si>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</si>
  <si>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</si>
  <si>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</si>
  <si>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</si>
  <si>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</si>
  <si>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</si>
  <si>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</si>
  <si>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</si>
  <si>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</si>
  <si>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</si>
  <si>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</si>
  <si>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</si>
  <si>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</si>
  <si>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</si>
  <si>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</si>
  <si>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</si>
  <si>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</si>
  <si>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</si>
  <si>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</si>
  <si>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</si>
  <si>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</si>
  <si>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</si>
  <si>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</si>
  <si>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</si>
  <si>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</si>
  <si>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</si>
  <si>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</si>
  <si>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</si>
  <si>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</si>
  <si>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</si>
  <si>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</si>
  <si>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</si>
  <si>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</si>
  <si>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</si>
  <si>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</si>
  <si>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</si>
  <si>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</si>
  <si>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</si>
  <si>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</si>
  <si>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</si>
  <si>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</si>
  <si>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</si>
  <si>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</si>
  <si>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</si>
  <si>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</si>
  <si>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</si>
  <si>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</si>
  <si>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</si>
  <si>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</si>
  <si>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</si>
  <si>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</si>
  <si>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</si>
  <si>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</si>
  <si>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</si>
  <si>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</si>
  <si>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</si>
  <si>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</si>
  <si>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</si>
  <si>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</si>
  <si>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</si>
  <si>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</si>
  <si>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</si>
  <si>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</si>
  <si>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</si>
  <si>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</si>
  <si>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</si>
  <si>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</si>
  <si>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</si>
  <si>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</si>
  <si>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</si>
  <si>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</si>
  <si>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</si>
  <si>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</si>
  <si>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</si>
  <si>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</si>
  <si>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</si>
  <si>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</si>
  <si>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</si>
  <si>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</si>
  <si>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</si>
  <si>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</si>
  <si>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</si>
  <si>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</si>
  <si>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</si>
  <si>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</si>
  <si>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</si>
  <si>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</si>
  <si>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"jing_bi",10,50,100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</si>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</sst>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75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37"/>
  <sheetViews>
    <sheetView topLeftCell="B1" workbookViewId="0">
      <pane ySplit="1" topLeftCell="A113" activePane="bottomLeft" state="frozen"/>
      <selection pane="bottomLeft" activeCell="K133" sqref="K13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420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421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75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75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429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430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431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432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433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434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435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436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437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3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3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3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3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3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21"/>
  <sheetViews>
    <sheetView tabSelected="1" zoomScaleNormal="100" workbookViewId="0">
      <pane ySplit="1" topLeftCell="A92" activePane="bottomLeft" state="frozen"/>
      <selection pane="bottomLeft" activeCell="B120" sqref="B120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70</v>
      </c>
      <c r="D112" s="66"/>
      <c r="E112" s="57">
        <f>LOOKUP(use_fish!B112,base_fish!A:A,base_fish!C:C)+_xlfn.IFNA(INDEX(activity!F:F,MATCH(use_fish!C112,activity!A:A,0)),0)</f>
        <v>75</v>
      </c>
      <c r="F112" s="67">
        <f t="shared" si="16"/>
        <v>1.3333333333333334E-2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话费鱼+话费鱼</v>
      </c>
      <c r="I112" s="67">
        <f>LOOKUP(use_fish!B112,base_fish!A:A,base_fish!F:F)+_xlfn.IFNA(INDEX(activity!F:F,MATCH(use_fish!C112,activity!A:A,0)),0)</f>
        <v>75</v>
      </c>
      <c r="J112" s="65">
        <v>1</v>
      </c>
      <c r="K112" s="65">
        <v>0</v>
      </c>
      <c r="L112" s="65">
        <f t="shared" si="17"/>
        <v>75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74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74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74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74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74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74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71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72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73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75"/>
  <sheetViews>
    <sheetView zoomScale="130" zoomScaleNormal="130" workbookViewId="0">
      <pane ySplit="1" topLeftCell="A56" activePane="bottomLeft" state="frozen"/>
      <selection pane="bottomLeft" activeCell="C79" sqref="C79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 s="65">
        <v>69</v>
      </c>
      <c r="B70" s="65">
        <v>9</v>
      </c>
      <c r="C70" s="65" t="s">
        <v>422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5" customFormat="1" x14ac:dyDescent="0.2">
      <c r="A71" s="65">
        <v>70</v>
      </c>
      <c r="B71" s="65">
        <v>9</v>
      </c>
      <c r="C71" s="65" t="s">
        <v>423</v>
      </c>
      <c r="D71" s="66">
        <v>1</v>
      </c>
      <c r="E71" s="66">
        <v>1</v>
      </c>
      <c r="F71" s="65">
        <v>75</v>
      </c>
      <c r="G71" s="65" t="s">
        <v>419</v>
      </c>
    </row>
    <row r="72" spans="1:7" s="69" customFormat="1" x14ac:dyDescent="0.2">
      <c r="A72" s="69">
        <v>71</v>
      </c>
      <c r="B72" s="69">
        <v>9</v>
      </c>
      <c r="C72" s="69" t="s">
        <v>425</v>
      </c>
      <c r="D72" s="70">
        <v>0</v>
      </c>
      <c r="E72" s="70">
        <v>1</v>
      </c>
      <c r="F72" s="69">
        <v>75</v>
      </c>
      <c r="G72" s="69" t="s">
        <v>88</v>
      </c>
    </row>
    <row r="73" spans="1:7" s="69" customFormat="1" x14ac:dyDescent="0.2">
      <c r="A73" s="69">
        <v>72</v>
      </c>
      <c r="B73" s="69">
        <v>9</v>
      </c>
      <c r="C73" s="69" t="s">
        <v>426</v>
      </c>
      <c r="D73" s="70">
        <v>0</v>
      </c>
      <c r="E73" s="70">
        <v>1</v>
      </c>
      <c r="F73" s="69">
        <v>150</v>
      </c>
      <c r="G73" s="69" t="s">
        <v>88</v>
      </c>
    </row>
    <row r="74" spans="1:7" s="69" customFormat="1" x14ac:dyDescent="0.2">
      <c r="A74" s="69">
        <v>73</v>
      </c>
      <c r="B74" s="69">
        <v>9</v>
      </c>
      <c r="C74" s="69" t="s">
        <v>427</v>
      </c>
      <c r="D74" s="70">
        <v>0</v>
      </c>
      <c r="E74" s="70">
        <v>1</v>
      </c>
      <c r="F74" s="69">
        <v>250</v>
      </c>
      <c r="G74" s="69" t="s">
        <v>88</v>
      </c>
    </row>
    <row r="75" spans="1:7" s="69" customFormat="1" x14ac:dyDescent="0.2">
      <c r="A75" s="69">
        <v>74</v>
      </c>
      <c r="B75" s="69">
        <v>9</v>
      </c>
      <c r="C75" s="69" t="s">
        <v>428</v>
      </c>
      <c r="D75" s="70">
        <v>1</v>
      </c>
      <c r="E75" s="70">
        <v>1</v>
      </c>
      <c r="F75" s="69">
        <v>10</v>
      </c>
      <c r="G75" s="69" t="s">
        <v>88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1"/>
  <sheetViews>
    <sheetView zoomScaleNormal="100" workbookViewId="0">
      <pane ySplit="1" topLeftCell="A47" activePane="bottomLeft" state="frozen"/>
      <selection pane="bottomLeft" activeCell="D70" sqref="D70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424</v>
      </c>
      <c r="F61" s="72">
        <v>0</v>
      </c>
      <c r="G61" s="7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2020-11-24T07:46:37Z</dcterms:modified>
</cp:coreProperties>
</file>