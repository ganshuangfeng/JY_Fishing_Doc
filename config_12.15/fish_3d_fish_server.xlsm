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1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38" i="7" l="1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I138" i="7"/>
  <c r="J138" i="7"/>
  <c r="I139" i="7"/>
  <c r="J139" i="7"/>
  <c r="I140" i="7"/>
  <c r="J140" i="7"/>
  <c r="I141" i="7"/>
  <c r="J141" i="7"/>
  <c r="I142" i="7"/>
  <c r="J142" i="7"/>
  <c r="I143" i="7"/>
  <c r="J143" i="7"/>
  <c r="I144" i="7"/>
  <c r="J144" i="7"/>
  <c r="I145" i="7"/>
  <c r="J145" i="7"/>
  <c r="I146" i="7"/>
  <c r="J146" i="7"/>
  <c r="I147" i="7"/>
  <c r="J147" i="7"/>
  <c r="I148" i="7"/>
  <c r="J148" i="7"/>
  <c r="I149" i="7"/>
  <c r="J149" i="7"/>
  <c r="I150" i="7"/>
  <c r="J150" i="7"/>
  <c r="I151" i="7"/>
  <c r="J151" i="7"/>
  <c r="I152" i="7"/>
  <c r="J152" i="7"/>
  <c r="I153" i="7"/>
  <c r="J153" i="7"/>
  <c r="I154" i="7"/>
  <c r="J154" i="7"/>
  <c r="I155" i="7"/>
  <c r="J155" i="7"/>
  <c r="I156" i="7"/>
  <c r="J156" i="7"/>
  <c r="I157" i="7"/>
  <c r="J157" i="7"/>
  <c r="I158" i="7"/>
  <c r="J158" i="7"/>
  <c r="I159" i="7"/>
  <c r="J159" i="7"/>
  <c r="I160" i="7"/>
  <c r="J160" i="7"/>
  <c r="I161" i="7"/>
  <c r="J161" i="7"/>
  <c r="L145" i="14" l="1"/>
  <c r="K145" i="14"/>
  <c r="H145" i="14"/>
  <c r="F145" i="14"/>
  <c r="L144" i="14"/>
  <c r="K144" i="14"/>
  <c r="H144" i="14"/>
  <c r="F144" i="14"/>
  <c r="L143" i="14"/>
  <c r="K143" i="14"/>
  <c r="H143" i="14"/>
  <c r="F143" i="14"/>
  <c r="L142" i="14"/>
  <c r="K142" i="14"/>
  <c r="H142" i="14"/>
  <c r="F142" i="14"/>
  <c r="L141" i="14"/>
  <c r="K141" i="14"/>
  <c r="H141" i="14"/>
  <c r="F141" i="14"/>
  <c r="L140" i="14"/>
  <c r="K140" i="14"/>
  <c r="H140" i="14"/>
  <c r="F140" i="14"/>
  <c r="L139" i="14"/>
  <c r="K139" i="14"/>
  <c r="H139" i="14"/>
  <c r="F139" i="14"/>
  <c r="L138" i="14"/>
  <c r="K138" i="14"/>
  <c r="H138" i="14"/>
  <c r="F138" i="14"/>
  <c r="L137" i="14"/>
  <c r="K137" i="14"/>
  <c r="H137" i="14"/>
  <c r="F137" i="14"/>
  <c r="L136" i="14"/>
  <c r="K136" i="14"/>
  <c r="H136" i="14"/>
  <c r="F136" i="14"/>
  <c r="L135" i="14"/>
  <c r="K135" i="14"/>
  <c r="H135" i="14"/>
  <c r="F135" i="14"/>
  <c r="L134" i="14"/>
  <c r="K134" i="14"/>
  <c r="H134" i="14"/>
  <c r="F134" i="14"/>
  <c r="L133" i="14"/>
  <c r="K133" i="14"/>
  <c r="H133" i="14"/>
  <c r="F133" i="14"/>
  <c r="L132" i="14"/>
  <c r="K132" i="14"/>
  <c r="H132" i="14"/>
  <c r="F132" i="14"/>
  <c r="L131" i="14"/>
  <c r="K131" i="14"/>
  <c r="H131" i="14"/>
  <c r="F131" i="14"/>
  <c r="L130" i="14"/>
  <c r="K130" i="14"/>
  <c r="H130" i="14"/>
  <c r="F130" i="14"/>
  <c r="L129" i="14"/>
  <c r="K129" i="14"/>
  <c r="H129" i="14"/>
  <c r="F129" i="14"/>
  <c r="L128" i="14"/>
  <c r="K128" i="14"/>
  <c r="H128" i="14"/>
  <c r="F128" i="14"/>
  <c r="F125" i="14"/>
  <c r="F126" i="14"/>
  <c r="F127" i="14"/>
  <c r="F122" i="14"/>
  <c r="K127" i="14"/>
  <c r="L127" i="14"/>
  <c r="H127" i="14"/>
  <c r="K126" i="14"/>
  <c r="L126" i="14"/>
  <c r="H126" i="14"/>
  <c r="K125" i="14"/>
  <c r="L125" i="14"/>
  <c r="H125" i="14"/>
  <c r="K124" i="14"/>
  <c r="L124" i="14"/>
  <c r="H124" i="14"/>
  <c r="F124" i="14"/>
  <c r="K123" i="14"/>
  <c r="L123" i="14"/>
  <c r="H123" i="14"/>
  <c r="F123" i="14"/>
  <c r="K122" i="14"/>
  <c r="L122" i="14"/>
  <c r="H122" i="14"/>
  <c r="J134" i="7" l="1"/>
  <c r="J135" i="7"/>
  <c r="J136" i="7"/>
  <c r="J137" i="7"/>
  <c r="J129" i="7" l="1"/>
  <c r="J130" i="7"/>
  <c r="J131" i="7"/>
  <c r="J132" i="7"/>
  <c r="J133" i="7"/>
  <c r="I113" i="14"/>
  <c r="L113" i="14" s="1"/>
  <c r="I114" i="14"/>
  <c r="I130" i="7" s="1"/>
  <c r="I115" i="14"/>
  <c r="L115" i="14" s="1"/>
  <c r="I116" i="14"/>
  <c r="I132" i="7" s="1"/>
  <c r="I117" i="14"/>
  <c r="I133" i="7" s="1"/>
  <c r="I118" i="14"/>
  <c r="I134" i="7" s="1"/>
  <c r="I119" i="14"/>
  <c r="I135" i="7" s="1"/>
  <c r="I120" i="14"/>
  <c r="I121" i="14"/>
  <c r="I137" i="7" s="1"/>
  <c r="H113" i="14"/>
  <c r="H114" i="14"/>
  <c r="H115" i="14"/>
  <c r="H116" i="14"/>
  <c r="H117" i="14"/>
  <c r="H118" i="14"/>
  <c r="H119" i="14"/>
  <c r="H120" i="14"/>
  <c r="H121" i="14"/>
  <c r="E111" i="14"/>
  <c r="E113" i="14"/>
  <c r="H129" i="7" s="1"/>
  <c r="E114" i="14"/>
  <c r="H130" i="7" s="1"/>
  <c r="E115" i="14"/>
  <c r="H131" i="7" s="1"/>
  <c r="E116" i="14"/>
  <c r="H132" i="7" s="1"/>
  <c r="E117" i="14"/>
  <c r="F117" i="14" s="1"/>
  <c r="E118" i="14"/>
  <c r="H134" i="7" s="1"/>
  <c r="E119" i="14"/>
  <c r="E120" i="14"/>
  <c r="H136" i="7" s="1"/>
  <c r="E121" i="14"/>
  <c r="H133" i="7" l="1"/>
  <c r="F113" i="14"/>
  <c r="F116" i="14"/>
  <c r="L116" i="14"/>
  <c r="I129" i="7"/>
  <c r="F120" i="14"/>
  <c r="F115" i="14"/>
  <c r="F121" i="14"/>
  <c r="H137" i="7"/>
  <c r="F118" i="14"/>
  <c r="F114" i="14"/>
  <c r="L120" i="14"/>
  <c r="I136" i="7"/>
  <c r="L118" i="14"/>
  <c r="L114" i="14"/>
  <c r="I131" i="7"/>
  <c r="F119" i="14"/>
  <c r="H135" i="7"/>
  <c r="L117" i="14"/>
  <c r="L121" i="14"/>
  <c r="L119" i="14"/>
  <c r="J127" i="7"/>
  <c r="J128" i="7"/>
  <c r="I111" i="14"/>
  <c r="I127" i="7" s="1"/>
  <c r="I112" i="14"/>
  <c r="I128" i="7" s="1"/>
  <c r="H111" i="14"/>
  <c r="H112" i="14"/>
  <c r="H127" i="7"/>
  <c r="H128" i="7"/>
  <c r="E110" i="14"/>
  <c r="F111" i="14" l="1"/>
  <c r="L112" i="14"/>
  <c r="L111" i="14"/>
  <c r="J126" i="7"/>
  <c r="J118" i="7" l="1"/>
  <c r="J119" i="7"/>
  <c r="J120" i="7"/>
  <c r="J121" i="7"/>
  <c r="J122" i="7"/>
  <c r="J123" i="7"/>
  <c r="J124" i="7"/>
  <c r="J125" i="7"/>
  <c r="I102" i="14"/>
  <c r="I118" i="7" s="1"/>
  <c r="I103" i="14"/>
  <c r="I119" i="7" s="1"/>
  <c r="I104" i="14"/>
  <c r="I120" i="7" s="1"/>
  <c r="I105" i="14"/>
  <c r="I121" i="7" s="1"/>
  <c r="I106" i="14"/>
  <c r="I122" i="7" s="1"/>
  <c r="I107" i="14"/>
  <c r="I123" i="7" s="1"/>
  <c r="I108" i="14"/>
  <c r="I124" i="7" s="1"/>
  <c r="I109" i="14"/>
  <c r="I125" i="7" s="1"/>
  <c r="I110" i="14"/>
  <c r="I126" i="7" s="1"/>
  <c r="H102" i="14"/>
  <c r="H103" i="14"/>
  <c r="H104" i="14"/>
  <c r="H105" i="14"/>
  <c r="H106" i="14"/>
  <c r="H107" i="14"/>
  <c r="H108" i="14"/>
  <c r="H109" i="14"/>
  <c r="H110" i="14"/>
  <c r="E102" i="14"/>
  <c r="H118" i="7" s="1"/>
  <c r="E103" i="14"/>
  <c r="F103" i="14" s="1"/>
  <c r="E104" i="14"/>
  <c r="F104" i="14" s="1"/>
  <c r="E105" i="14"/>
  <c r="F105" i="14" s="1"/>
  <c r="E106" i="14"/>
  <c r="H122" i="7" s="1"/>
  <c r="E107" i="14"/>
  <c r="F107" i="14" s="1"/>
  <c r="E108" i="14"/>
  <c r="F108" i="14" s="1"/>
  <c r="E109" i="14"/>
  <c r="F109" i="14" s="1"/>
  <c r="H126" i="7"/>
  <c r="F106" i="14" l="1"/>
  <c r="F102" i="14"/>
  <c r="L109" i="14"/>
  <c r="L105" i="14"/>
  <c r="F110" i="14"/>
  <c r="H125" i="7"/>
  <c r="H121" i="7"/>
  <c r="L108" i="14"/>
  <c r="L104" i="14"/>
  <c r="H124" i="7"/>
  <c r="H120" i="7"/>
  <c r="L107" i="14"/>
  <c r="L103" i="14"/>
  <c r="H123" i="7"/>
  <c r="H119" i="7"/>
  <c r="L110" i="14"/>
  <c r="L106" i="14"/>
  <c r="L102" i="14"/>
  <c r="E95" i="14"/>
  <c r="H111" i="7" s="1"/>
  <c r="E96" i="14"/>
  <c r="H112" i="7" s="1"/>
  <c r="E97" i="14"/>
  <c r="F97" i="14" s="1"/>
  <c r="E98" i="14"/>
  <c r="H114" i="7" s="1"/>
  <c r="E99" i="14"/>
  <c r="F99" i="14" s="1"/>
  <c r="E100" i="14"/>
  <c r="F100" i="14" s="1"/>
  <c r="E101" i="14"/>
  <c r="F101" i="14" s="1"/>
  <c r="J108" i="7"/>
  <c r="J109" i="7"/>
  <c r="J110" i="7"/>
  <c r="J111" i="7"/>
  <c r="J112" i="7"/>
  <c r="J113" i="7"/>
  <c r="J114" i="7"/>
  <c r="J115" i="7"/>
  <c r="J116" i="7"/>
  <c r="J117" i="7"/>
  <c r="I96" i="14"/>
  <c r="I112" i="7" s="1"/>
  <c r="I97" i="14"/>
  <c r="I113" i="7" s="1"/>
  <c r="I98" i="14"/>
  <c r="I114" i="7" s="1"/>
  <c r="I99" i="14"/>
  <c r="I115" i="7" s="1"/>
  <c r="I100" i="14"/>
  <c r="I116" i="7" s="1"/>
  <c r="I101" i="14"/>
  <c r="I117" i="7" s="1"/>
  <c r="I95" i="14"/>
  <c r="I111" i="7" s="1"/>
  <c r="H95" i="14"/>
  <c r="H96" i="14"/>
  <c r="H97" i="14"/>
  <c r="H98" i="14"/>
  <c r="H99" i="14"/>
  <c r="H100" i="14"/>
  <c r="H101" i="14"/>
  <c r="I94" i="14"/>
  <c r="I110" i="7" s="1"/>
  <c r="H94" i="14"/>
  <c r="E94" i="14"/>
  <c r="H110" i="7" s="1"/>
  <c r="I93" i="14"/>
  <c r="I109" i="7" s="1"/>
  <c r="H93" i="14"/>
  <c r="E93" i="14"/>
  <c r="H109" i="7" s="1"/>
  <c r="I92" i="14"/>
  <c r="L92" i="14" s="1"/>
  <c r="H92" i="14"/>
  <c r="E92" i="14"/>
  <c r="H108" i="7" s="1"/>
  <c r="D57" i="1"/>
  <c r="D56" i="1"/>
  <c r="D55" i="1"/>
  <c r="D54" i="1"/>
  <c r="J104" i="7"/>
  <c r="J105" i="7"/>
  <c r="J106" i="7"/>
  <c r="J107" i="7"/>
  <c r="I88" i="14"/>
  <c r="I104" i="7" s="1"/>
  <c r="I89" i="14"/>
  <c r="I105" i="7" s="1"/>
  <c r="I90" i="14"/>
  <c r="I106" i="7" s="1"/>
  <c r="I91" i="14"/>
  <c r="I107" i="7" s="1"/>
  <c r="I84" i="14"/>
  <c r="L84" i="14" s="1"/>
  <c r="I85" i="14"/>
  <c r="L85" i="14" s="1"/>
  <c r="I86" i="14"/>
  <c r="L86" i="14" s="1"/>
  <c r="I87" i="14"/>
  <c r="I103" i="7" s="1"/>
  <c r="H88" i="14"/>
  <c r="H89" i="14"/>
  <c r="H90" i="14"/>
  <c r="H91" i="14"/>
  <c r="E91" i="14"/>
  <c r="F91" i="14" s="1"/>
  <c r="E90" i="14"/>
  <c r="H106" i="7" s="1"/>
  <c r="E89" i="14"/>
  <c r="H105" i="7" s="1"/>
  <c r="E88" i="14"/>
  <c r="F88" i="14" s="1"/>
  <c r="E72" i="14"/>
  <c r="F72" i="14" s="1"/>
  <c r="E73" i="14"/>
  <c r="F73" i="14" s="1"/>
  <c r="E81" i="14"/>
  <c r="F81" i="14" s="1"/>
  <c r="E82" i="14"/>
  <c r="F82" i="14" s="1"/>
  <c r="E83" i="14"/>
  <c r="H99" i="7" s="1"/>
  <c r="E84" i="14"/>
  <c r="H100" i="7" s="1"/>
  <c r="H101" i="7"/>
  <c r="J101" i="7"/>
  <c r="H102" i="7"/>
  <c r="J102" i="7"/>
  <c r="H103" i="7"/>
  <c r="J103" i="7"/>
  <c r="F85" i="14"/>
  <c r="F86" i="14"/>
  <c r="F87" i="14"/>
  <c r="H85" i="14"/>
  <c r="H86" i="14"/>
  <c r="H87" i="14"/>
  <c r="D53" i="1"/>
  <c r="D52" i="1"/>
  <c r="J97" i="7"/>
  <c r="J98" i="7"/>
  <c r="J99" i="7"/>
  <c r="J100" i="7"/>
  <c r="H84" i="14"/>
  <c r="H83" i="14"/>
  <c r="I83" i="14"/>
  <c r="I80" i="14"/>
  <c r="L80" i="14" s="1"/>
  <c r="I81" i="14"/>
  <c r="L81" i="14" s="1"/>
  <c r="I82" i="14"/>
  <c r="L82" i="14" s="1"/>
  <c r="H82" i="14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I77" i="14"/>
  <c r="I93" i="7" s="1"/>
  <c r="K77" i="14"/>
  <c r="J93" i="7" s="1"/>
  <c r="H77" i="14"/>
  <c r="F77" i="14"/>
  <c r="I76" i="14"/>
  <c r="L76" i="14" s="1"/>
  <c r="K76" i="14"/>
  <c r="J92" i="7" s="1"/>
  <c r="H76" i="14"/>
  <c r="F76" i="14"/>
  <c r="I75" i="14"/>
  <c r="L75" i="14" s="1"/>
  <c r="K75" i="14"/>
  <c r="J91" i="7" s="1"/>
  <c r="H75" i="14"/>
  <c r="F75" i="14"/>
  <c r="I74" i="14"/>
  <c r="L74" i="14" s="1"/>
  <c r="K74" i="14"/>
  <c r="J90" i="7" s="1"/>
  <c r="H74" i="14"/>
  <c r="F74" i="14"/>
  <c r="I73" i="14"/>
  <c r="I89" i="7" s="1"/>
  <c r="K73" i="14"/>
  <c r="J89" i="7" s="1"/>
  <c r="H73" i="14"/>
  <c r="I72" i="14"/>
  <c r="I88" i="7" s="1"/>
  <c r="K72" i="14"/>
  <c r="J88" i="7" s="1"/>
  <c r="H72" i="14"/>
  <c r="N71" i="14"/>
  <c r="I71" i="14"/>
  <c r="L71" i="14" s="1"/>
  <c r="K71" i="14"/>
  <c r="J87" i="7" s="1"/>
  <c r="H71" i="14"/>
  <c r="E71" i="14"/>
  <c r="F71" i="14" s="1"/>
  <c r="N70" i="14"/>
  <c r="I70" i="14"/>
  <c r="L70" i="14" s="1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I68" i="14"/>
  <c r="I84" i="7" s="1"/>
  <c r="K68" i="14"/>
  <c r="J84" i="7" s="1"/>
  <c r="H68" i="14"/>
  <c r="E68" i="14"/>
  <c r="H84" i="7" s="1"/>
  <c r="N67" i="14"/>
  <c r="I67" i="14"/>
  <c r="L67" i="14" s="1"/>
  <c r="K67" i="14"/>
  <c r="J83" i="7" s="1"/>
  <c r="H67" i="14"/>
  <c r="E67" i="14"/>
  <c r="F67" i="14" s="1"/>
  <c r="N66" i="14"/>
  <c r="I66" i="14"/>
  <c r="I82" i="7" s="1"/>
  <c r="K66" i="14"/>
  <c r="J82" i="7" s="1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I63" i="14"/>
  <c r="I79" i="7" s="1"/>
  <c r="K63" i="14"/>
  <c r="J79" i="7" s="1"/>
  <c r="H63" i="14"/>
  <c r="F63" i="14"/>
  <c r="I62" i="14"/>
  <c r="L62" i="14" s="1"/>
  <c r="K62" i="14"/>
  <c r="J78" i="7" s="1"/>
  <c r="H62" i="14"/>
  <c r="F62" i="14"/>
  <c r="I61" i="14"/>
  <c r="I77" i="7" s="1"/>
  <c r="K61" i="14"/>
  <c r="J77" i="7" s="1"/>
  <c r="H61" i="14"/>
  <c r="F61" i="14"/>
  <c r="I60" i="14"/>
  <c r="I76" i="7" s="1"/>
  <c r="K60" i="14"/>
  <c r="J76" i="7" s="1"/>
  <c r="H60" i="14"/>
  <c r="F60" i="14"/>
  <c r="I59" i="14"/>
  <c r="I75" i="7" s="1"/>
  <c r="K59" i="14"/>
  <c r="J75" i="7" s="1"/>
  <c r="H59" i="14"/>
  <c r="E59" i="14"/>
  <c r="H75" i="7" s="1"/>
  <c r="I58" i="14"/>
  <c r="L58" i="14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I56" i="14"/>
  <c r="I72" i="7" s="1"/>
  <c r="K56" i="14"/>
  <c r="J72" i="7"/>
  <c r="H56" i="14"/>
  <c r="E56" i="14"/>
  <c r="H72" i="7" s="1"/>
  <c r="N55" i="14"/>
  <c r="I55" i="14"/>
  <c r="I71" i="7" s="1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I52" i="14"/>
  <c r="I68" i="7" s="1"/>
  <c r="K52" i="14"/>
  <c r="J68" i="7" s="1"/>
  <c r="H52" i="14"/>
  <c r="E52" i="14"/>
  <c r="H68" i="7" s="1"/>
  <c r="G31" i="5"/>
  <c r="H36" i="14"/>
  <c r="G32" i="5"/>
  <c r="H31" i="14"/>
  <c r="G33" i="5"/>
  <c r="H33" i="14"/>
  <c r="F42" i="1"/>
  <c r="F39" i="1"/>
  <c r="H40" i="7"/>
  <c r="F26" i="1"/>
  <c r="I26" i="14"/>
  <c r="I40" i="7" s="1"/>
  <c r="D26" i="1"/>
  <c r="F26" i="14"/>
  <c r="G36" i="5"/>
  <c r="H50" i="14" s="1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/>
  <c r="L24" i="14" s="1"/>
  <c r="D24" i="1"/>
  <c r="F9" i="1"/>
  <c r="I9" i="14"/>
  <c r="I9" i="7" s="1"/>
  <c r="F10" i="1"/>
  <c r="I10" i="14"/>
  <c r="L10" i="14" s="1"/>
  <c r="D9" i="1"/>
  <c r="D10" i="1"/>
  <c r="H42" i="7"/>
  <c r="H37" i="7"/>
  <c r="H41" i="7"/>
  <c r="H36" i="7"/>
  <c r="H35" i="7"/>
  <c r="F24" i="14"/>
  <c r="H38" i="7"/>
  <c r="F38" i="1"/>
  <c r="D38" i="1"/>
  <c r="E8" i="14"/>
  <c r="H67" i="7" s="1"/>
  <c r="F32" i="1"/>
  <c r="F33" i="1"/>
  <c r="F34" i="1"/>
  <c r="F36" i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I32" i="14"/>
  <c r="L32" i="14" s="1"/>
  <c r="G20" i="5"/>
  <c r="H30" i="14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D22" i="1"/>
  <c r="F22" i="1"/>
  <c r="D21" i="1"/>
  <c r="F21" i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/>
  <c r="L4" i="14" s="1"/>
  <c r="F5" i="1"/>
  <c r="F6" i="1"/>
  <c r="F11" i="1"/>
  <c r="I11" i="14"/>
  <c r="L11" i="14" s="1"/>
  <c r="F12" i="1"/>
  <c r="I12" i="14"/>
  <c r="L12" i="14" s="1"/>
  <c r="F13" i="1"/>
  <c r="I13" i="14"/>
  <c r="I27" i="7" s="1"/>
  <c r="F16" i="1"/>
  <c r="I49" i="14"/>
  <c r="I63" i="7" s="1"/>
  <c r="F15" i="1"/>
  <c r="I15" i="14"/>
  <c r="L15" i="14" s="1"/>
  <c r="I16" i="14"/>
  <c r="I30" i="7" s="1"/>
  <c r="F17" i="1"/>
  <c r="I17" i="14"/>
  <c r="I31" i="7" s="1"/>
  <c r="F18" i="1"/>
  <c r="F19" i="1"/>
  <c r="I19" i="14"/>
  <c r="L19" i="14" s="1"/>
  <c r="F20" i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/>
  <c r="G13" i="5"/>
  <c r="H35" i="14"/>
  <c r="G15" i="5"/>
  <c r="H41" i="14"/>
  <c r="G5" i="5"/>
  <c r="G7" i="5"/>
  <c r="H20" i="14"/>
  <c r="H19" i="14"/>
  <c r="G14" i="5"/>
  <c r="G12" i="5"/>
  <c r="G2" i="5"/>
  <c r="G9" i="5"/>
  <c r="H22" i="14" s="1"/>
  <c r="G10" i="5"/>
  <c r="I45" i="14"/>
  <c r="I59" i="7" s="1"/>
  <c r="J50" i="7"/>
  <c r="J55" i="7"/>
  <c r="J61" i="7"/>
  <c r="I43" i="14"/>
  <c r="L43" i="14" s="1"/>
  <c r="I39" i="14"/>
  <c r="L39" i="14" s="1"/>
  <c r="I20" i="14"/>
  <c r="L20" i="14" s="1"/>
  <c r="I41" i="14"/>
  <c r="L41" i="14" s="1"/>
  <c r="I8" i="14"/>
  <c r="I8" i="7" s="1"/>
  <c r="I2" i="14"/>
  <c r="I6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J5" i="7"/>
  <c r="I23" i="14"/>
  <c r="I37" i="7" s="1"/>
  <c r="I18" i="14"/>
  <c r="L18" i="14" s="1"/>
  <c r="I38" i="14"/>
  <c r="I52" i="7" s="1"/>
  <c r="I36" i="14"/>
  <c r="L36" i="14" s="1"/>
  <c r="I14" i="14"/>
  <c r="L14" i="14" s="1"/>
  <c r="I5" i="14"/>
  <c r="L5" i="14" s="1"/>
  <c r="F27" i="14"/>
  <c r="I50" i="14"/>
  <c r="I64" i="7" s="1"/>
  <c r="I44" i="14"/>
  <c r="L44" i="14" s="1"/>
  <c r="I37" i="14"/>
  <c r="I51" i="7" s="1"/>
  <c r="I48" i="14"/>
  <c r="I62" i="7" s="1"/>
  <c r="I42" i="14"/>
  <c r="L42" i="14" s="1"/>
  <c r="I34" i="14"/>
  <c r="L34" i="14" s="1"/>
  <c r="I46" i="14"/>
  <c r="I60" i="7" s="1"/>
  <c r="I40" i="14"/>
  <c r="L40" i="14" s="1"/>
  <c r="I33" i="14"/>
  <c r="L33" i="14" s="1"/>
  <c r="I6" i="14"/>
  <c r="L6" i="14" s="1"/>
  <c r="I3" i="14"/>
  <c r="L3" i="14" s="1"/>
  <c r="I22" i="14"/>
  <c r="I36" i="7" s="1"/>
  <c r="I21" i="14"/>
  <c r="L21" i="14" s="1"/>
  <c r="I49" i="7"/>
  <c r="L35" i="14"/>
  <c r="L56" i="14"/>
  <c r="J67" i="7"/>
  <c r="L72" i="14"/>
  <c r="I83" i="7"/>
  <c r="F52" i="14"/>
  <c r="J19" i="7"/>
  <c r="J21" i="7"/>
  <c r="F31" i="14"/>
  <c r="J16" i="7"/>
  <c r="L30" i="14"/>
  <c r="I99" i="7"/>
  <c r="L83" i="14"/>
  <c r="H53" i="7"/>
  <c r="F16" i="14"/>
  <c r="F56" i="14"/>
  <c r="L17" i="14"/>
  <c r="I85" i="7"/>
  <c r="I32" i="7" l="1"/>
  <c r="F40" i="14"/>
  <c r="I46" i="7"/>
  <c r="L57" i="14"/>
  <c r="L46" i="14"/>
  <c r="H73" i="7"/>
  <c r="I11" i="7"/>
  <c r="F13" i="14"/>
  <c r="L91" i="14"/>
  <c r="J4" i="7"/>
  <c r="J26" i="7"/>
  <c r="J14" i="7"/>
  <c r="J22" i="7"/>
  <c r="J7" i="7"/>
  <c r="J2" i="7"/>
  <c r="J18" i="7"/>
  <c r="J3" i="7"/>
  <c r="L16" i="14"/>
  <c r="L9" i="14"/>
  <c r="L66" i="14"/>
  <c r="I97" i="7"/>
  <c r="L59" i="14"/>
  <c r="L55" i="14"/>
  <c r="L61" i="14"/>
  <c r="L31" i="14"/>
  <c r="H115" i="7"/>
  <c r="F41" i="14"/>
  <c r="I34" i="7"/>
  <c r="H66" i="7"/>
  <c r="I56" i="7"/>
  <c r="I29" i="7"/>
  <c r="L13" i="14"/>
  <c r="I12" i="7"/>
  <c r="J12" i="7"/>
  <c r="L94" i="14"/>
  <c r="I35" i="7"/>
  <c r="L22" i="14"/>
  <c r="L73" i="14"/>
  <c r="I98" i="7"/>
  <c r="I87" i="7"/>
  <c r="H97" i="7"/>
  <c r="I54" i="7"/>
  <c r="L48" i="14"/>
  <c r="H65" i="7"/>
  <c r="L52" i="14"/>
  <c r="L95" i="14"/>
  <c r="I96" i="7"/>
  <c r="I55" i="7"/>
  <c r="F2" i="14"/>
  <c r="I38" i="7"/>
  <c r="F37" i="14"/>
  <c r="H11" i="7"/>
  <c r="L100" i="14"/>
  <c r="H26" i="7"/>
  <c r="F11" i="14"/>
  <c r="I5" i="7"/>
  <c r="I7" i="7"/>
  <c r="I42" i="7"/>
  <c r="H69" i="7"/>
  <c r="H23" i="7"/>
  <c r="L26" i="14"/>
  <c r="K35" i="7" a="1"/>
  <c r="K35" i="7" s="1"/>
  <c r="I26" i="7"/>
  <c r="H74" i="7"/>
  <c r="L68" i="14"/>
  <c r="L63" i="14"/>
  <c r="I91" i="7"/>
  <c r="L79" i="14"/>
  <c r="I94" i="7"/>
  <c r="L89" i="14"/>
  <c r="F96" i="14"/>
  <c r="F83" i="14"/>
  <c r="H8" i="7"/>
  <c r="H14" i="7"/>
  <c r="F8" i="14"/>
  <c r="H18" i="7"/>
  <c r="I66" i="7"/>
  <c r="F55" i="14"/>
  <c r="L65" i="14"/>
  <c r="I100" i="7"/>
  <c r="L96" i="14"/>
  <c r="L15" i="7" a="1"/>
  <c r="L15" i="7" s="1"/>
  <c r="K9" i="7" a="1"/>
  <c r="K9" i="7" s="1"/>
  <c r="I21" i="7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H117" i="7"/>
  <c r="K45" i="7" a="1"/>
  <c r="K45" i="7" s="1"/>
  <c r="L97" i="14"/>
  <c r="K33" i="7" a="1"/>
  <c r="K33" i="7" s="1"/>
  <c r="H21" i="7"/>
  <c r="I61" i="7"/>
  <c r="I57" i="7"/>
  <c r="H61" i="7"/>
  <c r="J25" i="7"/>
  <c r="J24" i="7"/>
  <c r="L45" i="14"/>
  <c r="I4" i="7"/>
  <c r="I17" i="7"/>
  <c r="L88" i="14"/>
  <c r="L98" i="14"/>
  <c r="L93" i="14"/>
  <c r="I25" i="7"/>
  <c r="I58" i="7"/>
  <c r="L16" i="7" a="1"/>
  <c r="L16" i="7" s="1"/>
  <c r="H44" i="7"/>
  <c r="H116" i="7"/>
  <c r="F84" i="14"/>
  <c r="F17" i="14"/>
  <c r="H47" i="7"/>
  <c r="H3" i="7"/>
  <c r="H19" i="7"/>
  <c r="H5" i="7"/>
  <c r="H87" i="7"/>
  <c r="H9" i="7"/>
  <c r="H25" i="7"/>
  <c r="F18" i="14"/>
  <c r="H88" i="7"/>
  <c r="F95" i="14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I20" i="7"/>
  <c r="H34" i="7"/>
  <c r="H62" i="7"/>
  <c r="J15" i="7"/>
  <c r="I23" i="7"/>
  <c r="H83" i="7"/>
  <c r="J13" i="7"/>
  <c r="L77" i="14"/>
  <c r="I101" i="7"/>
  <c r="L90" i="14"/>
  <c r="H113" i="7"/>
  <c r="K37" i="7" a="1"/>
  <c r="K37" i="7" s="1"/>
  <c r="J17" i="7"/>
  <c r="L50" i="14"/>
  <c r="I74" i="7"/>
  <c r="I86" i="7"/>
  <c r="H13" i="7"/>
  <c r="H89" i="7"/>
  <c r="L23" i="14"/>
  <c r="H104" i="7"/>
  <c r="F93" i="14"/>
  <c r="I108" i="7"/>
  <c r="I2" i="7"/>
  <c r="F35" i="14"/>
  <c r="I53" i="7"/>
  <c r="I3" i="7"/>
  <c r="H16" i="7"/>
  <c r="F36" i="14"/>
  <c r="J20" i="7"/>
  <c r="J23" i="7"/>
  <c r="I70" i="7"/>
  <c r="H70" i="7"/>
  <c r="H63" i="7"/>
  <c r="I47" i="7"/>
  <c r="F89" i="14"/>
  <c r="L87" i="14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F90" i="14"/>
  <c r="F92" i="14"/>
  <c r="K11" i="7" a="1"/>
  <c r="K11" i="7" s="1"/>
  <c r="I15" i="7"/>
  <c r="I16" i="7"/>
  <c r="I19" i="7"/>
  <c r="I67" i="7"/>
  <c r="K18" i="7" a="1"/>
  <c r="K18" i="7" s="1"/>
  <c r="I102" i="7"/>
  <c r="F94" i="14"/>
  <c r="K40" i="7" a="1"/>
  <c r="K40" i="7" s="1"/>
  <c r="K38" i="7" a="1"/>
  <c r="K38" i="7" s="1"/>
  <c r="F68" i="14"/>
  <c r="I78" i="7"/>
  <c r="F70" i="14"/>
  <c r="L99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H98" i="7"/>
  <c r="H107" i="7"/>
  <c r="F98" i="14"/>
  <c r="K41" i="7" a="1"/>
  <c r="K41" i="7" s="1"/>
  <c r="H85" i="7"/>
  <c r="I50" i="7"/>
  <c r="I33" i="7"/>
  <c r="L60" i="14"/>
  <c r="L101" i="14"/>
  <c r="K12" i="7" a="1"/>
  <c r="K12" i="7" s="1"/>
  <c r="K34" i="7" a="1"/>
  <c r="K34" i="7" s="1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<sst xmlns="http://schemas.openxmlformats.org/spreadsheetml/2006/main" count="706" uniqueCount="461">
  <si>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</si>
  <si>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</si>
  <si>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</si>
  <si>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</si>
  <si>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</si>
  <si>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</si>
  <si>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</si>
  <si>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</si>
  <si>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</si>
  <si>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</si>
  <si>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</si>
  <si>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</si>
  <si>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</si>
  <si>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</si>
  <si>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</si>
  <si>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</si>
  <si>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</si>
  <si>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</si>
  <si>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</si>
  <si>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</si>
  <si>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</si>
  <si>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</si>
  <si>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</si>
  <si>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</si>
  <si>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</si>
  <si>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</si>
  <si>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</si>
  <si>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</si>
  <si>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</si>
  <si>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</si>
  <si>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</si>
  <si>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</si>
  <si>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</si>
  <si>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</si>
  <si>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</si>
  <si>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</si>
  <si>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</si>
  <si>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</si>
  <si>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</si>
  <si>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</si>
  <si>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</si>
  <si>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</si>
  <si>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</si>
  <si>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</si>
  <si>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</si>
  <si>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</si>
  <si>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</si>
  <si>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</si>
  <si>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</si>
  <si>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</si>
  <si>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</si>
  <si>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</si>
  <si>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</si>
  <si>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</si>
  <si>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</si>
  <si>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</si>
  <si>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</si>
  <si>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</si>
  <si>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</si>
  <si>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</si>
  <si>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</si>
  <si>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</si>
  <si>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</si>
  <si>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</si>
  <si>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</si>
  <si>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</si>
  <si>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</si>
  <si>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</si>
  <si>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</si>
  <si>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</si>
  <si>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</si>
  <si>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</si>
  <si>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</si>
  <si>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</si>
  <si>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</si>
  <si>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</si>
  <si>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</si>
  <si>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</si>
  <si>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</si>
  <si>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</si>
  <si>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</si>
  <si>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</si>
  <si>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</si>
  <si>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</si>
  <si>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</si>
  <si>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</si>
  <si>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</si>
  <si>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</si>
  <si>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</si>
  <si>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</si>
  <si>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</si>
  <si>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</si>
  <si>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</si>
  <si>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</si>
  <si>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</si>
  <si>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</si>
  <si>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</si>
  <si>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</si>
  <si>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</si>
  <si>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</si>
  <si>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</si>
  <si>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</si>
  <si>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</si>
  <si>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</si>
  <si>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</si>
  <si>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</si>
  <si>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</si>
  <si>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</si>
  <si>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</si>
  <si>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</si>
  <si>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</si>
  <si>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</si>
  <si>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</si>
  <si>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</si>
  <si>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</si>
  <si>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</si>
  <si>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</si>
  <si>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</si>
  <si>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</si>
  <si>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</si>
  <si>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</si>
  <si>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</si>
  <si>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</si>
  <si>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</si>
  <si>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</si>
  <si>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</si>
  <si>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</si>
  <si>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</si>
  <si>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</si>
  <si>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</si>
  <si>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</si>
  <si>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</si>
  <si>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</si>
  <si>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</si>
  <si>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</si>
  <si>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</si>
  <si>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</si>
  <si>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</si>
  <si>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</si>
  <si>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</si>
  <si>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</si>
  <si>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</si>
  <si>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</si>
  <si>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</si>
  <si>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</si>
  <si>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</si>
  <si>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</si>
  <si>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</si>
  <si>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</si>
  <si>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</si>
  <si>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</si>
  <si>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</si>
  <si>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</si>
  <si>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</si>
  <si>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</si>
  <si>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</si>
  <si>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</si>
  <si>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</si>
  <si>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</si>
  <si>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</si>
  <si>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</si>
  <si>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</si>
  <si>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</si>
  <si>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</si>
  <si>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</si>
  <si>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</si>
  <si>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</si>
  <si>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</si>
  <si>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</si>
  <si>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</si>
  <si>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</si>
  <si>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</si>
  <si>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</si>
  <si>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</si>
  <si>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</si>
  <si>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</si>
  <si>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</si>
  <si>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</si>
  <si>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</si>
  <si>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</si>
  <si>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</si>
  <si>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</si>
  <si>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</si>
  <si>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</si>
  <si>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</si>
  <si>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</si>
  <si>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</si>
  <si>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</si>
  <si>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</si>
  <si>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</si>
  <si>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</si>
  <si>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</si>
  <si>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</si>
  <si>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</si>
  <si>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</si>
  <si>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</si>
  <si>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</si>
  <si>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</si>
  <si>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</si>
  <si>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</si>
  <si>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</si>
  <si>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</si>
  <si>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</si>
  <si>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</si>
  <si>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</si>
  <si>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</si>
  <si>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</si>
  <si>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</si>
  <si>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</si>
  <si>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</si>
  <si>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</si>
  <si>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</si>
  <si>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</si>
  <si>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</si>
  <si>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</si>
  <si>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</si>
  <si>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</si>
  <si>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</si>
  <si>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</si>
  <si>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</si>
  <si>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</si>
  <si>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</si>
  <si>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</si>
  <si>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</si>
  <si>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</si>
  <si>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</si>
  <si>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</si>
  <si>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</si>
  <si>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</si>
  <si>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</si>
  <si>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</si>
  <si>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</si>
  <si>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</si>
  <si>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</si>
  <si>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</si>
  <si>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</si>
  <si>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</si>
  <si>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</si>
  <si>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</si>
  <si>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</si>
  <si>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</si>
  <si>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</si>
  <si>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</si>
  <si>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</si>
  <si>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</si>
  <si>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</si>
  <si>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</si>
  <si>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</si>
  <si>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</si>
  <si>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</si>
  <si>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</si>
  <si>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</si>
  <si>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</si>
  <si>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</si>
  <si>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</si>
  <si>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</si>
  <si>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</si>
  <si>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</si>
  <si>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</si>
  <si>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</si>
  <si>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</si>
  <si>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</si>
  <si>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</si>
  <si>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</si>
  <si>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</si>
  <si>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</si>
  <si>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</si>
  <si>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</si>
  <si>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</si>
  <si>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</si>
  <si>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</si>
  <si>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</si>
  <si>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</si>
  <si>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</si>
  <si>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</si>
  <si>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</si>
  <si>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</si>
  <si>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</si>
  <si>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</si>
  <si>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</si>
  <si>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</si>
  <si>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</si>
  <si>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</si>
  <si>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</si>
  <si>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</si>
  <si>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</si>
  <si>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</si>
  <si>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</si>
  <si>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</si>
  <si>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</si>
  <si>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</si>
  <si>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</si>
  <si>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</si>
  <si>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</si>
  <si>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</si>
  <si>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</si>
  <si>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</si>
  <si>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</si>
  <si>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</si>
  <si>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</si>
  <si>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</si>
  <si>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</si>
  <si>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</si>
  <si>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</si>
  <si>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</si>
  <si>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</si>
  <si>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</si>
  <si>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</si>
  <si>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</si>
  <si>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</si>
  <si>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</si>
  <si>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</si>
  <si>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</si>
  <si>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</si>
  <si>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</si>
  <si>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</si>
  <si>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</si>
  <si>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</si>
  <si>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</si>
  <si>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</si>
  <si>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</si>
  <si>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</si>
  <si>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</si>
  <si>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</si>
  <si>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</si>
  <si>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</si>
  <si>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</si>
  <si>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</si>
  <si>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</si>
  <si>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</si>
  <si>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</si>
  <si>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</si>
  <si>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</si>
  <si>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</si>
  <si>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</si>
  <si>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</si>
  <si>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</si>
  <si>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</si>
  <si>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</si>
  <si>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</si>
  <si>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</si>
  <si>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</si>
  <si>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</si>
  <si>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</si>
  <si>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</si>
  <si>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</si>
  <si>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</si>
  <si>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</si>
  <si>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</si>
  <si>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</si>
  <si>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</si>
  <si>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</si>
  <si>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</si>
  <si>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</si>
  <si>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</si>
  <si>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</si>
  <si>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</si>
  <si>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</si>
  <si>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</si>
  <si>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</si>
  <si>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</si>
  <si>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</si>
  <si>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</si>
  <si>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</si>
  <si>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</si>
  <si>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</si>
  <si>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</si>
  <si>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</si>
  <si>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</si>
  <si>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</si>
  <si>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</si>
  <si>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</si>
  <si>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</si>
  <si>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</si>
  <si>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</si>
  <si>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</si>
  <si>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</si>
  <si>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</si>
  <si>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</si>
  <si>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</si>
  <si>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</si>
  <si>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</si>
  <si>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</si>
  <si>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</si>
  <si>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</si>
  <si>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</si>
  <si>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</si>
  <si>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</si>
  <si>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</si>
  <si>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</si>
  <si>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</si>
  <si>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</si>
  <si>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</si>
  <si>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</si>
  <si>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</si>
  <si>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</si>
  <si>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</si>
  <si>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</si>
  <si>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</si>
  <si>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</si>
  <si>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</si>
  <si>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</si>
  <si>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</si>
  <si>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</si>
  <si>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</si>
  <si>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</si>
  <si>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</si>
  <si>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</si>
  <si>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</si>
  <si>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</si>
  <si>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</si>
  <si>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</si>
  <si>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</si>
  <si>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</si>
  <si>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</si>
  <si>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</si>
  <si>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</si>
  <si>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</si>
  <si>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</si>
  <si>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110,</t>
  </si>
  <si>
    <t>111,</t>
  </si>
  <si>
    <t>"prop_web_chip_huafei",10,0.02,0.05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</si>
  <si>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</si>
  <si>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</si>
  <si>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</si>
  <si>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</si>
  <si>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</si>
  <si>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</si>
  <si>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</si>
  <si>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</si>
  <si>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</si>
  <si>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</si>
  <si>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</si>
  <si>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</si>
  <si>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</si>
  <si>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</si>
  <si>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121,</t>
  </si>
  <si>
    <t>122,</t>
  </si>
  <si>
    <t>123,</t>
  </si>
  <si>
    <t>124,</t>
  </si>
  <si>
    <t>125,</t>
  </si>
  <si>
    <t>126,</t>
  </si>
  <si>
    <t>127,</t>
  </si>
  <si>
    <t>128,</t>
  </si>
  <si>
    <t>129,</t>
  </si>
  <si>
    <t>130,</t>
  </si>
  <si>
    <t>131,</t>
  </si>
  <si>
    <t>132,</t>
  </si>
  <si>
    <t>133,</t>
  </si>
  <si>
    <t>134,</t>
  </si>
  <si>
    <t>135,</t>
  </si>
  <si>
    <t>136,</t>
  </si>
  <si>
    <t>137,</t>
  </si>
  <si>
    <t>138,</t>
  </si>
  <si>
    <t>139,</t>
  </si>
  <si>
    <t>140,</t>
  </si>
  <si>
    <t>141,</t>
  </si>
  <si>
    <t>142,</t>
  </si>
  <si>
    <t>143,</t>
  </si>
  <si>
    <t>144,</t>
  </si>
  <si>
    <t>50,100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</si>
</sst>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80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4" fillId="14" borderId="0" xfId="0" applyFont="1" applyFill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  <xf numFmtId="0" fontId="0" fillId="18" borderId="0" xfId="0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0" fillId="18" borderId="0" xfId="0" applyFill="1"/>
    <xf numFmtId="49" fontId="0" fillId="1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61"/>
  <sheetViews>
    <sheetView workbookViewId="0">
      <pane ySplit="1" topLeftCell="A138" activePane="bottomLeft" state="frozen"/>
      <selection pane="bottomLeft" activeCell="B158" sqref="B158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27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27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10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317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318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319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320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321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322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331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332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333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334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335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336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54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29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29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29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29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29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29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29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29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29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29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29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59" t="s">
        <v>370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59" t="s">
        <v>374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59" t="s">
        <v>375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59" t="s">
        <v>371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59" t="s">
        <v>372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59" t="s">
        <v>373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59" t="s">
        <v>376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59" t="s">
        <v>377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59" t="s">
        <v>378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59" t="s">
        <v>379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  <row r="118" spans="1:17" s="62" customFormat="1" ht="15" customHeight="1" x14ac:dyDescent="0.2">
      <c r="A118" s="62">
        <v>117</v>
      </c>
      <c r="B118" s="62">
        <v>1</v>
      </c>
      <c r="C118" s="62" t="s">
        <v>404</v>
      </c>
      <c r="H118" s="62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30</v>
      </c>
      <c r="I118" s="62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30</v>
      </c>
      <c r="J118" s="61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63">
        <v>101</v>
      </c>
    </row>
    <row r="119" spans="1:17" s="62" customFormat="1" x14ac:dyDescent="0.2">
      <c r="A119" s="62">
        <v>118</v>
      </c>
      <c r="B119" s="62">
        <v>1</v>
      </c>
      <c r="C119" s="62" t="s">
        <v>405</v>
      </c>
      <c r="H119" s="62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35</v>
      </c>
      <c r="I119" s="62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35</v>
      </c>
      <c r="J119" s="61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63">
        <v>102</v>
      </c>
    </row>
    <row r="120" spans="1:17" s="62" customFormat="1" x14ac:dyDescent="0.2">
      <c r="A120" s="62">
        <v>119</v>
      </c>
      <c r="B120" s="62">
        <v>1</v>
      </c>
      <c r="C120" s="62" t="s">
        <v>406</v>
      </c>
      <c r="H120" s="62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40</v>
      </c>
      <c r="I120" s="62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40</v>
      </c>
      <c r="J120" s="61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63">
        <v>103</v>
      </c>
    </row>
    <row r="121" spans="1:17" s="62" customFormat="1" x14ac:dyDescent="0.2">
      <c r="A121" s="62">
        <v>120</v>
      </c>
      <c r="B121" s="62">
        <v>1</v>
      </c>
      <c r="C121" s="62" t="s">
        <v>407</v>
      </c>
      <c r="H121" s="62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45</v>
      </c>
      <c r="I121" s="62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45</v>
      </c>
      <c r="J121" s="61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63">
        <v>104</v>
      </c>
    </row>
    <row r="122" spans="1:17" s="62" customFormat="1" x14ac:dyDescent="0.2">
      <c r="A122" s="62">
        <v>121</v>
      </c>
      <c r="B122" s="62">
        <v>1</v>
      </c>
      <c r="C122" s="62" t="s">
        <v>408</v>
      </c>
      <c r="H122" s="62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50</v>
      </c>
      <c r="I122" s="62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50</v>
      </c>
      <c r="J122" s="61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63">
        <v>105</v>
      </c>
    </row>
    <row r="123" spans="1:17" s="62" customFormat="1" x14ac:dyDescent="0.2">
      <c r="A123" s="62">
        <v>122</v>
      </c>
      <c r="B123" s="62">
        <v>1</v>
      </c>
      <c r="C123" s="62" t="s">
        <v>409</v>
      </c>
      <c r="H123" s="62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70</v>
      </c>
      <c r="I123" s="62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70</v>
      </c>
      <c r="J123" s="61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63">
        <v>106</v>
      </c>
    </row>
    <row r="124" spans="1:17" s="62" customFormat="1" x14ac:dyDescent="0.2">
      <c r="A124" s="62">
        <v>123</v>
      </c>
      <c r="B124" s="62">
        <v>1</v>
      </c>
      <c r="C124" s="62" t="s">
        <v>410</v>
      </c>
      <c r="H124" s="62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75</v>
      </c>
      <c r="I124" s="62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75</v>
      </c>
      <c r="J124" s="61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63">
        <v>107</v>
      </c>
    </row>
    <row r="125" spans="1:17" s="62" customFormat="1" x14ac:dyDescent="0.2">
      <c r="A125" s="62">
        <v>124</v>
      </c>
      <c r="B125" s="62">
        <v>1</v>
      </c>
      <c r="C125" s="62" t="s">
        <v>411</v>
      </c>
      <c r="H125" s="62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150</v>
      </c>
      <c r="I125" s="62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150</v>
      </c>
      <c r="J125" s="61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63">
        <v>108</v>
      </c>
    </row>
    <row r="126" spans="1:17" s="62" customFormat="1" x14ac:dyDescent="0.2">
      <c r="A126" s="62">
        <v>125</v>
      </c>
      <c r="B126" s="62">
        <v>1</v>
      </c>
      <c r="C126" s="62" t="s">
        <v>412</v>
      </c>
      <c r="H126" s="62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250</v>
      </c>
      <c r="I126" s="62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250</v>
      </c>
      <c r="J126" s="61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63">
        <v>109</v>
      </c>
    </row>
    <row r="127" spans="1:17" s="65" customFormat="1" x14ac:dyDescent="0.2">
      <c r="A127" s="65">
        <v>126</v>
      </c>
      <c r="B127" s="65">
        <v>1</v>
      </c>
      <c r="C127" s="65" t="s">
        <v>419</v>
      </c>
      <c r="H127" s="65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75</v>
      </c>
      <c r="I127" s="65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75</v>
      </c>
      <c r="J127" s="67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Q127" s="66">
        <v>110</v>
      </c>
    </row>
    <row r="128" spans="1:17" s="65" customFormat="1" x14ac:dyDescent="0.2">
      <c r="A128" s="65">
        <v>127</v>
      </c>
      <c r="B128" s="65">
        <v>1</v>
      </c>
      <c r="C128" s="65" t="s">
        <v>420</v>
      </c>
      <c r="H128" s="65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65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67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Q128" s="66">
        <v>111</v>
      </c>
    </row>
    <row r="129" spans="1:17" s="74" customFormat="1" x14ac:dyDescent="0.2">
      <c r="A129" s="74">
        <v>128</v>
      </c>
      <c r="B129" s="74">
        <v>1</v>
      </c>
      <c r="C129" s="74" t="s">
        <v>427</v>
      </c>
      <c r="H129" s="74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30</v>
      </c>
      <c r="I129" s="74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30</v>
      </c>
      <c r="J129" s="72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1">
        <v>112</v>
      </c>
    </row>
    <row r="130" spans="1:17" s="74" customFormat="1" x14ac:dyDescent="0.2">
      <c r="A130" s="74">
        <v>129</v>
      </c>
      <c r="B130" s="74">
        <v>1</v>
      </c>
      <c r="C130" s="74" t="s">
        <v>428</v>
      </c>
      <c r="H130" s="74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</v>
      </c>
      <c r="I130" s="74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</v>
      </c>
      <c r="J130" s="72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1">
        <v>113</v>
      </c>
    </row>
    <row r="131" spans="1:17" s="74" customFormat="1" x14ac:dyDescent="0.2">
      <c r="A131" s="74">
        <v>130</v>
      </c>
      <c r="B131" s="74">
        <v>1</v>
      </c>
      <c r="C131" s="74" t="s">
        <v>429</v>
      </c>
      <c r="H131" s="74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40</v>
      </c>
      <c r="I131" s="74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40</v>
      </c>
      <c r="J131" s="72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1">
        <v>114</v>
      </c>
    </row>
    <row r="132" spans="1:17" s="74" customFormat="1" x14ac:dyDescent="0.2">
      <c r="A132" s="74">
        <v>131</v>
      </c>
      <c r="B132" s="74">
        <v>1</v>
      </c>
      <c r="C132" s="74" t="s">
        <v>430</v>
      </c>
      <c r="H132" s="74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45</v>
      </c>
      <c r="I132" s="74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45</v>
      </c>
      <c r="J132" s="72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1">
        <v>115</v>
      </c>
    </row>
    <row r="133" spans="1:17" s="74" customFormat="1" x14ac:dyDescent="0.2">
      <c r="A133" s="74">
        <v>132</v>
      </c>
      <c r="B133" s="74">
        <v>1</v>
      </c>
      <c r="C133" s="74" t="s">
        <v>431</v>
      </c>
      <c r="H133" s="74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50</v>
      </c>
      <c r="I133" s="74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50</v>
      </c>
      <c r="J133" s="72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1">
        <v>116</v>
      </c>
    </row>
    <row r="134" spans="1:17" s="74" customFormat="1" x14ac:dyDescent="0.2">
      <c r="A134" s="74">
        <v>133</v>
      </c>
      <c r="B134" s="74">
        <v>1</v>
      </c>
      <c r="C134" s="74" t="s">
        <v>432</v>
      </c>
      <c r="H134" s="74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70</v>
      </c>
      <c r="I134" s="74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70</v>
      </c>
      <c r="J134" s="72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1">
        <v>117</v>
      </c>
    </row>
    <row r="135" spans="1:17" s="74" customFormat="1" x14ac:dyDescent="0.2">
      <c r="A135" s="74">
        <v>134</v>
      </c>
      <c r="B135" s="74">
        <v>1</v>
      </c>
      <c r="C135" s="74" t="s">
        <v>433</v>
      </c>
      <c r="H135" s="74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75</v>
      </c>
      <c r="I135" s="74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75</v>
      </c>
      <c r="J135" s="72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1">
        <v>118</v>
      </c>
    </row>
    <row r="136" spans="1:17" s="74" customFormat="1" x14ac:dyDescent="0.2">
      <c r="A136" s="74">
        <v>135</v>
      </c>
      <c r="B136" s="74">
        <v>1</v>
      </c>
      <c r="C136" s="74" t="s">
        <v>434</v>
      </c>
      <c r="H136" s="74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150</v>
      </c>
      <c r="I136" s="74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150</v>
      </c>
      <c r="J136" s="72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1">
        <v>119</v>
      </c>
    </row>
    <row r="137" spans="1:17" s="74" customFormat="1" x14ac:dyDescent="0.2">
      <c r="A137" s="74">
        <v>136</v>
      </c>
      <c r="B137" s="74">
        <v>1</v>
      </c>
      <c r="C137" s="74" t="s">
        <v>435</v>
      </c>
      <c r="H137" s="74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250</v>
      </c>
      <c r="I137" s="74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250</v>
      </c>
      <c r="J137" s="72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1">
        <v>120</v>
      </c>
    </row>
    <row r="138" spans="1:17" s="78" customFormat="1" x14ac:dyDescent="0.2">
      <c r="A138" s="78">
        <v>137</v>
      </c>
      <c r="B138" s="78">
        <v>1</v>
      </c>
      <c r="C138" s="78" t="s">
        <v>436</v>
      </c>
      <c r="H138" s="78">
        <f>SUM(_xlfn.IFNA(LOOKUP(Q138,use_fish!A:A,use_fish!E:E),0),_xlfn.IFNA(LOOKUP(R138,use_fish!A:A,use_fish!E:E),0),_xlfn.IFNA(LOOKUP(S138,use_fish!A:A,use_fish!E:E),0),_xlfn.IFNA(LOOKUP(T138,use_fish!A:A,use_fish!E:E),0),_xlfn.IFNA(LOOKUP(U138,use_fish!A:A,use_fish!E:E),0),_xlfn.IFNA(LOOKUP(V138,use_fish!A:A,use_fish!E:E),0),_xlfn.IFNA(LOOKUP(W138,use_fish!A:A,use_fish!E:E),0),)</f>
        <v>65</v>
      </c>
      <c r="I138" s="78">
        <f>SUM(_xlfn.IFNA(LOOKUP(Q138,use_fish!A:A,use_fish!I:I),0),_xlfn.IFNA(LOOKUP(R138,use_fish!A:A,use_fish!I:I),0),_xlfn.IFNA(LOOKUP(S138,use_fish!A:A,use_fish!I:I),0),_xlfn.IFNA(LOOKUP(T138,use_fish!A:A,use_fish!I:I),0),_xlfn.IFNA(LOOKUP(U138,use_fish!A:A,use_fish!I:I),0),_xlfn.IFNA(LOOKUP(V138,use_fish!A:A,use_fish!I:I),0),_xlfn.IFNA(LOOKUP(W138,use_fish!A:A,use_fish!I:I),0),)</f>
        <v>60</v>
      </c>
      <c r="J138" s="76">
        <f>SUM(_xlfn.IFNA(LOOKUP(Q138,use_fish!A:A,use_fish!K:K),0),_xlfn.IFNA(LOOKUP(R138,use_fish!A:A,use_fish!K:K),0),_xlfn.IFNA(LOOKUP(S138,use_fish!A:A,use_fish!K:K),0),_xlfn.IFNA(LOOKUP(T138,use_fish!A:A,use_fish!K:K),0),_xlfn.IFNA(LOOKUP(U138,use_fish!A:A,use_fish!K:K),0),_xlfn.IFNA(LOOKUP(V138,use_fish!A:A,use_fish!K:K),0),_xlfn.IFNA(LOOKUP(W138,use_fish!A:A,use_fish!K:K),0),)</f>
        <v>0</v>
      </c>
      <c r="Q138" s="78">
        <v>121</v>
      </c>
    </row>
    <row r="139" spans="1:17" s="78" customFormat="1" x14ac:dyDescent="0.2">
      <c r="A139" s="78">
        <v>138</v>
      </c>
      <c r="B139" s="78">
        <v>1</v>
      </c>
      <c r="C139" s="78" t="s">
        <v>437</v>
      </c>
      <c r="H139" s="78">
        <f>SUM(_xlfn.IFNA(LOOKUP(Q139,use_fish!A:A,use_fish!E:E),0),_xlfn.IFNA(LOOKUP(R139,use_fish!A:A,use_fish!E:E),0),_xlfn.IFNA(LOOKUP(S139,use_fish!A:A,use_fish!E:E),0),_xlfn.IFNA(LOOKUP(T139,use_fish!A:A,use_fish!E:E),0),_xlfn.IFNA(LOOKUP(U139,use_fish!A:A,use_fish!E:E),0),_xlfn.IFNA(LOOKUP(V139,use_fish!A:A,use_fish!E:E),0),_xlfn.IFNA(LOOKUP(W139,use_fish!A:A,use_fish!E:E),0),)</f>
        <v>65</v>
      </c>
      <c r="I139" s="78">
        <f>SUM(_xlfn.IFNA(LOOKUP(Q139,use_fish!A:A,use_fish!I:I),0),_xlfn.IFNA(LOOKUP(R139,use_fish!A:A,use_fish!I:I),0),_xlfn.IFNA(LOOKUP(S139,use_fish!A:A,use_fish!I:I),0),_xlfn.IFNA(LOOKUP(T139,use_fish!A:A,use_fish!I:I),0),_xlfn.IFNA(LOOKUP(U139,use_fish!A:A,use_fish!I:I),0),_xlfn.IFNA(LOOKUP(V139,use_fish!A:A,use_fish!I:I),0),_xlfn.IFNA(LOOKUP(W139,use_fish!A:A,use_fish!I:I),0),)</f>
        <v>60</v>
      </c>
      <c r="J139" s="76">
        <f>SUM(_xlfn.IFNA(LOOKUP(Q139,use_fish!A:A,use_fish!K:K),0),_xlfn.IFNA(LOOKUP(R139,use_fish!A:A,use_fish!K:K),0),_xlfn.IFNA(LOOKUP(S139,use_fish!A:A,use_fish!K:K),0),_xlfn.IFNA(LOOKUP(T139,use_fish!A:A,use_fish!K:K),0),_xlfn.IFNA(LOOKUP(U139,use_fish!A:A,use_fish!K:K),0),_xlfn.IFNA(LOOKUP(V139,use_fish!A:A,use_fish!K:K),0),_xlfn.IFNA(LOOKUP(W139,use_fish!A:A,use_fish!K:K),0),)</f>
        <v>0</v>
      </c>
      <c r="Q139" s="78">
        <v>122</v>
      </c>
    </row>
    <row r="140" spans="1:17" s="78" customFormat="1" x14ac:dyDescent="0.2">
      <c r="A140" s="78">
        <v>139</v>
      </c>
      <c r="B140" s="78">
        <v>1</v>
      </c>
      <c r="C140" s="78" t="s">
        <v>438</v>
      </c>
      <c r="H140" s="78">
        <f>SUM(_xlfn.IFNA(LOOKUP(Q140,use_fish!A:A,use_fish!E:E),0),_xlfn.IFNA(LOOKUP(R140,use_fish!A:A,use_fish!E:E),0),_xlfn.IFNA(LOOKUP(S140,use_fish!A:A,use_fish!E:E),0),_xlfn.IFNA(LOOKUP(T140,use_fish!A:A,use_fish!E:E),0),_xlfn.IFNA(LOOKUP(U140,use_fish!A:A,use_fish!E:E),0),_xlfn.IFNA(LOOKUP(V140,use_fish!A:A,use_fish!E:E),0),_xlfn.IFNA(LOOKUP(W140,use_fish!A:A,use_fish!E:E),0),)</f>
        <v>65</v>
      </c>
      <c r="I140" s="78">
        <f>SUM(_xlfn.IFNA(LOOKUP(Q140,use_fish!A:A,use_fish!I:I),0),_xlfn.IFNA(LOOKUP(R140,use_fish!A:A,use_fish!I:I),0),_xlfn.IFNA(LOOKUP(S140,use_fish!A:A,use_fish!I:I),0),_xlfn.IFNA(LOOKUP(T140,use_fish!A:A,use_fish!I:I),0),_xlfn.IFNA(LOOKUP(U140,use_fish!A:A,use_fish!I:I),0),_xlfn.IFNA(LOOKUP(V140,use_fish!A:A,use_fish!I:I),0),_xlfn.IFNA(LOOKUP(W140,use_fish!A:A,use_fish!I:I),0),)</f>
        <v>60</v>
      </c>
      <c r="J140" s="76">
        <f>SUM(_xlfn.IFNA(LOOKUP(Q140,use_fish!A:A,use_fish!K:K),0),_xlfn.IFNA(LOOKUP(R140,use_fish!A:A,use_fish!K:K),0),_xlfn.IFNA(LOOKUP(S140,use_fish!A:A,use_fish!K:K),0),_xlfn.IFNA(LOOKUP(T140,use_fish!A:A,use_fish!K:K),0),_xlfn.IFNA(LOOKUP(U140,use_fish!A:A,use_fish!K:K),0),_xlfn.IFNA(LOOKUP(V140,use_fish!A:A,use_fish!K:K),0),_xlfn.IFNA(LOOKUP(W140,use_fish!A:A,use_fish!K:K),0),)</f>
        <v>0</v>
      </c>
      <c r="Q140" s="78">
        <v>123</v>
      </c>
    </row>
    <row r="141" spans="1:17" s="78" customFormat="1" x14ac:dyDescent="0.2">
      <c r="A141" s="78">
        <v>140</v>
      </c>
      <c r="B141" s="78">
        <v>1</v>
      </c>
      <c r="C141" s="78" t="s">
        <v>439</v>
      </c>
      <c r="H141" s="78">
        <f>SUM(_xlfn.IFNA(LOOKUP(Q141,use_fish!A:A,use_fish!E:E),0),_xlfn.IFNA(LOOKUP(R141,use_fish!A:A,use_fish!E:E),0),_xlfn.IFNA(LOOKUP(S141,use_fish!A:A,use_fish!E:E),0),_xlfn.IFNA(LOOKUP(T141,use_fish!A:A,use_fish!E:E),0),_xlfn.IFNA(LOOKUP(U141,use_fish!A:A,use_fish!E:E),0),_xlfn.IFNA(LOOKUP(V141,use_fish!A:A,use_fish!E:E),0),_xlfn.IFNA(LOOKUP(W141,use_fish!A:A,use_fish!E:E),0),)</f>
        <v>86</v>
      </c>
      <c r="I141" s="78">
        <f>SUM(_xlfn.IFNA(LOOKUP(Q141,use_fish!A:A,use_fish!I:I),0),_xlfn.IFNA(LOOKUP(R141,use_fish!A:A,use_fish!I:I),0),_xlfn.IFNA(LOOKUP(S141,use_fish!A:A,use_fish!I:I),0),_xlfn.IFNA(LOOKUP(T141,use_fish!A:A,use_fish!I:I),0),_xlfn.IFNA(LOOKUP(U141,use_fish!A:A,use_fish!I:I),0),_xlfn.IFNA(LOOKUP(V141,use_fish!A:A,use_fish!I:I),0),_xlfn.IFNA(LOOKUP(W141,use_fish!A:A,use_fish!I:I),0),)</f>
        <v>80</v>
      </c>
      <c r="J141" s="76">
        <f>SUM(_xlfn.IFNA(LOOKUP(Q141,use_fish!A:A,use_fish!K:K),0),_xlfn.IFNA(LOOKUP(R141,use_fish!A:A,use_fish!K:K),0),_xlfn.IFNA(LOOKUP(S141,use_fish!A:A,use_fish!K:K),0),_xlfn.IFNA(LOOKUP(T141,use_fish!A:A,use_fish!K:K),0),_xlfn.IFNA(LOOKUP(U141,use_fish!A:A,use_fish!K:K),0),_xlfn.IFNA(LOOKUP(V141,use_fish!A:A,use_fish!K:K),0),_xlfn.IFNA(LOOKUP(W141,use_fish!A:A,use_fish!K:K),0),)</f>
        <v>0</v>
      </c>
      <c r="Q141" s="78">
        <v>124</v>
      </c>
    </row>
    <row r="142" spans="1:17" s="78" customFormat="1" x14ac:dyDescent="0.2">
      <c r="A142" s="78">
        <v>141</v>
      </c>
      <c r="B142" s="78">
        <v>1</v>
      </c>
      <c r="C142" s="78" t="s">
        <v>440</v>
      </c>
      <c r="H142" s="78">
        <f>SUM(_xlfn.IFNA(LOOKUP(Q142,use_fish!A:A,use_fish!E:E),0),_xlfn.IFNA(LOOKUP(R142,use_fish!A:A,use_fish!E:E),0),_xlfn.IFNA(LOOKUP(S142,use_fish!A:A,use_fish!E:E),0),_xlfn.IFNA(LOOKUP(T142,use_fish!A:A,use_fish!E:E),0),_xlfn.IFNA(LOOKUP(U142,use_fish!A:A,use_fish!E:E),0),_xlfn.IFNA(LOOKUP(V142,use_fish!A:A,use_fish!E:E),0),_xlfn.IFNA(LOOKUP(W142,use_fish!A:A,use_fish!E:E),0),)</f>
        <v>107</v>
      </c>
      <c r="I142" s="78">
        <f>SUM(_xlfn.IFNA(LOOKUP(Q142,use_fish!A:A,use_fish!I:I),0),_xlfn.IFNA(LOOKUP(R142,use_fish!A:A,use_fish!I:I),0),_xlfn.IFNA(LOOKUP(S142,use_fish!A:A,use_fish!I:I),0),_xlfn.IFNA(LOOKUP(T142,use_fish!A:A,use_fish!I:I),0),_xlfn.IFNA(LOOKUP(U142,use_fish!A:A,use_fish!I:I),0),_xlfn.IFNA(LOOKUP(V142,use_fish!A:A,use_fish!I:I),0),_xlfn.IFNA(LOOKUP(W142,use_fish!A:A,use_fish!I:I),0),)</f>
        <v>100</v>
      </c>
      <c r="J142" s="76">
        <f>SUM(_xlfn.IFNA(LOOKUP(Q142,use_fish!A:A,use_fish!K:K),0),_xlfn.IFNA(LOOKUP(R142,use_fish!A:A,use_fish!K:K),0),_xlfn.IFNA(LOOKUP(S142,use_fish!A:A,use_fish!K:K),0),_xlfn.IFNA(LOOKUP(T142,use_fish!A:A,use_fish!K:K),0),_xlfn.IFNA(LOOKUP(U142,use_fish!A:A,use_fish!K:K),0),_xlfn.IFNA(LOOKUP(V142,use_fish!A:A,use_fish!K:K),0),_xlfn.IFNA(LOOKUP(W142,use_fish!A:A,use_fish!K:K),0),)</f>
        <v>0</v>
      </c>
      <c r="Q142" s="78">
        <v>125</v>
      </c>
    </row>
    <row r="143" spans="1:17" s="78" customFormat="1" x14ac:dyDescent="0.2">
      <c r="A143" s="78">
        <v>142</v>
      </c>
      <c r="B143" s="78">
        <v>1</v>
      </c>
      <c r="C143" s="78" t="s">
        <v>441</v>
      </c>
      <c r="H143" s="78">
        <f>SUM(_xlfn.IFNA(LOOKUP(Q143,use_fish!A:A,use_fish!E:E),0),_xlfn.IFNA(LOOKUP(R143,use_fish!A:A,use_fish!E:E),0),_xlfn.IFNA(LOOKUP(S143,use_fish!A:A,use_fish!E:E),0),_xlfn.IFNA(LOOKUP(T143,use_fish!A:A,use_fish!E:E),0),_xlfn.IFNA(LOOKUP(U143,use_fish!A:A,use_fish!E:E),0),_xlfn.IFNA(LOOKUP(V143,use_fish!A:A,use_fish!E:E),0),_xlfn.IFNA(LOOKUP(W143,use_fish!A:A,use_fish!E:E),0),)</f>
        <v>107</v>
      </c>
      <c r="I143" s="78">
        <f>SUM(_xlfn.IFNA(LOOKUP(Q143,use_fish!A:A,use_fish!I:I),0),_xlfn.IFNA(LOOKUP(R143,use_fish!A:A,use_fish!I:I),0),_xlfn.IFNA(LOOKUP(S143,use_fish!A:A,use_fish!I:I),0),_xlfn.IFNA(LOOKUP(T143,use_fish!A:A,use_fish!I:I),0),_xlfn.IFNA(LOOKUP(U143,use_fish!A:A,use_fish!I:I),0),_xlfn.IFNA(LOOKUP(V143,use_fish!A:A,use_fish!I:I),0),_xlfn.IFNA(LOOKUP(W143,use_fish!A:A,use_fish!I:I),0),)</f>
        <v>100</v>
      </c>
      <c r="J143" s="76">
        <f>SUM(_xlfn.IFNA(LOOKUP(Q143,use_fish!A:A,use_fish!K:K),0),_xlfn.IFNA(LOOKUP(R143,use_fish!A:A,use_fish!K:K),0),_xlfn.IFNA(LOOKUP(S143,use_fish!A:A,use_fish!K:K),0),_xlfn.IFNA(LOOKUP(T143,use_fish!A:A,use_fish!K:K),0),_xlfn.IFNA(LOOKUP(U143,use_fish!A:A,use_fish!K:K),0),_xlfn.IFNA(LOOKUP(V143,use_fish!A:A,use_fish!K:K),0),_xlfn.IFNA(LOOKUP(W143,use_fish!A:A,use_fish!K:K),0),)</f>
        <v>0</v>
      </c>
      <c r="Q143" s="78">
        <v>126</v>
      </c>
    </row>
    <row r="144" spans="1:17" s="19" customFormat="1" x14ac:dyDescent="0.2">
      <c r="A144" s="19">
        <v>143</v>
      </c>
      <c r="B144" s="19">
        <v>1</v>
      </c>
      <c r="C144" s="19" t="s">
        <v>442</v>
      </c>
      <c r="H144" s="19">
        <f>SUM(_xlfn.IFNA(LOOKUP(Q144,use_fish!A:A,use_fish!E:E),0),_xlfn.IFNA(LOOKUP(R144,use_fish!A:A,use_fish!E:E),0),_xlfn.IFNA(LOOKUP(S144,use_fish!A:A,use_fish!E:E),0),_xlfn.IFNA(LOOKUP(T144,use_fish!A:A,use_fish!E:E),0),_xlfn.IFNA(LOOKUP(U144,use_fish!A:A,use_fish!E:E),0),_xlfn.IFNA(LOOKUP(V144,use_fish!A:A,use_fish!E:E),0),_xlfn.IFNA(LOOKUP(W144,use_fish!A:A,use_fish!E:E),0),)</f>
        <v>69</v>
      </c>
      <c r="I144" s="19">
        <f>SUM(_xlfn.IFNA(LOOKUP(Q144,use_fish!A:A,use_fish!I:I),0),_xlfn.IFNA(LOOKUP(R144,use_fish!A:A,use_fish!I:I),0),_xlfn.IFNA(LOOKUP(S144,use_fish!A:A,use_fish!I:I),0),_xlfn.IFNA(LOOKUP(T144,use_fish!A:A,use_fish!I:I),0),_xlfn.IFNA(LOOKUP(U144,use_fish!A:A,use_fish!I:I),0),_xlfn.IFNA(LOOKUP(V144,use_fish!A:A,use_fish!I:I),0),_xlfn.IFNA(LOOKUP(W144,use_fish!A:A,use_fish!I:I),0),)</f>
        <v>60</v>
      </c>
      <c r="J144" s="17">
        <f>SUM(_xlfn.IFNA(LOOKUP(Q144,use_fish!A:A,use_fish!K:K),0),_xlfn.IFNA(LOOKUP(R144,use_fish!A:A,use_fish!K:K),0),_xlfn.IFNA(LOOKUP(S144,use_fish!A:A,use_fish!K:K),0),_xlfn.IFNA(LOOKUP(T144,use_fish!A:A,use_fish!K:K),0),_xlfn.IFNA(LOOKUP(U144,use_fish!A:A,use_fish!K:K),0),_xlfn.IFNA(LOOKUP(V144,use_fish!A:A,use_fish!K:K),0),_xlfn.IFNA(LOOKUP(W144,use_fish!A:A,use_fish!K:K),0),)</f>
        <v>0</v>
      </c>
      <c r="Q144" s="19">
        <v>127</v>
      </c>
    </row>
    <row r="145" spans="1:17" s="19" customFormat="1" x14ac:dyDescent="0.2">
      <c r="A145" s="19">
        <v>144</v>
      </c>
      <c r="B145" s="19">
        <v>1</v>
      </c>
      <c r="C145" s="19" t="s">
        <v>443</v>
      </c>
      <c r="H145" s="19">
        <f>SUM(_xlfn.IFNA(LOOKUP(Q145,use_fish!A:A,use_fish!E:E),0),_xlfn.IFNA(LOOKUP(R145,use_fish!A:A,use_fish!E:E),0),_xlfn.IFNA(LOOKUP(S145,use_fish!A:A,use_fish!E:E),0),_xlfn.IFNA(LOOKUP(T145,use_fish!A:A,use_fish!E:E),0),_xlfn.IFNA(LOOKUP(U145,use_fish!A:A,use_fish!E:E),0),_xlfn.IFNA(LOOKUP(V145,use_fish!A:A,use_fish!E:E),0),_xlfn.IFNA(LOOKUP(W145,use_fish!A:A,use_fish!E:E),0),)</f>
        <v>69</v>
      </c>
      <c r="I145" s="19">
        <f>SUM(_xlfn.IFNA(LOOKUP(Q145,use_fish!A:A,use_fish!I:I),0),_xlfn.IFNA(LOOKUP(R145,use_fish!A:A,use_fish!I:I),0),_xlfn.IFNA(LOOKUP(S145,use_fish!A:A,use_fish!I:I),0),_xlfn.IFNA(LOOKUP(T145,use_fish!A:A,use_fish!I:I),0),_xlfn.IFNA(LOOKUP(U145,use_fish!A:A,use_fish!I:I),0),_xlfn.IFNA(LOOKUP(V145,use_fish!A:A,use_fish!I:I),0),_xlfn.IFNA(LOOKUP(W145,use_fish!A:A,use_fish!I:I),0),)</f>
        <v>60</v>
      </c>
      <c r="J145" s="17">
        <f>SUM(_xlfn.IFNA(LOOKUP(Q145,use_fish!A:A,use_fish!K:K),0),_xlfn.IFNA(LOOKUP(R145,use_fish!A:A,use_fish!K:K),0),_xlfn.IFNA(LOOKUP(S145,use_fish!A:A,use_fish!K:K),0),_xlfn.IFNA(LOOKUP(T145,use_fish!A:A,use_fish!K:K),0),_xlfn.IFNA(LOOKUP(U145,use_fish!A:A,use_fish!K:K),0),_xlfn.IFNA(LOOKUP(V145,use_fish!A:A,use_fish!K:K),0),_xlfn.IFNA(LOOKUP(W145,use_fish!A:A,use_fish!K:K),0),)</f>
        <v>0</v>
      </c>
      <c r="Q145" s="19">
        <v>128</v>
      </c>
    </row>
    <row r="146" spans="1:17" s="19" customFormat="1" x14ac:dyDescent="0.2">
      <c r="A146" s="19">
        <v>145</v>
      </c>
      <c r="B146" s="19">
        <v>1</v>
      </c>
      <c r="C146" s="19" t="s">
        <v>444</v>
      </c>
      <c r="H146" s="19">
        <f>SUM(_xlfn.IFNA(LOOKUP(Q146,use_fish!A:A,use_fish!E:E),0),_xlfn.IFNA(LOOKUP(R146,use_fish!A:A,use_fish!E:E),0),_xlfn.IFNA(LOOKUP(S146,use_fish!A:A,use_fish!E:E),0),_xlfn.IFNA(LOOKUP(T146,use_fish!A:A,use_fish!E:E),0),_xlfn.IFNA(LOOKUP(U146,use_fish!A:A,use_fish!E:E),0),_xlfn.IFNA(LOOKUP(V146,use_fish!A:A,use_fish!E:E),0),_xlfn.IFNA(LOOKUP(W146,use_fish!A:A,use_fish!E:E),0),)</f>
        <v>69</v>
      </c>
      <c r="I146" s="19">
        <f>SUM(_xlfn.IFNA(LOOKUP(Q146,use_fish!A:A,use_fish!I:I),0),_xlfn.IFNA(LOOKUP(R146,use_fish!A:A,use_fish!I:I),0),_xlfn.IFNA(LOOKUP(S146,use_fish!A:A,use_fish!I:I),0),_xlfn.IFNA(LOOKUP(T146,use_fish!A:A,use_fish!I:I),0),_xlfn.IFNA(LOOKUP(U146,use_fish!A:A,use_fish!I:I),0),_xlfn.IFNA(LOOKUP(V146,use_fish!A:A,use_fish!I:I),0),_xlfn.IFNA(LOOKUP(W146,use_fish!A:A,use_fish!I:I),0),)</f>
        <v>60</v>
      </c>
      <c r="J146" s="17">
        <f>SUM(_xlfn.IFNA(LOOKUP(Q146,use_fish!A:A,use_fish!K:K),0),_xlfn.IFNA(LOOKUP(R146,use_fish!A:A,use_fish!K:K),0),_xlfn.IFNA(LOOKUP(S146,use_fish!A:A,use_fish!K:K),0),_xlfn.IFNA(LOOKUP(T146,use_fish!A:A,use_fish!K:K),0),_xlfn.IFNA(LOOKUP(U146,use_fish!A:A,use_fish!K:K),0),_xlfn.IFNA(LOOKUP(V146,use_fish!A:A,use_fish!K:K),0),_xlfn.IFNA(LOOKUP(W146,use_fish!A:A,use_fish!K:K),0),)</f>
        <v>0</v>
      </c>
      <c r="Q146" s="19">
        <v>129</v>
      </c>
    </row>
    <row r="147" spans="1:17" s="19" customFormat="1" x14ac:dyDescent="0.2">
      <c r="A147" s="19">
        <v>146</v>
      </c>
      <c r="B147" s="19">
        <v>1</v>
      </c>
      <c r="C147" s="19" t="s">
        <v>445</v>
      </c>
      <c r="H147" s="19">
        <f>SUM(_xlfn.IFNA(LOOKUP(Q147,use_fish!A:A,use_fish!E:E),0),_xlfn.IFNA(LOOKUP(R147,use_fish!A:A,use_fish!E:E),0),_xlfn.IFNA(LOOKUP(S147,use_fish!A:A,use_fish!E:E),0),_xlfn.IFNA(LOOKUP(T147,use_fish!A:A,use_fish!E:E),0),_xlfn.IFNA(LOOKUP(U147,use_fish!A:A,use_fish!E:E),0),_xlfn.IFNA(LOOKUP(V147,use_fish!A:A,use_fish!E:E),0),_xlfn.IFNA(LOOKUP(W147,use_fish!A:A,use_fish!E:E),0),)</f>
        <v>90</v>
      </c>
      <c r="I147" s="19">
        <f>SUM(_xlfn.IFNA(LOOKUP(Q147,use_fish!A:A,use_fish!I:I),0),_xlfn.IFNA(LOOKUP(R147,use_fish!A:A,use_fish!I:I),0),_xlfn.IFNA(LOOKUP(S147,use_fish!A:A,use_fish!I:I),0),_xlfn.IFNA(LOOKUP(T147,use_fish!A:A,use_fish!I:I),0),_xlfn.IFNA(LOOKUP(U147,use_fish!A:A,use_fish!I:I),0),_xlfn.IFNA(LOOKUP(V147,use_fish!A:A,use_fish!I:I),0),_xlfn.IFNA(LOOKUP(W147,use_fish!A:A,use_fish!I:I),0),)</f>
        <v>80</v>
      </c>
      <c r="J147" s="17">
        <f>SUM(_xlfn.IFNA(LOOKUP(Q147,use_fish!A:A,use_fish!K:K),0),_xlfn.IFNA(LOOKUP(R147,use_fish!A:A,use_fish!K:K),0),_xlfn.IFNA(LOOKUP(S147,use_fish!A:A,use_fish!K:K),0),_xlfn.IFNA(LOOKUP(T147,use_fish!A:A,use_fish!K:K),0),_xlfn.IFNA(LOOKUP(U147,use_fish!A:A,use_fish!K:K),0),_xlfn.IFNA(LOOKUP(V147,use_fish!A:A,use_fish!K:K),0),_xlfn.IFNA(LOOKUP(W147,use_fish!A:A,use_fish!K:K),0),)</f>
        <v>0</v>
      </c>
      <c r="Q147" s="19">
        <v>130</v>
      </c>
    </row>
    <row r="148" spans="1:17" s="19" customFormat="1" x14ac:dyDescent="0.2">
      <c r="A148" s="19">
        <v>147</v>
      </c>
      <c r="B148" s="19">
        <v>1</v>
      </c>
      <c r="C148" s="19" t="s">
        <v>446</v>
      </c>
      <c r="H148" s="19">
        <f>SUM(_xlfn.IFNA(LOOKUP(Q148,use_fish!A:A,use_fish!E:E),0),_xlfn.IFNA(LOOKUP(R148,use_fish!A:A,use_fish!E:E),0),_xlfn.IFNA(LOOKUP(S148,use_fish!A:A,use_fish!E:E),0),_xlfn.IFNA(LOOKUP(T148,use_fish!A:A,use_fish!E:E),0),_xlfn.IFNA(LOOKUP(U148,use_fish!A:A,use_fish!E:E),0),_xlfn.IFNA(LOOKUP(V148,use_fish!A:A,use_fish!E:E),0),_xlfn.IFNA(LOOKUP(W148,use_fish!A:A,use_fish!E:E),0),)</f>
        <v>111</v>
      </c>
      <c r="I148" s="19">
        <f>SUM(_xlfn.IFNA(LOOKUP(Q148,use_fish!A:A,use_fish!I:I),0),_xlfn.IFNA(LOOKUP(R148,use_fish!A:A,use_fish!I:I),0),_xlfn.IFNA(LOOKUP(S148,use_fish!A:A,use_fish!I:I),0),_xlfn.IFNA(LOOKUP(T148,use_fish!A:A,use_fish!I:I),0),_xlfn.IFNA(LOOKUP(U148,use_fish!A:A,use_fish!I:I),0),_xlfn.IFNA(LOOKUP(V148,use_fish!A:A,use_fish!I:I),0),_xlfn.IFNA(LOOKUP(W148,use_fish!A:A,use_fish!I:I),0),)</f>
        <v>100</v>
      </c>
      <c r="J148" s="17">
        <f>SUM(_xlfn.IFNA(LOOKUP(Q148,use_fish!A:A,use_fish!K:K),0),_xlfn.IFNA(LOOKUP(R148,use_fish!A:A,use_fish!K:K),0),_xlfn.IFNA(LOOKUP(S148,use_fish!A:A,use_fish!K:K),0),_xlfn.IFNA(LOOKUP(T148,use_fish!A:A,use_fish!K:K),0),_xlfn.IFNA(LOOKUP(U148,use_fish!A:A,use_fish!K:K),0),_xlfn.IFNA(LOOKUP(V148,use_fish!A:A,use_fish!K:K),0),_xlfn.IFNA(LOOKUP(W148,use_fish!A:A,use_fish!K:K),0),)</f>
        <v>0</v>
      </c>
      <c r="Q148" s="19">
        <v>131</v>
      </c>
    </row>
    <row r="149" spans="1:17" s="19" customFormat="1" x14ac:dyDescent="0.2">
      <c r="A149" s="19">
        <v>148</v>
      </c>
      <c r="B149" s="19">
        <v>1</v>
      </c>
      <c r="C149" s="19" t="s">
        <v>447</v>
      </c>
      <c r="H149" s="19">
        <f>SUM(_xlfn.IFNA(LOOKUP(Q149,use_fish!A:A,use_fish!E:E),0),_xlfn.IFNA(LOOKUP(R149,use_fish!A:A,use_fish!E:E),0),_xlfn.IFNA(LOOKUP(S149,use_fish!A:A,use_fish!E:E),0),_xlfn.IFNA(LOOKUP(T149,use_fish!A:A,use_fish!E:E),0),_xlfn.IFNA(LOOKUP(U149,use_fish!A:A,use_fish!E:E),0),_xlfn.IFNA(LOOKUP(V149,use_fish!A:A,use_fish!E:E),0),_xlfn.IFNA(LOOKUP(W149,use_fish!A:A,use_fish!E:E),0),)</f>
        <v>111</v>
      </c>
      <c r="I149" s="19">
        <f>SUM(_xlfn.IFNA(LOOKUP(Q149,use_fish!A:A,use_fish!I:I),0),_xlfn.IFNA(LOOKUP(R149,use_fish!A:A,use_fish!I:I),0),_xlfn.IFNA(LOOKUP(S149,use_fish!A:A,use_fish!I:I),0),_xlfn.IFNA(LOOKUP(T149,use_fish!A:A,use_fish!I:I),0),_xlfn.IFNA(LOOKUP(U149,use_fish!A:A,use_fish!I:I),0),_xlfn.IFNA(LOOKUP(V149,use_fish!A:A,use_fish!I:I),0),_xlfn.IFNA(LOOKUP(W149,use_fish!A:A,use_fish!I:I),0),)</f>
        <v>100</v>
      </c>
      <c r="J149" s="17">
        <f>SUM(_xlfn.IFNA(LOOKUP(Q149,use_fish!A:A,use_fish!K:K),0),_xlfn.IFNA(LOOKUP(R149,use_fish!A:A,use_fish!K:K),0),_xlfn.IFNA(LOOKUP(S149,use_fish!A:A,use_fish!K:K),0),_xlfn.IFNA(LOOKUP(T149,use_fish!A:A,use_fish!K:K),0),_xlfn.IFNA(LOOKUP(U149,use_fish!A:A,use_fish!K:K),0),_xlfn.IFNA(LOOKUP(V149,use_fish!A:A,use_fish!K:K),0),_xlfn.IFNA(LOOKUP(W149,use_fish!A:A,use_fish!K:K),0),)</f>
        <v>0</v>
      </c>
      <c r="Q149" s="19">
        <v>132</v>
      </c>
    </row>
    <row r="150" spans="1:17" s="78" customFormat="1" x14ac:dyDescent="0.2">
      <c r="A150" s="78">
        <v>149</v>
      </c>
      <c r="B150" s="78">
        <v>1</v>
      </c>
      <c r="C150" s="78" t="s">
        <v>448</v>
      </c>
      <c r="H150" s="78">
        <f>SUM(_xlfn.IFNA(LOOKUP(Q150,use_fish!A:A,use_fish!E:E),0),_xlfn.IFNA(LOOKUP(R150,use_fish!A:A,use_fish!E:E),0),_xlfn.IFNA(LOOKUP(S150,use_fish!A:A,use_fish!E:E),0),_xlfn.IFNA(LOOKUP(T150,use_fish!A:A,use_fish!E:E),0),_xlfn.IFNA(LOOKUP(U150,use_fish!A:A,use_fish!E:E),0),_xlfn.IFNA(LOOKUP(V150,use_fish!A:A,use_fish!E:E),0),_xlfn.IFNA(LOOKUP(W150,use_fish!A:A,use_fish!E:E),0),)</f>
        <v>65</v>
      </c>
      <c r="I150" s="78">
        <f>SUM(_xlfn.IFNA(LOOKUP(Q150,use_fish!A:A,use_fish!I:I),0),_xlfn.IFNA(LOOKUP(R150,use_fish!A:A,use_fish!I:I),0),_xlfn.IFNA(LOOKUP(S150,use_fish!A:A,use_fish!I:I),0),_xlfn.IFNA(LOOKUP(T150,use_fish!A:A,use_fish!I:I),0),_xlfn.IFNA(LOOKUP(U150,use_fish!A:A,use_fish!I:I),0),_xlfn.IFNA(LOOKUP(V150,use_fish!A:A,use_fish!I:I),0),_xlfn.IFNA(LOOKUP(W150,use_fish!A:A,use_fish!I:I),0),)</f>
        <v>60</v>
      </c>
      <c r="J150" s="76">
        <f>SUM(_xlfn.IFNA(LOOKUP(Q150,use_fish!A:A,use_fish!K:K),0),_xlfn.IFNA(LOOKUP(R150,use_fish!A:A,use_fish!K:K),0),_xlfn.IFNA(LOOKUP(S150,use_fish!A:A,use_fish!K:K),0),_xlfn.IFNA(LOOKUP(T150,use_fish!A:A,use_fish!K:K),0),_xlfn.IFNA(LOOKUP(U150,use_fish!A:A,use_fish!K:K),0),_xlfn.IFNA(LOOKUP(V150,use_fish!A:A,use_fish!K:K),0),_xlfn.IFNA(LOOKUP(W150,use_fish!A:A,use_fish!K:K),0),)</f>
        <v>0</v>
      </c>
      <c r="Q150" s="78">
        <v>133</v>
      </c>
    </row>
    <row r="151" spans="1:17" s="78" customFormat="1" x14ac:dyDescent="0.2">
      <c r="A151" s="78">
        <v>150</v>
      </c>
      <c r="B151" s="78">
        <v>1</v>
      </c>
      <c r="C151" s="78" t="s">
        <v>449</v>
      </c>
      <c r="H151" s="78">
        <f>SUM(_xlfn.IFNA(LOOKUP(Q151,use_fish!A:A,use_fish!E:E),0),_xlfn.IFNA(LOOKUP(R151,use_fish!A:A,use_fish!E:E),0),_xlfn.IFNA(LOOKUP(S151,use_fish!A:A,use_fish!E:E),0),_xlfn.IFNA(LOOKUP(T151,use_fish!A:A,use_fish!E:E),0),_xlfn.IFNA(LOOKUP(U151,use_fish!A:A,use_fish!E:E),0),_xlfn.IFNA(LOOKUP(V151,use_fish!A:A,use_fish!E:E),0),_xlfn.IFNA(LOOKUP(W151,use_fish!A:A,use_fish!E:E),0),)</f>
        <v>65</v>
      </c>
      <c r="I151" s="78">
        <f>SUM(_xlfn.IFNA(LOOKUP(Q151,use_fish!A:A,use_fish!I:I),0),_xlfn.IFNA(LOOKUP(R151,use_fish!A:A,use_fish!I:I),0),_xlfn.IFNA(LOOKUP(S151,use_fish!A:A,use_fish!I:I),0),_xlfn.IFNA(LOOKUP(T151,use_fish!A:A,use_fish!I:I),0),_xlfn.IFNA(LOOKUP(U151,use_fish!A:A,use_fish!I:I),0),_xlfn.IFNA(LOOKUP(V151,use_fish!A:A,use_fish!I:I),0),_xlfn.IFNA(LOOKUP(W151,use_fish!A:A,use_fish!I:I),0),)</f>
        <v>60</v>
      </c>
      <c r="J151" s="76">
        <f>SUM(_xlfn.IFNA(LOOKUP(Q151,use_fish!A:A,use_fish!K:K),0),_xlfn.IFNA(LOOKUP(R151,use_fish!A:A,use_fish!K:K),0),_xlfn.IFNA(LOOKUP(S151,use_fish!A:A,use_fish!K:K),0),_xlfn.IFNA(LOOKUP(T151,use_fish!A:A,use_fish!K:K),0),_xlfn.IFNA(LOOKUP(U151,use_fish!A:A,use_fish!K:K),0),_xlfn.IFNA(LOOKUP(V151,use_fish!A:A,use_fish!K:K),0),_xlfn.IFNA(LOOKUP(W151,use_fish!A:A,use_fish!K:K),0),)</f>
        <v>0</v>
      </c>
      <c r="Q151" s="78">
        <v>134</v>
      </c>
    </row>
    <row r="152" spans="1:17" s="78" customFormat="1" x14ac:dyDescent="0.2">
      <c r="A152" s="78">
        <v>151</v>
      </c>
      <c r="B152" s="78">
        <v>1</v>
      </c>
      <c r="C152" s="78" t="s">
        <v>450</v>
      </c>
      <c r="H152" s="78">
        <f>SUM(_xlfn.IFNA(LOOKUP(Q152,use_fish!A:A,use_fish!E:E),0),_xlfn.IFNA(LOOKUP(R152,use_fish!A:A,use_fish!E:E),0),_xlfn.IFNA(LOOKUP(S152,use_fish!A:A,use_fish!E:E),0),_xlfn.IFNA(LOOKUP(T152,use_fish!A:A,use_fish!E:E),0),_xlfn.IFNA(LOOKUP(U152,use_fish!A:A,use_fish!E:E),0),_xlfn.IFNA(LOOKUP(V152,use_fish!A:A,use_fish!E:E),0),_xlfn.IFNA(LOOKUP(W152,use_fish!A:A,use_fish!E:E),0),)</f>
        <v>65</v>
      </c>
      <c r="I152" s="78">
        <f>SUM(_xlfn.IFNA(LOOKUP(Q152,use_fish!A:A,use_fish!I:I),0),_xlfn.IFNA(LOOKUP(R152,use_fish!A:A,use_fish!I:I),0),_xlfn.IFNA(LOOKUP(S152,use_fish!A:A,use_fish!I:I),0),_xlfn.IFNA(LOOKUP(T152,use_fish!A:A,use_fish!I:I),0),_xlfn.IFNA(LOOKUP(U152,use_fish!A:A,use_fish!I:I),0),_xlfn.IFNA(LOOKUP(V152,use_fish!A:A,use_fish!I:I),0),_xlfn.IFNA(LOOKUP(W152,use_fish!A:A,use_fish!I:I),0),)</f>
        <v>60</v>
      </c>
      <c r="J152" s="76">
        <f>SUM(_xlfn.IFNA(LOOKUP(Q152,use_fish!A:A,use_fish!K:K),0),_xlfn.IFNA(LOOKUP(R152,use_fish!A:A,use_fish!K:K),0),_xlfn.IFNA(LOOKUP(S152,use_fish!A:A,use_fish!K:K),0),_xlfn.IFNA(LOOKUP(T152,use_fish!A:A,use_fish!K:K),0),_xlfn.IFNA(LOOKUP(U152,use_fish!A:A,use_fish!K:K),0),_xlfn.IFNA(LOOKUP(V152,use_fish!A:A,use_fish!K:K),0),_xlfn.IFNA(LOOKUP(W152,use_fish!A:A,use_fish!K:K),0),)</f>
        <v>0</v>
      </c>
      <c r="Q152" s="78">
        <v>135</v>
      </c>
    </row>
    <row r="153" spans="1:17" s="78" customFormat="1" x14ac:dyDescent="0.2">
      <c r="A153" s="78">
        <v>152</v>
      </c>
      <c r="B153" s="78">
        <v>1</v>
      </c>
      <c r="C153" s="78" t="s">
        <v>451</v>
      </c>
      <c r="H153" s="78">
        <f>SUM(_xlfn.IFNA(LOOKUP(Q153,use_fish!A:A,use_fish!E:E),0),_xlfn.IFNA(LOOKUP(R153,use_fish!A:A,use_fish!E:E),0),_xlfn.IFNA(LOOKUP(S153,use_fish!A:A,use_fish!E:E),0),_xlfn.IFNA(LOOKUP(T153,use_fish!A:A,use_fish!E:E),0),_xlfn.IFNA(LOOKUP(U153,use_fish!A:A,use_fish!E:E),0),_xlfn.IFNA(LOOKUP(V153,use_fish!A:A,use_fish!E:E),0),_xlfn.IFNA(LOOKUP(W153,use_fish!A:A,use_fish!E:E),0),)</f>
        <v>86</v>
      </c>
      <c r="I153" s="78">
        <f>SUM(_xlfn.IFNA(LOOKUP(Q153,use_fish!A:A,use_fish!I:I),0),_xlfn.IFNA(LOOKUP(R153,use_fish!A:A,use_fish!I:I),0),_xlfn.IFNA(LOOKUP(S153,use_fish!A:A,use_fish!I:I),0),_xlfn.IFNA(LOOKUP(T153,use_fish!A:A,use_fish!I:I),0),_xlfn.IFNA(LOOKUP(U153,use_fish!A:A,use_fish!I:I),0),_xlfn.IFNA(LOOKUP(V153,use_fish!A:A,use_fish!I:I),0),_xlfn.IFNA(LOOKUP(W153,use_fish!A:A,use_fish!I:I),0),)</f>
        <v>80</v>
      </c>
      <c r="J153" s="76">
        <f>SUM(_xlfn.IFNA(LOOKUP(Q153,use_fish!A:A,use_fish!K:K),0),_xlfn.IFNA(LOOKUP(R153,use_fish!A:A,use_fish!K:K),0),_xlfn.IFNA(LOOKUP(S153,use_fish!A:A,use_fish!K:K),0),_xlfn.IFNA(LOOKUP(T153,use_fish!A:A,use_fish!K:K),0),_xlfn.IFNA(LOOKUP(U153,use_fish!A:A,use_fish!K:K),0),_xlfn.IFNA(LOOKUP(V153,use_fish!A:A,use_fish!K:K),0),_xlfn.IFNA(LOOKUP(W153,use_fish!A:A,use_fish!K:K),0),)</f>
        <v>0</v>
      </c>
      <c r="Q153" s="78">
        <v>136</v>
      </c>
    </row>
    <row r="154" spans="1:17" s="78" customFormat="1" x14ac:dyDescent="0.2">
      <c r="A154" s="78">
        <v>153</v>
      </c>
      <c r="B154" s="78">
        <v>1</v>
      </c>
      <c r="C154" s="78" t="s">
        <v>452</v>
      </c>
      <c r="H154" s="78">
        <f>SUM(_xlfn.IFNA(LOOKUP(Q154,use_fish!A:A,use_fish!E:E),0),_xlfn.IFNA(LOOKUP(R154,use_fish!A:A,use_fish!E:E),0),_xlfn.IFNA(LOOKUP(S154,use_fish!A:A,use_fish!E:E),0),_xlfn.IFNA(LOOKUP(T154,use_fish!A:A,use_fish!E:E),0),_xlfn.IFNA(LOOKUP(U154,use_fish!A:A,use_fish!E:E),0),_xlfn.IFNA(LOOKUP(V154,use_fish!A:A,use_fish!E:E),0),_xlfn.IFNA(LOOKUP(W154,use_fish!A:A,use_fish!E:E),0),)</f>
        <v>107</v>
      </c>
      <c r="I154" s="78">
        <f>SUM(_xlfn.IFNA(LOOKUP(Q154,use_fish!A:A,use_fish!I:I),0),_xlfn.IFNA(LOOKUP(R154,use_fish!A:A,use_fish!I:I),0),_xlfn.IFNA(LOOKUP(S154,use_fish!A:A,use_fish!I:I),0),_xlfn.IFNA(LOOKUP(T154,use_fish!A:A,use_fish!I:I),0),_xlfn.IFNA(LOOKUP(U154,use_fish!A:A,use_fish!I:I),0),_xlfn.IFNA(LOOKUP(V154,use_fish!A:A,use_fish!I:I),0),_xlfn.IFNA(LOOKUP(W154,use_fish!A:A,use_fish!I:I),0),)</f>
        <v>100</v>
      </c>
      <c r="J154" s="76">
        <f>SUM(_xlfn.IFNA(LOOKUP(Q154,use_fish!A:A,use_fish!K:K),0),_xlfn.IFNA(LOOKUP(R154,use_fish!A:A,use_fish!K:K),0),_xlfn.IFNA(LOOKUP(S154,use_fish!A:A,use_fish!K:K),0),_xlfn.IFNA(LOOKUP(T154,use_fish!A:A,use_fish!K:K),0),_xlfn.IFNA(LOOKUP(U154,use_fish!A:A,use_fish!K:K),0),_xlfn.IFNA(LOOKUP(V154,use_fish!A:A,use_fish!K:K),0),_xlfn.IFNA(LOOKUP(W154,use_fish!A:A,use_fish!K:K),0),)</f>
        <v>0</v>
      </c>
      <c r="Q154" s="78">
        <v>137</v>
      </c>
    </row>
    <row r="155" spans="1:17" s="78" customFormat="1" x14ac:dyDescent="0.2">
      <c r="A155" s="78">
        <v>154</v>
      </c>
      <c r="B155" s="78">
        <v>1</v>
      </c>
      <c r="C155" s="78" t="s">
        <v>453</v>
      </c>
      <c r="H155" s="78">
        <f>SUM(_xlfn.IFNA(LOOKUP(Q155,use_fish!A:A,use_fish!E:E),0),_xlfn.IFNA(LOOKUP(R155,use_fish!A:A,use_fish!E:E),0),_xlfn.IFNA(LOOKUP(S155,use_fish!A:A,use_fish!E:E),0),_xlfn.IFNA(LOOKUP(T155,use_fish!A:A,use_fish!E:E),0),_xlfn.IFNA(LOOKUP(U155,use_fish!A:A,use_fish!E:E),0),_xlfn.IFNA(LOOKUP(V155,use_fish!A:A,use_fish!E:E),0),_xlfn.IFNA(LOOKUP(W155,use_fish!A:A,use_fish!E:E),0),)</f>
        <v>107</v>
      </c>
      <c r="I155" s="78">
        <f>SUM(_xlfn.IFNA(LOOKUP(Q155,use_fish!A:A,use_fish!I:I),0),_xlfn.IFNA(LOOKUP(R155,use_fish!A:A,use_fish!I:I),0),_xlfn.IFNA(LOOKUP(S155,use_fish!A:A,use_fish!I:I),0),_xlfn.IFNA(LOOKUP(T155,use_fish!A:A,use_fish!I:I),0),_xlfn.IFNA(LOOKUP(U155,use_fish!A:A,use_fish!I:I),0),_xlfn.IFNA(LOOKUP(V155,use_fish!A:A,use_fish!I:I),0),_xlfn.IFNA(LOOKUP(W155,use_fish!A:A,use_fish!I:I),0),)</f>
        <v>100</v>
      </c>
      <c r="J155" s="76">
        <f>SUM(_xlfn.IFNA(LOOKUP(Q155,use_fish!A:A,use_fish!K:K),0),_xlfn.IFNA(LOOKUP(R155,use_fish!A:A,use_fish!K:K),0),_xlfn.IFNA(LOOKUP(S155,use_fish!A:A,use_fish!K:K),0),_xlfn.IFNA(LOOKUP(T155,use_fish!A:A,use_fish!K:K),0),_xlfn.IFNA(LOOKUP(U155,use_fish!A:A,use_fish!K:K),0),_xlfn.IFNA(LOOKUP(V155,use_fish!A:A,use_fish!K:K),0),_xlfn.IFNA(LOOKUP(W155,use_fish!A:A,use_fish!K:K),0),)</f>
        <v>0</v>
      </c>
      <c r="Q155" s="78">
        <v>138</v>
      </c>
    </row>
    <row r="156" spans="1:17" s="19" customFormat="1" x14ac:dyDescent="0.2">
      <c r="A156" s="19">
        <v>155</v>
      </c>
      <c r="B156" s="19">
        <v>1</v>
      </c>
      <c r="C156" s="19" t="s">
        <v>454</v>
      </c>
      <c r="H156" s="19">
        <f>SUM(_xlfn.IFNA(LOOKUP(Q156,use_fish!A:A,use_fish!E:E),0),_xlfn.IFNA(LOOKUP(R156,use_fish!A:A,use_fish!E:E),0),_xlfn.IFNA(LOOKUP(S156,use_fish!A:A,use_fish!E:E),0),_xlfn.IFNA(LOOKUP(T156,use_fish!A:A,use_fish!E:E),0),_xlfn.IFNA(LOOKUP(U156,use_fish!A:A,use_fish!E:E),0),_xlfn.IFNA(LOOKUP(V156,use_fish!A:A,use_fish!E:E),0),_xlfn.IFNA(LOOKUP(W156,use_fish!A:A,use_fish!E:E),0),)</f>
        <v>65</v>
      </c>
      <c r="I156" s="19">
        <f>SUM(_xlfn.IFNA(LOOKUP(Q156,use_fish!A:A,use_fish!I:I),0),_xlfn.IFNA(LOOKUP(R156,use_fish!A:A,use_fish!I:I),0),_xlfn.IFNA(LOOKUP(S156,use_fish!A:A,use_fish!I:I),0),_xlfn.IFNA(LOOKUP(T156,use_fish!A:A,use_fish!I:I),0),_xlfn.IFNA(LOOKUP(U156,use_fish!A:A,use_fish!I:I),0),_xlfn.IFNA(LOOKUP(V156,use_fish!A:A,use_fish!I:I),0),_xlfn.IFNA(LOOKUP(W156,use_fish!A:A,use_fish!I:I),0),)</f>
        <v>60</v>
      </c>
      <c r="J156" s="17">
        <f>SUM(_xlfn.IFNA(LOOKUP(Q156,use_fish!A:A,use_fish!K:K),0),_xlfn.IFNA(LOOKUP(R156,use_fish!A:A,use_fish!K:K),0),_xlfn.IFNA(LOOKUP(S156,use_fish!A:A,use_fish!K:K),0),_xlfn.IFNA(LOOKUP(T156,use_fish!A:A,use_fish!K:K),0),_xlfn.IFNA(LOOKUP(U156,use_fish!A:A,use_fish!K:K),0),_xlfn.IFNA(LOOKUP(V156,use_fish!A:A,use_fish!K:K),0),_xlfn.IFNA(LOOKUP(W156,use_fish!A:A,use_fish!K:K),0),)</f>
        <v>0</v>
      </c>
      <c r="Q156" s="19">
        <v>139</v>
      </c>
    </row>
    <row r="157" spans="1:17" s="19" customFormat="1" x14ac:dyDescent="0.2">
      <c r="A157" s="19">
        <v>156</v>
      </c>
      <c r="B157" s="19">
        <v>1</v>
      </c>
      <c r="C157" s="19" t="s">
        <v>455</v>
      </c>
      <c r="H157" s="19">
        <f>SUM(_xlfn.IFNA(LOOKUP(Q157,use_fish!A:A,use_fish!E:E),0),_xlfn.IFNA(LOOKUP(R157,use_fish!A:A,use_fish!E:E),0),_xlfn.IFNA(LOOKUP(S157,use_fish!A:A,use_fish!E:E),0),_xlfn.IFNA(LOOKUP(T157,use_fish!A:A,use_fish!E:E),0),_xlfn.IFNA(LOOKUP(U157,use_fish!A:A,use_fish!E:E),0),_xlfn.IFNA(LOOKUP(V157,use_fish!A:A,use_fish!E:E),0),_xlfn.IFNA(LOOKUP(W157,use_fish!A:A,use_fish!E:E),0),)</f>
        <v>65</v>
      </c>
      <c r="I157" s="19">
        <f>SUM(_xlfn.IFNA(LOOKUP(Q157,use_fish!A:A,use_fish!I:I),0),_xlfn.IFNA(LOOKUP(R157,use_fish!A:A,use_fish!I:I),0),_xlfn.IFNA(LOOKUP(S157,use_fish!A:A,use_fish!I:I),0),_xlfn.IFNA(LOOKUP(T157,use_fish!A:A,use_fish!I:I),0),_xlfn.IFNA(LOOKUP(U157,use_fish!A:A,use_fish!I:I),0),_xlfn.IFNA(LOOKUP(V157,use_fish!A:A,use_fish!I:I),0),_xlfn.IFNA(LOOKUP(W157,use_fish!A:A,use_fish!I:I),0),)</f>
        <v>60</v>
      </c>
      <c r="J157" s="17">
        <f>SUM(_xlfn.IFNA(LOOKUP(Q157,use_fish!A:A,use_fish!K:K),0),_xlfn.IFNA(LOOKUP(R157,use_fish!A:A,use_fish!K:K),0),_xlfn.IFNA(LOOKUP(S157,use_fish!A:A,use_fish!K:K),0),_xlfn.IFNA(LOOKUP(T157,use_fish!A:A,use_fish!K:K),0),_xlfn.IFNA(LOOKUP(U157,use_fish!A:A,use_fish!K:K),0),_xlfn.IFNA(LOOKUP(V157,use_fish!A:A,use_fish!K:K),0),_xlfn.IFNA(LOOKUP(W157,use_fish!A:A,use_fish!K:K),0),)</f>
        <v>0</v>
      </c>
      <c r="Q157" s="19">
        <v>140</v>
      </c>
    </row>
    <row r="158" spans="1:17" s="19" customFormat="1" x14ac:dyDescent="0.2">
      <c r="A158" s="19">
        <v>157</v>
      </c>
      <c r="B158" s="19">
        <v>1</v>
      </c>
      <c r="C158" s="19" t="s">
        <v>456</v>
      </c>
      <c r="H158" s="19">
        <f>SUM(_xlfn.IFNA(LOOKUP(Q158,use_fish!A:A,use_fish!E:E),0),_xlfn.IFNA(LOOKUP(R158,use_fish!A:A,use_fish!E:E),0),_xlfn.IFNA(LOOKUP(S158,use_fish!A:A,use_fish!E:E),0),_xlfn.IFNA(LOOKUP(T158,use_fish!A:A,use_fish!E:E),0),_xlfn.IFNA(LOOKUP(U158,use_fish!A:A,use_fish!E:E),0),_xlfn.IFNA(LOOKUP(V158,use_fish!A:A,use_fish!E:E),0),_xlfn.IFNA(LOOKUP(W158,use_fish!A:A,use_fish!E:E),0),)</f>
        <v>65</v>
      </c>
      <c r="I158" s="19">
        <f>SUM(_xlfn.IFNA(LOOKUP(Q158,use_fish!A:A,use_fish!I:I),0),_xlfn.IFNA(LOOKUP(R158,use_fish!A:A,use_fish!I:I),0),_xlfn.IFNA(LOOKUP(S158,use_fish!A:A,use_fish!I:I),0),_xlfn.IFNA(LOOKUP(T158,use_fish!A:A,use_fish!I:I),0),_xlfn.IFNA(LOOKUP(U158,use_fish!A:A,use_fish!I:I),0),_xlfn.IFNA(LOOKUP(V158,use_fish!A:A,use_fish!I:I),0),_xlfn.IFNA(LOOKUP(W158,use_fish!A:A,use_fish!I:I),0),)</f>
        <v>60</v>
      </c>
      <c r="J158" s="17">
        <f>SUM(_xlfn.IFNA(LOOKUP(Q158,use_fish!A:A,use_fish!K:K),0),_xlfn.IFNA(LOOKUP(R158,use_fish!A:A,use_fish!K:K),0),_xlfn.IFNA(LOOKUP(S158,use_fish!A:A,use_fish!K:K),0),_xlfn.IFNA(LOOKUP(T158,use_fish!A:A,use_fish!K:K),0),_xlfn.IFNA(LOOKUP(U158,use_fish!A:A,use_fish!K:K),0),_xlfn.IFNA(LOOKUP(V158,use_fish!A:A,use_fish!K:K),0),_xlfn.IFNA(LOOKUP(W158,use_fish!A:A,use_fish!K:K),0),)</f>
        <v>0</v>
      </c>
      <c r="Q158" s="19">
        <v>141</v>
      </c>
    </row>
    <row r="159" spans="1:17" s="19" customFormat="1" x14ac:dyDescent="0.2">
      <c r="A159" s="19">
        <v>158</v>
      </c>
      <c r="B159" s="19">
        <v>1</v>
      </c>
      <c r="C159" s="19" t="s">
        <v>457</v>
      </c>
      <c r="H159" s="19">
        <f>SUM(_xlfn.IFNA(LOOKUP(Q159,use_fish!A:A,use_fish!E:E),0),_xlfn.IFNA(LOOKUP(R159,use_fish!A:A,use_fish!E:E),0),_xlfn.IFNA(LOOKUP(S159,use_fish!A:A,use_fish!E:E),0),_xlfn.IFNA(LOOKUP(T159,use_fish!A:A,use_fish!E:E),0),_xlfn.IFNA(LOOKUP(U159,use_fish!A:A,use_fish!E:E),0),_xlfn.IFNA(LOOKUP(V159,use_fish!A:A,use_fish!E:E),0),_xlfn.IFNA(LOOKUP(W159,use_fish!A:A,use_fish!E:E),0),)</f>
        <v>86</v>
      </c>
      <c r="I159" s="19">
        <f>SUM(_xlfn.IFNA(LOOKUP(Q159,use_fish!A:A,use_fish!I:I),0),_xlfn.IFNA(LOOKUP(R159,use_fish!A:A,use_fish!I:I),0),_xlfn.IFNA(LOOKUP(S159,use_fish!A:A,use_fish!I:I),0),_xlfn.IFNA(LOOKUP(T159,use_fish!A:A,use_fish!I:I),0),_xlfn.IFNA(LOOKUP(U159,use_fish!A:A,use_fish!I:I),0),_xlfn.IFNA(LOOKUP(V159,use_fish!A:A,use_fish!I:I),0),_xlfn.IFNA(LOOKUP(W159,use_fish!A:A,use_fish!I:I),0),)</f>
        <v>80</v>
      </c>
      <c r="J159" s="17">
        <f>SUM(_xlfn.IFNA(LOOKUP(Q159,use_fish!A:A,use_fish!K:K),0),_xlfn.IFNA(LOOKUP(R159,use_fish!A:A,use_fish!K:K),0),_xlfn.IFNA(LOOKUP(S159,use_fish!A:A,use_fish!K:K),0),_xlfn.IFNA(LOOKUP(T159,use_fish!A:A,use_fish!K:K),0),_xlfn.IFNA(LOOKUP(U159,use_fish!A:A,use_fish!K:K),0),_xlfn.IFNA(LOOKUP(V159,use_fish!A:A,use_fish!K:K),0),_xlfn.IFNA(LOOKUP(W159,use_fish!A:A,use_fish!K:K),0),)</f>
        <v>0</v>
      </c>
      <c r="Q159" s="19">
        <v>142</v>
      </c>
    </row>
    <row r="160" spans="1:17" s="19" customFormat="1" x14ac:dyDescent="0.2">
      <c r="A160" s="19">
        <v>159</v>
      </c>
      <c r="B160" s="19">
        <v>1</v>
      </c>
      <c r="C160" s="19" t="s">
        <v>458</v>
      </c>
      <c r="H160" s="19">
        <f>SUM(_xlfn.IFNA(LOOKUP(Q160,use_fish!A:A,use_fish!E:E),0),_xlfn.IFNA(LOOKUP(R160,use_fish!A:A,use_fish!E:E),0),_xlfn.IFNA(LOOKUP(S160,use_fish!A:A,use_fish!E:E),0),_xlfn.IFNA(LOOKUP(T160,use_fish!A:A,use_fish!E:E),0),_xlfn.IFNA(LOOKUP(U160,use_fish!A:A,use_fish!E:E),0),_xlfn.IFNA(LOOKUP(V160,use_fish!A:A,use_fish!E:E),0),_xlfn.IFNA(LOOKUP(W160,use_fish!A:A,use_fish!E:E),0),)</f>
        <v>107</v>
      </c>
      <c r="I160" s="19">
        <f>SUM(_xlfn.IFNA(LOOKUP(Q160,use_fish!A:A,use_fish!I:I),0),_xlfn.IFNA(LOOKUP(R160,use_fish!A:A,use_fish!I:I),0),_xlfn.IFNA(LOOKUP(S160,use_fish!A:A,use_fish!I:I),0),_xlfn.IFNA(LOOKUP(T160,use_fish!A:A,use_fish!I:I),0),_xlfn.IFNA(LOOKUP(U160,use_fish!A:A,use_fish!I:I),0),_xlfn.IFNA(LOOKUP(V160,use_fish!A:A,use_fish!I:I),0),_xlfn.IFNA(LOOKUP(W160,use_fish!A:A,use_fish!I:I),0),)</f>
        <v>100</v>
      </c>
      <c r="J160" s="17">
        <f>SUM(_xlfn.IFNA(LOOKUP(Q160,use_fish!A:A,use_fish!K:K),0),_xlfn.IFNA(LOOKUP(R160,use_fish!A:A,use_fish!K:K),0),_xlfn.IFNA(LOOKUP(S160,use_fish!A:A,use_fish!K:K),0),_xlfn.IFNA(LOOKUP(T160,use_fish!A:A,use_fish!K:K),0),_xlfn.IFNA(LOOKUP(U160,use_fish!A:A,use_fish!K:K),0),_xlfn.IFNA(LOOKUP(V160,use_fish!A:A,use_fish!K:K),0),_xlfn.IFNA(LOOKUP(W160,use_fish!A:A,use_fish!K:K),0),)</f>
        <v>0</v>
      </c>
      <c r="Q160" s="19">
        <v>143</v>
      </c>
    </row>
    <row r="161" spans="1:17" s="19" customFormat="1" x14ac:dyDescent="0.2">
      <c r="A161" s="19">
        <v>160</v>
      </c>
      <c r="B161" s="19">
        <v>1</v>
      </c>
      <c r="C161" s="19" t="s">
        <v>459</v>
      </c>
      <c r="H161" s="19">
        <f>SUM(_xlfn.IFNA(LOOKUP(Q161,use_fish!A:A,use_fish!E:E),0),_xlfn.IFNA(LOOKUP(R161,use_fish!A:A,use_fish!E:E),0),_xlfn.IFNA(LOOKUP(S161,use_fish!A:A,use_fish!E:E),0),_xlfn.IFNA(LOOKUP(T161,use_fish!A:A,use_fish!E:E),0),_xlfn.IFNA(LOOKUP(U161,use_fish!A:A,use_fish!E:E),0),_xlfn.IFNA(LOOKUP(V161,use_fish!A:A,use_fish!E:E),0),_xlfn.IFNA(LOOKUP(W161,use_fish!A:A,use_fish!E:E),0),)</f>
        <v>107</v>
      </c>
      <c r="I161" s="19">
        <f>SUM(_xlfn.IFNA(LOOKUP(Q161,use_fish!A:A,use_fish!I:I),0),_xlfn.IFNA(LOOKUP(R161,use_fish!A:A,use_fish!I:I),0),_xlfn.IFNA(LOOKUP(S161,use_fish!A:A,use_fish!I:I),0),_xlfn.IFNA(LOOKUP(T161,use_fish!A:A,use_fish!I:I),0),_xlfn.IFNA(LOOKUP(U161,use_fish!A:A,use_fish!I:I),0),_xlfn.IFNA(LOOKUP(V161,use_fish!A:A,use_fish!I:I),0),_xlfn.IFNA(LOOKUP(W161,use_fish!A:A,use_fish!I:I),0),)</f>
        <v>100</v>
      </c>
      <c r="J161" s="17">
        <f>SUM(_xlfn.IFNA(LOOKUP(Q161,use_fish!A:A,use_fish!K:K),0),_xlfn.IFNA(LOOKUP(R161,use_fish!A:A,use_fish!K:K),0),_xlfn.IFNA(LOOKUP(S161,use_fish!A:A,use_fish!K:K),0),_xlfn.IFNA(LOOKUP(T161,use_fish!A:A,use_fish!K:K),0),_xlfn.IFNA(LOOKUP(U161,use_fish!A:A,use_fish!K:K),0),_xlfn.IFNA(LOOKUP(V161,use_fish!A:A,use_fish!K:K),0),_xlfn.IFNA(LOOKUP(W161,use_fish!A:A,use_fish!K:K),0),)</f>
        <v>0</v>
      </c>
      <c r="Q161" s="19">
        <v>144</v>
      </c>
    </row>
  </sheetData>
  <autoFilter ref="I1:I46"/>
  <dataConsolidate/>
  <phoneticPr fontId="1" type="noConversion"/>
  <conditionalFormatting sqref="J12">
    <cfRule type="iconSet" priority="2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61">
    <cfRule type="iconSet" priority="18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61">
    <cfRule type="iconSet" priority="18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61">
    <cfRule type="iconSet" priority="18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 J2:J11 J13:J25 J27:J64 J162:J1048576">
    <cfRule type="iconSet" priority="18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3:I25 I1:I11 I27:I64 I162:I1048576">
    <cfRule type="iconSet" priority="19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45"/>
  <sheetViews>
    <sheetView tabSelected="1" zoomScaleNormal="100" workbookViewId="0">
      <pane ySplit="1" topLeftCell="A107" activePane="bottomLeft" state="frozen"/>
      <selection pane="bottomLeft" activeCell="F114" sqref="F114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63</v>
      </c>
      <c r="F24" s="17">
        <f t="shared" si="3"/>
        <v>1.5873015873015872E-2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27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27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341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341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341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341</v>
      </c>
      <c r="H95" s="58" t="str">
        <f>INDEX(base_fish!E:E,MATCH(use_fish!B95,base_fish!A:A,0))&amp;_xlfn.IFNA("+"&amp;INDEX(activity!G:G,MATCH(use_fish!C95,activity!A:A,0)),"")</f>
        <v>小海龟+临时活动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341</v>
      </c>
      <c r="H96" s="58" t="str">
        <f>INDEX(base_fish!E:E,MATCH(use_fish!B96,base_fish!A:A,0))&amp;_xlfn.IFNA("+"&amp;INDEX(activity!G:G,MATCH(use_fish!C96,activity!A:A,0)),"")</f>
        <v>狮子鱼+临时活动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341</v>
      </c>
      <c r="H97" s="58" t="str">
        <f>INDEX(base_fish!E:E,MATCH(use_fish!B97,base_fish!A:A,0))&amp;_xlfn.IFNA("+"&amp;INDEX(activity!G:G,MATCH(use_fish!C97,activity!A:A,0)),"")</f>
        <v>蝴蝶鱼+临时活动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341</v>
      </c>
      <c r="H98" s="58" t="str">
        <f>INDEX(base_fish!E:E,MATCH(use_fish!B98,base_fish!A:A,0))&amp;_xlfn.IFNA("+"&amp;INDEX(activity!G:G,MATCH(use_fish!C98,activity!A:A,0)),"")</f>
        <v>巨大小丑鱼+临时活动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341</v>
      </c>
      <c r="H99" s="58" t="str">
        <f>INDEX(base_fish!E:E,MATCH(use_fish!B99,base_fish!A:A,0))&amp;_xlfn.IFNA("+"&amp;INDEX(activity!G:G,MATCH(use_fish!C99,activity!A:A,0)),"")</f>
        <v>巨大灯笼鱼+临时活动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341</v>
      </c>
      <c r="H100" s="58" t="str">
        <f>INDEX(base_fish!E:E,MATCH(use_fish!B100,base_fish!A:A,0))&amp;_xlfn.IFNA("+"&amp;INDEX(activity!G:G,MATCH(use_fish!C100,activity!A:A,0)),"")</f>
        <v>巨大燕鱼+临时活动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341</v>
      </c>
      <c r="H101" s="58" t="str">
        <f>INDEX(base_fish!E:E,MATCH(use_fish!B101,base_fish!A:A,0))&amp;_xlfn.IFNA("+"&amp;INDEX(activity!G:G,MATCH(use_fish!C101,activity!A:A,0)),"")</f>
        <v>魔鬼鱼+临时活动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  <row r="102" spans="1:15" s="62" customFormat="1" x14ac:dyDescent="0.2">
      <c r="A102" s="63">
        <v>101</v>
      </c>
      <c r="B102" s="61">
        <v>13</v>
      </c>
      <c r="C102" s="63">
        <v>68</v>
      </c>
      <c r="D102" s="63"/>
      <c r="E102" s="61">
        <f>LOOKUP(use_fish!B102,base_fish!A:A,base_fish!C:C)+_xlfn.IFNA(INDEX(activity!F:F,MATCH(use_fish!C102,activity!A:A,0)),0)</f>
        <v>30</v>
      </c>
      <c r="F102" s="61">
        <f t="shared" si="16"/>
        <v>3.3333333333333333E-2</v>
      </c>
      <c r="G102" s="61" t="s">
        <v>339</v>
      </c>
      <c r="H102" s="64" t="str">
        <f>INDEX(base_fish!E:E,MATCH(use_fish!B102,base_fish!A:A,0))&amp;_xlfn.IFNA("+"&amp;INDEX(activity!G:G,MATCH(use_fish!C102,activity!A:A,0)),"")</f>
        <v>蝴蝶鱼+临时活动</v>
      </c>
      <c r="I102" s="61">
        <f>LOOKUP(use_fish!B102,base_fish!A:A,base_fish!F:F)+_xlfn.IFNA(INDEX(activity!F:F,MATCH(use_fish!C102,activity!A:A,0)),0)</f>
        <v>30</v>
      </c>
      <c r="J102" s="62">
        <v>1</v>
      </c>
      <c r="K102" s="62">
        <v>0</v>
      </c>
      <c r="L102" s="62">
        <f t="shared" si="17"/>
        <v>30</v>
      </c>
      <c r="M102" s="62">
        <v>1</v>
      </c>
      <c r="N102" s="62">
        <v>0</v>
      </c>
      <c r="O102" s="62">
        <v>1</v>
      </c>
    </row>
    <row r="103" spans="1:15" s="62" customFormat="1" x14ac:dyDescent="0.2">
      <c r="A103" s="63">
        <v>102</v>
      </c>
      <c r="B103" s="61">
        <v>14</v>
      </c>
      <c r="C103" s="63">
        <v>68</v>
      </c>
      <c r="D103" s="63"/>
      <c r="E103" s="61">
        <f>LOOKUP(use_fish!B103,base_fish!A:A,base_fish!C:C)+_xlfn.IFNA(INDEX(activity!F:F,MATCH(use_fish!C103,activity!A:A,0)),0)</f>
        <v>35</v>
      </c>
      <c r="F103" s="61">
        <f t="shared" si="16"/>
        <v>2.8571428571428571E-2</v>
      </c>
      <c r="G103" s="61" t="s">
        <v>339</v>
      </c>
      <c r="H103" s="64" t="str">
        <f>INDEX(base_fish!E:E,MATCH(use_fish!B103,base_fish!A:A,0))&amp;_xlfn.IFNA("+"&amp;INDEX(activity!G:G,MATCH(use_fish!C103,activity!A:A,0)),"")</f>
        <v>巨大小丑鱼+临时活动</v>
      </c>
      <c r="I103" s="61">
        <f>LOOKUP(use_fish!B103,base_fish!A:A,base_fish!F:F)+_xlfn.IFNA(INDEX(activity!F:F,MATCH(use_fish!C103,activity!A:A,0)),0)</f>
        <v>35</v>
      </c>
      <c r="J103" s="62">
        <v>1</v>
      </c>
      <c r="K103" s="62">
        <v>0</v>
      </c>
      <c r="L103" s="62">
        <f t="shared" si="17"/>
        <v>35</v>
      </c>
      <c r="M103" s="62">
        <v>1</v>
      </c>
      <c r="N103" s="62">
        <v>0</v>
      </c>
      <c r="O103" s="62">
        <v>1</v>
      </c>
    </row>
    <row r="104" spans="1:15" s="62" customFormat="1" x14ac:dyDescent="0.2">
      <c r="A104" s="63">
        <v>103</v>
      </c>
      <c r="B104" s="61">
        <v>15</v>
      </c>
      <c r="C104" s="63">
        <v>68</v>
      </c>
      <c r="D104" s="63"/>
      <c r="E104" s="61">
        <f>LOOKUP(use_fish!B104,base_fish!A:A,base_fish!C:C)+_xlfn.IFNA(INDEX(activity!F:F,MATCH(use_fish!C104,activity!A:A,0)),0)</f>
        <v>40</v>
      </c>
      <c r="F104" s="61">
        <f t="shared" si="16"/>
        <v>2.5000000000000001E-2</v>
      </c>
      <c r="G104" s="61" t="s">
        <v>339</v>
      </c>
      <c r="H104" s="64" t="str">
        <f>INDEX(base_fish!E:E,MATCH(use_fish!B104,base_fish!A:A,0))&amp;_xlfn.IFNA("+"&amp;INDEX(activity!G:G,MATCH(use_fish!C104,activity!A:A,0)),"")</f>
        <v>巨大灯笼鱼+临时活动</v>
      </c>
      <c r="I104" s="61">
        <f>LOOKUP(use_fish!B104,base_fish!A:A,base_fish!F:F)+_xlfn.IFNA(INDEX(activity!F:F,MATCH(use_fish!C104,activity!A:A,0)),0)</f>
        <v>40</v>
      </c>
      <c r="J104" s="62">
        <v>1</v>
      </c>
      <c r="K104" s="62">
        <v>0</v>
      </c>
      <c r="L104" s="62">
        <f t="shared" si="17"/>
        <v>40</v>
      </c>
      <c r="M104" s="62">
        <v>1</v>
      </c>
      <c r="N104" s="62">
        <v>0</v>
      </c>
      <c r="O104" s="62">
        <v>1</v>
      </c>
    </row>
    <row r="105" spans="1:15" s="62" customFormat="1" x14ac:dyDescent="0.2">
      <c r="A105" s="63">
        <v>104</v>
      </c>
      <c r="B105" s="61">
        <v>16</v>
      </c>
      <c r="C105" s="63">
        <v>68</v>
      </c>
      <c r="D105" s="63"/>
      <c r="E105" s="61">
        <f>LOOKUP(use_fish!B105,base_fish!A:A,base_fish!C:C)+_xlfn.IFNA(INDEX(activity!F:F,MATCH(use_fish!C105,activity!A:A,0)),0)</f>
        <v>45</v>
      </c>
      <c r="F105" s="61">
        <f t="shared" si="16"/>
        <v>2.2222222222222223E-2</v>
      </c>
      <c r="G105" s="61" t="s">
        <v>339</v>
      </c>
      <c r="H105" s="64" t="str">
        <f>INDEX(base_fish!E:E,MATCH(use_fish!B105,base_fish!A:A,0))&amp;_xlfn.IFNA("+"&amp;INDEX(activity!G:G,MATCH(use_fish!C105,activity!A:A,0)),"")</f>
        <v>巨大燕鱼+临时活动</v>
      </c>
      <c r="I105" s="61">
        <f>LOOKUP(use_fish!B105,base_fish!A:A,base_fish!F:F)+_xlfn.IFNA(INDEX(activity!F:F,MATCH(use_fish!C105,activity!A:A,0)),0)</f>
        <v>45</v>
      </c>
      <c r="J105" s="62">
        <v>1</v>
      </c>
      <c r="K105" s="62">
        <v>0</v>
      </c>
      <c r="L105" s="62">
        <f t="shared" si="17"/>
        <v>45</v>
      </c>
      <c r="M105" s="62">
        <v>1</v>
      </c>
      <c r="N105" s="62">
        <v>0</v>
      </c>
      <c r="O105" s="62">
        <v>1</v>
      </c>
    </row>
    <row r="106" spans="1:15" s="62" customFormat="1" x14ac:dyDescent="0.2">
      <c r="A106" s="63">
        <v>105</v>
      </c>
      <c r="B106" s="61">
        <v>17</v>
      </c>
      <c r="C106" s="63">
        <v>68</v>
      </c>
      <c r="D106" s="63"/>
      <c r="E106" s="61">
        <f>LOOKUP(use_fish!B106,base_fish!A:A,base_fish!C:C)+_xlfn.IFNA(INDEX(activity!F:F,MATCH(use_fish!C106,activity!A:A,0)),0)</f>
        <v>50</v>
      </c>
      <c r="F106" s="61">
        <f t="shared" si="16"/>
        <v>0.02</v>
      </c>
      <c r="G106" s="61" t="s">
        <v>339</v>
      </c>
      <c r="H106" s="64" t="str">
        <f>INDEX(base_fish!E:E,MATCH(use_fish!B106,base_fish!A:A,0))&amp;_xlfn.IFNA("+"&amp;INDEX(activity!G:G,MATCH(use_fish!C106,activity!A:A,0)),"")</f>
        <v>魔鬼鱼+临时活动</v>
      </c>
      <c r="I106" s="61">
        <f>LOOKUP(use_fish!B106,base_fish!A:A,base_fish!F:F)+_xlfn.IFNA(INDEX(activity!F:F,MATCH(use_fish!C106,activity!A:A,0)),0)</f>
        <v>50</v>
      </c>
      <c r="J106" s="62">
        <v>1</v>
      </c>
      <c r="K106" s="62">
        <v>0</v>
      </c>
      <c r="L106" s="62">
        <f t="shared" si="17"/>
        <v>50</v>
      </c>
      <c r="M106" s="62">
        <v>1</v>
      </c>
      <c r="N106" s="62">
        <v>0</v>
      </c>
      <c r="O106" s="62">
        <v>1</v>
      </c>
    </row>
    <row r="107" spans="1:15" s="62" customFormat="1" x14ac:dyDescent="0.2">
      <c r="A107" s="63">
        <v>106</v>
      </c>
      <c r="B107" s="61">
        <v>18</v>
      </c>
      <c r="C107" s="63">
        <v>68</v>
      </c>
      <c r="D107" s="63"/>
      <c r="E107" s="61">
        <f>LOOKUP(use_fish!B107,base_fish!A:A,base_fish!C:C)+_xlfn.IFNA(INDEX(activity!F:F,MATCH(use_fish!C107,activity!A:A,0)),0)</f>
        <v>70</v>
      </c>
      <c r="F107" s="61">
        <f t="shared" si="16"/>
        <v>1.4285714285714285E-2</v>
      </c>
      <c r="G107" s="61" t="s">
        <v>339</v>
      </c>
      <c r="H107" s="64" t="str">
        <f>INDEX(base_fish!E:E,MATCH(use_fish!B107,base_fish!A:A,0))&amp;_xlfn.IFNA("+"&amp;INDEX(activity!G:G,MATCH(use_fish!C107,activity!A:A,0)),"")</f>
        <v>虎鲸+临时活动</v>
      </c>
      <c r="I107" s="61">
        <f>LOOKUP(use_fish!B107,base_fish!A:A,base_fish!F:F)+_xlfn.IFNA(INDEX(activity!F:F,MATCH(use_fish!C107,activity!A:A,0)),0)</f>
        <v>70</v>
      </c>
      <c r="J107" s="62">
        <v>1</v>
      </c>
      <c r="K107" s="62">
        <v>0</v>
      </c>
      <c r="L107" s="62">
        <f t="shared" si="17"/>
        <v>70</v>
      </c>
      <c r="M107" s="62">
        <v>1</v>
      </c>
      <c r="N107" s="62">
        <v>0</v>
      </c>
      <c r="O107" s="62">
        <v>1</v>
      </c>
    </row>
    <row r="108" spans="1:15" s="62" customFormat="1" x14ac:dyDescent="0.2">
      <c r="A108" s="63">
        <v>107</v>
      </c>
      <c r="B108" s="63">
        <v>58</v>
      </c>
      <c r="C108" s="63">
        <v>65</v>
      </c>
      <c r="D108" s="63"/>
      <c r="E108" s="61">
        <f>LOOKUP(use_fish!B108,base_fish!A:A,base_fish!C:C)+_xlfn.IFNA(INDEX(activity!F:F,MATCH(use_fish!C108,activity!A:A,0)),0)</f>
        <v>75</v>
      </c>
      <c r="F108" s="61">
        <f t="shared" si="16"/>
        <v>1.3333333333333334E-2</v>
      </c>
      <c r="G108" s="61" t="s">
        <v>339</v>
      </c>
      <c r="H108" s="64" t="str">
        <f>INDEX(base_fish!E:E,MATCH(use_fish!B108,base_fish!A:A,0))&amp;_xlfn.IFNA("+"&amp;INDEX(activity!G:G,MATCH(use_fish!C108,activity!A:A,0)),"")</f>
        <v>火鸡鱼+临时活动</v>
      </c>
      <c r="I108" s="61">
        <f>LOOKUP(use_fish!B108,base_fish!A:A,base_fish!F:F)+_xlfn.IFNA(INDEX(activity!F:F,MATCH(use_fish!C108,activity!A:A,0)),0)</f>
        <v>75</v>
      </c>
      <c r="J108" s="62">
        <v>1</v>
      </c>
      <c r="K108" s="62">
        <v>0</v>
      </c>
      <c r="L108" s="62">
        <f t="shared" si="17"/>
        <v>75</v>
      </c>
      <c r="M108" s="62">
        <v>1</v>
      </c>
      <c r="N108" s="62">
        <v>0</v>
      </c>
      <c r="O108" s="62">
        <v>1</v>
      </c>
    </row>
    <row r="109" spans="1:15" s="62" customFormat="1" x14ac:dyDescent="0.2">
      <c r="A109" s="63">
        <v>108</v>
      </c>
      <c r="B109" s="63">
        <v>58</v>
      </c>
      <c r="C109" s="63">
        <v>66</v>
      </c>
      <c r="D109" s="63"/>
      <c r="E109" s="61">
        <f>LOOKUP(use_fish!B109,base_fish!A:A,base_fish!C:C)+_xlfn.IFNA(INDEX(activity!F:F,MATCH(use_fish!C109,activity!A:A,0)),0)</f>
        <v>150</v>
      </c>
      <c r="F109" s="61">
        <f t="shared" si="16"/>
        <v>6.6666666666666671E-3</v>
      </c>
      <c r="G109" s="61" t="s">
        <v>339</v>
      </c>
      <c r="H109" s="64" t="str">
        <f>INDEX(base_fish!E:E,MATCH(use_fish!B109,base_fish!A:A,0))&amp;_xlfn.IFNA("+"&amp;INDEX(activity!G:G,MATCH(use_fish!C109,activity!A:A,0)),"")</f>
        <v>火鸡鱼+临时活动</v>
      </c>
      <c r="I109" s="61">
        <f>LOOKUP(use_fish!B109,base_fish!A:A,base_fish!F:F)+_xlfn.IFNA(INDEX(activity!F:F,MATCH(use_fish!C109,activity!A:A,0)),0)</f>
        <v>150</v>
      </c>
      <c r="J109" s="62">
        <v>1</v>
      </c>
      <c r="K109" s="62">
        <v>0</v>
      </c>
      <c r="L109" s="62">
        <f t="shared" si="17"/>
        <v>150</v>
      </c>
      <c r="M109" s="62">
        <v>1</v>
      </c>
      <c r="N109" s="62">
        <v>0</v>
      </c>
      <c r="O109" s="62">
        <v>1</v>
      </c>
    </row>
    <row r="110" spans="1:15" s="62" customFormat="1" x14ac:dyDescent="0.2">
      <c r="A110" s="63">
        <v>109</v>
      </c>
      <c r="B110" s="63">
        <v>58</v>
      </c>
      <c r="C110" s="63">
        <v>67</v>
      </c>
      <c r="D110" s="63"/>
      <c r="E110" s="61">
        <f>LOOKUP(use_fish!B110,base_fish!A:A,base_fish!C:C)+_xlfn.IFNA(INDEX(activity!F:F,MATCH(use_fish!C110,activity!A:A,0)),0)</f>
        <v>250</v>
      </c>
      <c r="F110" s="61">
        <f t="shared" si="16"/>
        <v>4.0000000000000001E-3</v>
      </c>
      <c r="G110" s="61" t="s">
        <v>339</v>
      </c>
      <c r="H110" s="64" t="str">
        <f>INDEX(base_fish!E:E,MATCH(use_fish!B110,base_fish!A:A,0))&amp;_xlfn.IFNA("+"&amp;INDEX(activity!G:G,MATCH(use_fish!C110,activity!A:A,0)),"")</f>
        <v>火鸡鱼+临时活动</v>
      </c>
      <c r="I110" s="61">
        <f>LOOKUP(use_fish!B110,base_fish!A:A,base_fish!F:F)+_xlfn.IFNA(INDEX(activity!F:F,MATCH(use_fish!C110,activity!A:A,0)),0)</f>
        <v>250</v>
      </c>
      <c r="J110" s="62">
        <v>1</v>
      </c>
      <c r="K110" s="62">
        <v>0</v>
      </c>
      <c r="L110" s="62">
        <f t="shared" si="17"/>
        <v>250</v>
      </c>
      <c r="M110" s="62">
        <v>1</v>
      </c>
      <c r="N110" s="62">
        <v>0</v>
      </c>
      <c r="O110" s="62">
        <v>1</v>
      </c>
    </row>
    <row r="111" spans="1:15" s="65" customFormat="1" x14ac:dyDescent="0.2">
      <c r="A111" s="66">
        <v>110</v>
      </c>
      <c r="B111" s="66">
        <v>59</v>
      </c>
      <c r="C111" s="66">
        <v>69</v>
      </c>
      <c r="D111" s="66"/>
      <c r="E111" s="57">
        <f>LOOKUP(use_fish!B111,base_fish!A:A,base_fish!C:C)+_xlfn.IFNA(INDEX(activity!F:F,MATCH(use_fish!C111,activity!A:A,0)),0)</f>
        <v>75</v>
      </c>
      <c r="F111" s="67">
        <f t="shared" si="16"/>
        <v>1.3333333333333334E-2</v>
      </c>
      <c r="G111" s="67" t="s">
        <v>339</v>
      </c>
      <c r="H111" s="68" t="str">
        <f>INDEX(base_fish!E:E,MATCH(use_fish!B111,base_fish!A:A,0))&amp;_xlfn.IFNA("+"&amp;INDEX(activity!G:G,MATCH(use_fish!C111,activity!A:A,0)),"")</f>
        <v>话费鱼+话费鱼</v>
      </c>
      <c r="I111" s="67">
        <f>LOOKUP(use_fish!B111,base_fish!A:A,base_fish!F:F)+_xlfn.IFNA(INDEX(activity!F:F,MATCH(use_fish!C111,activity!A:A,0)),0)</f>
        <v>75</v>
      </c>
      <c r="J111" s="65">
        <v>1</v>
      </c>
      <c r="K111" s="65">
        <v>0</v>
      </c>
      <c r="L111" s="65">
        <f t="shared" si="17"/>
        <v>75</v>
      </c>
      <c r="M111" s="65">
        <v>1</v>
      </c>
      <c r="N111" s="65">
        <v>1</v>
      </c>
      <c r="O111" s="65">
        <v>1</v>
      </c>
    </row>
    <row r="112" spans="1:15" s="65" customFormat="1" x14ac:dyDescent="0.2">
      <c r="A112" s="66">
        <v>111</v>
      </c>
      <c r="B112" s="66">
        <v>59</v>
      </c>
      <c r="C112" s="66">
        <v>0</v>
      </c>
      <c r="D112" s="79" t="s">
        <v>460</v>
      </c>
      <c r="E112" s="57">
        <v>0</v>
      </c>
      <c r="F112" s="67">
        <v>0</v>
      </c>
      <c r="G112" s="67" t="s">
        <v>339</v>
      </c>
      <c r="H112" s="68" t="str">
        <f>INDEX(base_fish!E:E,MATCH(use_fish!B112,base_fish!A:A,0))&amp;_xlfn.IFNA("+"&amp;INDEX(activity!G:G,MATCH(use_fish!C112,activity!A:A,0)),"")</f>
        <v>话费鱼</v>
      </c>
      <c r="I112" s="67">
        <f>LOOKUP(use_fish!B112,base_fish!A:A,base_fish!F:F)+_xlfn.IFNA(INDEX(activity!F:F,MATCH(use_fish!C112,activity!A:A,0)),0)</f>
        <v>0</v>
      </c>
      <c r="J112" s="65">
        <v>1</v>
      </c>
      <c r="K112" s="65">
        <v>0</v>
      </c>
      <c r="L112" s="65">
        <f t="shared" si="17"/>
        <v>0</v>
      </c>
      <c r="M112" s="65">
        <v>1</v>
      </c>
      <c r="N112" s="65">
        <v>1</v>
      </c>
      <c r="O112" s="65">
        <v>1</v>
      </c>
    </row>
    <row r="113" spans="1:15" s="74" customFormat="1" x14ac:dyDescent="0.2">
      <c r="A113" s="71">
        <v>112</v>
      </c>
      <c r="B113" s="72">
        <v>13</v>
      </c>
      <c r="C113" s="71">
        <v>73</v>
      </c>
      <c r="D113" s="71"/>
      <c r="E113" s="72">
        <f>LOOKUP(use_fish!B113,base_fish!A:A,base_fish!C:C)+_xlfn.IFNA(INDEX(activity!F:F,MATCH(use_fish!C113,activity!A:A,0)),0)</f>
        <v>30</v>
      </c>
      <c r="F113" s="72">
        <f t="shared" si="16"/>
        <v>3.3333333333333333E-2</v>
      </c>
      <c r="G113" s="72" t="s">
        <v>339</v>
      </c>
      <c r="H113" s="73" t="str">
        <f>INDEX(base_fish!E:E,MATCH(use_fish!B113,base_fish!A:A,0))&amp;_xlfn.IFNA("+"&amp;INDEX(activity!G:G,MATCH(use_fish!C113,activity!A:A,0)),"")</f>
        <v>蝴蝶鱼+临时活动</v>
      </c>
      <c r="I113" s="72">
        <f>LOOKUP(use_fish!B113,base_fish!A:A,base_fish!F:F)+_xlfn.IFNA(INDEX(activity!F:F,MATCH(use_fish!C113,activity!A:A,0)),0)</f>
        <v>30</v>
      </c>
      <c r="J113" s="74">
        <v>1</v>
      </c>
      <c r="K113" s="74">
        <v>0</v>
      </c>
      <c r="L113" s="74">
        <f t="shared" si="17"/>
        <v>30</v>
      </c>
      <c r="M113" s="74">
        <v>1</v>
      </c>
      <c r="N113" s="74">
        <v>0</v>
      </c>
      <c r="O113" s="74">
        <v>1</v>
      </c>
    </row>
    <row r="114" spans="1:15" s="74" customFormat="1" x14ac:dyDescent="0.2">
      <c r="A114" s="71">
        <v>113</v>
      </c>
      <c r="B114" s="72">
        <v>14</v>
      </c>
      <c r="C114" s="71">
        <v>73</v>
      </c>
      <c r="D114" s="71"/>
      <c r="E114" s="72">
        <f>LOOKUP(use_fish!B114,base_fish!A:A,base_fish!C:C)+_xlfn.IFNA(INDEX(activity!F:F,MATCH(use_fish!C114,activity!A:A,0)),0)</f>
        <v>35</v>
      </c>
      <c r="F114" s="72">
        <f t="shared" si="16"/>
        <v>2.8571428571428571E-2</v>
      </c>
      <c r="G114" s="72" t="s">
        <v>339</v>
      </c>
      <c r="H114" s="73" t="str">
        <f>INDEX(base_fish!E:E,MATCH(use_fish!B114,base_fish!A:A,0))&amp;_xlfn.IFNA("+"&amp;INDEX(activity!G:G,MATCH(use_fish!C114,activity!A:A,0)),"")</f>
        <v>巨大小丑鱼+临时活动</v>
      </c>
      <c r="I114" s="72">
        <f>LOOKUP(use_fish!B114,base_fish!A:A,base_fish!F:F)+_xlfn.IFNA(INDEX(activity!F:F,MATCH(use_fish!C114,activity!A:A,0)),0)</f>
        <v>35</v>
      </c>
      <c r="J114" s="74">
        <v>1</v>
      </c>
      <c r="K114" s="74">
        <v>0</v>
      </c>
      <c r="L114" s="74">
        <f t="shared" si="17"/>
        <v>35</v>
      </c>
      <c r="M114" s="74">
        <v>1</v>
      </c>
      <c r="N114" s="74">
        <v>0</v>
      </c>
      <c r="O114" s="74">
        <v>1</v>
      </c>
    </row>
    <row r="115" spans="1:15" s="74" customFormat="1" x14ac:dyDescent="0.2">
      <c r="A115" s="71">
        <v>114</v>
      </c>
      <c r="B115" s="72">
        <v>15</v>
      </c>
      <c r="C115" s="71">
        <v>73</v>
      </c>
      <c r="D115" s="71"/>
      <c r="E115" s="72">
        <f>LOOKUP(use_fish!B115,base_fish!A:A,base_fish!C:C)+_xlfn.IFNA(INDEX(activity!F:F,MATCH(use_fish!C115,activity!A:A,0)),0)</f>
        <v>40</v>
      </c>
      <c r="F115" s="72">
        <f t="shared" si="16"/>
        <v>2.5000000000000001E-2</v>
      </c>
      <c r="G115" s="72" t="s">
        <v>339</v>
      </c>
      <c r="H115" s="73" t="str">
        <f>INDEX(base_fish!E:E,MATCH(use_fish!B115,base_fish!A:A,0))&amp;_xlfn.IFNA("+"&amp;INDEX(activity!G:G,MATCH(use_fish!C115,activity!A:A,0)),"")</f>
        <v>巨大灯笼鱼+临时活动</v>
      </c>
      <c r="I115" s="72">
        <f>LOOKUP(use_fish!B115,base_fish!A:A,base_fish!F:F)+_xlfn.IFNA(INDEX(activity!F:F,MATCH(use_fish!C115,activity!A:A,0)),0)</f>
        <v>40</v>
      </c>
      <c r="J115" s="74">
        <v>1</v>
      </c>
      <c r="K115" s="74">
        <v>0</v>
      </c>
      <c r="L115" s="74">
        <f t="shared" si="17"/>
        <v>40</v>
      </c>
      <c r="M115" s="74">
        <v>1</v>
      </c>
      <c r="N115" s="74">
        <v>0</v>
      </c>
      <c r="O115" s="74">
        <v>1</v>
      </c>
    </row>
    <row r="116" spans="1:15" s="74" customFormat="1" x14ac:dyDescent="0.2">
      <c r="A116" s="71">
        <v>115</v>
      </c>
      <c r="B116" s="72">
        <v>16</v>
      </c>
      <c r="C116" s="71">
        <v>73</v>
      </c>
      <c r="D116" s="71"/>
      <c r="E116" s="72">
        <f>LOOKUP(use_fish!B116,base_fish!A:A,base_fish!C:C)+_xlfn.IFNA(INDEX(activity!F:F,MATCH(use_fish!C116,activity!A:A,0)),0)</f>
        <v>45</v>
      </c>
      <c r="F116" s="72">
        <f t="shared" si="16"/>
        <v>2.2222222222222223E-2</v>
      </c>
      <c r="G116" s="72" t="s">
        <v>339</v>
      </c>
      <c r="H116" s="73" t="str">
        <f>INDEX(base_fish!E:E,MATCH(use_fish!B116,base_fish!A:A,0))&amp;_xlfn.IFNA("+"&amp;INDEX(activity!G:G,MATCH(use_fish!C116,activity!A:A,0)),"")</f>
        <v>巨大燕鱼+临时活动</v>
      </c>
      <c r="I116" s="72">
        <f>LOOKUP(use_fish!B116,base_fish!A:A,base_fish!F:F)+_xlfn.IFNA(INDEX(activity!F:F,MATCH(use_fish!C116,activity!A:A,0)),0)</f>
        <v>45</v>
      </c>
      <c r="J116" s="74">
        <v>1</v>
      </c>
      <c r="K116" s="74">
        <v>0</v>
      </c>
      <c r="L116" s="74">
        <f t="shared" si="17"/>
        <v>45</v>
      </c>
      <c r="M116" s="74">
        <v>1</v>
      </c>
      <c r="N116" s="74">
        <v>0</v>
      </c>
      <c r="O116" s="74">
        <v>1</v>
      </c>
    </row>
    <row r="117" spans="1:15" s="74" customFormat="1" x14ac:dyDescent="0.2">
      <c r="A117" s="71">
        <v>116</v>
      </c>
      <c r="B117" s="72">
        <v>17</v>
      </c>
      <c r="C117" s="71">
        <v>73</v>
      </c>
      <c r="D117" s="71"/>
      <c r="E117" s="72">
        <f>LOOKUP(use_fish!B117,base_fish!A:A,base_fish!C:C)+_xlfn.IFNA(INDEX(activity!F:F,MATCH(use_fish!C117,activity!A:A,0)),0)</f>
        <v>50</v>
      </c>
      <c r="F117" s="72">
        <f t="shared" si="16"/>
        <v>0.02</v>
      </c>
      <c r="G117" s="72" t="s">
        <v>339</v>
      </c>
      <c r="H117" s="73" t="str">
        <f>INDEX(base_fish!E:E,MATCH(use_fish!B117,base_fish!A:A,0))&amp;_xlfn.IFNA("+"&amp;INDEX(activity!G:G,MATCH(use_fish!C117,activity!A:A,0)),"")</f>
        <v>魔鬼鱼+临时活动</v>
      </c>
      <c r="I117" s="72">
        <f>LOOKUP(use_fish!B117,base_fish!A:A,base_fish!F:F)+_xlfn.IFNA(INDEX(activity!F:F,MATCH(use_fish!C117,activity!A:A,0)),0)</f>
        <v>50</v>
      </c>
      <c r="J117" s="74">
        <v>1</v>
      </c>
      <c r="K117" s="74">
        <v>0</v>
      </c>
      <c r="L117" s="74">
        <f t="shared" si="17"/>
        <v>50</v>
      </c>
      <c r="M117" s="74">
        <v>1</v>
      </c>
      <c r="N117" s="74">
        <v>0</v>
      </c>
      <c r="O117" s="74">
        <v>1</v>
      </c>
    </row>
    <row r="118" spans="1:15" s="74" customFormat="1" x14ac:dyDescent="0.2">
      <c r="A118" s="71">
        <v>117</v>
      </c>
      <c r="B118" s="72">
        <v>18</v>
      </c>
      <c r="C118" s="71">
        <v>73</v>
      </c>
      <c r="D118" s="71"/>
      <c r="E118" s="72">
        <f>LOOKUP(use_fish!B118,base_fish!A:A,base_fish!C:C)+_xlfn.IFNA(INDEX(activity!F:F,MATCH(use_fish!C118,activity!A:A,0)),0)</f>
        <v>70</v>
      </c>
      <c r="F118" s="72">
        <f t="shared" si="16"/>
        <v>1.4285714285714285E-2</v>
      </c>
      <c r="G118" s="72" t="s">
        <v>339</v>
      </c>
      <c r="H118" s="73" t="str">
        <f>INDEX(base_fish!E:E,MATCH(use_fish!B118,base_fish!A:A,0))&amp;_xlfn.IFNA("+"&amp;INDEX(activity!G:G,MATCH(use_fish!C118,activity!A:A,0)),"")</f>
        <v>虎鲸+临时活动</v>
      </c>
      <c r="I118" s="72">
        <f>LOOKUP(use_fish!B118,base_fish!A:A,base_fish!F:F)+_xlfn.IFNA(INDEX(activity!F:F,MATCH(use_fish!C118,activity!A:A,0)),0)</f>
        <v>70</v>
      </c>
      <c r="J118" s="74">
        <v>1</v>
      </c>
      <c r="K118" s="74">
        <v>0</v>
      </c>
      <c r="L118" s="74">
        <f t="shared" si="17"/>
        <v>70</v>
      </c>
      <c r="M118" s="74">
        <v>1</v>
      </c>
      <c r="N118" s="74">
        <v>0</v>
      </c>
      <c r="O118" s="74">
        <v>1</v>
      </c>
    </row>
    <row r="119" spans="1:15" s="74" customFormat="1" x14ac:dyDescent="0.2">
      <c r="A119" s="71">
        <v>118</v>
      </c>
      <c r="B119" s="71">
        <v>60</v>
      </c>
      <c r="C119" s="71">
        <v>70</v>
      </c>
      <c r="D119" s="71"/>
      <c r="E119" s="72">
        <f>LOOKUP(use_fish!B119,base_fish!A:A,base_fish!C:C)+_xlfn.IFNA(INDEX(activity!F:F,MATCH(use_fish!C119,activity!A:A,0)),0)</f>
        <v>75</v>
      </c>
      <c r="F119" s="72">
        <f t="shared" si="16"/>
        <v>1.3333333333333334E-2</v>
      </c>
      <c r="G119" s="72" t="s">
        <v>339</v>
      </c>
      <c r="H119" s="73" t="str">
        <f>INDEX(base_fish!E:E,MATCH(use_fish!B119,base_fish!A:A,0))&amp;_xlfn.IFNA("+"&amp;INDEX(activity!G:G,MATCH(use_fish!C119,activity!A:A,0)),"")</f>
        <v>礼盒boss+临时活动</v>
      </c>
      <c r="I119" s="72">
        <f>LOOKUP(use_fish!B119,base_fish!A:A,base_fish!F:F)+_xlfn.IFNA(INDEX(activity!F:F,MATCH(use_fish!C119,activity!A:A,0)),0)</f>
        <v>75</v>
      </c>
      <c r="J119" s="74">
        <v>1</v>
      </c>
      <c r="K119" s="74">
        <v>0</v>
      </c>
      <c r="L119" s="74">
        <f t="shared" si="17"/>
        <v>75</v>
      </c>
      <c r="M119" s="74">
        <v>1</v>
      </c>
      <c r="N119" s="74">
        <v>0</v>
      </c>
      <c r="O119" s="74">
        <v>1</v>
      </c>
    </row>
    <row r="120" spans="1:15" s="74" customFormat="1" x14ac:dyDescent="0.2">
      <c r="A120" s="71">
        <v>119</v>
      </c>
      <c r="B120" s="71">
        <v>60</v>
      </c>
      <c r="C120" s="71">
        <v>71</v>
      </c>
      <c r="D120" s="71"/>
      <c r="E120" s="72">
        <f>LOOKUP(use_fish!B120,base_fish!A:A,base_fish!C:C)+_xlfn.IFNA(INDEX(activity!F:F,MATCH(use_fish!C120,activity!A:A,0)),0)</f>
        <v>150</v>
      </c>
      <c r="F120" s="72">
        <f t="shared" si="16"/>
        <v>6.6666666666666671E-3</v>
      </c>
      <c r="G120" s="72" t="s">
        <v>339</v>
      </c>
      <c r="H120" s="73" t="str">
        <f>INDEX(base_fish!E:E,MATCH(use_fish!B120,base_fish!A:A,0))&amp;_xlfn.IFNA("+"&amp;INDEX(activity!G:G,MATCH(use_fish!C120,activity!A:A,0)),"")</f>
        <v>礼盒boss+临时活动</v>
      </c>
      <c r="I120" s="72">
        <f>LOOKUP(use_fish!B120,base_fish!A:A,base_fish!F:F)+_xlfn.IFNA(INDEX(activity!F:F,MATCH(use_fish!C120,activity!A:A,0)),0)</f>
        <v>150</v>
      </c>
      <c r="J120" s="74">
        <v>1</v>
      </c>
      <c r="K120" s="74">
        <v>0</v>
      </c>
      <c r="L120" s="74">
        <f t="shared" si="17"/>
        <v>150</v>
      </c>
      <c r="M120" s="74">
        <v>1</v>
      </c>
      <c r="N120" s="74">
        <v>0</v>
      </c>
      <c r="O120" s="74">
        <v>1</v>
      </c>
    </row>
    <row r="121" spans="1:15" s="74" customFormat="1" x14ac:dyDescent="0.2">
      <c r="A121" s="71">
        <v>120</v>
      </c>
      <c r="B121" s="71">
        <v>60</v>
      </c>
      <c r="C121" s="71">
        <v>72</v>
      </c>
      <c r="D121" s="71"/>
      <c r="E121" s="72">
        <f>LOOKUP(use_fish!B121,base_fish!A:A,base_fish!C:C)+_xlfn.IFNA(INDEX(activity!F:F,MATCH(use_fish!C121,activity!A:A,0)),0)</f>
        <v>250</v>
      </c>
      <c r="F121" s="72">
        <f t="shared" si="16"/>
        <v>4.0000000000000001E-3</v>
      </c>
      <c r="G121" s="72" t="s">
        <v>339</v>
      </c>
      <c r="H121" s="73" t="str">
        <f>INDEX(base_fish!E:E,MATCH(use_fish!B121,base_fish!A:A,0))&amp;_xlfn.IFNA("+"&amp;INDEX(activity!G:G,MATCH(use_fish!C121,activity!A:A,0)),"")</f>
        <v>礼盒boss+临时活动</v>
      </c>
      <c r="I121" s="72">
        <f>LOOKUP(use_fish!B121,base_fish!A:A,base_fish!F:F)+_xlfn.IFNA(INDEX(activity!F:F,MATCH(use_fish!C121,activity!A:A,0)),0)</f>
        <v>250</v>
      </c>
      <c r="J121" s="74">
        <v>1</v>
      </c>
      <c r="K121" s="74">
        <v>0</v>
      </c>
      <c r="L121" s="74">
        <f t="shared" si="17"/>
        <v>250</v>
      </c>
      <c r="M121" s="74">
        <v>1</v>
      </c>
      <c r="N121" s="74">
        <v>0</v>
      </c>
      <c r="O121" s="74">
        <v>1</v>
      </c>
    </row>
    <row r="122" spans="1:15" s="19" customFormat="1" x14ac:dyDescent="0.2">
      <c r="A122" s="16">
        <v>121</v>
      </c>
      <c r="B122" s="16">
        <v>20</v>
      </c>
      <c r="C122" s="16">
        <v>26</v>
      </c>
      <c r="D122" s="16" t="s">
        <v>248</v>
      </c>
      <c r="E122" s="17">
        <v>65</v>
      </c>
      <c r="F122" s="17">
        <f t="shared" si="16"/>
        <v>1.5384615384615385E-2</v>
      </c>
      <c r="G122" s="17" t="s">
        <v>22</v>
      </c>
      <c r="H122" s="18" t="str">
        <f>INDEX(base_fish!E:E,MATCH(use_fish!B122,base_fish!A:A,0))&amp;_xlfn.IFNA("+"&amp;INDEX(activity!G:G,MATCH(use_fish!C122,activity!A:A,0)),"")</f>
        <v>黄金灯笼鱼+彩贝-场次1</v>
      </c>
      <c r="I122" s="17">
        <v>60</v>
      </c>
      <c r="J122" s="19">
        <v>1</v>
      </c>
      <c r="K122" s="19">
        <f>LOOKUP(use_fish!B122,base_fish!A:A,base_fish!G:G)</f>
        <v>0</v>
      </c>
      <c r="L122" s="19">
        <f t="shared" si="17"/>
        <v>60</v>
      </c>
      <c r="M122" s="19">
        <v>1</v>
      </c>
      <c r="N122" s="19">
        <v>0</v>
      </c>
      <c r="O122" s="19">
        <v>2</v>
      </c>
    </row>
    <row r="123" spans="1:15" s="19" customFormat="1" x14ac:dyDescent="0.2">
      <c r="A123" s="16">
        <v>122</v>
      </c>
      <c r="B123" s="16">
        <v>22</v>
      </c>
      <c r="C123" s="16">
        <v>26</v>
      </c>
      <c r="D123" s="16" t="s">
        <v>277</v>
      </c>
      <c r="E123" s="17">
        <v>65</v>
      </c>
      <c r="F123" s="17">
        <f t="shared" si="16"/>
        <v>1.5384615384615385E-2</v>
      </c>
      <c r="G123" s="17" t="s">
        <v>22</v>
      </c>
      <c r="H123" s="18" t="str">
        <f>INDEX(base_fish!E:E,MATCH(use_fish!B123,base_fish!A:A,0))&amp;_xlfn.IFNA("+"&amp;INDEX(activity!G:G,MATCH(use_fish!C123,activity!A:A,0)),"")</f>
        <v>黄金狮子鱼+彩贝-场次1</v>
      </c>
      <c r="I123" s="17">
        <v>60</v>
      </c>
      <c r="J123" s="19">
        <v>1</v>
      </c>
      <c r="K123" s="19">
        <f>LOOKUP(use_fish!B123,base_fish!A:A,base_fish!G:G)</f>
        <v>0</v>
      </c>
      <c r="L123" s="19">
        <f t="shared" si="17"/>
        <v>60</v>
      </c>
      <c r="M123" s="19">
        <v>1</v>
      </c>
      <c r="N123" s="19">
        <v>0</v>
      </c>
      <c r="O123" s="19">
        <v>2</v>
      </c>
    </row>
    <row r="124" spans="1:15" s="19" customFormat="1" x14ac:dyDescent="0.2">
      <c r="A124" s="16">
        <v>123</v>
      </c>
      <c r="B124" s="16">
        <v>23</v>
      </c>
      <c r="C124" s="16">
        <v>26</v>
      </c>
      <c r="D124" s="16" t="s">
        <v>278</v>
      </c>
      <c r="E124" s="17">
        <v>65</v>
      </c>
      <c r="F124" s="17">
        <f t="shared" si="16"/>
        <v>1.5384615384615385E-2</v>
      </c>
      <c r="G124" s="17" t="s">
        <v>22</v>
      </c>
      <c r="H124" s="18" t="str">
        <f>INDEX(base_fish!E:E,MATCH(use_fish!B124,base_fish!A:A,0))&amp;_xlfn.IFNA("+"&amp;INDEX(activity!G:G,MATCH(use_fish!C124,activity!A:A,0)),"")</f>
        <v>黄金海龟+彩贝-场次1</v>
      </c>
      <c r="I124" s="17">
        <v>60</v>
      </c>
      <c r="J124" s="19">
        <v>1</v>
      </c>
      <c r="K124" s="19">
        <f>LOOKUP(use_fish!B124,base_fish!A:A,base_fish!G:G)</f>
        <v>0</v>
      </c>
      <c r="L124" s="19">
        <f t="shared" si="17"/>
        <v>60</v>
      </c>
      <c r="M124" s="19">
        <v>1</v>
      </c>
      <c r="N124" s="19">
        <v>0</v>
      </c>
      <c r="O124" s="19">
        <v>2</v>
      </c>
    </row>
    <row r="125" spans="1:15" s="19" customFormat="1" x14ac:dyDescent="0.2">
      <c r="A125" s="16">
        <v>124</v>
      </c>
      <c r="B125" s="16">
        <v>25</v>
      </c>
      <c r="C125" s="16">
        <v>26</v>
      </c>
      <c r="D125" s="16" t="s">
        <v>248</v>
      </c>
      <c r="E125" s="17">
        <v>86</v>
      </c>
      <c r="F125" s="17">
        <f t="shared" si="16"/>
        <v>1.1627906976744186E-2</v>
      </c>
      <c r="G125" s="17" t="s">
        <v>22</v>
      </c>
      <c r="H125" s="18" t="str">
        <f>INDEX(base_fish!E:E,MATCH(use_fish!B125,base_fish!A:A,0))&amp;_xlfn.IFNA("+"&amp;INDEX(activity!G:G,MATCH(use_fish!C125,activity!A:A,0)),"")</f>
        <v>金蟾+彩贝-场次1</v>
      </c>
      <c r="I125" s="17">
        <v>80</v>
      </c>
      <c r="J125" s="19">
        <v>1</v>
      </c>
      <c r="K125" s="19">
        <f>LOOKUP(use_fish!B125,base_fish!A:A,base_fish!G:G)</f>
        <v>0</v>
      </c>
      <c r="L125" s="19">
        <f t="shared" si="17"/>
        <v>80</v>
      </c>
      <c r="M125" s="19">
        <v>1</v>
      </c>
      <c r="N125" s="19">
        <v>0</v>
      </c>
      <c r="O125" s="19">
        <v>2</v>
      </c>
    </row>
    <row r="126" spans="1:15" s="19" customFormat="1" x14ac:dyDescent="0.2">
      <c r="A126" s="16">
        <v>125</v>
      </c>
      <c r="B126" s="16">
        <v>26</v>
      </c>
      <c r="C126" s="16">
        <v>26</v>
      </c>
      <c r="D126" s="16" t="s">
        <v>248</v>
      </c>
      <c r="E126" s="17">
        <v>107</v>
      </c>
      <c r="F126" s="17">
        <f t="shared" si="16"/>
        <v>9.3457943925233638E-3</v>
      </c>
      <c r="G126" s="17" t="s">
        <v>22</v>
      </c>
      <c r="H126" s="18" t="str">
        <f>INDEX(base_fish!E:E,MATCH(use_fish!B126,base_fish!A:A,0))&amp;_xlfn.IFNA("+"&amp;INDEX(activity!G:G,MATCH(use_fish!C126,activity!A:A,0)),"")</f>
        <v>大金鲨+彩贝-场次1</v>
      </c>
      <c r="I126" s="17">
        <v>100</v>
      </c>
      <c r="J126" s="19">
        <v>1</v>
      </c>
      <c r="K126" s="19">
        <f>LOOKUP(use_fish!B126,base_fish!A:A,base_fish!G:G)</f>
        <v>0</v>
      </c>
      <c r="L126" s="19">
        <f t="shared" si="17"/>
        <v>100</v>
      </c>
      <c r="M126" s="19">
        <v>1</v>
      </c>
      <c r="N126" s="19">
        <v>0</v>
      </c>
      <c r="O126" s="19">
        <v>2</v>
      </c>
    </row>
    <row r="127" spans="1:15" s="19" customFormat="1" x14ac:dyDescent="0.2">
      <c r="A127" s="16">
        <v>126</v>
      </c>
      <c r="B127" s="16">
        <v>27</v>
      </c>
      <c r="C127" s="16">
        <v>26</v>
      </c>
      <c r="D127" s="16" t="s">
        <v>277</v>
      </c>
      <c r="E127" s="17">
        <v>107</v>
      </c>
      <c r="F127" s="17">
        <f t="shared" si="16"/>
        <v>9.3457943925233638E-3</v>
      </c>
      <c r="G127" s="17" t="s">
        <v>22</v>
      </c>
      <c r="H127" s="18" t="str">
        <f>INDEX(base_fish!E:E,MATCH(use_fish!B127,base_fish!A:A,0))&amp;_xlfn.IFNA("+"&amp;INDEX(activity!G:G,MATCH(use_fish!C127,activity!A:A,0)),"")</f>
        <v>黄金锤头鲨+彩贝-场次1</v>
      </c>
      <c r="I127" s="17">
        <v>100</v>
      </c>
      <c r="J127" s="19">
        <v>1</v>
      </c>
      <c r="K127" s="19">
        <f>LOOKUP(use_fish!B127,base_fish!A:A,base_fish!G:G)</f>
        <v>0</v>
      </c>
      <c r="L127" s="19">
        <f t="shared" si="17"/>
        <v>100</v>
      </c>
      <c r="M127" s="19">
        <v>1</v>
      </c>
      <c r="N127" s="19">
        <v>0</v>
      </c>
      <c r="O127" s="19">
        <v>2</v>
      </c>
    </row>
    <row r="128" spans="1:15" s="78" customFormat="1" x14ac:dyDescent="0.2">
      <c r="A128" s="16">
        <v>127</v>
      </c>
      <c r="B128" s="75">
        <v>20</v>
      </c>
      <c r="C128" s="75">
        <v>27</v>
      </c>
      <c r="D128" s="75" t="s">
        <v>248</v>
      </c>
      <c r="E128" s="76">
        <v>69</v>
      </c>
      <c r="F128" s="76">
        <f t="shared" ref="F128:F133" si="19">1/E128</f>
        <v>1.4492753623188406E-2</v>
      </c>
      <c r="G128" s="76" t="s">
        <v>22</v>
      </c>
      <c r="H128" s="77" t="str">
        <f>INDEX(base_fish!E:E,MATCH(use_fish!B128,base_fish!A:A,0))&amp;_xlfn.IFNA("+"&amp;INDEX(activity!G:G,MATCH(use_fish!C128,activity!A:A,0)),"")</f>
        <v>黄金灯笼鱼+彩贝-场次2</v>
      </c>
      <c r="I128" s="76">
        <v>60</v>
      </c>
      <c r="J128" s="78">
        <v>1</v>
      </c>
      <c r="K128" s="78">
        <f>LOOKUP(use_fish!B128,base_fish!A:A,base_fish!G:G)</f>
        <v>0</v>
      </c>
      <c r="L128" s="78">
        <f t="shared" ref="L128:L133" si="20">I128</f>
        <v>60</v>
      </c>
      <c r="M128" s="78">
        <v>1</v>
      </c>
      <c r="N128" s="78">
        <v>0</v>
      </c>
      <c r="O128" s="78">
        <v>2</v>
      </c>
    </row>
    <row r="129" spans="1:15" s="78" customFormat="1" x14ac:dyDescent="0.2">
      <c r="A129" s="16">
        <v>128</v>
      </c>
      <c r="B129" s="75">
        <v>22</v>
      </c>
      <c r="C129" s="75">
        <v>27</v>
      </c>
      <c r="D129" s="75" t="s">
        <v>277</v>
      </c>
      <c r="E129" s="76">
        <v>69</v>
      </c>
      <c r="F129" s="76">
        <f t="shared" si="19"/>
        <v>1.4492753623188406E-2</v>
      </c>
      <c r="G129" s="76" t="s">
        <v>22</v>
      </c>
      <c r="H129" s="77" t="str">
        <f>INDEX(base_fish!E:E,MATCH(use_fish!B129,base_fish!A:A,0))&amp;_xlfn.IFNA("+"&amp;INDEX(activity!G:G,MATCH(use_fish!C129,activity!A:A,0)),"")</f>
        <v>黄金狮子鱼+彩贝-场次2</v>
      </c>
      <c r="I129" s="76">
        <v>60</v>
      </c>
      <c r="J129" s="78">
        <v>1</v>
      </c>
      <c r="K129" s="78">
        <f>LOOKUP(use_fish!B129,base_fish!A:A,base_fish!G:G)</f>
        <v>0</v>
      </c>
      <c r="L129" s="78">
        <f t="shared" si="20"/>
        <v>60</v>
      </c>
      <c r="M129" s="78">
        <v>1</v>
      </c>
      <c r="N129" s="78">
        <v>0</v>
      </c>
      <c r="O129" s="78">
        <v>2</v>
      </c>
    </row>
    <row r="130" spans="1:15" s="78" customFormat="1" x14ac:dyDescent="0.2">
      <c r="A130" s="16">
        <v>129</v>
      </c>
      <c r="B130" s="75">
        <v>23</v>
      </c>
      <c r="C130" s="75">
        <v>27</v>
      </c>
      <c r="D130" s="75" t="s">
        <v>278</v>
      </c>
      <c r="E130" s="76">
        <v>69</v>
      </c>
      <c r="F130" s="76">
        <f t="shared" si="19"/>
        <v>1.4492753623188406E-2</v>
      </c>
      <c r="G130" s="76" t="s">
        <v>22</v>
      </c>
      <c r="H130" s="77" t="str">
        <f>INDEX(base_fish!E:E,MATCH(use_fish!B130,base_fish!A:A,0))&amp;_xlfn.IFNA("+"&amp;INDEX(activity!G:G,MATCH(use_fish!C130,activity!A:A,0)),"")</f>
        <v>黄金海龟+彩贝-场次2</v>
      </c>
      <c r="I130" s="76">
        <v>60</v>
      </c>
      <c r="J130" s="78">
        <v>1</v>
      </c>
      <c r="K130" s="78">
        <f>LOOKUP(use_fish!B130,base_fish!A:A,base_fish!G:G)</f>
        <v>0</v>
      </c>
      <c r="L130" s="78">
        <f t="shared" si="20"/>
        <v>60</v>
      </c>
      <c r="M130" s="78">
        <v>1</v>
      </c>
      <c r="N130" s="78">
        <v>0</v>
      </c>
      <c r="O130" s="78">
        <v>2</v>
      </c>
    </row>
    <row r="131" spans="1:15" s="78" customFormat="1" x14ac:dyDescent="0.2">
      <c r="A131" s="16">
        <v>130</v>
      </c>
      <c r="B131" s="75">
        <v>25</v>
      </c>
      <c r="C131" s="75">
        <v>27</v>
      </c>
      <c r="D131" s="75" t="s">
        <v>248</v>
      </c>
      <c r="E131" s="76">
        <v>90</v>
      </c>
      <c r="F131" s="76">
        <f t="shared" si="19"/>
        <v>1.1111111111111112E-2</v>
      </c>
      <c r="G131" s="76" t="s">
        <v>22</v>
      </c>
      <c r="H131" s="77" t="str">
        <f>INDEX(base_fish!E:E,MATCH(use_fish!B131,base_fish!A:A,0))&amp;_xlfn.IFNA("+"&amp;INDEX(activity!G:G,MATCH(use_fish!C131,activity!A:A,0)),"")</f>
        <v>金蟾+彩贝-场次2</v>
      </c>
      <c r="I131" s="76">
        <v>80</v>
      </c>
      <c r="J131" s="78">
        <v>1</v>
      </c>
      <c r="K131" s="78">
        <f>LOOKUP(use_fish!B131,base_fish!A:A,base_fish!G:G)</f>
        <v>0</v>
      </c>
      <c r="L131" s="78">
        <f t="shared" si="20"/>
        <v>80</v>
      </c>
      <c r="M131" s="78">
        <v>1</v>
      </c>
      <c r="N131" s="78">
        <v>0</v>
      </c>
      <c r="O131" s="78">
        <v>2</v>
      </c>
    </row>
    <row r="132" spans="1:15" s="78" customFormat="1" x14ac:dyDescent="0.2">
      <c r="A132" s="16">
        <v>131</v>
      </c>
      <c r="B132" s="75">
        <v>26</v>
      </c>
      <c r="C132" s="75">
        <v>27</v>
      </c>
      <c r="D132" s="75" t="s">
        <v>248</v>
      </c>
      <c r="E132" s="76">
        <v>111</v>
      </c>
      <c r="F132" s="76">
        <f t="shared" si="19"/>
        <v>9.0090090090090089E-3</v>
      </c>
      <c r="G132" s="76" t="s">
        <v>22</v>
      </c>
      <c r="H132" s="77" t="str">
        <f>INDEX(base_fish!E:E,MATCH(use_fish!B132,base_fish!A:A,0))&amp;_xlfn.IFNA("+"&amp;INDEX(activity!G:G,MATCH(use_fish!C132,activity!A:A,0)),"")</f>
        <v>大金鲨+彩贝-场次2</v>
      </c>
      <c r="I132" s="76">
        <v>100</v>
      </c>
      <c r="J132" s="78">
        <v>1</v>
      </c>
      <c r="K132" s="78">
        <f>LOOKUP(use_fish!B132,base_fish!A:A,base_fish!G:G)</f>
        <v>0</v>
      </c>
      <c r="L132" s="78">
        <f t="shared" si="20"/>
        <v>100</v>
      </c>
      <c r="M132" s="78">
        <v>1</v>
      </c>
      <c r="N132" s="78">
        <v>0</v>
      </c>
      <c r="O132" s="78">
        <v>2</v>
      </c>
    </row>
    <row r="133" spans="1:15" s="78" customFormat="1" x14ac:dyDescent="0.2">
      <c r="A133" s="16">
        <v>132</v>
      </c>
      <c r="B133" s="75">
        <v>27</v>
      </c>
      <c r="C133" s="75">
        <v>27</v>
      </c>
      <c r="D133" s="75" t="s">
        <v>277</v>
      </c>
      <c r="E133" s="76">
        <v>111</v>
      </c>
      <c r="F133" s="76">
        <f t="shared" si="19"/>
        <v>9.0090090090090089E-3</v>
      </c>
      <c r="G133" s="76" t="s">
        <v>22</v>
      </c>
      <c r="H133" s="77" t="str">
        <f>INDEX(base_fish!E:E,MATCH(use_fish!B133,base_fish!A:A,0))&amp;_xlfn.IFNA("+"&amp;INDEX(activity!G:G,MATCH(use_fish!C133,activity!A:A,0)),"")</f>
        <v>黄金锤头鲨+彩贝-场次2</v>
      </c>
      <c r="I133" s="76">
        <v>100</v>
      </c>
      <c r="J133" s="78">
        <v>1</v>
      </c>
      <c r="K133" s="78">
        <f>LOOKUP(use_fish!B133,base_fish!A:A,base_fish!G:G)</f>
        <v>0</v>
      </c>
      <c r="L133" s="78">
        <f t="shared" si="20"/>
        <v>100</v>
      </c>
      <c r="M133" s="78">
        <v>1</v>
      </c>
      <c r="N133" s="78">
        <v>0</v>
      </c>
      <c r="O133" s="78">
        <v>2</v>
      </c>
    </row>
    <row r="134" spans="1:15" s="19" customFormat="1" x14ac:dyDescent="0.2">
      <c r="A134" s="16">
        <v>133</v>
      </c>
      <c r="B134" s="16">
        <v>20</v>
      </c>
      <c r="C134" s="16">
        <v>40</v>
      </c>
      <c r="D134" s="16" t="s">
        <v>248</v>
      </c>
      <c r="E134" s="17">
        <v>65</v>
      </c>
      <c r="F134" s="17">
        <f t="shared" ref="F134:F139" si="21">1/E134</f>
        <v>1.5384615384615385E-2</v>
      </c>
      <c r="G134" s="17" t="s">
        <v>22</v>
      </c>
      <c r="H134" s="18" t="str">
        <f>INDEX(base_fish!E:E,MATCH(use_fish!B134,base_fish!A:A,0))&amp;_xlfn.IFNA("+"&amp;INDEX(activity!G:G,MATCH(use_fish!C134,activity!A:A,0)),"")</f>
        <v>黄金灯笼鱼+彩贝-场次3</v>
      </c>
      <c r="I134" s="17">
        <v>60</v>
      </c>
      <c r="J134" s="19">
        <v>1</v>
      </c>
      <c r="K134" s="19">
        <f>LOOKUP(use_fish!B134,base_fish!A:A,base_fish!G:G)</f>
        <v>0</v>
      </c>
      <c r="L134" s="19">
        <f t="shared" ref="L134:L139" si="22">I134</f>
        <v>60</v>
      </c>
      <c r="M134" s="19">
        <v>1</v>
      </c>
      <c r="N134" s="19">
        <v>0</v>
      </c>
      <c r="O134" s="19">
        <v>2</v>
      </c>
    </row>
    <row r="135" spans="1:15" s="19" customFormat="1" x14ac:dyDescent="0.2">
      <c r="A135" s="16">
        <v>134</v>
      </c>
      <c r="B135" s="16">
        <v>22</v>
      </c>
      <c r="C135" s="16">
        <v>40</v>
      </c>
      <c r="D135" s="16" t="s">
        <v>277</v>
      </c>
      <c r="E135" s="17">
        <v>65</v>
      </c>
      <c r="F135" s="17">
        <f t="shared" si="21"/>
        <v>1.5384615384615385E-2</v>
      </c>
      <c r="G135" s="17" t="s">
        <v>22</v>
      </c>
      <c r="H135" s="18" t="str">
        <f>INDEX(base_fish!E:E,MATCH(use_fish!B135,base_fish!A:A,0))&amp;_xlfn.IFNA("+"&amp;INDEX(activity!G:G,MATCH(use_fish!C135,activity!A:A,0)),"")</f>
        <v>黄金狮子鱼+彩贝-场次3</v>
      </c>
      <c r="I135" s="17">
        <v>60</v>
      </c>
      <c r="J135" s="19">
        <v>1</v>
      </c>
      <c r="K135" s="19">
        <f>LOOKUP(use_fish!B135,base_fish!A:A,base_fish!G:G)</f>
        <v>0</v>
      </c>
      <c r="L135" s="19">
        <f t="shared" si="22"/>
        <v>60</v>
      </c>
      <c r="M135" s="19">
        <v>1</v>
      </c>
      <c r="N135" s="19">
        <v>0</v>
      </c>
      <c r="O135" s="19">
        <v>2</v>
      </c>
    </row>
    <row r="136" spans="1:15" s="19" customFormat="1" x14ac:dyDescent="0.2">
      <c r="A136" s="16">
        <v>135</v>
      </c>
      <c r="B136" s="16">
        <v>23</v>
      </c>
      <c r="C136" s="16">
        <v>40</v>
      </c>
      <c r="D136" s="16" t="s">
        <v>278</v>
      </c>
      <c r="E136" s="17">
        <v>65</v>
      </c>
      <c r="F136" s="17">
        <f t="shared" si="21"/>
        <v>1.5384615384615385E-2</v>
      </c>
      <c r="G136" s="17" t="s">
        <v>22</v>
      </c>
      <c r="H136" s="18" t="str">
        <f>INDEX(base_fish!E:E,MATCH(use_fish!B136,base_fish!A:A,0))&amp;_xlfn.IFNA("+"&amp;INDEX(activity!G:G,MATCH(use_fish!C136,activity!A:A,0)),"")</f>
        <v>黄金海龟+彩贝-场次3</v>
      </c>
      <c r="I136" s="17">
        <v>60</v>
      </c>
      <c r="J136" s="19">
        <v>1</v>
      </c>
      <c r="K136" s="19">
        <f>LOOKUP(use_fish!B136,base_fish!A:A,base_fish!G:G)</f>
        <v>0</v>
      </c>
      <c r="L136" s="19">
        <f t="shared" si="22"/>
        <v>60</v>
      </c>
      <c r="M136" s="19">
        <v>1</v>
      </c>
      <c r="N136" s="19">
        <v>0</v>
      </c>
      <c r="O136" s="19">
        <v>2</v>
      </c>
    </row>
    <row r="137" spans="1:15" s="19" customFormat="1" x14ac:dyDescent="0.2">
      <c r="A137" s="16">
        <v>136</v>
      </c>
      <c r="B137" s="16">
        <v>25</v>
      </c>
      <c r="C137" s="16">
        <v>40</v>
      </c>
      <c r="D137" s="16" t="s">
        <v>248</v>
      </c>
      <c r="E137" s="17">
        <v>86</v>
      </c>
      <c r="F137" s="17">
        <f t="shared" si="21"/>
        <v>1.1627906976744186E-2</v>
      </c>
      <c r="G137" s="17" t="s">
        <v>22</v>
      </c>
      <c r="H137" s="18" t="str">
        <f>INDEX(base_fish!E:E,MATCH(use_fish!B137,base_fish!A:A,0))&amp;_xlfn.IFNA("+"&amp;INDEX(activity!G:G,MATCH(use_fish!C137,activity!A:A,0)),"")</f>
        <v>金蟾+彩贝-场次3</v>
      </c>
      <c r="I137" s="17">
        <v>80</v>
      </c>
      <c r="J137" s="19">
        <v>1</v>
      </c>
      <c r="K137" s="19">
        <f>LOOKUP(use_fish!B137,base_fish!A:A,base_fish!G:G)</f>
        <v>0</v>
      </c>
      <c r="L137" s="19">
        <f t="shared" si="22"/>
        <v>80</v>
      </c>
      <c r="M137" s="19">
        <v>1</v>
      </c>
      <c r="N137" s="19">
        <v>0</v>
      </c>
      <c r="O137" s="19">
        <v>2</v>
      </c>
    </row>
    <row r="138" spans="1:15" s="19" customFormat="1" x14ac:dyDescent="0.2">
      <c r="A138" s="16">
        <v>137</v>
      </c>
      <c r="B138" s="16">
        <v>26</v>
      </c>
      <c r="C138" s="16">
        <v>40</v>
      </c>
      <c r="D138" s="16" t="s">
        <v>248</v>
      </c>
      <c r="E138" s="17">
        <v>107</v>
      </c>
      <c r="F138" s="17">
        <f t="shared" si="21"/>
        <v>9.3457943925233638E-3</v>
      </c>
      <c r="G138" s="17" t="s">
        <v>22</v>
      </c>
      <c r="H138" s="18" t="str">
        <f>INDEX(base_fish!E:E,MATCH(use_fish!B138,base_fish!A:A,0))&amp;_xlfn.IFNA("+"&amp;INDEX(activity!G:G,MATCH(use_fish!C138,activity!A:A,0)),"")</f>
        <v>大金鲨+彩贝-场次3</v>
      </c>
      <c r="I138" s="17">
        <v>100</v>
      </c>
      <c r="J138" s="19">
        <v>1</v>
      </c>
      <c r="K138" s="19">
        <f>LOOKUP(use_fish!B138,base_fish!A:A,base_fish!G:G)</f>
        <v>0</v>
      </c>
      <c r="L138" s="19">
        <f t="shared" si="22"/>
        <v>100</v>
      </c>
      <c r="M138" s="19">
        <v>1</v>
      </c>
      <c r="N138" s="19">
        <v>0</v>
      </c>
      <c r="O138" s="19">
        <v>2</v>
      </c>
    </row>
    <row r="139" spans="1:15" s="19" customFormat="1" x14ac:dyDescent="0.2">
      <c r="A139" s="16">
        <v>138</v>
      </c>
      <c r="B139" s="16">
        <v>27</v>
      </c>
      <c r="C139" s="16">
        <v>40</v>
      </c>
      <c r="D139" s="16" t="s">
        <v>277</v>
      </c>
      <c r="E139" s="17">
        <v>107</v>
      </c>
      <c r="F139" s="17">
        <f t="shared" si="21"/>
        <v>9.3457943925233638E-3</v>
      </c>
      <c r="G139" s="17" t="s">
        <v>22</v>
      </c>
      <c r="H139" s="18" t="str">
        <f>INDEX(base_fish!E:E,MATCH(use_fish!B139,base_fish!A:A,0))&amp;_xlfn.IFNA("+"&amp;INDEX(activity!G:G,MATCH(use_fish!C139,activity!A:A,0)),"")</f>
        <v>黄金锤头鲨+彩贝-场次3</v>
      </c>
      <c r="I139" s="17">
        <v>100</v>
      </c>
      <c r="J139" s="19">
        <v>1</v>
      </c>
      <c r="K139" s="19">
        <f>LOOKUP(use_fish!B139,base_fish!A:A,base_fish!G:G)</f>
        <v>0</v>
      </c>
      <c r="L139" s="19">
        <f t="shared" si="22"/>
        <v>100</v>
      </c>
      <c r="M139" s="19">
        <v>1</v>
      </c>
      <c r="N139" s="19">
        <v>0</v>
      </c>
      <c r="O139" s="19">
        <v>2</v>
      </c>
    </row>
    <row r="140" spans="1:15" s="78" customFormat="1" x14ac:dyDescent="0.2">
      <c r="A140" s="16">
        <v>139</v>
      </c>
      <c r="B140" s="75">
        <v>20</v>
      </c>
      <c r="C140" s="75">
        <v>41</v>
      </c>
      <c r="D140" s="75" t="s">
        <v>248</v>
      </c>
      <c r="E140" s="76">
        <v>65</v>
      </c>
      <c r="F140" s="76">
        <f t="shared" ref="F140:F145" si="23">1/E140</f>
        <v>1.5384615384615385E-2</v>
      </c>
      <c r="G140" s="76" t="s">
        <v>22</v>
      </c>
      <c r="H140" s="77" t="str">
        <f>INDEX(base_fish!E:E,MATCH(use_fish!B140,base_fish!A:A,0))&amp;_xlfn.IFNA("+"&amp;INDEX(activity!G:G,MATCH(use_fish!C140,activity!A:A,0)),"")</f>
        <v>黄金灯笼鱼+彩贝-场次4</v>
      </c>
      <c r="I140" s="76">
        <v>60</v>
      </c>
      <c r="J140" s="78">
        <v>1</v>
      </c>
      <c r="K140" s="78">
        <f>LOOKUP(use_fish!B140,base_fish!A:A,base_fish!G:G)</f>
        <v>0</v>
      </c>
      <c r="L140" s="78">
        <f t="shared" ref="L140:L145" si="24">I140</f>
        <v>60</v>
      </c>
      <c r="M140" s="78">
        <v>1</v>
      </c>
      <c r="N140" s="78">
        <v>0</v>
      </c>
      <c r="O140" s="78">
        <v>2</v>
      </c>
    </row>
    <row r="141" spans="1:15" s="78" customFormat="1" x14ac:dyDescent="0.2">
      <c r="A141" s="16">
        <v>140</v>
      </c>
      <c r="B141" s="75">
        <v>22</v>
      </c>
      <c r="C141" s="75">
        <v>41</v>
      </c>
      <c r="D141" s="75" t="s">
        <v>277</v>
      </c>
      <c r="E141" s="76">
        <v>65</v>
      </c>
      <c r="F141" s="76">
        <f t="shared" si="23"/>
        <v>1.5384615384615385E-2</v>
      </c>
      <c r="G141" s="76" t="s">
        <v>22</v>
      </c>
      <c r="H141" s="77" t="str">
        <f>INDEX(base_fish!E:E,MATCH(use_fish!B141,base_fish!A:A,0))&amp;_xlfn.IFNA("+"&amp;INDEX(activity!G:G,MATCH(use_fish!C141,activity!A:A,0)),"")</f>
        <v>黄金狮子鱼+彩贝-场次4</v>
      </c>
      <c r="I141" s="76">
        <v>60</v>
      </c>
      <c r="J141" s="78">
        <v>1</v>
      </c>
      <c r="K141" s="78">
        <f>LOOKUP(use_fish!B141,base_fish!A:A,base_fish!G:G)</f>
        <v>0</v>
      </c>
      <c r="L141" s="78">
        <f t="shared" si="24"/>
        <v>60</v>
      </c>
      <c r="M141" s="78">
        <v>1</v>
      </c>
      <c r="N141" s="78">
        <v>0</v>
      </c>
      <c r="O141" s="78">
        <v>2</v>
      </c>
    </row>
    <row r="142" spans="1:15" s="78" customFormat="1" x14ac:dyDescent="0.2">
      <c r="A142" s="16">
        <v>141</v>
      </c>
      <c r="B142" s="75">
        <v>23</v>
      </c>
      <c r="C142" s="75">
        <v>41</v>
      </c>
      <c r="D142" s="75" t="s">
        <v>278</v>
      </c>
      <c r="E142" s="76">
        <v>65</v>
      </c>
      <c r="F142" s="76">
        <f t="shared" si="23"/>
        <v>1.5384615384615385E-2</v>
      </c>
      <c r="G142" s="76" t="s">
        <v>22</v>
      </c>
      <c r="H142" s="77" t="str">
        <f>INDEX(base_fish!E:E,MATCH(use_fish!B142,base_fish!A:A,0))&amp;_xlfn.IFNA("+"&amp;INDEX(activity!G:G,MATCH(use_fish!C142,activity!A:A,0)),"")</f>
        <v>黄金海龟+彩贝-场次4</v>
      </c>
      <c r="I142" s="76">
        <v>60</v>
      </c>
      <c r="J142" s="78">
        <v>1</v>
      </c>
      <c r="K142" s="78">
        <f>LOOKUP(use_fish!B142,base_fish!A:A,base_fish!G:G)</f>
        <v>0</v>
      </c>
      <c r="L142" s="78">
        <f t="shared" si="24"/>
        <v>60</v>
      </c>
      <c r="M142" s="78">
        <v>1</v>
      </c>
      <c r="N142" s="78">
        <v>0</v>
      </c>
      <c r="O142" s="78">
        <v>2</v>
      </c>
    </row>
    <row r="143" spans="1:15" s="78" customFormat="1" x14ac:dyDescent="0.2">
      <c r="A143" s="16">
        <v>142</v>
      </c>
      <c r="B143" s="75">
        <v>25</v>
      </c>
      <c r="C143" s="75">
        <v>41</v>
      </c>
      <c r="D143" s="75" t="s">
        <v>248</v>
      </c>
      <c r="E143" s="76">
        <v>86</v>
      </c>
      <c r="F143" s="76">
        <f t="shared" si="23"/>
        <v>1.1627906976744186E-2</v>
      </c>
      <c r="G143" s="76" t="s">
        <v>22</v>
      </c>
      <c r="H143" s="77" t="str">
        <f>INDEX(base_fish!E:E,MATCH(use_fish!B143,base_fish!A:A,0))&amp;_xlfn.IFNA("+"&amp;INDEX(activity!G:G,MATCH(use_fish!C143,activity!A:A,0)),"")</f>
        <v>金蟾+彩贝-场次4</v>
      </c>
      <c r="I143" s="76">
        <v>80</v>
      </c>
      <c r="J143" s="78">
        <v>1</v>
      </c>
      <c r="K143" s="78">
        <f>LOOKUP(use_fish!B143,base_fish!A:A,base_fish!G:G)</f>
        <v>0</v>
      </c>
      <c r="L143" s="78">
        <f t="shared" si="24"/>
        <v>80</v>
      </c>
      <c r="M143" s="78">
        <v>1</v>
      </c>
      <c r="N143" s="78">
        <v>0</v>
      </c>
      <c r="O143" s="78">
        <v>2</v>
      </c>
    </row>
    <row r="144" spans="1:15" s="78" customFormat="1" x14ac:dyDescent="0.2">
      <c r="A144" s="16">
        <v>143</v>
      </c>
      <c r="B144" s="75">
        <v>26</v>
      </c>
      <c r="C144" s="75">
        <v>41</v>
      </c>
      <c r="D144" s="75" t="s">
        <v>248</v>
      </c>
      <c r="E144" s="76">
        <v>107</v>
      </c>
      <c r="F144" s="76">
        <f t="shared" si="23"/>
        <v>9.3457943925233638E-3</v>
      </c>
      <c r="G144" s="76" t="s">
        <v>22</v>
      </c>
      <c r="H144" s="77" t="str">
        <f>INDEX(base_fish!E:E,MATCH(use_fish!B144,base_fish!A:A,0))&amp;_xlfn.IFNA("+"&amp;INDEX(activity!G:G,MATCH(use_fish!C144,activity!A:A,0)),"")</f>
        <v>大金鲨+彩贝-场次4</v>
      </c>
      <c r="I144" s="76">
        <v>100</v>
      </c>
      <c r="J144" s="78">
        <v>1</v>
      </c>
      <c r="K144" s="78">
        <f>LOOKUP(use_fish!B144,base_fish!A:A,base_fish!G:G)</f>
        <v>0</v>
      </c>
      <c r="L144" s="78">
        <f t="shared" si="24"/>
        <v>100</v>
      </c>
      <c r="M144" s="78">
        <v>1</v>
      </c>
      <c r="N144" s="78">
        <v>0</v>
      </c>
      <c r="O144" s="78">
        <v>2</v>
      </c>
    </row>
    <row r="145" spans="1:15" s="78" customFormat="1" x14ac:dyDescent="0.2">
      <c r="A145" s="16">
        <v>144</v>
      </c>
      <c r="B145" s="75">
        <v>27</v>
      </c>
      <c r="C145" s="75">
        <v>41</v>
      </c>
      <c r="D145" s="75" t="s">
        <v>277</v>
      </c>
      <c r="E145" s="76">
        <v>107</v>
      </c>
      <c r="F145" s="76">
        <f t="shared" si="23"/>
        <v>9.3457943925233638E-3</v>
      </c>
      <c r="G145" s="76" t="s">
        <v>22</v>
      </c>
      <c r="H145" s="77" t="str">
        <f>INDEX(base_fish!E:E,MATCH(use_fish!B145,base_fish!A:A,0))&amp;_xlfn.IFNA("+"&amp;INDEX(activity!G:G,MATCH(use_fish!C145,activity!A:A,0)),"")</f>
        <v>黄金锤头鲨+彩贝-场次4</v>
      </c>
      <c r="I145" s="76">
        <v>100</v>
      </c>
      <c r="J145" s="78">
        <v>1</v>
      </c>
      <c r="K145" s="78">
        <f>LOOKUP(use_fish!B145,base_fish!A:A,base_fish!G:G)</f>
        <v>0</v>
      </c>
      <c r="L145" s="78">
        <f t="shared" si="24"/>
        <v>100</v>
      </c>
      <c r="M145" s="78">
        <v>1</v>
      </c>
      <c r="N145" s="78">
        <v>0</v>
      </c>
      <c r="O145" s="78">
        <v>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74"/>
  <sheetViews>
    <sheetView zoomScale="130" zoomScaleNormal="130" workbookViewId="0">
      <pane ySplit="1" topLeftCell="A53" activePane="bottomLeft" state="frozen"/>
      <selection pane="bottomLeft" activeCell="C77" sqref="C77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0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0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0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 t="shared" si="1"/>
        <v>电磁弹</v>
      </c>
      <c r="H32">
        <v>40</v>
      </c>
      <c r="I32" t="s">
        <v>381</v>
      </c>
    </row>
    <row r="33" spans="1:9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 t="shared" si="1"/>
        <v>金币转盘</v>
      </c>
      <c r="H33">
        <v>41</v>
      </c>
      <c r="I33" t="s">
        <v>382</v>
      </c>
    </row>
    <row r="34" spans="1:9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  <c r="H34">
        <v>42</v>
      </c>
      <c r="I34" t="s">
        <v>389</v>
      </c>
    </row>
    <row r="35" spans="1:9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  <c r="H35">
        <v>43</v>
      </c>
      <c r="I35" t="s">
        <v>385</v>
      </c>
    </row>
    <row r="36" spans="1:9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386</v>
      </c>
    </row>
    <row r="37" spans="1:9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  <c r="H37">
        <v>45</v>
      </c>
      <c r="I37" t="s">
        <v>387</v>
      </c>
    </row>
    <row r="38" spans="1:9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  <c r="H38">
        <v>46</v>
      </c>
      <c r="I38" t="s">
        <v>390</v>
      </c>
    </row>
    <row r="39" spans="1:9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  <c r="H39">
        <v>47</v>
      </c>
      <c r="I39" t="s">
        <v>391</v>
      </c>
    </row>
    <row r="40" spans="1:9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9" x14ac:dyDescent="0.2">
      <c r="A41">
        <v>40</v>
      </c>
      <c r="B41">
        <v>21</v>
      </c>
      <c r="C41" s="9" t="s">
        <v>305</v>
      </c>
      <c r="D41" s="4">
        <v>0</v>
      </c>
      <c r="E41" s="4">
        <v>0</v>
      </c>
      <c r="F41">
        <v>2</v>
      </c>
      <c r="G41" t="s">
        <v>303</v>
      </c>
    </row>
    <row r="42" spans="1:9" x14ac:dyDescent="0.2">
      <c r="A42">
        <v>41</v>
      </c>
      <c r="B42">
        <v>21</v>
      </c>
      <c r="C42" s="9" t="s">
        <v>306</v>
      </c>
      <c r="D42" s="4">
        <v>0</v>
      </c>
      <c r="E42" s="4">
        <v>0</v>
      </c>
      <c r="F42">
        <v>2</v>
      </c>
      <c r="G42" t="s">
        <v>304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9" s="55" customFormat="1" x14ac:dyDescent="0.2">
      <c r="A45" s="55">
        <v>44</v>
      </c>
      <c r="B45" s="55">
        <v>9</v>
      </c>
      <c r="C45" s="55" t="s">
        <v>346</v>
      </c>
      <c r="D45" s="4" t="s">
        <v>388</v>
      </c>
      <c r="E45" s="4">
        <v>1</v>
      </c>
      <c r="F45" s="55">
        <v>200</v>
      </c>
      <c r="G45" s="55" t="s">
        <v>88</v>
      </c>
    </row>
    <row r="46" spans="1:9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9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9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  <row r="57" spans="1:7" x14ac:dyDescent="0.2">
      <c r="A57" s="59">
        <v>56</v>
      </c>
      <c r="B57" s="59">
        <v>9</v>
      </c>
      <c r="C57" s="59" t="s">
        <v>367</v>
      </c>
      <c r="D57" s="60">
        <v>0</v>
      </c>
      <c r="E57" s="60">
        <v>1</v>
      </c>
      <c r="F57" s="59">
        <v>75</v>
      </c>
      <c r="G57" s="59" t="s">
        <v>88</v>
      </c>
    </row>
    <row r="58" spans="1:7" x14ac:dyDescent="0.2">
      <c r="A58" s="59">
        <v>57</v>
      </c>
      <c r="B58" s="59">
        <v>9</v>
      </c>
      <c r="C58" s="59" t="s">
        <v>368</v>
      </c>
      <c r="D58" s="60">
        <v>0</v>
      </c>
      <c r="E58" s="60">
        <v>1</v>
      </c>
      <c r="F58" s="59">
        <v>150</v>
      </c>
      <c r="G58" s="59" t="s">
        <v>88</v>
      </c>
    </row>
    <row r="59" spans="1:7" x14ac:dyDescent="0.2">
      <c r="A59" s="59">
        <v>58</v>
      </c>
      <c r="B59" s="59">
        <v>9</v>
      </c>
      <c r="C59" s="59" t="s">
        <v>369</v>
      </c>
      <c r="D59" s="60">
        <v>0</v>
      </c>
      <c r="E59" s="60">
        <v>1</v>
      </c>
      <c r="F59" s="59">
        <v>250</v>
      </c>
      <c r="G59" s="59" t="s">
        <v>88</v>
      </c>
    </row>
    <row r="60" spans="1:7" x14ac:dyDescent="0.2">
      <c r="A60" s="59">
        <v>59</v>
      </c>
      <c r="B60" s="59">
        <v>9</v>
      </c>
      <c r="C60" s="59" t="s">
        <v>380</v>
      </c>
      <c r="D60" s="60">
        <v>1</v>
      </c>
      <c r="E60" s="60">
        <v>1</v>
      </c>
      <c r="F60" s="59">
        <v>10</v>
      </c>
      <c r="G60" s="59" t="s">
        <v>88</v>
      </c>
    </row>
    <row r="61" spans="1:7" x14ac:dyDescent="0.2">
      <c r="A61">
        <v>60</v>
      </c>
      <c r="B61">
        <v>40</v>
      </c>
      <c r="C61" s="9" t="s">
        <v>393</v>
      </c>
      <c r="D61" s="4">
        <v>0</v>
      </c>
      <c r="E61" s="4">
        <v>1</v>
      </c>
      <c r="F61">
        <v>1000000</v>
      </c>
      <c r="G61" t="s">
        <v>395</v>
      </c>
    </row>
    <row r="62" spans="1:7" x14ac:dyDescent="0.2">
      <c r="A62">
        <v>61</v>
      </c>
      <c r="B62">
        <v>41</v>
      </c>
      <c r="C62" s="9" t="s">
        <v>394</v>
      </c>
      <c r="D62" s="4">
        <v>0</v>
      </c>
      <c r="E62" s="4">
        <v>1</v>
      </c>
      <c r="F62">
        <v>5000000</v>
      </c>
      <c r="G62" t="s">
        <v>396</v>
      </c>
    </row>
    <row r="63" spans="1:7" x14ac:dyDescent="0.2">
      <c r="A63">
        <v>62</v>
      </c>
      <c r="B63">
        <v>42</v>
      </c>
      <c r="C63" s="9" t="s">
        <v>392</v>
      </c>
      <c r="D63" s="4">
        <v>0</v>
      </c>
      <c r="E63" s="4">
        <v>1</v>
      </c>
      <c r="F63">
        <v>10000000</v>
      </c>
      <c r="G63" t="s">
        <v>397</v>
      </c>
    </row>
    <row r="64" spans="1:7" x14ac:dyDescent="0.2">
      <c r="A64">
        <v>63</v>
      </c>
      <c r="B64">
        <v>46</v>
      </c>
      <c r="C64" s="9" t="s">
        <v>383</v>
      </c>
      <c r="D64" s="4">
        <v>0</v>
      </c>
      <c r="E64" s="4">
        <v>1</v>
      </c>
      <c r="F64">
        <v>50000000</v>
      </c>
      <c r="G64" t="s">
        <v>398</v>
      </c>
    </row>
    <row r="65" spans="1:7" x14ac:dyDescent="0.2">
      <c r="A65">
        <v>64</v>
      </c>
      <c r="B65">
        <v>47</v>
      </c>
      <c r="C65" s="9" t="s">
        <v>384</v>
      </c>
      <c r="D65" s="4">
        <v>0</v>
      </c>
      <c r="E65" s="4">
        <v>1</v>
      </c>
      <c r="F65">
        <v>100000000</v>
      </c>
      <c r="G65" t="s">
        <v>399</v>
      </c>
    </row>
    <row r="66" spans="1:7" s="62" customFormat="1" x14ac:dyDescent="0.2">
      <c r="A66" s="62">
        <v>65</v>
      </c>
      <c r="B66" s="59">
        <v>9</v>
      </c>
      <c r="C66" s="59" t="s">
        <v>413</v>
      </c>
      <c r="D66" s="60">
        <v>0</v>
      </c>
      <c r="E66" s="60">
        <v>1</v>
      </c>
      <c r="F66" s="59">
        <v>75</v>
      </c>
      <c r="G66" s="59" t="s">
        <v>88</v>
      </c>
    </row>
    <row r="67" spans="1:7" x14ac:dyDescent="0.2">
      <c r="A67">
        <v>66</v>
      </c>
      <c r="B67" s="59">
        <v>9</v>
      </c>
      <c r="C67" s="59" t="s">
        <v>414</v>
      </c>
      <c r="D67" s="60">
        <v>0</v>
      </c>
      <c r="E67" s="60">
        <v>1</v>
      </c>
      <c r="F67" s="59">
        <v>150</v>
      </c>
      <c r="G67" s="59" t="s">
        <v>88</v>
      </c>
    </row>
    <row r="68" spans="1:7" x14ac:dyDescent="0.2">
      <c r="A68">
        <v>67</v>
      </c>
      <c r="B68" s="59">
        <v>9</v>
      </c>
      <c r="C68" s="59" t="s">
        <v>415</v>
      </c>
      <c r="D68" s="60">
        <v>0</v>
      </c>
      <c r="E68" s="60">
        <v>1</v>
      </c>
      <c r="F68" s="59">
        <v>250</v>
      </c>
      <c r="G68" s="59" t="s">
        <v>88</v>
      </c>
    </row>
    <row r="69" spans="1:7" x14ac:dyDescent="0.2">
      <c r="A69">
        <v>68</v>
      </c>
      <c r="B69" s="59">
        <v>9</v>
      </c>
      <c r="C69" s="59" t="s">
        <v>416</v>
      </c>
      <c r="D69" s="60">
        <v>1</v>
      </c>
      <c r="E69" s="60">
        <v>1</v>
      </c>
      <c r="F69" s="59">
        <v>10</v>
      </c>
      <c r="G69" s="59" t="s">
        <v>88</v>
      </c>
    </row>
    <row r="70" spans="1:7" s="65" customFormat="1" x14ac:dyDescent="0.2">
      <c r="A70" s="65">
        <v>69</v>
      </c>
      <c r="B70" s="65">
        <v>9</v>
      </c>
      <c r="C70" s="65" t="s">
        <v>421</v>
      </c>
      <c r="D70" s="66">
        <v>1</v>
      </c>
      <c r="E70" s="66">
        <v>1</v>
      </c>
      <c r="F70" s="65">
        <v>75</v>
      </c>
      <c r="G70" s="65" t="s">
        <v>418</v>
      </c>
    </row>
    <row r="71" spans="1:7" s="69" customFormat="1" x14ac:dyDescent="0.2">
      <c r="A71" s="69">
        <v>70</v>
      </c>
      <c r="B71" s="69">
        <v>9</v>
      </c>
      <c r="C71" s="69" t="s">
        <v>423</v>
      </c>
      <c r="D71" s="70">
        <v>0</v>
      </c>
      <c r="E71" s="70">
        <v>1</v>
      </c>
      <c r="F71" s="69">
        <v>75</v>
      </c>
      <c r="G71" s="69" t="s">
        <v>88</v>
      </c>
    </row>
    <row r="72" spans="1:7" s="69" customFormat="1" x14ac:dyDescent="0.2">
      <c r="A72" s="69">
        <v>71</v>
      </c>
      <c r="B72" s="69">
        <v>9</v>
      </c>
      <c r="C72" s="69" t="s">
        <v>424</v>
      </c>
      <c r="D72" s="70">
        <v>0</v>
      </c>
      <c r="E72" s="70">
        <v>1</v>
      </c>
      <c r="F72" s="69">
        <v>150</v>
      </c>
      <c r="G72" s="69" t="s">
        <v>88</v>
      </c>
    </row>
    <row r="73" spans="1:7" s="69" customFormat="1" x14ac:dyDescent="0.2">
      <c r="A73" s="69">
        <v>72</v>
      </c>
      <c r="B73" s="69">
        <v>9</v>
      </c>
      <c r="C73" s="69" t="s">
        <v>425</v>
      </c>
      <c r="D73" s="70">
        <v>0</v>
      </c>
      <c r="E73" s="70">
        <v>1</v>
      </c>
      <c r="F73" s="69">
        <v>250</v>
      </c>
      <c r="G73" s="69" t="s">
        <v>88</v>
      </c>
    </row>
    <row r="74" spans="1:7" s="69" customFormat="1" x14ac:dyDescent="0.2">
      <c r="A74" s="69">
        <v>73</v>
      </c>
      <c r="B74" s="69">
        <v>9</v>
      </c>
      <c r="C74" s="69" t="s">
        <v>426</v>
      </c>
      <c r="D74" s="70">
        <v>1</v>
      </c>
      <c r="E74" s="70">
        <v>1</v>
      </c>
      <c r="F74" s="69">
        <v>10</v>
      </c>
      <c r="G74" s="69" t="s">
        <v>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1"/>
  <sheetViews>
    <sheetView zoomScaleNormal="100" workbookViewId="0">
      <pane ySplit="1" topLeftCell="A47" activePane="bottomLeft" state="frozen"/>
      <selection pane="bottomLeft" activeCell="D70" sqref="D70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366</v>
      </c>
      <c r="F58" s="2">
        <v>0</v>
      </c>
      <c r="G58" s="2">
        <v>0</v>
      </c>
    </row>
    <row r="59" spans="1:7" s="61" customFormat="1" x14ac:dyDescent="0.2">
      <c r="A59" s="61">
        <v>58</v>
      </c>
      <c r="B59" s="61">
        <v>1</v>
      </c>
      <c r="C59" s="61">
        <v>0</v>
      </c>
      <c r="D59" s="61">
        <v>0</v>
      </c>
      <c r="E59" s="61" t="s">
        <v>403</v>
      </c>
      <c r="F59" s="61">
        <v>0</v>
      </c>
      <c r="G59" s="61">
        <v>0</v>
      </c>
    </row>
    <row r="60" spans="1:7" x14ac:dyDescent="0.2">
      <c r="A60" s="2">
        <v>59</v>
      </c>
      <c r="B60" s="2">
        <v>1</v>
      </c>
      <c r="C60" s="2">
        <v>0</v>
      </c>
      <c r="D60" s="2">
        <v>0</v>
      </c>
      <c r="E60" s="2" t="s">
        <v>417</v>
      </c>
      <c r="F60" s="2">
        <v>0</v>
      </c>
      <c r="G60" s="2">
        <v>0</v>
      </c>
    </row>
    <row r="61" spans="1:7" s="72" customFormat="1" x14ac:dyDescent="0.2">
      <c r="A61" s="72">
        <v>60</v>
      </c>
      <c r="B61" s="72">
        <v>1</v>
      </c>
      <c r="C61" s="72">
        <v>0</v>
      </c>
      <c r="D61" s="72">
        <v>0</v>
      </c>
      <c r="E61" s="72" t="s">
        <v>422</v>
      </c>
      <c r="F61" s="72">
        <v>0</v>
      </c>
      <c r="G61" s="7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  <row r="4" spans="1:4 16384:16384" x14ac:dyDescent="0.2">
      <c r="A4">
        <v>3</v>
      </c>
      <c r="B4" t="s">
        <v>400</v>
      </c>
      <c r="C4">
        <v>15</v>
      </c>
      <c r="D4">
        <v>0</v>
      </c>
    </row>
    <row r="5" spans="1:4 16384:16384" x14ac:dyDescent="0.2">
      <c r="A5">
        <v>4</v>
      </c>
      <c r="B5" t="s">
        <v>401</v>
      </c>
      <c r="C5">
        <v>15</v>
      </c>
      <c r="D5">
        <v>0</v>
      </c>
    </row>
    <row r="6" spans="1:4 16384:16384" x14ac:dyDescent="0.2">
      <c r="A6">
        <v>5</v>
      </c>
      <c r="B6" t="s">
        <v>402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2020-11-26T01:25:50Z</dcterms:modified>
</cp:coreProperties>
</file>